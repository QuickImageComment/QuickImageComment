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9D07B6D0-382D-4724-8FD4-CCA3DD1BE49D}" xr6:coauthVersionLast="46" xr6:coauthVersionMax="46" xr10:uidLastSave="{00000000-0000-0000-0000-000000000000}"/>
  <bookViews>
    <workbookView xWindow="1140" yWindow="-120" windowWidth="27780" windowHeight="1644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Exiv2!$A$3:$Q$3433</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N3433" i="1" l="1"/>
  <c r="E3433" i="1"/>
  <c r="C3433" i="1"/>
  <c r="D3433" i="1" s="1"/>
  <c r="B3433" i="1"/>
  <c r="A3433" i="1"/>
  <c r="N3432" i="1"/>
  <c r="E3432" i="1"/>
  <c r="A3432" i="1" s="1"/>
  <c r="C3432" i="1"/>
  <c r="D3432" i="1" s="1"/>
  <c r="B3432" i="1"/>
  <c r="N3431" i="1"/>
  <c r="E3431" i="1"/>
  <c r="A3431" i="1" s="1"/>
  <c r="C3431" i="1"/>
  <c r="D3431" i="1" s="1"/>
  <c r="B3431" i="1"/>
  <c r="N3430" i="1"/>
  <c r="E3430" i="1"/>
  <c r="A3430" i="1" s="1"/>
  <c r="C3430" i="1"/>
  <c r="D3430" i="1" s="1"/>
  <c r="B3430" i="1"/>
  <c r="N3429" i="1"/>
  <c r="E3429" i="1"/>
  <c r="A3429" i="1" s="1"/>
  <c r="C3429" i="1"/>
  <c r="D3429" i="1" s="1"/>
  <c r="B3429" i="1"/>
  <c r="N3428" i="1"/>
  <c r="E3428" i="1"/>
  <c r="A3428" i="1" s="1"/>
  <c r="C3428" i="1"/>
  <c r="D3428" i="1" s="1"/>
  <c r="B3428" i="1"/>
  <c r="N3427" i="1"/>
  <c r="E3427" i="1"/>
  <c r="A3427" i="1" s="1"/>
  <c r="C3427" i="1"/>
  <c r="D3427" i="1" s="1"/>
  <c r="B3427" i="1"/>
  <c r="N3426" i="1"/>
  <c r="E3426" i="1"/>
  <c r="D3426" i="1"/>
  <c r="C3426" i="1"/>
  <c r="B3426" i="1"/>
  <c r="A3426" i="1"/>
  <c r="N3425" i="1"/>
  <c r="E3425" i="1"/>
  <c r="C3425" i="1"/>
  <c r="D3425" i="1" s="1"/>
  <c r="B3425" i="1"/>
  <c r="A3425" i="1"/>
  <c r="N3424" i="1"/>
  <c r="E3424" i="1"/>
  <c r="A3424" i="1" s="1"/>
  <c r="C3424" i="1"/>
  <c r="D3424" i="1" s="1"/>
  <c r="B3424" i="1"/>
  <c r="N3423" i="1"/>
  <c r="E3423" i="1"/>
  <c r="A3423" i="1" s="1"/>
  <c r="C3423" i="1"/>
  <c r="D3423" i="1" s="1"/>
  <c r="B3423" i="1"/>
  <c r="N3422" i="1"/>
  <c r="E3422" i="1"/>
  <c r="A3422" i="1" s="1"/>
  <c r="C3422" i="1"/>
  <c r="D3422" i="1" s="1"/>
  <c r="B3422" i="1"/>
  <c r="N3421" i="1"/>
  <c r="E3421" i="1"/>
  <c r="A3421" i="1" s="1"/>
  <c r="C3421" i="1"/>
  <c r="D3421" i="1" s="1"/>
  <c r="B3421" i="1"/>
  <c r="N3420" i="1"/>
  <c r="E3420" i="1"/>
  <c r="C3420" i="1"/>
  <c r="D3420" i="1" s="1"/>
  <c r="B3420" i="1"/>
  <c r="A3420" i="1"/>
  <c r="N3419" i="1"/>
  <c r="E3419" i="1"/>
  <c r="C3419" i="1"/>
  <c r="D3419" i="1" s="1"/>
  <c r="B3419" i="1"/>
  <c r="A3419" i="1"/>
  <c r="N3418" i="1"/>
  <c r="E3418" i="1"/>
  <c r="C3418" i="1"/>
  <c r="D3418" i="1" s="1"/>
  <c r="B3418" i="1"/>
  <c r="A3418" i="1"/>
  <c r="N3417" i="1"/>
  <c r="E3417" i="1"/>
  <c r="C3417" i="1"/>
  <c r="D3417" i="1" s="1"/>
  <c r="B3417" i="1"/>
  <c r="A3417" i="1"/>
  <c r="N3416" i="1"/>
  <c r="E3416" i="1"/>
  <c r="A3416" i="1" s="1"/>
  <c r="C3416" i="1"/>
  <c r="D3416" i="1" s="1"/>
  <c r="B3416" i="1"/>
  <c r="N3415" i="1"/>
  <c r="E3415" i="1"/>
  <c r="C3415" i="1"/>
  <c r="D3415" i="1" s="1"/>
  <c r="B3415" i="1"/>
  <c r="A3415" i="1"/>
  <c r="N3414" i="1"/>
  <c r="E3414" i="1"/>
  <c r="C3414" i="1"/>
  <c r="D3414" i="1" s="1"/>
  <c r="B3414" i="1"/>
  <c r="A3414" i="1"/>
  <c r="N3413" i="1"/>
  <c r="E3413" i="1"/>
  <c r="C3413" i="1"/>
  <c r="D3413" i="1" s="1"/>
  <c r="B3413" i="1"/>
  <c r="A3413" i="1"/>
  <c r="N3412" i="1"/>
  <c r="E3412" i="1"/>
  <c r="A3412" i="1" s="1"/>
  <c r="C3412" i="1"/>
  <c r="D3412" i="1" s="1"/>
  <c r="B3412" i="1"/>
  <c r="N3411" i="1"/>
  <c r="E3411" i="1"/>
  <c r="C3411" i="1"/>
  <c r="D3411" i="1" s="1"/>
  <c r="B3411" i="1"/>
  <c r="A3411" i="1"/>
  <c r="N3410" i="1"/>
  <c r="E3410" i="1"/>
  <c r="A3410" i="1" s="1"/>
  <c r="C3410" i="1"/>
  <c r="D3410" i="1" s="1"/>
  <c r="B3410" i="1"/>
  <c r="N3409" i="1"/>
  <c r="E3409" i="1"/>
  <c r="A3409" i="1" s="1"/>
  <c r="C3409" i="1"/>
  <c r="D3409" i="1" s="1"/>
  <c r="B3409" i="1"/>
  <c r="N3408" i="1"/>
  <c r="E3408" i="1"/>
  <c r="C3408" i="1"/>
  <c r="D3408" i="1" s="1"/>
  <c r="B3408" i="1"/>
  <c r="A3408" i="1"/>
  <c r="E3407" i="1"/>
  <c r="C3407" i="1"/>
  <c r="D3407" i="1" s="1"/>
  <c r="B3407" i="1"/>
  <c r="A3407" i="1"/>
  <c r="N3406" i="1"/>
  <c r="E3406" i="1"/>
  <c r="A3406" i="1" s="1"/>
  <c r="C3406" i="1"/>
  <c r="D3406" i="1" s="1"/>
  <c r="B3406" i="1"/>
  <c r="N3405" i="1"/>
  <c r="E3405" i="1"/>
  <c r="A3405" i="1" s="1"/>
  <c r="C3405" i="1"/>
  <c r="D3405" i="1" s="1"/>
  <c r="B3405" i="1"/>
  <c r="E3404" i="1"/>
  <c r="A3404" i="1" s="1"/>
  <c r="C3404" i="1"/>
  <c r="D3404" i="1" s="1"/>
  <c r="B3404" i="1"/>
  <c r="N3403" i="1"/>
  <c r="E3403" i="1"/>
  <c r="A3403" i="1" s="1"/>
  <c r="C3403" i="1"/>
  <c r="D3403" i="1" s="1"/>
  <c r="B3403" i="1"/>
  <c r="N3402" i="1"/>
  <c r="E3402" i="1"/>
  <c r="A3402" i="1" s="1"/>
  <c r="C3402" i="1"/>
  <c r="D3402" i="1" s="1"/>
  <c r="B3402" i="1"/>
  <c r="E3401" i="1"/>
  <c r="A3401" i="1" s="1"/>
  <c r="C3401" i="1"/>
  <c r="D3401" i="1" s="1"/>
  <c r="B3401" i="1"/>
  <c r="N3400" i="1"/>
  <c r="E3400" i="1"/>
  <c r="A3400" i="1" s="1"/>
  <c r="C3400" i="1"/>
  <c r="D3400" i="1" s="1"/>
  <c r="B3400" i="1"/>
  <c r="N3399" i="1"/>
  <c r="E3399" i="1"/>
  <c r="A3399" i="1" s="1"/>
  <c r="C3399" i="1"/>
  <c r="D3399" i="1" s="1"/>
  <c r="B3399" i="1"/>
  <c r="N3398" i="1"/>
  <c r="E3398" i="1"/>
  <c r="A3398" i="1" s="1"/>
  <c r="C3398" i="1"/>
  <c r="D3398" i="1" s="1"/>
  <c r="B3398" i="1"/>
  <c r="E3397" i="1"/>
  <c r="A3397" i="1" s="1"/>
  <c r="C3397" i="1"/>
  <c r="D3397" i="1" s="1"/>
  <c r="B3397" i="1"/>
  <c r="N3396" i="1"/>
  <c r="E3396" i="1"/>
  <c r="C3396" i="1"/>
  <c r="D3396" i="1" s="1"/>
  <c r="B3396" i="1"/>
  <c r="A3396" i="1"/>
  <c r="N3395" i="1"/>
  <c r="E3395" i="1"/>
  <c r="C3395" i="1"/>
  <c r="D3395" i="1" s="1"/>
  <c r="B3395" i="1"/>
  <c r="A3395" i="1"/>
  <c r="N3394" i="1"/>
  <c r="E3394" i="1"/>
  <c r="A3394" i="1" s="1"/>
  <c r="C3394" i="1"/>
  <c r="D3394" i="1" s="1"/>
  <c r="B3394" i="1"/>
  <c r="N3393" i="1"/>
  <c r="E3393" i="1"/>
  <c r="A3393" i="1" s="1"/>
  <c r="C3393" i="1"/>
  <c r="D3393" i="1" s="1"/>
  <c r="B3393" i="1"/>
  <c r="E3392" i="1"/>
  <c r="C3392" i="1"/>
  <c r="D3392" i="1" s="1"/>
  <c r="B3392" i="1"/>
  <c r="A3392" i="1"/>
  <c r="N3391" i="1"/>
  <c r="E3391" i="1"/>
  <c r="A3391" i="1" s="1"/>
  <c r="C3391" i="1"/>
  <c r="D3391" i="1" s="1"/>
  <c r="B3391" i="1"/>
  <c r="N3390" i="1"/>
  <c r="E3390" i="1"/>
  <c r="C3390" i="1"/>
  <c r="D3390" i="1" s="1"/>
  <c r="B3390" i="1"/>
  <c r="A3390" i="1"/>
  <c r="N3389" i="1"/>
  <c r="E3389" i="1"/>
  <c r="A3389" i="1" s="1"/>
  <c r="C3389" i="1"/>
  <c r="D3389" i="1" s="1"/>
  <c r="B3389" i="1"/>
  <c r="E3388" i="1"/>
  <c r="C3388" i="1"/>
  <c r="D3388" i="1" s="1"/>
  <c r="B3388" i="1"/>
  <c r="A3388" i="1"/>
  <c r="N3387" i="1"/>
  <c r="E3387" i="1"/>
  <c r="C3387" i="1"/>
  <c r="D3387" i="1" s="1"/>
  <c r="B3387" i="1"/>
  <c r="A3387" i="1"/>
  <c r="N3386" i="1"/>
  <c r="E3386" i="1"/>
  <c r="A3386" i="1" s="1"/>
  <c r="C3386" i="1"/>
  <c r="D3386" i="1" s="1"/>
  <c r="B3386" i="1"/>
  <c r="E3385" i="1"/>
  <c r="C3385" i="1"/>
  <c r="D3385" i="1" s="1"/>
  <c r="B3385" i="1"/>
  <c r="A3385" i="1"/>
  <c r="N3384" i="1"/>
  <c r="E3384" i="1"/>
  <c r="A3384" i="1" s="1"/>
  <c r="C3384" i="1"/>
  <c r="D3384" i="1" s="1"/>
  <c r="B3384" i="1"/>
  <c r="N3383" i="1"/>
  <c r="E3383" i="1"/>
  <c r="C3383" i="1"/>
  <c r="D3383" i="1" s="1"/>
  <c r="B3383" i="1"/>
  <c r="A3383" i="1"/>
  <c r="N3382" i="1"/>
  <c r="E3382" i="1"/>
  <c r="A3382" i="1" s="1"/>
  <c r="C3382" i="1"/>
  <c r="D3382" i="1" s="1"/>
  <c r="B3382" i="1"/>
  <c r="N3381" i="1"/>
  <c r="E3381" i="1"/>
  <c r="A3381" i="1" s="1"/>
  <c r="C3381" i="1"/>
  <c r="D3381" i="1" s="1"/>
  <c r="B3381" i="1"/>
  <c r="N3380" i="1"/>
  <c r="E3380" i="1"/>
  <c r="A3380" i="1" s="1"/>
  <c r="C3380" i="1"/>
  <c r="D3380" i="1" s="1"/>
  <c r="B3380" i="1"/>
  <c r="N3379" i="1"/>
  <c r="E3379" i="1"/>
  <c r="C3379" i="1"/>
  <c r="D3379" i="1" s="1"/>
  <c r="B3379" i="1"/>
  <c r="A3379" i="1"/>
  <c r="N3378" i="1"/>
  <c r="E3378" i="1"/>
  <c r="A3378" i="1" s="1"/>
  <c r="C3378" i="1"/>
  <c r="D3378" i="1" s="1"/>
  <c r="B3378" i="1"/>
  <c r="E3377" i="1"/>
  <c r="C3377" i="1"/>
  <c r="D3377" i="1" s="1"/>
  <c r="B3377" i="1"/>
  <c r="A3377" i="1"/>
  <c r="N3376" i="1"/>
  <c r="E3376" i="1"/>
  <c r="A3376" i="1" s="1"/>
  <c r="C3376" i="1"/>
  <c r="D3376" i="1" s="1"/>
  <c r="B3376" i="1"/>
  <c r="N3375" i="1"/>
  <c r="E3375" i="1"/>
  <c r="C3375" i="1"/>
  <c r="D3375" i="1" s="1"/>
  <c r="B3375" i="1"/>
  <c r="A3375" i="1"/>
  <c r="E3374" i="1"/>
  <c r="C3374" i="1"/>
  <c r="D3374" i="1" s="1"/>
  <c r="B3374" i="1"/>
  <c r="A3374" i="1"/>
  <c r="N3373" i="1"/>
  <c r="E3373" i="1"/>
  <c r="A3373" i="1" s="1"/>
  <c r="C3373" i="1"/>
  <c r="D3373" i="1" s="1"/>
  <c r="B3373" i="1"/>
  <c r="N3372" i="1"/>
  <c r="E3372" i="1"/>
  <c r="A3372" i="1" s="1"/>
  <c r="C3372" i="1"/>
  <c r="D3372" i="1" s="1"/>
  <c r="B3372" i="1"/>
  <c r="N3371" i="1"/>
  <c r="E3371" i="1"/>
  <c r="C3371" i="1"/>
  <c r="D3371" i="1" s="1"/>
  <c r="B3371" i="1"/>
  <c r="A3371" i="1"/>
  <c r="E3370" i="1"/>
  <c r="C3370" i="1"/>
  <c r="D3370" i="1" s="1"/>
  <c r="B3370" i="1"/>
  <c r="A3370" i="1"/>
  <c r="N3369" i="1"/>
  <c r="E3369" i="1"/>
  <c r="A3369" i="1" s="1"/>
  <c r="C3369" i="1"/>
  <c r="D3369" i="1" s="1"/>
  <c r="B3369" i="1"/>
  <c r="N3368" i="1"/>
  <c r="E3368" i="1"/>
  <c r="A3368" i="1" s="1"/>
  <c r="C3368" i="1"/>
  <c r="D3368" i="1" s="1"/>
  <c r="B3368" i="1"/>
  <c r="N3367" i="1"/>
  <c r="E3367" i="1"/>
  <c r="A3367" i="1" s="1"/>
  <c r="C3367" i="1"/>
  <c r="D3367" i="1" s="1"/>
  <c r="B3367" i="1"/>
  <c r="N3366" i="1"/>
  <c r="E3366" i="1"/>
  <c r="A3366" i="1" s="1"/>
  <c r="C3366" i="1"/>
  <c r="D3366" i="1" s="1"/>
  <c r="B3366" i="1"/>
  <c r="N3365" i="1"/>
  <c r="E3365" i="1"/>
  <c r="A3365" i="1" s="1"/>
  <c r="C3365" i="1"/>
  <c r="D3365" i="1" s="1"/>
  <c r="B3365" i="1"/>
  <c r="N3364" i="1"/>
  <c r="E3364" i="1"/>
  <c r="A3364" i="1" s="1"/>
  <c r="C3364" i="1"/>
  <c r="D3364" i="1" s="1"/>
  <c r="B3364" i="1"/>
  <c r="E3363" i="1"/>
  <c r="C3363" i="1"/>
  <c r="D3363" i="1" s="1"/>
  <c r="B3363" i="1"/>
  <c r="A3363" i="1"/>
  <c r="N3362" i="1"/>
  <c r="E3362" i="1"/>
  <c r="A3362" i="1" s="1"/>
  <c r="C3362" i="1"/>
  <c r="D3362" i="1" s="1"/>
  <c r="B3362" i="1"/>
  <c r="N3361" i="1"/>
  <c r="E3361" i="1"/>
  <c r="A3361" i="1" s="1"/>
  <c r="C3361" i="1"/>
  <c r="D3361" i="1" s="1"/>
  <c r="B3361" i="1"/>
  <c r="N3360" i="1"/>
  <c r="E3360" i="1"/>
  <c r="A3360" i="1" s="1"/>
  <c r="C3360" i="1"/>
  <c r="D3360" i="1" s="1"/>
  <c r="B3360" i="1"/>
  <c r="N3359" i="1"/>
  <c r="E3359" i="1"/>
  <c r="A3359" i="1" s="1"/>
  <c r="C3359" i="1"/>
  <c r="D3359" i="1" s="1"/>
  <c r="B3359" i="1"/>
  <c r="N3358" i="1"/>
  <c r="E3358" i="1"/>
  <c r="A3358" i="1" s="1"/>
  <c r="C3358" i="1"/>
  <c r="D3358" i="1" s="1"/>
  <c r="B3358" i="1"/>
  <c r="N3357" i="1"/>
  <c r="E3357" i="1"/>
  <c r="A3357" i="1" s="1"/>
  <c r="C3357" i="1"/>
  <c r="D3357" i="1" s="1"/>
  <c r="B3357" i="1"/>
  <c r="E3356" i="1"/>
  <c r="C3356" i="1"/>
  <c r="D3356" i="1" s="1"/>
  <c r="B3356" i="1"/>
  <c r="A3356" i="1"/>
  <c r="E3355" i="1"/>
  <c r="C3355" i="1"/>
  <c r="D3355" i="1" s="1"/>
  <c r="B3355" i="1"/>
  <c r="A3355" i="1"/>
  <c r="E3354" i="1"/>
  <c r="C3354" i="1"/>
  <c r="D3354" i="1" s="1"/>
  <c r="B3354" i="1"/>
  <c r="A3354" i="1"/>
  <c r="E3353" i="1"/>
  <c r="C3353" i="1"/>
  <c r="D3353" i="1" s="1"/>
  <c r="B3353" i="1"/>
  <c r="A3353" i="1"/>
  <c r="N3352" i="1"/>
  <c r="E3352" i="1"/>
  <c r="A3352" i="1" s="1"/>
  <c r="C3352" i="1"/>
  <c r="D3352" i="1" s="1"/>
  <c r="B3352" i="1"/>
  <c r="N3351" i="1"/>
  <c r="E3351" i="1"/>
  <c r="A3351" i="1" s="1"/>
  <c r="C3351" i="1"/>
  <c r="D3351" i="1" s="1"/>
  <c r="B3351" i="1"/>
  <c r="E3350" i="1"/>
  <c r="C3350" i="1"/>
  <c r="D3350" i="1" s="1"/>
  <c r="B3350" i="1"/>
  <c r="A3350" i="1"/>
  <c r="E3349" i="1"/>
  <c r="C3349" i="1"/>
  <c r="D3349" i="1" s="1"/>
  <c r="B3349" i="1"/>
  <c r="A3349" i="1"/>
  <c r="N3348" i="1"/>
  <c r="E3348" i="1"/>
  <c r="A3348" i="1" s="1"/>
  <c r="C3348" i="1"/>
  <c r="D3348" i="1" s="1"/>
  <c r="B3348" i="1"/>
  <c r="E3347" i="1"/>
  <c r="C3347" i="1"/>
  <c r="D3347" i="1" s="1"/>
  <c r="B3347" i="1"/>
  <c r="A3347" i="1"/>
  <c r="E3346" i="1"/>
  <c r="C3346" i="1"/>
  <c r="D3346" i="1" s="1"/>
  <c r="B3346" i="1"/>
  <c r="A3346" i="1"/>
  <c r="N3345" i="1"/>
  <c r="E3345" i="1"/>
  <c r="A3345" i="1" s="1"/>
  <c r="C3345" i="1"/>
  <c r="D3345" i="1" s="1"/>
  <c r="B3345" i="1"/>
  <c r="N3344" i="1"/>
  <c r="E3344" i="1"/>
  <c r="A3344" i="1" s="1"/>
  <c r="C3344" i="1"/>
  <c r="D3344" i="1" s="1"/>
  <c r="B3344" i="1"/>
  <c r="E3343" i="1"/>
  <c r="C3343" i="1"/>
  <c r="D3343" i="1" s="1"/>
  <c r="B3343" i="1"/>
  <c r="A3343" i="1"/>
  <c r="E3342" i="1"/>
  <c r="C3342" i="1"/>
  <c r="D3342" i="1" s="1"/>
  <c r="B3342" i="1"/>
  <c r="A3342" i="1"/>
  <c r="N3341" i="1"/>
  <c r="E3341" i="1"/>
  <c r="A3341" i="1" s="1"/>
  <c r="C3341" i="1"/>
  <c r="D3341" i="1" s="1"/>
  <c r="B3341" i="1"/>
  <c r="N3340" i="1"/>
  <c r="E3340" i="1"/>
  <c r="C3340" i="1"/>
  <c r="D3340" i="1" s="1"/>
  <c r="B3340" i="1"/>
  <c r="A3340" i="1"/>
  <c r="N3339" i="1"/>
  <c r="E3339" i="1"/>
  <c r="A3339" i="1" s="1"/>
  <c r="C3339" i="1"/>
  <c r="D3339" i="1" s="1"/>
  <c r="B3339" i="1"/>
  <c r="N3338" i="1"/>
  <c r="E3338" i="1"/>
  <c r="A3338" i="1" s="1"/>
  <c r="C3338" i="1"/>
  <c r="D3338" i="1" s="1"/>
  <c r="B3338" i="1"/>
  <c r="N3337" i="1"/>
  <c r="E3337" i="1"/>
  <c r="A3337" i="1" s="1"/>
  <c r="C3337" i="1"/>
  <c r="D3337" i="1" s="1"/>
  <c r="B3337" i="1"/>
  <c r="E3336" i="1"/>
  <c r="A3336" i="1" s="1"/>
  <c r="C3336" i="1"/>
  <c r="D3336" i="1" s="1"/>
  <c r="B3336" i="1"/>
  <c r="N3335" i="1"/>
  <c r="E3335" i="1"/>
  <c r="A3335" i="1" s="1"/>
  <c r="C3335" i="1"/>
  <c r="D3335" i="1" s="1"/>
  <c r="B3335" i="1"/>
  <c r="E3334" i="1"/>
  <c r="C3334" i="1"/>
  <c r="D3334" i="1" s="1"/>
  <c r="B3334" i="1"/>
  <c r="A3334" i="1"/>
  <c r="N3333" i="1"/>
  <c r="E3333" i="1"/>
  <c r="A3333" i="1" s="1"/>
  <c r="C3333" i="1"/>
  <c r="D3333" i="1" s="1"/>
  <c r="B3333" i="1"/>
  <c r="N3332" i="1"/>
  <c r="E3332" i="1"/>
  <c r="A3332" i="1" s="1"/>
  <c r="C3332" i="1"/>
  <c r="D3332" i="1" s="1"/>
  <c r="B3332" i="1"/>
  <c r="E3331" i="1"/>
  <c r="C3331" i="1"/>
  <c r="D3331" i="1" s="1"/>
  <c r="B3331" i="1"/>
  <c r="A3331" i="1"/>
  <c r="N3330" i="1"/>
  <c r="E3330" i="1"/>
  <c r="A3330" i="1" s="1"/>
  <c r="C3330" i="1"/>
  <c r="D3330" i="1" s="1"/>
  <c r="B3330" i="1"/>
  <c r="N3329" i="1"/>
  <c r="E3329" i="1"/>
  <c r="A3329" i="1" s="1"/>
  <c r="C3329" i="1"/>
  <c r="D3329" i="1" s="1"/>
  <c r="B3329" i="1"/>
  <c r="N3328" i="1"/>
  <c r="E3328" i="1"/>
  <c r="A3328" i="1" s="1"/>
  <c r="C3328" i="1"/>
  <c r="D3328" i="1" s="1"/>
  <c r="B3328" i="1"/>
  <c r="E3327" i="1"/>
  <c r="C3327" i="1"/>
  <c r="D3327" i="1" s="1"/>
  <c r="B3327" i="1"/>
  <c r="A3327" i="1"/>
  <c r="N3326" i="1"/>
  <c r="E3326" i="1"/>
  <c r="A3326" i="1" s="1"/>
  <c r="C3326" i="1"/>
  <c r="D3326" i="1" s="1"/>
  <c r="B3326" i="1"/>
  <c r="N3325" i="1"/>
  <c r="E3325" i="1"/>
  <c r="A3325" i="1" s="1"/>
  <c r="C3325" i="1"/>
  <c r="D3325" i="1" s="1"/>
  <c r="B3325" i="1"/>
  <c r="N3324" i="1"/>
  <c r="E3324" i="1"/>
  <c r="A3324" i="1" s="1"/>
  <c r="C3324" i="1"/>
  <c r="D3324" i="1" s="1"/>
  <c r="B3324" i="1"/>
  <c r="N3323" i="1"/>
  <c r="E3323" i="1"/>
  <c r="A3323" i="1" s="1"/>
  <c r="C3323" i="1"/>
  <c r="D3323" i="1" s="1"/>
  <c r="B3323" i="1"/>
  <c r="E3322" i="1"/>
  <c r="C3322" i="1"/>
  <c r="D3322" i="1" s="1"/>
  <c r="B3322" i="1"/>
  <c r="A3322" i="1"/>
  <c r="N3321" i="1"/>
  <c r="E3321" i="1"/>
  <c r="A3321" i="1" s="1"/>
  <c r="C3321" i="1"/>
  <c r="D3321" i="1" s="1"/>
  <c r="B3321" i="1"/>
  <c r="N3320" i="1"/>
  <c r="E3320" i="1"/>
  <c r="A3320" i="1" s="1"/>
  <c r="C3320" i="1"/>
  <c r="D3320" i="1" s="1"/>
  <c r="B3320" i="1"/>
  <c r="E3319" i="1"/>
  <c r="C3319" i="1"/>
  <c r="D3319" i="1" s="1"/>
  <c r="B3319" i="1"/>
  <c r="A3319" i="1"/>
  <c r="N3318" i="1"/>
  <c r="E3318" i="1"/>
  <c r="A3318" i="1" s="1"/>
  <c r="C3318" i="1"/>
  <c r="D3318" i="1" s="1"/>
  <c r="B3318" i="1"/>
  <c r="E3317" i="1"/>
  <c r="C3317" i="1"/>
  <c r="D3317" i="1" s="1"/>
  <c r="B3317" i="1"/>
  <c r="A3317" i="1"/>
  <c r="E3316" i="1"/>
  <c r="C3316" i="1"/>
  <c r="D3316" i="1" s="1"/>
  <c r="B3316" i="1"/>
  <c r="A3316" i="1"/>
  <c r="E3315" i="1"/>
  <c r="C3315" i="1"/>
  <c r="D3315" i="1" s="1"/>
  <c r="B3315" i="1"/>
  <c r="A3315" i="1"/>
  <c r="N3314" i="1"/>
  <c r="E3314" i="1"/>
  <c r="A3314" i="1" s="1"/>
  <c r="C3314" i="1"/>
  <c r="D3314" i="1" s="1"/>
  <c r="B3314" i="1"/>
  <c r="N3313" i="1"/>
  <c r="E3313" i="1"/>
  <c r="C3313" i="1"/>
  <c r="D3313" i="1" s="1"/>
  <c r="B3313" i="1"/>
  <c r="A3313" i="1"/>
  <c r="E3312" i="1"/>
  <c r="C3312" i="1"/>
  <c r="D3312" i="1" s="1"/>
  <c r="B3312" i="1"/>
  <c r="A3312" i="1"/>
  <c r="N3311" i="1"/>
  <c r="E3311" i="1"/>
  <c r="A3311" i="1" s="1"/>
  <c r="C3311" i="1"/>
  <c r="D3311" i="1" s="1"/>
  <c r="B3311" i="1"/>
  <c r="E3310" i="1"/>
  <c r="A3310" i="1" s="1"/>
  <c r="C3310" i="1"/>
  <c r="D3310" i="1" s="1"/>
  <c r="B3310" i="1"/>
  <c r="E3309" i="1"/>
  <c r="C3309" i="1"/>
  <c r="D3309" i="1" s="1"/>
  <c r="B3309" i="1"/>
  <c r="A3309" i="1"/>
  <c r="E3308" i="1"/>
  <c r="C3308" i="1"/>
  <c r="D3308" i="1" s="1"/>
  <c r="B3308" i="1"/>
  <c r="A3308" i="1"/>
  <c r="N3307" i="1"/>
  <c r="E3307" i="1"/>
  <c r="A3307" i="1" s="1"/>
  <c r="C3307" i="1"/>
  <c r="D3307" i="1" s="1"/>
  <c r="B3307" i="1"/>
  <c r="N3306" i="1"/>
  <c r="E3306" i="1"/>
  <c r="A3306" i="1" s="1"/>
  <c r="C3306" i="1"/>
  <c r="D3306" i="1" s="1"/>
  <c r="B3306" i="1"/>
  <c r="N3305" i="1"/>
  <c r="E3305" i="1"/>
  <c r="A3305" i="1" s="1"/>
  <c r="C3305" i="1"/>
  <c r="D3305" i="1" s="1"/>
  <c r="B3305" i="1"/>
  <c r="E3304" i="1"/>
  <c r="C3304" i="1"/>
  <c r="D3304" i="1" s="1"/>
  <c r="B3304" i="1"/>
  <c r="A3304" i="1"/>
  <c r="E3303" i="1"/>
  <c r="C3303" i="1"/>
  <c r="D3303" i="1" s="1"/>
  <c r="B3303" i="1"/>
  <c r="A3303" i="1"/>
  <c r="N3302" i="1"/>
  <c r="E3302" i="1"/>
  <c r="A3302" i="1" s="1"/>
  <c r="C3302" i="1"/>
  <c r="D3302" i="1" s="1"/>
  <c r="B3302" i="1"/>
  <c r="N3301" i="1"/>
  <c r="E3301" i="1"/>
  <c r="A3301" i="1" s="1"/>
  <c r="C3301" i="1"/>
  <c r="D3301" i="1" s="1"/>
  <c r="B3301" i="1"/>
  <c r="N3300" i="1"/>
  <c r="E3300" i="1"/>
  <c r="A3300" i="1" s="1"/>
  <c r="C3300" i="1"/>
  <c r="D3300" i="1" s="1"/>
  <c r="B3300" i="1"/>
  <c r="E3299" i="1"/>
  <c r="C3299" i="1"/>
  <c r="D3299" i="1" s="1"/>
  <c r="B3299" i="1"/>
  <c r="A3299" i="1"/>
  <c r="E3298" i="1"/>
  <c r="C3298" i="1"/>
  <c r="D3298" i="1" s="1"/>
  <c r="B3298" i="1"/>
  <c r="A3298" i="1"/>
  <c r="E3297" i="1"/>
  <c r="C3297" i="1"/>
  <c r="D3297" i="1" s="1"/>
  <c r="B3297" i="1"/>
  <c r="A3297" i="1"/>
  <c r="E3296" i="1"/>
  <c r="A3296" i="1" s="1"/>
  <c r="C3296" i="1"/>
  <c r="D3296" i="1" s="1"/>
  <c r="B3296" i="1"/>
  <c r="E3295" i="1"/>
  <c r="A3295" i="1" s="1"/>
  <c r="C3295" i="1"/>
  <c r="D3295" i="1" s="1"/>
  <c r="B3295" i="1"/>
  <c r="N3294" i="1"/>
  <c r="E3294" i="1"/>
  <c r="C3294" i="1"/>
  <c r="D3294" i="1" s="1"/>
  <c r="B3294" i="1"/>
  <c r="A3294" i="1"/>
  <c r="E3293" i="1"/>
  <c r="C3293" i="1"/>
  <c r="D3293" i="1" s="1"/>
  <c r="B3293" i="1"/>
  <c r="A3293" i="1"/>
  <c r="E3292" i="1"/>
  <c r="A3292" i="1" s="1"/>
  <c r="C3292" i="1"/>
  <c r="D3292" i="1" s="1"/>
  <c r="B3292" i="1"/>
  <c r="N3291" i="1"/>
  <c r="E3291" i="1"/>
  <c r="A3291" i="1" s="1"/>
  <c r="C3291" i="1"/>
  <c r="D3291" i="1" s="1"/>
  <c r="B3291" i="1"/>
  <c r="E3290" i="1"/>
  <c r="C3290" i="1"/>
  <c r="D3290" i="1" s="1"/>
  <c r="B3290" i="1"/>
  <c r="A3290" i="1"/>
  <c r="E3289" i="1"/>
  <c r="C3289" i="1"/>
  <c r="D3289" i="1" s="1"/>
  <c r="B3289" i="1"/>
  <c r="A3289" i="1"/>
  <c r="E3288" i="1"/>
  <c r="C3288" i="1"/>
  <c r="D3288" i="1" s="1"/>
  <c r="B3288" i="1"/>
  <c r="A3288" i="1"/>
  <c r="E3287" i="1"/>
  <c r="C3287" i="1"/>
  <c r="D3287" i="1" s="1"/>
  <c r="B3287" i="1"/>
  <c r="A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N3281" i="1"/>
  <c r="E3281" i="1"/>
  <c r="A3281" i="1" s="1"/>
  <c r="C3281" i="1"/>
  <c r="D3281" i="1" s="1"/>
  <c r="B3281" i="1"/>
  <c r="N3280" i="1"/>
  <c r="E3280" i="1"/>
  <c r="A3280" i="1" s="1"/>
  <c r="C3280" i="1"/>
  <c r="D3280" i="1" s="1"/>
  <c r="B3280" i="1"/>
  <c r="E3279" i="1"/>
  <c r="A3279" i="1" s="1"/>
  <c r="C3279" i="1"/>
  <c r="D3279" i="1" s="1"/>
  <c r="B3279" i="1"/>
  <c r="E3278" i="1"/>
  <c r="C3278" i="1"/>
  <c r="D3278" i="1" s="1"/>
  <c r="B3278" i="1"/>
  <c r="A3278" i="1"/>
  <c r="E3277" i="1"/>
  <c r="C3277" i="1"/>
  <c r="D3277" i="1" s="1"/>
  <c r="B3277" i="1"/>
  <c r="A3277" i="1"/>
  <c r="N3276" i="1"/>
  <c r="E3276" i="1"/>
  <c r="A3276" i="1" s="1"/>
  <c r="C3276" i="1"/>
  <c r="D3276" i="1" s="1"/>
  <c r="B3276" i="1"/>
  <c r="E3275" i="1"/>
  <c r="C3275" i="1"/>
  <c r="D3275" i="1" s="1"/>
  <c r="B3275" i="1"/>
  <c r="A3275" i="1"/>
  <c r="N3274" i="1"/>
  <c r="E3274" i="1"/>
  <c r="C3274" i="1"/>
  <c r="D3274" i="1" s="1"/>
  <c r="B3274" i="1"/>
  <c r="A3274" i="1"/>
  <c r="N3273" i="1"/>
  <c r="E3273" i="1"/>
  <c r="A3273" i="1" s="1"/>
  <c r="C3273" i="1"/>
  <c r="D3273" i="1" s="1"/>
  <c r="B3273" i="1"/>
  <c r="E3272" i="1"/>
  <c r="C3272" i="1"/>
  <c r="D3272" i="1" s="1"/>
  <c r="B3272" i="1"/>
  <c r="A3272" i="1"/>
  <c r="N3271" i="1"/>
  <c r="E3271" i="1"/>
  <c r="A3271" i="1" s="1"/>
  <c r="C3271" i="1"/>
  <c r="D3271" i="1" s="1"/>
  <c r="B3271" i="1"/>
  <c r="N3270" i="1"/>
  <c r="E3270" i="1"/>
  <c r="A3270" i="1" s="1"/>
  <c r="C3270" i="1"/>
  <c r="D3270" i="1" s="1"/>
  <c r="B3270" i="1"/>
  <c r="N3269" i="1"/>
  <c r="E3269" i="1"/>
  <c r="C3269" i="1"/>
  <c r="D3269" i="1" s="1"/>
  <c r="B3269" i="1"/>
  <c r="A3269" i="1"/>
  <c r="E3268" i="1"/>
  <c r="A3268" i="1" s="1"/>
  <c r="C3268" i="1"/>
  <c r="D3268" i="1" s="1"/>
  <c r="B3268" i="1"/>
  <c r="N3267" i="1"/>
  <c r="E3267" i="1"/>
  <c r="A3267" i="1" s="1"/>
  <c r="C3267" i="1"/>
  <c r="D3267" i="1" s="1"/>
  <c r="B3267" i="1"/>
  <c r="N3266" i="1"/>
  <c r="E3266" i="1"/>
  <c r="A3266" i="1" s="1"/>
  <c r="C3266" i="1"/>
  <c r="D3266" i="1" s="1"/>
  <c r="B3266" i="1"/>
  <c r="N3265" i="1"/>
  <c r="E3265" i="1"/>
  <c r="A3265" i="1" s="1"/>
  <c r="C3265" i="1"/>
  <c r="D3265" i="1" s="1"/>
  <c r="B3265" i="1"/>
  <c r="N3264" i="1"/>
  <c r="E3264" i="1"/>
  <c r="C3264" i="1"/>
  <c r="D3264" i="1" s="1"/>
  <c r="B3264" i="1"/>
  <c r="A3264" i="1"/>
  <c r="N3263" i="1"/>
  <c r="E3263" i="1"/>
  <c r="C3263" i="1"/>
  <c r="D3263" i="1" s="1"/>
  <c r="B3263" i="1"/>
  <c r="A3263" i="1"/>
  <c r="N3262" i="1"/>
  <c r="E3262" i="1"/>
  <c r="C3262" i="1"/>
  <c r="D3262" i="1" s="1"/>
  <c r="B3262" i="1"/>
  <c r="A3262" i="1"/>
  <c r="N3261" i="1"/>
  <c r="E3261" i="1"/>
  <c r="C3261" i="1"/>
  <c r="D3261" i="1" s="1"/>
  <c r="B3261" i="1"/>
  <c r="A3261" i="1"/>
  <c r="N3260" i="1"/>
  <c r="E3260" i="1"/>
  <c r="A3260" i="1" s="1"/>
  <c r="C3260" i="1"/>
  <c r="D3260" i="1" s="1"/>
  <c r="B3260" i="1"/>
  <c r="N3259" i="1"/>
  <c r="E3259" i="1"/>
  <c r="A3259" i="1" s="1"/>
  <c r="C3259" i="1"/>
  <c r="D3259" i="1" s="1"/>
  <c r="B3259" i="1"/>
  <c r="N3258" i="1"/>
  <c r="E3258" i="1"/>
  <c r="C3258" i="1"/>
  <c r="D3258" i="1" s="1"/>
  <c r="B3258" i="1"/>
  <c r="A3258" i="1"/>
  <c r="N3257" i="1"/>
  <c r="E3257" i="1"/>
  <c r="C3257" i="1"/>
  <c r="D3257" i="1" s="1"/>
  <c r="B3257" i="1"/>
  <c r="A3257" i="1"/>
  <c r="E3256" i="1"/>
  <c r="C3256" i="1"/>
  <c r="D3256" i="1" s="1"/>
  <c r="B3256" i="1"/>
  <c r="A3256" i="1"/>
  <c r="N3255" i="1"/>
  <c r="E3255" i="1"/>
  <c r="C3255" i="1"/>
  <c r="D3255" i="1" s="1"/>
  <c r="B3255" i="1"/>
  <c r="A3255" i="1"/>
  <c r="N3254" i="1"/>
  <c r="E3254" i="1"/>
  <c r="C3254" i="1"/>
  <c r="D3254" i="1" s="1"/>
  <c r="B3254" i="1"/>
  <c r="A3254" i="1"/>
  <c r="N3253" i="1"/>
  <c r="E3253" i="1"/>
  <c r="C3253" i="1"/>
  <c r="D3253" i="1" s="1"/>
  <c r="B3253" i="1"/>
  <c r="A3253" i="1"/>
  <c r="N3252" i="1"/>
  <c r="E3252" i="1"/>
  <c r="C3252" i="1"/>
  <c r="D3252" i="1" s="1"/>
  <c r="B3252" i="1"/>
  <c r="A3252" i="1"/>
  <c r="E3251" i="1"/>
  <c r="C3251" i="1"/>
  <c r="D3251" i="1" s="1"/>
  <c r="B3251" i="1"/>
  <c r="A3251" i="1"/>
  <c r="N3250" i="1"/>
  <c r="E3250" i="1"/>
  <c r="A3250" i="1" s="1"/>
  <c r="C3250" i="1"/>
  <c r="D3250" i="1" s="1"/>
  <c r="B3250" i="1"/>
  <c r="N3249" i="1"/>
  <c r="E3249" i="1"/>
  <c r="A3249" i="1" s="1"/>
  <c r="C3249" i="1"/>
  <c r="D3249" i="1" s="1"/>
  <c r="B3249" i="1"/>
  <c r="N3248" i="1"/>
  <c r="E3248" i="1"/>
  <c r="A3248" i="1" s="1"/>
  <c r="C3248" i="1"/>
  <c r="D3248" i="1" s="1"/>
  <c r="B3248" i="1"/>
  <c r="N3247" i="1"/>
  <c r="E3247" i="1"/>
  <c r="A3247" i="1" s="1"/>
  <c r="C3247" i="1"/>
  <c r="D3247" i="1" s="1"/>
  <c r="B3247" i="1"/>
  <c r="N3246" i="1"/>
  <c r="E3246" i="1"/>
  <c r="A3246" i="1" s="1"/>
  <c r="C3246" i="1"/>
  <c r="D3246" i="1" s="1"/>
  <c r="B3246" i="1"/>
  <c r="N3245" i="1"/>
  <c r="E3245" i="1"/>
  <c r="A3245" i="1" s="1"/>
  <c r="C3245" i="1"/>
  <c r="D3245" i="1" s="1"/>
  <c r="B3245" i="1"/>
  <c r="N3244" i="1"/>
  <c r="E3244" i="1"/>
  <c r="A3244" i="1" s="1"/>
  <c r="C3244" i="1"/>
  <c r="D3244" i="1" s="1"/>
  <c r="B3244" i="1"/>
  <c r="N3243" i="1"/>
  <c r="E3243" i="1"/>
  <c r="A3243" i="1" s="1"/>
  <c r="C3243" i="1"/>
  <c r="D3243" i="1" s="1"/>
  <c r="B3243" i="1"/>
  <c r="E3242" i="1"/>
  <c r="A3242" i="1" s="1"/>
  <c r="C3242" i="1"/>
  <c r="D3242" i="1" s="1"/>
  <c r="B3242" i="1"/>
  <c r="N3241" i="1"/>
  <c r="E3241" i="1"/>
  <c r="A3241" i="1" s="1"/>
  <c r="C3241" i="1"/>
  <c r="D3241" i="1" s="1"/>
  <c r="B3241" i="1"/>
  <c r="E3240" i="1"/>
  <c r="A3240" i="1" s="1"/>
  <c r="C3240" i="1"/>
  <c r="D3240" i="1" s="1"/>
  <c r="B3240" i="1"/>
  <c r="E3239" i="1"/>
  <c r="A3239" i="1" s="1"/>
  <c r="C3239" i="1"/>
  <c r="D3239" i="1" s="1"/>
  <c r="B3239" i="1"/>
  <c r="N3238" i="1"/>
  <c r="E3238" i="1"/>
  <c r="A3238" i="1" s="1"/>
  <c r="C3238" i="1"/>
  <c r="D3238" i="1" s="1"/>
  <c r="B3238" i="1"/>
  <c r="N3237" i="1"/>
  <c r="E3237" i="1"/>
  <c r="A3237" i="1" s="1"/>
  <c r="C3237" i="1"/>
  <c r="D3237" i="1" s="1"/>
  <c r="B3237" i="1"/>
  <c r="E3236" i="1"/>
  <c r="C3236" i="1"/>
  <c r="D3236" i="1" s="1"/>
  <c r="B3236" i="1"/>
  <c r="A3236" i="1"/>
  <c r="N3235" i="1"/>
  <c r="E3235" i="1"/>
  <c r="A3235" i="1" s="1"/>
  <c r="C3235" i="1"/>
  <c r="D3235" i="1" s="1"/>
  <c r="B3235" i="1"/>
  <c r="N3234" i="1"/>
  <c r="E3234" i="1"/>
  <c r="A3234" i="1" s="1"/>
  <c r="C3234" i="1"/>
  <c r="D3234" i="1" s="1"/>
  <c r="B3234" i="1"/>
  <c r="N3233" i="1"/>
  <c r="E3233" i="1"/>
  <c r="A3233" i="1" s="1"/>
  <c r="C3233" i="1"/>
  <c r="D3233" i="1" s="1"/>
  <c r="B3233" i="1"/>
  <c r="E3232" i="1"/>
  <c r="D3232" i="1"/>
  <c r="C3232" i="1"/>
  <c r="B3232" i="1"/>
  <c r="A3232" i="1"/>
  <c r="E3231" i="1"/>
  <c r="C3231" i="1"/>
  <c r="D3231" i="1" s="1"/>
  <c r="B3231" i="1"/>
  <c r="A3231" i="1"/>
  <c r="N3230" i="1"/>
  <c r="E3230" i="1"/>
  <c r="C3230" i="1"/>
  <c r="D3230" i="1" s="1"/>
  <c r="B3230" i="1"/>
  <c r="A3230" i="1"/>
  <c r="N3229" i="1"/>
  <c r="E3229" i="1"/>
  <c r="A3229" i="1" s="1"/>
  <c r="C3229" i="1"/>
  <c r="D3229" i="1" s="1"/>
  <c r="B3229" i="1"/>
  <c r="N3228" i="1"/>
  <c r="E3228" i="1"/>
  <c r="A3228" i="1" s="1"/>
  <c r="C3228" i="1"/>
  <c r="D3228" i="1" s="1"/>
  <c r="B3228" i="1"/>
  <c r="N3227" i="1"/>
  <c r="E3227" i="1"/>
  <c r="A3227" i="1" s="1"/>
  <c r="C3227" i="1"/>
  <c r="D3227" i="1" s="1"/>
  <c r="B3227" i="1"/>
  <c r="E3226" i="1"/>
  <c r="C3226" i="1"/>
  <c r="D3226" i="1" s="1"/>
  <c r="B3226" i="1"/>
  <c r="A3226" i="1"/>
  <c r="N3225" i="1"/>
  <c r="E3225" i="1"/>
  <c r="A3225" i="1" s="1"/>
  <c r="C3225" i="1"/>
  <c r="D3225" i="1" s="1"/>
  <c r="B3225" i="1"/>
  <c r="E3224" i="1"/>
  <c r="C3224" i="1"/>
  <c r="D3224" i="1" s="1"/>
  <c r="B3224" i="1"/>
  <c r="A3224" i="1"/>
  <c r="N3223" i="1"/>
  <c r="E3223" i="1"/>
  <c r="A3223" i="1" s="1"/>
  <c r="C3223" i="1"/>
  <c r="D3223" i="1" s="1"/>
  <c r="B3223" i="1"/>
  <c r="N3222" i="1"/>
  <c r="E3222" i="1"/>
  <c r="A3222" i="1" s="1"/>
  <c r="C3222" i="1"/>
  <c r="D3222" i="1" s="1"/>
  <c r="B3222" i="1"/>
  <c r="N3221" i="1"/>
  <c r="E3221" i="1"/>
  <c r="A3221" i="1" s="1"/>
  <c r="C3221" i="1"/>
  <c r="D3221" i="1" s="1"/>
  <c r="B3221" i="1"/>
  <c r="N3220" i="1"/>
  <c r="E3220" i="1"/>
  <c r="A3220" i="1" s="1"/>
  <c r="C3220" i="1"/>
  <c r="D3220" i="1" s="1"/>
  <c r="B3220" i="1"/>
  <c r="E3219" i="1"/>
  <c r="C3219" i="1"/>
  <c r="D3219" i="1" s="1"/>
  <c r="B3219" i="1"/>
  <c r="A3219" i="1"/>
  <c r="N3218" i="1"/>
  <c r="E3218" i="1"/>
  <c r="A3218" i="1" s="1"/>
  <c r="C3218" i="1"/>
  <c r="D3218" i="1" s="1"/>
  <c r="B3218" i="1"/>
  <c r="N3217" i="1"/>
  <c r="E3217" i="1"/>
  <c r="A3217" i="1" s="1"/>
  <c r="C3217" i="1"/>
  <c r="D3217" i="1" s="1"/>
  <c r="B3217" i="1"/>
  <c r="E3216" i="1"/>
  <c r="A3216" i="1" s="1"/>
  <c r="C3216" i="1"/>
  <c r="D3216" i="1" s="1"/>
  <c r="B3216" i="1"/>
  <c r="N3215" i="1"/>
  <c r="E3215" i="1"/>
  <c r="A3215" i="1" s="1"/>
  <c r="C3215" i="1"/>
  <c r="D3215" i="1" s="1"/>
  <c r="B3215" i="1"/>
  <c r="N3214" i="1"/>
  <c r="E3214" i="1"/>
  <c r="A3214" i="1" s="1"/>
  <c r="C3214" i="1"/>
  <c r="D3214" i="1" s="1"/>
  <c r="B3214" i="1"/>
  <c r="N3213" i="1"/>
  <c r="E3213" i="1"/>
  <c r="A3213" i="1" s="1"/>
  <c r="C3213" i="1"/>
  <c r="D3213" i="1" s="1"/>
  <c r="B3213" i="1"/>
  <c r="N3212" i="1"/>
  <c r="E3212" i="1"/>
  <c r="A3212" i="1" s="1"/>
  <c r="C3212" i="1"/>
  <c r="D3212" i="1" s="1"/>
  <c r="B3212" i="1"/>
  <c r="N3211" i="1"/>
  <c r="E3211" i="1"/>
  <c r="A3211" i="1" s="1"/>
  <c r="C3211" i="1"/>
  <c r="D3211" i="1" s="1"/>
  <c r="B3211" i="1"/>
  <c r="N3210" i="1"/>
  <c r="E3210" i="1"/>
  <c r="A3210" i="1" s="1"/>
  <c r="C3210" i="1"/>
  <c r="D3210" i="1" s="1"/>
  <c r="B3210" i="1"/>
  <c r="E3209" i="1"/>
  <c r="C3209" i="1"/>
  <c r="D3209" i="1" s="1"/>
  <c r="B3209" i="1"/>
  <c r="A3209" i="1"/>
  <c r="N3208" i="1"/>
  <c r="E3208" i="1"/>
  <c r="A3208" i="1" s="1"/>
  <c r="C3208" i="1"/>
  <c r="D3208" i="1" s="1"/>
  <c r="B3208" i="1"/>
  <c r="E3207" i="1"/>
  <c r="C3207" i="1"/>
  <c r="D3207" i="1" s="1"/>
  <c r="B3207" i="1"/>
  <c r="A3207" i="1"/>
  <c r="N3206" i="1"/>
  <c r="E3206" i="1"/>
  <c r="A3206" i="1" s="1"/>
  <c r="C3206" i="1"/>
  <c r="D3206" i="1" s="1"/>
  <c r="B3206" i="1"/>
  <c r="N3205" i="1"/>
  <c r="E3205" i="1"/>
  <c r="A3205" i="1" s="1"/>
  <c r="C3205" i="1"/>
  <c r="D3205" i="1" s="1"/>
  <c r="B3205" i="1"/>
  <c r="N3204" i="1"/>
  <c r="E3204" i="1"/>
  <c r="C3204" i="1"/>
  <c r="D3204" i="1" s="1"/>
  <c r="B3204" i="1"/>
  <c r="A3204" i="1"/>
  <c r="N3203" i="1"/>
  <c r="E3203" i="1"/>
  <c r="A3203" i="1" s="1"/>
  <c r="C3203" i="1"/>
  <c r="D3203" i="1" s="1"/>
  <c r="B3203" i="1"/>
  <c r="N3202" i="1"/>
  <c r="E3202" i="1"/>
  <c r="C3202" i="1"/>
  <c r="D3202" i="1" s="1"/>
  <c r="B3202" i="1"/>
  <c r="A3202" i="1"/>
  <c r="N3201" i="1"/>
  <c r="E3201" i="1"/>
  <c r="A3201" i="1" s="1"/>
  <c r="C3201" i="1"/>
  <c r="D3201" i="1" s="1"/>
  <c r="B3201" i="1"/>
  <c r="N3200" i="1"/>
  <c r="E3200" i="1"/>
  <c r="A3200" i="1" s="1"/>
  <c r="C3200" i="1"/>
  <c r="D3200" i="1" s="1"/>
  <c r="B3200" i="1"/>
  <c r="N3199" i="1"/>
  <c r="E3199" i="1"/>
  <c r="A3199" i="1" s="1"/>
  <c r="C3199" i="1"/>
  <c r="D3199" i="1" s="1"/>
  <c r="B3199" i="1"/>
  <c r="N3198" i="1"/>
  <c r="E3198" i="1"/>
  <c r="C3198" i="1"/>
  <c r="D3198" i="1" s="1"/>
  <c r="B3198" i="1"/>
  <c r="A3198" i="1"/>
  <c r="N3197" i="1"/>
  <c r="E3197" i="1"/>
  <c r="A3197" i="1" s="1"/>
  <c r="C3197" i="1"/>
  <c r="D3197" i="1" s="1"/>
  <c r="B3197" i="1"/>
  <c r="N3196" i="1"/>
  <c r="E3196" i="1"/>
  <c r="A3196" i="1" s="1"/>
  <c r="C3196" i="1"/>
  <c r="D3196" i="1" s="1"/>
  <c r="B3196" i="1"/>
  <c r="N3195" i="1"/>
  <c r="E3195" i="1"/>
  <c r="A3195" i="1" s="1"/>
  <c r="C3195" i="1"/>
  <c r="D3195" i="1" s="1"/>
  <c r="B3195" i="1"/>
  <c r="N3194" i="1"/>
  <c r="E3194" i="1"/>
  <c r="A3194" i="1" s="1"/>
  <c r="C3194" i="1"/>
  <c r="D3194" i="1" s="1"/>
  <c r="B3194" i="1"/>
  <c r="E3193" i="1"/>
  <c r="A3193" i="1" s="1"/>
  <c r="C3193" i="1"/>
  <c r="D3193" i="1" s="1"/>
  <c r="B3193" i="1"/>
  <c r="N3192" i="1"/>
  <c r="E3192" i="1"/>
  <c r="A3192" i="1" s="1"/>
  <c r="C3192" i="1"/>
  <c r="D3192" i="1" s="1"/>
  <c r="B3192" i="1"/>
  <c r="N3191" i="1"/>
  <c r="E3191" i="1"/>
  <c r="A3191" i="1" s="1"/>
  <c r="C3191" i="1"/>
  <c r="D3191" i="1" s="1"/>
  <c r="B3191" i="1"/>
  <c r="N3190" i="1"/>
  <c r="E3190" i="1"/>
  <c r="A3190" i="1" s="1"/>
  <c r="C3190" i="1"/>
  <c r="D3190" i="1" s="1"/>
  <c r="B3190" i="1"/>
  <c r="N3189" i="1"/>
  <c r="E3189" i="1"/>
  <c r="A3189" i="1" s="1"/>
  <c r="C3189" i="1"/>
  <c r="D3189" i="1" s="1"/>
  <c r="B3189" i="1"/>
  <c r="N3188" i="1"/>
  <c r="E3188" i="1"/>
  <c r="A3188" i="1" s="1"/>
  <c r="C3188" i="1"/>
  <c r="D3188" i="1" s="1"/>
  <c r="B3188" i="1"/>
  <c r="N3187" i="1"/>
  <c r="E3187" i="1"/>
  <c r="A3187" i="1" s="1"/>
  <c r="C3187" i="1"/>
  <c r="D3187" i="1" s="1"/>
  <c r="B3187" i="1"/>
  <c r="N3186" i="1"/>
  <c r="E3186" i="1"/>
  <c r="C3186" i="1"/>
  <c r="D3186" i="1" s="1"/>
  <c r="B3186" i="1"/>
  <c r="A3186" i="1"/>
  <c r="N3185" i="1"/>
  <c r="E3185" i="1"/>
  <c r="A3185" i="1" s="1"/>
  <c r="C3185" i="1"/>
  <c r="D3185" i="1" s="1"/>
  <c r="B3185" i="1"/>
  <c r="N3184" i="1"/>
  <c r="E3184" i="1"/>
  <c r="A3184" i="1" s="1"/>
  <c r="C3184" i="1"/>
  <c r="D3184" i="1" s="1"/>
  <c r="B3184" i="1"/>
  <c r="N3183" i="1"/>
  <c r="E3183" i="1"/>
  <c r="A3183" i="1" s="1"/>
  <c r="C3183" i="1"/>
  <c r="D3183" i="1" s="1"/>
  <c r="B3183" i="1"/>
  <c r="N3182" i="1"/>
  <c r="E3182" i="1"/>
  <c r="A3182" i="1" s="1"/>
  <c r="C3182" i="1"/>
  <c r="D3182" i="1" s="1"/>
  <c r="B3182" i="1"/>
  <c r="E3181" i="1"/>
  <c r="C3181" i="1"/>
  <c r="D3181" i="1" s="1"/>
  <c r="B3181" i="1"/>
  <c r="A3181" i="1"/>
  <c r="N3180" i="1"/>
  <c r="E3180" i="1"/>
  <c r="A3180" i="1" s="1"/>
  <c r="C3180" i="1"/>
  <c r="D3180" i="1" s="1"/>
  <c r="B3180" i="1"/>
  <c r="N3179" i="1"/>
  <c r="E3179" i="1"/>
  <c r="C3179" i="1"/>
  <c r="D3179" i="1" s="1"/>
  <c r="B3179" i="1"/>
  <c r="A3179" i="1"/>
  <c r="N3178" i="1"/>
  <c r="E3178" i="1"/>
  <c r="A3178" i="1" s="1"/>
  <c r="C3178" i="1"/>
  <c r="D3178" i="1" s="1"/>
  <c r="B3178" i="1"/>
  <c r="N3177" i="1"/>
  <c r="E3177" i="1"/>
  <c r="A3177" i="1" s="1"/>
  <c r="C3177" i="1"/>
  <c r="D3177" i="1" s="1"/>
  <c r="B3177" i="1"/>
  <c r="N3176" i="1"/>
  <c r="E3176" i="1"/>
  <c r="A3176" i="1" s="1"/>
  <c r="C3176" i="1"/>
  <c r="D3176" i="1" s="1"/>
  <c r="B3176" i="1"/>
  <c r="N3175" i="1"/>
  <c r="E3175" i="1"/>
  <c r="A3175" i="1" s="1"/>
  <c r="C3175" i="1"/>
  <c r="D3175" i="1" s="1"/>
  <c r="B3175" i="1"/>
  <c r="E3174" i="1"/>
  <c r="C3174" i="1"/>
  <c r="D3174" i="1" s="1"/>
  <c r="B3174" i="1"/>
  <c r="A3174" i="1"/>
  <c r="N3173" i="1"/>
  <c r="E3173" i="1"/>
  <c r="C3173" i="1"/>
  <c r="D3173" i="1" s="1"/>
  <c r="B3173" i="1"/>
  <c r="A3173" i="1"/>
  <c r="N3172" i="1"/>
  <c r="E3172" i="1"/>
  <c r="A3172" i="1" s="1"/>
  <c r="C3172" i="1"/>
  <c r="D3172" i="1" s="1"/>
  <c r="B3172" i="1"/>
  <c r="N3171" i="1"/>
  <c r="E3171" i="1"/>
  <c r="A3171" i="1" s="1"/>
  <c r="C3171" i="1"/>
  <c r="D3171" i="1" s="1"/>
  <c r="B3171" i="1"/>
  <c r="N3170" i="1"/>
  <c r="E3170" i="1"/>
  <c r="A3170" i="1" s="1"/>
  <c r="C3170" i="1"/>
  <c r="D3170" i="1" s="1"/>
  <c r="B3170" i="1"/>
  <c r="E3169" i="1"/>
  <c r="C3169" i="1"/>
  <c r="D3169" i="1" s="1"/>
  <c r="B3169" i="1"/>
  <c r="A3169" i="1"/>
  <c r="N3168" i="1"/>
  <c r="E3168" i="1"/>
  <c r="A3168" i="1" s="1"/>
  <c r="C3168" i="1"/>
  <c r="D3168" i="1" s="1"/>
  <c r="B3168" i="1"/>
  <c r="N3167" i="1"/>
  <c r="E3167" i="1"/>
  <c r="A3167" i="1" s="1"/>
  <c r="C3167" i="1"/>
  <c r="D3167" i="1" s="1"/>
  <c r="B3167" i="1"/>
  <c r="N3166" i="1"/>
  <c r="E3166" i="1"/>
  <c r="A3166" i="1" s="1"/>
  <c r="C3166" i="1"/>
  <c r="D3166" i="1" s="1"/>
  <c r="B3166" i="1"/>
  <c r="E3165" i="1"/>
  <c r="C3165" i="1"/>
  <c r="D3165" i="1" s="1"/>
  <c r="B3165" i="1"/>
  <c r="A3165" i="1"/>
  <c r="N3164" i="1"/>
  <c r="E3164" i="1"/>
  <c r="A3164" i="1" s="1"/>
  <c r="C3164" i="1"/>
  <c r="D3164" i="1" s="1"/>
  <c r="B3164" i="1"/>
  <c r="N3163" i="1"/>
  <c r="E3163" i="1"/>
  <c r="A3163" i="1" s="1"/>
  <c r="C3163" i="1"/>
  <c r="D3163" i="1" s="1"/>
  <c r="B3163" i="1"/>
  <c r="N3162" i="1"/>
  <c r="E3162" i="1"/>
  <c r="A3162" i="1" s="1"/>
  <c r="C3162" i="1"/>
  <c r="D3162" i="1" s="1"/>
  <c r="B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N3155" i="1"/>
  <c r="E3155" i="1"/>
  <c r="A3155" i="1" s="1"/>
  <c r="C3155" i="1"/>
  <c r="D3155" i="1" s="1"/>
  <c r="B3155" i="1"/>
  <c r="N3154" i="1"/>
  <c r="E3154" i="1"/>
  <c r="A3154" i="1" s="1"/>
  <c r="C3154" i="1"/>
  <c r="D3154" i="1" s="1"/>
  <c r="B3154" i="1"/>
  <c r="E3153" i="1"/>
  <c r="C3153" i="1"/>
  <c r="D3153" i="1" s="1"/>
  <c r="B3153" i="1"/>
  <c r="A3153" i="1"/>
  <c r="N3152" i="1"/>
  <c r="E3152" i="1"/>
  <c r="A3152" i="1" s="1"/>
  <c r="C3152" i="1"/>
  <c r="D3152" i="1" s="1"/>
  <c r="B3152" i="1"/>
  <c r="E3151" i="1"/>
  <c r="C3151" i="1"/>
  <c r="D3151" i="1" s="1"/>
  <c r="B3151" i="1"/>
  <c r="A3151" i="1"/>
  <c r="N3150" i="1"/>
  <c r="E3150" i="1"/>
  <c r="A3150" i="1" s="1"/>
  <c r="C3150" i="1"/>
  <c r="D3150" i="1" s="1"/>
  <c r="B3150" i="1"/>
  <c r="E3149" i="1"/>
  <c r="C3149" i="1"/>
  <c r="D3149" i="1" s="1"/>
  <c r="B3149" i="1"/>
  <c r="A3149" i="1"/>
  <c r="N3148" i="1"/>
  <c r="E3148" i="1"/>
  <c r="A3148" i="1" s="1"/>
  <c r="C3148" i="1"/>
  <c r="D3148" i="1" s="1"/>
  <c r="B3148" i="1"/>
  <c r="E3147" i="1"/>
  <c r="A3147" i="1" s="1"/>
  <c r="C3147" i="1"/>
  <c r="D3147" i="1" s="1"/>
  <c r="B3147" i="1"/>
  <c r="N3146" i="1"/>
  <c r="E3146" i="1"/>
  <c r="A3146" i="1" s="1"/>
  <c r="C3146" i="1"/>
  <c r="D3146" i="1" s="1"/>
  <c r="B3146" i="1"/>
  <c r="N3145" i="1"/>
  <c r="E3145" i="1"/>
  <c r="A3145" i="1" s="1"/>
  <c r="C3145" i="1"/>
  <c r="D3145" i="1" s="1"/>
  <c r="B3145" i="1"/>
  <c r="N3144" i="1"/>
  <c r="E3144" i="1"/>
  <c r="A3144" i="1" s="1"/>
  <c r="C3144" i="1"/>
  <c r="D3144" i="1" s="1"/>
  <c r="B3144" i="1"/>
  <c r="N3143" i="1"/>
  <c r="E3143" i="1"/>
  <c r="A3143" i="1" s="1"/>
  <c r="C3143" i="1"/>
  <c r="D3143" i="1" s="1"/>
  <c r="B3143" i="1"/>
  <c r="E3142" i="1"/>
  <c r="C3142" i="1"/>
  <c r="D3142" i="1" s="1"/>
  <c r="B3142" i="1"/>
  <c r="A3142" i="1"/>
  <c r="E3141" i="1"/>
  <c r="C3141" i="1"/>
  <c r="D3141" i="1" s="1"/>
  <c r="B3141" i="1"/>
  <c r="A3141" i="1"/>
  <c r="N3140" i="1"/>
  <c r="E3140" i="1"/>
  <c r="A3140" i="1" s="1"/>
  <c r="C3140" i="1"/>
  <c r="D3140" i="1" s="1"/>
  <c r="B3140" i="1"/>
  <c r="E3139" i="1"/>
  <c r="C3139" i="1"/>
  <c r="D3139" i="1" s="1"/>
  <c r="B3139" i="1"/>
  <c r="A3139" i="1"/>
  <c r="N3138" i="1"/>
  <c r="E3138" i="1"/>
  <c r="A3138" i="1" s="1"/>
  <c r="C3138" i="1"/>
  <c r="D3138" i="1" s="1"/>
  <c r="B3138" i="1"/>
  <c r="N3137" i="1"/>
  <c r="E3137" i="1"/>
  <c r="A3137" i="1" s="1"/>
  <c r="C3137" i="1"/>
  <c r="D3137" i="1" s="1"/>
  <c r="B3137" i="1"/>
  <c r="E3136" i="1"/>
  <c r="C3136" i="1"/>
  <c r="D3136" i="1" s="1"/>
  <c r="B3136" i="1"/>
  <c r="A3136" i="1"/>
  <c r="N3135" i="1"/>
  <c r="E3135" i="1"/>
  <c r="A3135" i="1" s="1"/>
  <c r="C3135" i="1"/>
  <c r="D3135" i="1" s="1"/>
  <c r="B3135" i="1"/>
  <c r="N3134" i="1"/>
  <c r="E3134" i="1"/>
  <c r="A3134" i="1" s="1"/>
  <c r="C3134" i="1"/>
  <c r="D3134" i="1" s="1"/>
  <c r="B3134" i="1"/>
  <c r="N3133" i="1"/>
  <c r="E3133" i="1"/>
  <c r="A3133" i="1" s="1"/>
  <c r="C3133" i="1"/>
  <c r="D3133" i="1" s="1"/>
  <c r="B3133" i="1"/>
  <c r="N3132" i="1"/>
  <c r="E3132" i="1"/>
  <c r="A3132" i="1" s="1"/>
  <c r="C3132" i="1"/>
  <c r="D3132" i="1" s="1"/>
  <c r="B3132" i="1"/>
  <c r="N3131" i="1"/>
  <c r="E3131" i="1"/>
  <c r="A3131" i="1" s="1"/>
  <c r="C3131" i="1"/>
  <c r="D3131" i="1" s="1"/>
  <c r="B3131" i="1"/>
  <c r="E3130" i="1"/>
  <c r="C3130" i="1"/>
  <c r="D3130" i="1" s="1"/>
  <c r="B3130" i="1"/>
  <c r="A3130" i="1"/>
  <c r="E3129" i="1"/>
  <c r="C3129" i="1"/>
  <c r="D3129" i="1" s="1"/>
  <c r="B3129" i="1"/>
  <c r="A3129" i="1"/>
  <c r="E3128" i="1"/>
  <c r="A3128" i="1" s="1"/>
  <c r="C3128" i="1"/>
  <c r="D3128" i="1" s="1"/>
  <c r="B3128" i="1"/>
  <c r="E3127" i="1"/>
  <c r="C3127" i="1"/>
  <c r="D3127" i="1" s="1"/>
  <c r="B3127" i="1"/>
  <c r="A3127" i="1"/>
  <c r="E3126" i="1"/>
  <c r="C3126" i="1"/>
  <c r="D3126" i="1" s="1"/>
  <c r="B3126" i="1"/>
  <c r="A3126" i="1"/>
  <c r="E3125" i="1"/>
  <c r="C3125" i="1"/>
  <c r="D3125" i="1" s="1"/>
  <c r="B3125" i="1"/>
  <c r="A3125" i="1"/>
  <c r="E3124" i="1"/>
  <c r="C3124" i="1"/>
  <c r="D3124" i="1" s="1"/>
  <c r="B3124" i="1"/>
  <c r="A3124" i="1"/>
  <c r="N3123" i="1"/>
  <c r="E3123" i="1"/>
  <c r="A3123" i="1" s="1"/>
  <c r="C3123" i="1"/>
  <c r="D3123" i="1" s="1"/>
  <c r="B3123" i="1"/>
  <c r="N3122" i="1"/>
  <c r="E3122" i="1"/>
  <c r="A3122" i="1" s="1"/>
  <c r="C3122" i="1"/>
  <c r="D3122" i="1" s="1"/>
  <c r="B3122" i="1"/>
  <c r="E3121" i="1"/>
  <c r="C3121" i="1"/>
  <c r="D3121" i="1" s="1"/>
  <c r="B3121" i="1"/>
  <c r="A3121" i="1"/>
  <c r="E3120" i="1"/>
  <c r="C3120" i="1"/>
  <c r="D3120" i="1" s="1"/>
  <c r="B3120" i="1"/>
  <c r="A3120" i="1"/>
  <c r="E3119" i="1"/>
  <c r="C3119" i="1"/>
  <c r="D3119" i="1" s="1"/>
  <c r="B3119" i="1"/>
  <c r="A3119" i="1"/>
  <c r="E3118" i="1"/>
  <c r="C3118" i="1"/>
  <c r="D3118" i="1" s="1"/>
  <c r="B3118" i="1"/>
  <c r="A3118" i="1"/>
  <c r="E3117" i="1"/>
  <c r="C3117" i="1"/>
  <c r="D3117" i="1" s="1"/>
  <c r="B3117" i="1"/>
  <c r="A3117" i="1"/>
  <c r="E3116" i="1"/>
  <c r="C3116" i="1"/>
  <c r="D3116" i="1" s="1"/>
  <c r="B3116" i="1"/>
  <c r="A3116" i="1"/>
  <c r="E3115" i="1"/>
  <c r="C3115" i="1"/>
  <c r="D3115" i="1" s="1"/>
  <c r="B3115" i="1"/>
  <c r="A3115" i="1"/>
  <c r="E3114" i="1"/>
  <c r="C3114" i="1"/>
  <c r="D3114" i="1" s="1"/>
  <c r="B3114" i="1"/>
  <c r="A3114" i="1"/>
  <c r="E3113" i="1"/>
  <c r="C3113" i="1"/>
  <c r="D3113" i="1" s="1"/>
  <c r="B3113" i="1"/>
  <c r="A3113" i="1"/>
  <c r="N3112" i="1"/>
  <c r="E3112" i="1"/>
  <c r="A3112" i="1" s="1"/>
  <c r="C3112" i="1"/>
  <c r="D3112" i="1" s="1"/>
  <c r="B3112" i="1"/>
  <c r="E3111" i="1"/>
  <c r="C3111" i="1"/>
  <c r="D3111" i="1" s="1"/>
  <c r="B3111" i="1"/>
  <c r="A3111" i="1"/>
  <c r="E3110" i="1"/>
  <c r="C3110" i="1"/>
  <c r="D3110" i="1" s="1"/>
  <c r="B3110" i="1"/>
  <c r="A3110" i="1"/>
  <c r="E3109" i="1"/>
  <c r="A3109" i="1" s="1"/>
  <c r="C3109" i="1"/>
  <c r="D3109" i="1" s="1"/>
  <c r="B3109" i="1"/>
  <c r="N3108" i="1"/>
  <c r="E3108" i="1"/>
  <c r="A3108" i="1" s="1"/>
  <c r="C3108" i="1"/>
  <c r="D3108" i="1" s="1"/>
  <c r="B3108" i="1"/>
  <c r="E3107" i="1"/>
  <c r="A3107" i="1" s="1"/>
  <c r="C3107" i="1"/>
  <c r="D3107" i="1" s="1"/>
  <c r="B3107" i="1"/>
  <c r="E3106" i="1"/>
  <c r="C3106" i="1"/>
  <c r="D3106" i="1" s="1"/>
  <c r="B3106" i="1"/>
  <c r="A3106" i="1"/>
  <c r="N3105" i="1"/>
  <c r="E3105" i="1"/>
  <c r="A3105" i="1" s="1"/>
  <c r="C3105" i="1"/>
  <c r="D3105" i="1" s="1"/>
  <c r="B3105" i="1"/>
  <c r="E3104" i="1"/>
  <c r="A3104" i="1" s="1"/>
  <c r="C3104" i="1"/>
  <c r="D3104" i="1" s="1"/>
  <c r="B3104" i="1"/>
  <c r="E3103" i="1"/>
  <c r="C3103" i="1"/>
  <c r="D3103" i="1" s="1"/>
  <c r="B3103" i="1"/>
  <c r="A3103" i="1"/>
  <c r="E3102" i="1"/>
  <c r="C3102" i="1"/>
  <c r="D3102" i="1" s="1"/>
  <c r="B3102" i="1"/>
  <c r="A3102" i="1"/>
  <c r="E3101" i="1"/>
  <c r="C3101" i="1"/>
  <c r="D3101" i="1" s="1"/>
  <c r="B3101" i="1"/>
  <c r="A3101" i="1"/>
  <c r="E3100" i="1"/>
  <c r="C3100" i="1"/>
  <c r="D3100" i="1" s="1"/>
  <c r="B3100" i="1"/>
  <c r="A3100" i="1"/>
  <c r="E3099" i="1"/>
  <c r="C3099" i="1"/>
  <c r="D3099" i="1" s="1"/>
  <c r="B3099" i="1"/>
  <c r="A3099" i="1"/>
  <c r="E3098" i="1"/>
  <c r="C3098" i="1"/>
  <c r="D3098" i="1" s="1"/>
  <c r="B3098" i="1"/>
  <c r="A3098" i="1"/>
  <c r="N3097" i="1"/>
  <c r="E3097" i="1"/>
  <c r="A3097" i="1" s="1"/>
  <c r="C3097" i="1"/>
  <c r="D3097" i="1" s="1"/>
  <c r="B3097" i="1"/>
  <c r="N3096" i="1"/>
  <c r="E3096" i="1"/>
  <c r="A3096" i="1" s="1"/>
  <c r="C3096" i="1"/>
  <c r="D3096" i="1" s="1"/>
  <c r="B3096" i="1"/>
  <c r="N3095" i="1"/>
  <c r="E3095" i="1"/>
  <c r="A3095" i="1" s="1"/>
  <c r="C3095" i="1"/>
  <c r="D3095" i="1" s="1"/>
  <c r="B3095" i="1"/>
  <c r="N3094" i="1"/>
  <c r="E3094" i="1"/>
  <c r="A3094" i="1" s="1"/>
  <c r="C3094" i="1"/>
  <c r="D3094" i="1" s="1"/>
  <c r="B3094" i="1"/>
  <c r="N3093" i="1"/>
  <c r="E3093" i="1"/>
  <c r="A3093" i="1" s="1"/>
  <c r="C3093" i="1"/>
  <c r="D3093" i="1" s="1"/>
  <c r="B3093" i="1"/>
  <c r="E3092" i="1"/>
  <c r="A3092" i="1" s="1"/>
  <c r="C3092" i="1"/>
  <c r="D3092" i="1" s="1"/>
  <c r="B3092" i="1"/>
  <c r="N3091" i="1"/>
  <c r="E3091" i="1"/>
  <c r="A3091" i="1" s="1"/>
  <c r="C3091" i="1"/>
  <c r="D3091" i="1" s="1"/>
  <c r="B3091" i="1"/>
  <c r="E3090" i="1"/>
  <c r="C3090" i="1"/>
  <c r="D3090" i="1" s="1"/>
  <c r="B3090" i="1"/>
  <c r="A3090" i="1"/>
  <c r="E3089" i="1"/>
  <c r="C3089" i="1"/>
  <c r="D3089" i="1" s="1"/>
  <c r="B3089" i="1"/>
  <c r="A3089" i="1"/>
  <c r="E3088" i="1"/>
  <c r="C3088" i="1"/>
  <c r="D3088" i="1" s="1"/>
  <c r="B3088" i="1"/>
  <c r="A3088" i="1"/>
  <c r="E3087" i="1"/>
  <c r="C3087" i="1"/>
  <c r="D3087" i="1" s="1"/>
  <c r="B3087" i="1"/>
  <c r="A3087" i="1"/>
  <c r="E3086" i="1"/>
  <c r="A3086" i="1" s="1"/>
  <c r="C3086" i="1"/>
  <c r="D3086" i="1" s="1"/>
  <c r="B3086" i="1"/>
  <c r="N3085" i="1"/>
  <c r="E3085" i="1"/>
  <c r="A3085" i="1" s="1"/>
  <c r="C3085" i="1"/>
  <c r="D3085" i="1" s="1"/>
  <c r="B3085" i="1"/>
  <c r="N3084" i="1"/>
  <c r="E3084" i="1"/>
  <c r="A3084" i="1" s="1"/>
  <c r="C3084" i="1"/>
  <c r="D3084" i="1" s="1"/>
  <c r="B3084" i="1"/>
  <c r="N3083" i="1"/>
  <c r="E3083" i="1"/>
  <c r="C3083" i="1"/>
  <c r="D3083" i="1" s="1"/>
  <c r="B3083" i="1"/>
  <c r="A3083" i="1"/>
  <c r="N3082" i="1"/>
  <c r="E3082" i="1"/>
  <c r="C3082" i="1"/>
  <c r="D3082" i="1" s="1"/>
  <c r="B3082" i="1"/>
  <c r="A3082" i="1"/>
  <c r="N3081" i="1"/>
  <c r="E3081" i="1"/>
  <c r="A3081" i="1" s="1"/>
  <c r="C3081" i="1"/>
  <c r="D3081" i="1" s="1"/>
  <c r="B3081" i="1"/>
  <c r="E3080" i="1"/>
  <c r="C3080" i="1"/>
  <c r="D3080" i="1" s="1"/>
  <c r="B3080" i="1"/>
  <c r="A3080" i="1"/>
  <c r="N3079" i="1"/>
  <c r="E3079" i="1"/>
  <c r="A3079" i="1" s="1"/>
  <c r="C3079" i="1"/>
  <c r="D3079" i="1" s="1"/>
  <c r="B3079" i="1"/>
  <c r="E3078" i="1"/>
  <c r="A3078" i="1" s="1"/>
  <c r="C3078" i="1"/>
  <c r="D3078" i="1" s="1"/>
  <c r="B3078" i="1"/>
  <c r="E3077" i="1"/>
  <c r="A3077" i="1" s="1"/>
  <c r="C3077" i="1"/>
  <c r="D3077" i="1" s="1"/>
  <c r="B3077" i="1"/>
  <c r="E3076" i="1"/>
  <c r="A3076" i="1" s="1"/>
  <c r="C3076" i="1"/>
  <c r="D3076" i="1" s="1"/>
  <c r="B3076" i="1"/>
  <c r="E3075" i="1"/>
  <c r="A3075" i="1" s="1"/>
  <c r="C3075" i="1"/>
  <c r="D3075" i="1" s="1"/>
  <c r="B3075" i="1"/>
  <c r="E3074" i="1"/>
  <c r="A3074" i="1" s="1"/>
  <c r="C3074" i="1"/>
  <c r="D3074" i="1" s="1"/>
  <c r="B3074" i="1"/>
  <c r="E3073" i="1"/>
  <c r="A3073" i="1" s="1"/>
  <c r="C3073" i="1"/>
  <c r="D3073" i="1" s="1"/>
  <c r="B3073" i="1"/>
  <c r="E3072" i="1"/>
  <c r="A3072" i="1" s="1"/>
  <c r="C3072" i="1"/>
  <c r="D3072" i="1" s="1"/>
  <c r="B3072" i="1"/>
  <c r="E3071" i="1"/>
  <c r="A3071" i="1" s="1"/>
  <c r="C3071" i="1"/>
  <c r="D3071" i="1" s="1"/>
  <c r="B3071" i="1"/>
  <c r="E3070" i="1"/>
  <c r="A3070" i="1" s="1"/>
  <c r="C3070" i="1"/>
  <c r="D3070" i="1" s="1"/>
  <c r="B3070" i="1"/>
  <c r="N3069" i="1"/>
  <c r="E3069" i="1"/>
  <c r="C3069" i="1"/>
  <c r="D3069" i="1" s="1"/>
  <c r="B3069" i="1"/>
  <c r="A3069" i="1"/>
  <c r="N3068" i="1"/>
  <c r="E3068" i="1"/>
  <c r="C3068" i="1"/>
  <c r="D3068" i="1" s="1"/>
  <c r="B3068" i="1"/>
  <c r="A3068" i="1"/>
  <c r="E3067" i="1"/>
  <c r="A3067" i="1" s="1"/>
  <c r="C3067" i="1"/>
  <c r="D3067" i="1" s="1"/>
  <c r="B3067" i="1"/>
  <c r="N3066" i="1"/>
  <c r="E3066" i="1"/>
  <c r="A3066" i="1" s="1"/>
  <c r="C3066" i="1"/>
  <c r="D3066" i="1" s="1"/>
  <c r="B3066" i="1"/>
  <c r="N3065" i="1"/>
  <c r="E3065" i="1"/>
  <c r="C3065" i="1"/>
  <c r="D3065" i="1" s="1"/>
  <c r="B3065" i="1"/>
  <c r="A3065" i="1"/>
  <c r="N3064" i="1"/>
  <c r="E3064" i="1"/>
  <c r="C3064" i="1"/>
  <c r="D3064" i="1" s="1"/>
  <c r="B3064" i="1"/>
  <c r="A3064" i="1"/>
  <c r="N3063" i="1"/>
  <c r="E3063" i="1"/>
  <c r="C3063" i="1"/>
  <c r="D3063" i="1" s="1"/>
  <c r="B3063" i="1"/>
  <c r="A3063" i="1"/>
  <c r="N3062" i="1"/>
  <c r="E3062" i="1"/>
  <c r="A3062" i="1" s="1"/>
  <c r="C3062" i="1"/>
  <c r="D3062" i="1" s="1"/>
  <c r="B3062" i="1"/>
  <c r="N3061" i="1"/>
  <c r="E3061" i="1"/>
  <c r="A3061" i="1" s="1"/>
  <c r="C3061" i="1"/>
  <c r="D3061" i="1" s="1"/>
  <c r="B3061" i="1"/>
  <c r="E3060" i="1"/>
  <c r="A3060" i="1" s="1"/>
  <c r="C3060" i="1"/>
  <c r="D3060" i="1" s="1"/>
  <c r="B3060" i="1"/>
  <c r="N3059" i="1"/>
  <c r="E3059" i="1"/>
  <c r="A3059" i="1" s="1"/>
  <c r="C3059" i="1"/>
  <c r="D3059" i="1" s="1"/>
  <c r="B3059" i="1"/>
  <c r="E3058" i="1"/>
  <c r="C3058" i="1"/>
  <c r="D3058" i="1" s="1"/>
  <c r="B3058" i="1"/>
  <c r="A3058" i="1"/>
  <c r="E3057" i="1"/>
  <c r="C3057" i="1"/>
  <c r="D3057" i="1" s="1"/>
  <c r="B3057" i="1"/>
  <c r="A3057" i="1"/>
  <c r="N3056" i="1"/>
  <c r="E3056" i="1"/>
  <c r="A3056" i="1" s="1"/>
  <c r="C3056" i="1"/>
  <c r="D3056" i="1" s="1"/>
  <c r="B3056" i="1"/>
  <c r="E3055" i="1"/>
  <c r="C3055" i="1"/>
  <c r="D3055" i="1" s="1"/>
  <c r="B3055" i="1"/>
  <c r="A3055" i="1"/>
  <c r="E3054" i="1"/>
  <c r="C3054" i="1"/>
  <c r="D3054" i="1" s="1"/>
  <c r="B3054" i="1"/>
  <c r="A3054" i="1"/>
  <c r="N3053" i="1"/>
  <c r="E3053" i="1"/>
  <c r="A3053" i="1" s="1"/>
  <c r="C3053" i="1"/>
  <c r="D3053" i="1" s="1"/>
  <c r="B3053" i="1"/>
  <c r="N3052" i="1"/>
  <c r="E3052" i="1"/>
  <c r="A3052" i="1" s="1"/>
  <c r="C3052" i="1"/>
  <c r="D3052" i="1" s="1"/>
  <c r="B3052" i="1"/>
  <c r="E3051" i="1"/>
  <c r="C3051" i="1"/>
  <c r="D3051" i="1" s="1"/>
  <c r="B3051" i="1"/>
  <c r="A3051" i="1"/>
  <c r="E3050" i="1"/>
  <c r="C3050" i="1"/>
  <c r="D3050" i="1" s="1"/>
  <c r="B3050" i="1"/>
  <c r="A3050" i="1"/>
  <c r="N3049" i="1"/>
  <c r="E3049" i="1"/>
  <c r="A3049" i="1" s="1"/>
  <c r="C3049" i="1"/>
  <c r="D3049" i="1" s="1"/>
  <c r="B3049" i="1"/>
  <c r="E3048" i="1"/>
  <c r="C3048" i="1"/>
  <c r="D3048" i="1" s="1"/>
  <c r="B3048" i="1"/>
  <c r="A3048" i="1"/>
  <c r="E3047" i="1"/>
  <c r="C3047" i="1"/>
  <c r="D3047" i="1" s="1"/>
  <c r="B3047" i="1"/>
  <c r="A3047" i="1"/>
  <c r="N3046" i="1"/>
  <c r="E3046" i="1"/>
  <c r="A3046" i="1" s="1"/>
  <c r="C3046" i="1"/>
  <c r="D3046" i="1" s="1"/>
  <c r="B3046" i="1"/>
  <c r="E3045" i="1"/>
  <c r="C3045" i="1"/>
  <c r="D3045" i="1" s="1"/>
  <c r="B3045" i="1"/>
  <c r="A3045" i="1"/>
  <c r="N3044" i="1"/>
  <c r="E3044" i="1"/>
  <c r="A3044" i="1" s="1"/>
  <c r="C3044" i="1"/>
  <c r="D3044" i="1" s="1"/>
  <c r="B3044" i="1"/>
  <c r="E3043" i="1"/>
  <c r="C3043" i="1"/>
  <c r="D3043" i="1" s="1"/>
  <c r="B3043" i="1"/>
  <c r="A3043" i="1"/>
  <c r="E3042" i="1"/>
  <c r="C3042" i="1"/>
  <c r="D3042" i="1" s="1"/>
  <c r="B3042" i="1"/>
  <c r="A3042" i="1"/>
  <c r="N3041" i="1"/>
  <c r="E3041" i="1"/>
  <c r="C3041" i="1"/>
  <c r="D3041" i="1" s="1"/>
  <c r="B3041" i="1"/>
  <c r="A3041" i="1"/>
  <c r="N3040" i="1"/>
  <c r="E3040" i="1"/>
  <c r="C3040" i="1"/>
  <c r="D3040" i="1" s="1"/>
  <c r="B3040" i="1"/>
  <c r="A3040" i="1"/>
  <c r="N3039" i="1"/>
  <c r="E3039" i="1"/>
  <c r="C3039" i="1"/>
  <c r="D3039" i="1" s="1"/>
  <c r="B3039" i="1"/>
  <c r="A3039" i="1"/>
  <c r="N3038" i="1"/>
  <c r="E3038" i="1"/>
  <c r="C3038" i="1"/>
  <c r="D3038" i="1" s="1"/>
  <c r="B3038" i="1"/>
  <c r="A3038" i="1"/>
  <c r="N3037" i="1"/>
  <c r="E3037" i="1"/>
  <c r="C3037" i="1"/>
  <c r="D3037" i="1" s="1"/>
  <c r="B3037" i="1"/>
  <c r="A3037" i="1"/>
  <c r="N3036" i="1"/>
  <c r="E3036" i="1"/>
  <c r="A3036" i="1" s="1"/>
  <c r="C3036" i="1"/>
  <c r="D3036" i="1" s="1"/>
  <c r="B3036" i="1"/>
  <c r="N3035" i="1"/>
  <c r="E3035" i="1"/>
  <c r="A3035" i="1" s="1"/>
  <c r="C3035" i="1"/>
  <c r="D3035" i="1" s="1"/>
  <c r="B3035" i="1"/>
  <c r="N3034" i="1"/>
  <c r="E3034" i="1"/>
  <c r="A3034" i="1" s="1"/>
  <c r="C3034" i="1"/>
  <c r="D3034" i="1" s="1"/>
  <c r="B3034" i="1"/>
  <c r="E3033" i="1"/>
  <c r="C3033" i="1"/>
  <c r="D3033" i="1" s="1"/>
  <c r="B3033" i="1"/>
  <c r="A3033" i="1"/>
  <c r="N3032" i="1"/>
  <c r="E3032" i="1"/>
  <c r="A3032" i="1" s="1"/>
  <c r="C3032" i="1"/>
  <c r="D3032" i="1" s="1"/>
  <c r="B3032" i="1"/>
  <c r="E3031" i="1"/>
  <c r="A3031" i="1" s="1"/>
  <c r="C3031" i="1"/>
  <c r="D3031" i="1" s="1"/>
  <c r="B3031" i="1"/>
  <c r="N3030" i="1"/>
  <c r="E3030" i="1"/>
  <c r="C3030" i="1"/>
  <c r="D3030" i="1" s="1"/>
  <c r="B3030" i="1"/>
  <c r="A3030" i="1"/>
  <c r="N3029" i="1"/>
  <c r="E3029" i="1"/>
  <c r="A3029" i="1" s="1"/>
  <c r="C3029" i="1"/>
  <c r="D3029" i="1" s="1"/>
  <c r="B3029" i="1"/>
  <c r="E3028" i="1"/>
  <c r="A3028" i="1" s="1"/>
  <c r="C3028" i="1"/>
  <c r="D3028" i="1" s="1"/>
  <c r="B3028" i="1"/>
  <c r="E3027" i="1"/>
  <c r="C3027" i="1"/>
  <c r="D3027" i="1" s="1"/>
  <c r="B3027" i="1"/>
  <c r="A3027" i="1"/>
  <c r="E3026" i="1"/>
  <c r="C3026" i="1"/>
  <c r="D3026" i="1" s="1"/>
  <c r="B3026" i="1"/>
  <c r="A3026" i="1"/>
  <c r="E3025" i="1"/>
  <c r="C3025" i="1"/>
  <c r="D3025" i="1" s="1"/>
  <c r="B3025" i="1"/>
  <c r="A3025" i="1"/>
  <c r="E3024" i="1"/>
  <c r="C3024" i="1"/>
  <c r="D3024" i="1" s="1"/>
  <c r="B3024" i="1"/>
  <c r="A3024" i="1"/>
  <c r="E3023" i="1"/>
  <c r="C3023" i="1"/>
  <c r="D3023" i="1" s="1"/>
  <c r="B3023" i="1"/>
  <c r="A3023" i="1"/>
  <c r="E3022" i="1"/>
  <c r="C3022" i="1"/>
  <c r="D3022" i="1" s="1"/>
  <c r="B3022" i="1"/>
  <c r="A3022" i="1"/>
  <c r="E3021" i="1"/>
  <c r="C3021" i="1"/>
  <c r="D3021" i="1" s="1"/>
  <c r="B3021" i="1"/>
  <c r="A3021" i="1"/>
  <c r="E3020" i="1"/>
  <c r="C3020" i="1"/>
  <c r="D3020" i="1" s="1"/>
  <c r="B3020" i="1"/>
  <c r="A3020" i="1"/>
  <c r="E3019" i="1"/>
  <c r="C3019" i="1"/>
  <c r="D3019" i="1" s="1"/>
  <c r="B3019" i="1"/>
  <c r="A3019" i="1"/>
  <c r="N3018" i="1"/>
  <c r="E3018" i="1"/>
  <c r="C3018" i="1"/>
  <c r="D3018" i="1" s="1"/>
  <c r="B3018" i="1"/>
  <c r="A3018" i="1"/>
  <c r="N3017" i="1"/>
  <c r="E3017" i="1"/>
  <c r="C3017" i="1"/>
  <c r="D3017" i="1" s="1"/>
  <c r="B3017" i="1"/>
  <c r="A3017" i="1"/>
  <c r="N3016" i="1"/>
  <c r="E3016" i="1"/>
  <c r="A3016" i="1" s="1"/>
  <c r="C3016" i="1"/>
  <c r="D3016" i="1" s="1"/>
  <c r="B3016" i="1"/>
  <c r="N3015" i="1"/>
  <c r="E3015" i="1"/>
  <c r="A3015" i="1" s="1"/>
  <c r="C3015" i="1"/>
  <c r="D3015" i="1" s="1"/>
  <c r="B3015" i="1"/>
  <c r="E3014" i="1"/>
  <c r="C3014" i="1"/>
  <c r="D3014" i="1" s="1"/>
  <c r="B3014" i="1"/>
  <c r="A3014" i="1"/>
  <c r="N3013" i="1"/>
  <c r="E3013" i="1"/>
  <c r="A3013" i="1" s="1"/>
  <c r="C3013" i="1"/>
  <c r="D3013" i="1" s="1"/>
  <c r="B3013" i="1"/>
  <c r="E3012" i="1"/>
  <c r="A3012" i="1" s="1"/>
  <c r="C3012" i="1"/>
  <c r="D3012" i="1" s="1"/>
  <c r="B3012" i="1"/>
  <c r="N3011" i="1"/>
  <c r="E3011" i="1"/>
  <c r="A3011" i="1" s="1"/>
  <c r="C3011" i="1"/>
  <c r="D3011" i="1" s="1"/>
  <c r="B3011" i="1"/>
  <c r="N3010" i="1"/>
  <c r="E3010" i="1"/>
  <c r="A3010" i="1" s="1"/>
  <c r="C3010" i="1"/>
  <c r="D3010" i="1" s="1"/>
  <c r="B3010" i="1"/>
  <c r="N3009" i="1"/>
  <c r="E3009" i="1"/>
  <c r="A3009" i="1" s="1"/>
  <c r="C3009" i="1"/>
  <c r="D3009" i="1" s="1"/>
  <c r="B3009" i="1"/>
  <c r="N3008" i="1"/>
  <c r="E3008" i="1"/>
  <c r="A3008" i="1" s="1"/>
  <c r="C3008" i="1"/>
  <c r="D3008" i="1" s="1"/>
  <c r="B3008" i="1"/>
  <c r="N3007" i="1"/>
  <c r="E3007" i="1"/>
  <c r="A3007" i="1" s="1"/>
  <c r="C3007" i="1"/>
  <c r="D3007" i="1" s="1"/>
  <c r="B3007" i="1"/>
  <c r="N3006" i="1"/>
  <c r="E3006" i="1"/>
  <c r="C3006" i="1"/>
  <c r="D3006" i="1" s="1"/>
  <c r="B3006" i="1"/>
  <c r="A3006" i="1"/>
  <c r="E3005" i="1"/>
  <c r="C3005" i="1"/>
  <c r="D3005" i="1" s="1"/>
  <c r="B3005" i="1"/>
  <c r="A3005" i="1"/>
  <c r="E3004" i="1"/>
  <c r="C3004" i="1"/>
  <c r="D3004" i="1" s="1"/>
  <c r="B3004" i="1"/>
  <c r="A3004" i="1"/>
  <c r="N3003" i="1"/>
  <c r="E3003" i="1"/>
  <c r="A3003" i="1" s="1"/>
  <c r="C3003" i="1"/>
  <c r="D3003" i="1" s="1"/>
  <c r="B3003" i="1"/>
  <c r="N3002" i="1"/>
  <c r="E3002" i="1"/>
  <c r="A3002" i="1" s="1"/>
  <c r="C3002" i="1"/>
  <c r="D3002" i="1" s="1"/>
  <c r="B3002" i="1"/>
  <c r="N3001" i="1"/>
  <c r="E3001" i="1"/>
  <c r="A3001" i="1" s="1"/>
  <c r="C3001" i="1"/>
  <c r="D3001" i="1" s="1"/>
  <c r="B3001" i="1"/>
  <c r="E3000" i="1"/>
  <c r="A3000" i="1" s="1"/>
  <c r="C3000" i="1"/>
  <c r="D3000" i="1" s="1"/>
  <c r="B3000" i="1"/>
  <c r="E2999" i="1"/>
  <c r="C2999" i="1"/>
  <c r="D2999" i="1" s="1"/>
  <c r="B2999" i="1"/>
  <c r="A2999" i="1"/>
  <c r="E2998" i="1"/>
  <c r="C2998" i="1"/>
  <c r="D2998" i="1" s="1"/>
  <c r="B2998" i="1"/>
  <c r="A2998" i="1"/>
  <c r="E2997" i="1"/>
  <c r="C2997" i="1"/>
  <c r="D2997" i="1" s="1"/>
  <c r="B2997" i="1"/>
  <c r="A2997" i="1"/>
  <c r="E2996" i="1"/>
  <c r="C2996" i="1"/>
  <c r="D2996" i="1" s="1"/>
  <c r="B2996" i="1"/>
  <c r="A2996" i="1"/>
  <c r="E2995" i="1"/>
  <c r="C2995" i="1"/>
  <c r="D2995" i="1" s="1"/>
  <c r="B2995" i="1"/>
  <c r="A2995" i="1"/>
  <c r="E2994" i="1"/>
  <c r="C2994" i="1"/>
  <c r="D2994" i="1" s="1"/>
  <c r="B2994" i="1"/>
  <c r="A2994" i="1"/>
  <c r="E2993" i="1"/>
  <c r="C2993" i="1"/>
  <c r="D2993" i="1" s="1"/>
  <c r="B2993" i="1"/>
  <c r="A2993" i="1"/>
  <c r="E2992" i="1"/>
  <c r="C2992" i="1"/>
  <c r="D2992" i="1" s="1"/>
  <c r="B2992" i="1"/>
  <c r="A2992" i="1"/>
  <c r="E2991" i="1"/>
  <c r="C2991" i="1"/>
  <c r="D2991" i="1" s="1"/>
  <c r="B2991" i="1"/>
  <c r="A2991" i="1"/>
  <c r="E2990" i="1"/>
  <c r="C2990" i="1"/>
  <c r="D2990" i="1" s="1"/>
  <c r="B2990" i="1"/>
  <c r="A2990" i="1"/>
  <c r="E2989" i="1"/>
  <c r="C2989" i="1"/>
  <c r="D2989" i="1" s="1"/>
  <c r="B2989" i="1"/>
  <c r="A2989" i="1"/>
  <c r="E2988" i="1"/>
  <c r="C2988" i="1"/>
  <c r="D2988" i="1" s="1"/>
  <c r="B2988" i="1"/>
  <c r="A2988" i="1"/>
  <c r="E2987" i="1"/>
  <c r="C2987" i="1"/>
  <c r="D2987" i="1" s="1"/>
  <c r="B2987" i="1"/>
  <c r="A2987" i="1"/>
  <c r="E2986" i="1"/>
  <c r="C2986" i="1"/>
  <c r="D2986" i="1" s="1"/>
  <c r="B2986" i="1"/>
  <c r="A2986" i="1"/>
  <c r="E2985" i="1"/>
  <c r="C2985" i="1"/>
  <c r="D2985" i="1" s="1"/>
  <c r="B2985" i="1"/>
  <c r="A2985" i="1"/>
  <c r="E2984" i="1"/>
  <c r="C2984" i="1"/>
  <c r="D2984" i="1" s="1"/>
  <c r="B2984" i="1"/>
  <c r="A2984" i="1"/>
  <c r="E2983" i="1"/>
  <c r="C2983" i="1"/>
  <c r="D2983" i="1" s="1"/>
  <c r="B2983" i="1"/>
  <c r="A2983" i="1"/>
  <c r="E2982" i="1"/>
  <c r="C2982" i="1"/>
  <c r="D2982" i="1" s="1"/>
  <c r="B2982" i="1"/>
  <c r="A2982" i="1"/>
  <c r="E2981" i="1"/>
  <c r="C2981" i="1"/>
  <c r="D2981" i="1" s="1"/>
  <c r="B2981" i="1"/>
  <c r="A2981" i="1"/>
  <c r="E2980" i="1"/>
  <c r="C2980" i="1"/>
  <c r="D2980" i="1" s="1"/>
  <c r="B2980" i="1"/>
  <c r="A2980" i="1"/>
  <c r="E2979" i="1"/>
  <c r="C2979" i="1"/>
  <c r="D2979" i="1" s="1"/>
  <c r="B2979" i="1"/>
  <c r="A2979" i="1"/>
  <c r="E2978" i="1"/>
  <c r="C2978" i="1"/>
  <c r="D2978" i="1" s="1"/>
  <c r="B2978" i="1"/>
  <c r="A2978" i="1"/>
  <c r="E2977" i="1"/>
  <c r="C2977" i="1"/>
  <c r="D2977" i="1" s="1"/>
  <c r="B2977" i="1"/>
  <c r="A2977" i="1"/>
  <c r="E2976" i="1"/>
  <c r="C2976" i="1"/>
  <c r="D2976" i="1" s="1"/>
  <c r="B2976" i="1"/>
  <c r="A2976" i="1"/>
  <c r="E2975" i="1"/>
  <c r="C2975" i="1"/>
  <c r="D2975" i="1" s="1"/>
  <c r="B2975" i="1"/>
  <c r="A2975" i="1"/>
  <c r="E2974" i="1"/>
  <c r="C2974" i="1"/>
  <c r="D2974" i="1" s="1"/>
  <c r="B2974" i="1"/>
  <c r="A2974" i="1"/>
  <c r="N2973" i="1"/>
  <c r="E2973" i="1"/>
  <c r="A2973" i="1" s="1"/>
  <c r="C2973" i="1"/>
  <c r="D2973" i="1" s="1"/>
  <c r="B2973" i="1"/>
  <c r="N2972" i="1"/>
  <c r="E2972" i="1"/>
  <c r="A2972" i="1" s="1"/>
  <c r="C2972" i="1"/>
  <c r="D2972" i="1" s="1"/>
  <c r="B2972" i="1"/>
  <c r="N2971" i="1"/>
  <c r="E2971" i="1"/>
  <c r="A2971" i="1" s="1"/>
  <c r="C2971" i="1"/>
  <c r="D2971" i="1" s="1"/>
  <c r="B2971" i="1"/>
  <c r="N2970" i="1"/>
  <c r="E2970" i="1"/>
  <c r="A2970" i="1" s="1"/>
  <c r="C2970" i="1"/>
  <c r="D2970" i="1" s="1"/>
  <c r="B2970" i="1"/>
  <c r="N2969" i="1"/>
  <c r="E2969" i="1"/>
  <c r="A2969" i="1" s="1"/>
  <c r="C2969" i="1"/>
  <c r="D2969" i="1" s="1"/>
  <c r="B2969" i="1"/>
  <c r="N2968" i="1"/>
  <c r="E2968" i="1"/>
  <c r="A2968" i="1" s="1"/>
  <c r="C2968" i="1"/>
  <c r="D2968" i="1" s="1"/>
  <c r="B2968" i="1"/>
  <c r="N2967" i="1"/>
  <c r="E2967" i="1"/>
  <c r="A2967" i="1" s="1"/>
  <c r="C2967" i="1"/>
  <c r="D2967" i="1" s="1"/>
  <c r="B2967" i="1"/>
  <c r="N2966" i="1"/>
  <c r="E2966" i="1"/>
  <c r="A2966" i="1" s="1"/>
  <c r="C2966" i="1"/>
  <c r="D2966" i="1" s="1"/>
  <c r="B2966" i="1"/>
  <c r="N2965" i="1"/>
  <c r="E2965" i="1"/>
  <c r="A2965" i="1" s="1"/>
  <c r="C2965" i="1"/>
  <c r="D2965" i="1" s="1"/>
  <c r="B2965" i="1"/>
  <c r="N2964" i="1"/>
  <c r="E2964" i="1"/>
  <c r="A2964" i="1" s="1"/>
  <c r="C2964" i="1"/>
  <c r="D2964" i="1" s="1"/>
  <c r="B2964" i="1"/>
  <c r="N2963" i="1"/>
  <c r="E2963" i="1"/>
  <c r="A2963" i="1" s="1"/>
  <c r="C2963" i="1"/>
  <c r="D2963" i="1" s="1"/>
  <c r="B2963" i="1"/>
  <c r="N2962" i="1"/>
  <c r="E2962" i="1"/>
  <c r="A2962" i="1" s="1"/>
  <c r="C2962" i="1"/>
  <c r="D2962" i="1" s="1"/>
  <c r="B2962" i="1"/>
  <c r="N2961" i="1"/>
  <c r="E2961" i="1"/>
  <c r="A2961" i="1" s="1"/>
  <c r="C2961" i="1"/>
  <c r="D2961" i="1" s="1"/>
  <c r="B2961" i="1"/>
  <c r="N2960" i="1"/>
  <c r="E2960" i="1"/>
  <c r="A2960" i="1" s="1"/>
  <c r="C2960" i="1"/>
  <c r="D2960" i="1" s="1"/>
  <c r="B2960" i="1"/>
  <c r="N2959" i="1"/>
  <c r="E2959" i="1"/>
  <c r="A2959" i="1" s="1"/>
  <c r="C2959" i="1"/>
  <c r="D2959" i="1" s="1"/>
  <c r="B2959" i="1"/>
  <c r="N2958" i="1"/>
  <c r="E2958" i="1"/>
  <c r="A2958" i="1" s="1"/>
  <c r="C2958" i="1"/>
  <c r="D2958" i="1" s="1"/>
  <c r="B2958" i="1"/>
  <c r="N2957" i="1"/>
  <c r="E2957" i="1"/>
  <c r="A2957" i="1" s="1"/>
  <c r="C2957" i="1"/>
  <c r="D2957" i="1" s="1"/>
  <c r="B2957" i="1"/>
  <c r="N2956" i="1"/>
  <c r="E2956" i="1"/>
  <c r="A2956" i="1" s="1"/>
  <c r="C2956" i="1"/>
  <c r="D2956" i="1" s="1"/>
  <c r="B2956" i="1"/>
  <c r="N2955" i="1"/>
  <c r="E2955" i="1"/>
  <c r="A2955" i="1" s="1"/>
  <c r="C2955" i="1"/>
  <c r="D2955" i="1" s="1"/>
  <c r="B2955" i="1"/>
  <c r="N2954" i="1"/>
  <c r="E2954" i="1"/>
  <c r="A2954" i="1" s="1"/>
  <c r="C2954" i="1"/>
  <c r="D2954" i="1" s="1"/>
  <c r="B2954" i="1"/>
  <c r="N2953" i="1"/>
  <c r="E2953" i="1"/>
  <c r="A2953" i="1" s="1"/>
  <c r="C2953" i="1"/>
  <c r="D2953" i="1" s="1"/>
  <c r="B2953" i="1"/>
  <c r="N2952" i="1"/>
  <c r="E2952" i="1"/>
  <c r="A2952" i="1" s="1"/>
  <c r="C2952" i="1"/>
  <c r="D2952" i="1" s="1"/>
  <c r="B2952" i="1"/>
  <c r="N2951" i="1"/>
  <c r="E2951" i="1"/>
  <c r="A2951" i="1" s="1"/>
  <c r="C2951" i="1"/>
  <c r="D2951" i="1" s="1"/>
  <c r="B2951" i="1"/>
  <c r="N2950" i="1"/>
  <c r="E2950" i="1"/>
  <c r="A2950" i="1" s="1"/>
  <c r="C2950" i="1"/>
  <c r="D2950" i="1" s="1"/>
  <c r="B2950" i="1"/>
  <c r="N2949" i="1"/>
  <c r="E2949" i="1"/>
  <c r="A2949" i="1" s="1"/>
  <c r="C2949" i="1"/>
  <c r="D2949" i="1" s="1"/>
  <c r="B2949" i="1"/>
  <c r="N2948" i="1"/>
  <c r="E2948" i="1"/>
  <c r="A2948" i="1" s="1"/>
  <c r="C2948" i="1"/>
  <c r="D2948" i="1" s="1"/>
  <c r="B2948" i="1"/>
  <c r="N2947" i="1"/>
  <c r="E2947" i="1"/>
  <c r="A2947" i="1" s="1"/>
  <c r="C2947" i="1"/>
  <c r="D2947" i="1" s="1"/>
  <c r="B2947" i="1"/>
  <c r="N2946" i="1"/>
  <c r="E2946" i="1"/>
  <c r="A2946" i="1" s="1"/>
  <c r="C2946" i="1"/>
  <c r="D2946" i="1" s="1"/>
  <c r="B2946" i="1"/>
  <c r="N2945" i="1"/>
  <c r="E2945" i="1"/>
  <c r="A2945" i="1" s="1"/>
  <c r="C2945" i="1"/>
  <c r="D2945" i="1" s="1"/>
  <c r="B2945" i="1"/>
  <c r="N2944" i="1"/>
  <c r="E2944" i="1"/>
  <c r="A2944" i="1" s="1"/>
  <c r="C2944" i="1"/>
  <c r="D2944" i="1" s="1"/>
  <c r="B2944" i="1"/>
  <c r="N2943" i="1"/>
  <c r="E2943" i="1"/>
  <c r="A2943" i="1" s="1"/>
  <c r="C2943" i="1"/>
  <c r="D2943" i="1" s="1"/>
  <c r="B2943" i="1"/>
  <c r="N2942" i="1"/>
  <c r="E2942" i="1"/>
  <c r="A2942" i="1" s="1"/>
  <c r="C2942" i="1"/>
  <c r="D2942" i="1" s="1"/>
  <c r="B2942" i="1"/>
  <c r="N2941" i="1"/>
  <c r="E2941" i="1"/>
  <c r="A2941" i="1" s="1"/>
  <c r="C2941" i="1"/>
  <c r="D2941" i="1" s="1"/>
  <c r="B2941" i="1"/>
  <c r="N2940" i="1"/>
  <c r="E2940" i="1"/>
  <c r="A2940" i="1" s="1"/>
  <c r="C2940" i="1"/>
  <c r="D2940" i="1" s="1"/>
  <c r="B2940" i="1"/>
  <c r="N2939" i="1"/>
  <c r="E2939" i="1"/>
  <c r="A2939" i="1" s="1"/>
  <c r="C2939" i="1"/>
  <c r="D2939" i="1" s="1"/>
  <c r="B2939" i="1"/>
  <c r="N2938" i="1"/>
  <c r="E2938" i="1"/>
  <c r="A2938" i="1" s="1"/>
  <c r="C2938" i="1"/>
  <c r="D2938" i="1" s="1"/>
  <c r="B2938" i="1"/>
  <c r="N2937" i="1"/>
  <c r="E2937" i="1"/>
  <c r="A2937" i="1" s="1"/>
  <c r="C2937" i="1"/>
  <c r="D2937" i="1" s="1"/>
  <c r="B2937" i="1"/>
  <c r="N2936" i="1"/>
  <c r="E2936" i="1"/>
  <c r="A2936" i="1" s="1"/>
  <c r="C2936" i="1"/>
  <c r="D2936" i="1" s="1"/>
  <c r="B2936" i="1"/>
  <c r="N2935" i="1"/>
  <c r="E2935" i="1"/>
  <c r="A2935" i="1" s="1"/>
  <c r="C2935" i="1"/>
  <c r="D2935" i="1" s="1"/>
  <c r="B2935" i="1"/>
  <c r="N2934" i="1"/>
  <c r="E2934" i="1"/>
  <c r="A2934" i="1" s="1"/>
  <c r="C2934" i="1"/>
  <c r="D2934" i="1" s="1"/>
  <c r="B2934" i="1"/>
  <c r="N2933" i="1"/>
  <c r="E2933" i="1"/>
  <c r="A2933" i="1" s="1"/>
  <c r="C2933" i="1"/>
  <c r="D2933" i="1" s="1"/>
  <c r="B2933" i="1"/>
  <c r="N2932" i="1"/>
  <c r="E2932" i="1"/>
  <c r="A2932" i="1" s="1"/>
  <c r="C2932" i="1"/>
  <c r="D2932" i="1" s="1"/>
  <c r="B2932" i="1"/>
  <c r="N2931" i="1"/>
  <c r="E2931" i="1"/>
  <c r="A2931" i="1" s="1"/>
  <c r="C2931" i="1"/>
  <c r="D2931" i="1" s="1"/>
  <c r="B2931" i="1"/>
  <c r="N2930" i="1"/>
  <c r="E2930" i="1"/>
  <c r="A2930" i="1" s="1"/>
  <c r="C2930" i="1"/>
  <c r="D2930" i="1" s="1"/>
  <c r="B2930" i="1"/>
  <c r="N2929" i="1"/>
  <c r="E2929" i="1"/>
  <c r="A2929" i="1" s="1"/>
  <c r="C2929" i="1"/>
  <c r="D2929" i="1" s="1"/>
  <c r="B2929" i="1"/>
  <c r="N2928" i="1"/>
  <c r="E2928" i="1"/>
  <c r="A2928" i="1" s="1"/>
  <c r="C2928" i="1"/>
  <c r="D2928" i="1" s="1"/>
  <c r="B2928" i="1"/>
  <c r="N2927" i="1"/>
  <c r="E2927" i="1"/>
  <c r="A2927" i="1" s="1"/>
  <c r="C2927" i="1"/>
  <c r="D2927" i="1" s="1"/>
  <c r="B2927" i="1"/>
  <c r="E2926" i="1"/>
  <c r="C2926" i="1"/>
  <c r="D2926" i="1" s="1"/>
  <c r="B2926" i="1"/>
  <c r="A2926" i="1"/>
  <c r="N2925" i="1"/>
  <c r="E2925" i="1"/>
  <c r="A2925" i="1" s="1"/>
  <c r="C2925" i="1"/>
  <c r="D2925" i="1" s="1"/>
  <c r="B2925" i="1"/>
  <c r="N2924" i="1"/>
  <c r="E2924" i="1"/>
  <c r="A2924" i="1" s="1"/>
  <c r="C2924" i="1"/>
  <c r="D2924" i="1" s="1"/>
  <c r="B2924" i="1"/>
  <c r="N2923" i="1"/>
  <c r="E2923" i="1"/>
  <c r="A2923" i="1" s="1"/>
  <c r="C2923" i="1"/>
  <c r="D2923" i="1" s="1"/>
  <c r="B2923" i="1"/>
  <c r="N2922" i="1"/>
  <c r="E2922" i="1"/>
  <c r="A2922" i="1" s="1"/>
  <c r="C2922" i="1"/>
  <c r="D2922" i="1" s="1"/>
  <c r="B2922" i="1"/>
  <c r="N2921" i="1"/>
  <c r="E2921" i="1"/>
  <c r="A2921" i="1" s="1"/>
  <c r="C2921" i="1"/>
  <c r="D2921" i="1" s="1"/>
  <c r="B2921" i="1"/>
  <c r="N2920" i="1"/>
  <c r="E2920" i="1"/>
  <c r="A2920" i="1" s="1"/>
  <c r="C2920" i="1"/>
  <c r="D2920" i="1" s="1"/>
  <c r="B2920" i="1"/>
  <c r="N2919" i="1"/>
  <c r="E2919" i="1"/>
  <c r="A2919" i="1" s="1"/>
  <c r="C2919" i="1"/>
  <c r="D2919" i="1" s="1"/>
  <c r="B2919" i="1"/>
  <c r="N2918" i="1"/>
  <c r="E2918" i="1"/>
  <c r="A2918" i="1" s="1"/>
  <c r="C2918" i="1"/>
  <c r="D2918" i="1" s="1"/>
  <c r="B2918" i="1"/>
  <c r="N2917" i="1"/>
  <c r="E2917" i="1"/>
  <c r="A2917" i="1" s="1"/>
  <c r="C2917" i="1"/>
  <c r="D2917" i="1" s="1"/>
  <c r="B2917" i="1"/>
  <c r="N2916" i="1"/>
  <c r="E2916" i="1"/>
  <c r="A2916" i="1" s="1"/>
  <c r="C2916" i="1"/>
  <c r="D2916" i="1" s="1"/>
  <c r="B2916" i="1"/>
  <c r="N2915" i="1"/>
  <c r="E2915" i="1"/>
  <c r="A2915" i="1" s="1"/>
  <c r="C2915" i="1"/>
  <c r="D2915" i="1" s="1"/>
  <c r="B2915" i="1"/>
  <c r="N2914" i="1"/>
  <c r="E2914" i="1"/>
  <c r="A2914" i="1" s="1"/>
  <c r="C2914" i="1"/>
  <c r="D2914" i="1" s="1"/>
  <c r="B2914" i="1"/>
  <c r="N2913" i="1"/>
  <c r="E2913" i="1"/>
  <c r="A2913" i="1" s="1"/>
  <c r="C2913" i="1"/>
  <c r="D2913" i="1" s="1"/>
  <c r="B2913" i="1"/>
  <c r="N2912" i="1"/>
  <c r="E2912" i="1"/>
  <c r="A2912" i="1" s="1"/>
  <c r="C2912" i="1"/>
  <c r="D2912" i="1" s="1"/>
  <c r="B2912" i="1"/>
  <c r="N2911" i="1"/>
  <c r="E2911" i="1"/>
  <c r="A2911" i="1" s="1"/>
  <c r="C2911" i="1"/>
  <c r="D2911" i="1" s="1"/>
  <c r="B2911" i="1"/>
  <c r="N2910" i="1"/>
  <c r="E2910" i="1"/>
  <c r="A2910" i="1" s="1"/>
  <c r="C2910" i="1"/>
  <c r="D2910" i="1" s="1"/>
  <c r="B2910" i="1"/>
  <c r="N2909" i="1"/>
  <c r="E2909" i="1"/>
  <c r="A2909" i="1" s="1"/>
  <c r="C2909" i="1"/>
  <c r="D2909" i="1" s="1"/>
  <c r="B2909" i="1"/>
  <c r="E2908" i="1"/>
  <c r="A2908" i="1" s="1"/>
  <c r="C2908" i="1"/>
  <c r="D2908" i="1" s="1"/>
  <c r="B2908" i="1"/>
  <c r="E2907" i="1"/>
  <c r="A2907" i="1" s="1"/>
  <c r="C2907" i="1"/>
  <c r="D2907" i="1" s="1"/>
  <c r="B2907" i="1"/>
  <c r="E2906" i="1"/>
  <c r="A2906" i="1" s="1"/>
  <c r="C2906" i="1"/>
  <c r="D2906" i="1" s="1"/>
  <c r="B2906" i="1"/>
  <c r="E2905" i="1"/>
  <c r="A2905" i="1" s="1"/>
  <c r="C2905" i="1"/>
  <c r="D2905" i="1" s="1"/>
  <c r="B2905" i="1"/>
  <c r="E2904" i="1"/>
  <c r="A2904" i="1" s="1"/>
  <c r="C2904" i="1"/>
  <c r="D2904" i="1" s="1"/>
  <c r="B2904" i="1"/>
  <c r="E2903" i="1"/>
  <c r="A2903" i="1" s="1"/>
  <c r="C2903" i="1"/>
  <c r="D2903" i="1" s="1"/>
  <c r="B2903" i="1"/>
  <c r="E2902" i="1"/>
  <c r="A2902" i="1" s="1"/>
  <c r="C2902" i="1"/>
  <c r="D2902" i="1" s="1"/>
  <c r="B2902" i="1"/>
  <c r="E2901" i="1"/>
  <c r="A2901" i="1" s="1"/>
  <c r="C2901" i="1"/>
  <c r="D2901" i="1" s="1"/>
  <c r="B2901" i="1"/>
  <c r="E2900" i="1"/>
  <c r="A2900" i="1" s="1"/>
  <c r="C2900" i="1"/>
  <c r="D2900" i="1" s="1"/>
  <c r="B2900" i="1"/>
  <c r="E2899" i="1"/>
  <c r="A2899" i="1" s="1"/>
  <c r="C2899" i="1"/>
  <c r="D2899" i="1" s="1"/>
  <c r="B2899" i="1"/>
  <c r="N2898" i="1"/>
  <c r="E2898" i="1"/>
  <c r="A2898" i="1" s="1"/>
  <c r="C2898" i="1"/>
  <c r="D2898" i="1" s="1"/>
  <c r="B2898" i="1"/>
  <c r="N2897" i="1"/>
  <c r="E2897" i="1"/>
  <c r="A2897" i="1" s="1"/>
  <c r="C2897" i="1"/>
  <c r="D2897" i="1" s="1"/>
  <c r="B2897" i="1"/>
  <c r="N2896" i="1"/>
  <c r="E2896" i="1"/>
  <c r="A2896" i="1" s="1"/>
  <c r="C2896" i="1"/>
  <c r="D2896" i="1" s="1"/>
  <c r="B2896" i="1"/>
  <c r="N2895" i="1"/>
  <c r="E2895" i="1"/>
  <c r="A2895" i="1" s="1"/>
  <c r="C2895" i="1"/>
  <c r="D2895" i="1" s="1"/>
  <c r="B2895" i="1"/>
  <c r="N2894" i="1"/>
  <c r="E2894" i="1"/>
  <c r="A2894" i="1" s="1"/>
  <c r="C2894" i="1"/>
  <c r="D2894" i="1" s="1"/>
  <c r="B2894" i="1"/>
  <c r="N2893" i="1"/>
  <c r="E2893" i="1"/>
  <c r="A2893" i="1" s="1"/>
  <c r="C2893" i="1"/>
  <c r="D2893" i="1" s="1"/>
  <c r="B2893" i="1"/>
  <c r="N2892" i="1"/>
  <c r="E2892" i="1"/>
  <c r="A2892" i="1" s="1"/>
  <c r="C2892" i="1"/>
  <c r="D2892" i="1" s="1"/>
  <c r="B2892" i="1"/>
  <c r="N2891" i="1"/>
  <c r="E2891" i="1"/>
  <c r="A2891" i="1" s="1"/>
  <c r="C2891" i="1"/>
  <c r="D2891" i="1" s="1"/>
  <c r="B2891" i="1"/>
  <c r="E2890" i="1"/>
  <c r="C2890" i="1"/>
  <c r="D2890" i="1" s="1"/>
  <c r="B2890" i="1"/>
  <c r="A2890" i="1"/>
  <c r="E2889" i="1"/>
  <c r="C2889" i="1"/>
  <c r="D2889" i="1" s="1"/>
  <c r="B2889" i="1"/>
  <c r="A2889" i="1"/>
  <c r="N2888" i="1"/>
  <c r="E2888" i="1"/>
  <c r="A2888" i="1" s="1"/>
  <c r="C2888" i="1"/>
  <c r="D2888" i="1" s="1"/>
  <c r="B2888" i="1"/>
  <c r="N2887" i="1"/>
  <c r="E2887" i="1"/>
  <c r="A2887" i="1" s="1"/>
  <c r="C2887" i="1"/>
  <c r="D2887" i="1" s="1"/>
  <c r="B2887" i="1"/>
  <c r="E2886" i="1"/>
  <c r="C2886" i="1"/>
  <c r="D2886" i="1" s="1"/>
  <c r="B2886" i="1"/>
  <c r="A2886" i="1"/>
  <c r="E2885" i="1"/>
  <c r="C2885" i="1"/>
  <c r="D2885" i="1" s="1"/>
  <c r="B2885" i="1"/>
  <c r="A2885" i="1"/>
  <c r="N2884" i="1"/>
  <c r="E2884" i="1"/>
  <c r="C2884" i="1"/>
  <c r="D2884" i="1" s="1"/>
  <c r="B2884" i="1"/>
  <c r="A2884" i="1"/>
  <c r="N2883" i="1"/>
  <c r="E2883" i="1"/>
  <c r="C2883" i="1"/>
  <c r="D2883" i="1" s="1"/>
  <c r="B2883" i="1"/>
  <c r="A2883" i="1"/>
  <c r="N2882" i="1"/>
  <c r="E2882" i="1"/>
  <c r="A2882" i="1" s="1"/>
  <c r="C2882" i="1"/>
  <c r="D2882" i="1" s="1"/>
  <c r="B2882" i="1"/>
  <c r="N2881" i="1"/>
  <c r="E2881" i="1"/>
  <c r="A2881" i="1" s="1"/>
  <c r="C2881" i="1"/>
  <c r="D2881" i="1" s="1"/>
  <c r="B2881" i="1"/>
  <c r="N2880" i="1"/>
  <c r="E2880" i="1"/>
  <c r="A2880" i="1" s="1"/>
  <c r="C2880" i="1"/>
  <c r="D2880" i="1" s="1"/>
  <c r="B2880" i="1"/>
  <c r="E2879" i="1"/>
  <c r="C2879" i="1"/>
  <c r="D2879" i="1" s="1"/>
  <c r="B2879" i="1"/>
  <c r="A2879" i="1"/>
  <c r="E2878" i="1"/>
  <c r="A2878" i="1" s="1"/>
  <c r="C2878" i="1"/>
  <c r="D2878" i="1" s="1"/>
  <c r="B2878" i="1"/>
  <c r="E2877" i="1"/>
  <c r="C2877" i="1"/>
  <c r="D2877" i="1" s="1"/>
  <c r="B2877" i="1"/>
  <c r="A2877" i="1"/>
  <c r="N2876" i="1"/>
  <c r="E2876" i="1"/>
  <c r="C2876" i="1"/>
  <c r="D2876" i="1" s="1"/>
  <c r="B2876" i="1"/>
  <c r="A2876" i="1"/>
  <c r="N2875"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N2868" i="1"/>
  <c r="E2868" i="1"/>
  <c r="A2868" i="1" s="1"/>
  <c r="C2868" i="1"/>
  <c r="D2868" i="1" s="1"/>
  <c r="B2868" i="1"/>
  <c r="N2867" i="1"/>
  <c r="E2867" i="1"/>
  <c r="A2867" i="1" s="1"/>
  <c r="C2867" i="1"/>
  <c r="D2867" i="1" s="1"/>
  <c r="B2867" i="1"/>
  <c r="N2866" i="1"/>
  <c r="E2866" i="1"/>
  <c r="C2866" i="1"/>
  <c r="D2866" i="1" s="1"/>
  <c r="B2866" i="1"/>
  <c r="A2866" i="1"/>
  <c r="N2865" i="1"/>
  <c r="E2865" i="1"/>
  <c r="C2865" i="1"/>
  <c r="D2865" i="1" s="1"/>
  <c r="B2865" i="1"/>
  <c r="A2865" i="1"/>
  <c r="E2864" i="1"/>
  <c r="A2864" i="1" s="1"/>
  <c r="C2864" i="1"/>
  <c r="D2864" i="1" s="1"/>
  <c r="B2864" i="1"/>
  <c r="N2863" i="1"/>
  <c r="E2863" i="1"/>
  <c r="A2863" i="1" s="1"/>
  <c r="C2863" i="1"/>
  <c r="D2863" i="1" s="1"/>
  <c r="B2863" i="1"/>
  <c r="E2862" i="1"/>
  <c r="C2862" i="1"/>
  <c r="D2862" i="1" s="1"/>
  <c r="B2862" i="1"/>
  <c r="A2862" i="1"/>
  <c r="E2861" i="1"/>
  <c r="C2861" i="1"/>
  <c r="D2861" i="1" s="1"/>
  <c r="B2861" i="1"/>
  <c r="A2861" i="1"/>
  <c r="E2860" i="1"/>
  <c r="C2860" i="1"/>
  <c r="D2860" i="1" s="1"/>
  <c r="B2860" i="1"/>
  <c r="A2860" i="1"/>
  <c r="N2859" i="1"/>
  <c r="E2859" i="1"/>
  <c r="A2859" i="1" s="1"/>
  <c r="C2859" i="1"/>
  <c r="D2859" i="1" s="1"/>
  <c r="B2859" i="1"/>
  <c r="E2858" i="1"/>
  <c r="C2858" i="1"/>
  <c r="D2858" i="1" s="1"/>
  <c r="B2858" i="1"/>
  <c r="A2858" i="1"/>
  <c r="E2857" i="1"/>
  <c r="C2857" i="1"/>
  <c r="D2857" i="1" s="1"/>
  <c r="B2857" i="1"/>
  <c r="A2857" i="1"/>
  <c r="N2856" i="1"/>
  <c r="E2856" i="1"/>
  <c r="A2856" i="1" s="1"/>
  <c r="C2856" i="1"/>
  <c r="D2856" i="1" s="1"/>
  <c r="B2856" i="1"/>
  <c r="E2855" i="1"/>
  <c r="C2855" i="1"/>
  <c r="D2855" i="1" s="1"/>
  <c r="B2855" i="1"/>
  <c r="A2855" i="1"/>
  <c r="N2854" i="1"/>
  <c r="E2854" i="1"/>
  <c r="A2854" i="1" s="1"/>
  <c r="C2854" i="1"/>
  <c r="D2854" i="1" s="1"/>
  <c r="B2854" i="1"/>
  <c r="E2853" i="1"/>
  <c r="A2853" i="1" s="1"/>
  <c r="C2853" i="1"/>
  <c r="D2853" i="1" s="1"/>
  <c r="B2853" i="1"/>
  <c r="N2852" i="1"/>
  <c r="E2852" i="1"/>
  <c r="A2852" i="1" s="1"/>
  <c r="C2852" i="1"/>
  <c r="D2852" i="1" s="1"/>
  <c r="B2852" i="1"/>
  <c r="E2851" i="1"/>
  <c r="C2851" i="1"/>
  <c r="D2851" i="1" s="1"/>
  <c r="B2851" i="1"/>
  <c r="A2851" i="1"/>
  <c r="N2850" i="1"/>
  <c r="E2850" i="1"/>
  <c r="A2850" i="1" s="1"/>
  <c r="C2850" i="1"/>
  <c r="D2850" i="1" s="1"/>
  <c r="B2850" i="1"/>
  <c r="N2849" i="1"/>
  <c r="E2849" i="1"/>
  <c r="A2849" i="1" s="1"/>
  <c r="C2849" i="1"/>
  <c r="D2849" i="1" s="1"/>
  <c r="B2849" i="1"/>
  <c r="N2848" i="1"/>
  <c r="E2848" i="1"/>
  <c r="A2848" i="1" s="1"/>
  <c r="C2848" i="1"/>
  <c r="D2848" i="1" s="1"/>
  <c r="B2848" i="1"/>
  <c r="N2847" i="1"/>
  <c r="E2847" i="1"/>
  <c r="A2847" i="1" s="1"/>
  <c r="C2847" i="1"/>
  <c r="D2847" i="1" s="1"/>
  <c r="B2847" i="1"/>
  <c r="E2846" i="1"/>
  <c r="A2846" i="1" s="1"/>
  <c r="C2846" i="1"/>
  <c r="D2846" i="1" s="1"/>
  <c r="B2846" i="1"/>
  <c r="N2845" i="1"/>
  <c r="E2845" i="1"/>
  <c r="A2845" i="1" s="1"/>
  <c r="C2845" i="1"/>
  <c r="D2845" i="1" s="1"/>
  <c r="B2845" i="1"/>
  <c r="N2844" i="1"/>
  <c r="E2844" i="1"/>
  <c r="A2844" i="1" s="1"/>
  <c r="C2844" i="1"/>
  <c r="D2844" i="1" s="1"/>
  <c r="B2844" i="1"/>
  <c r="N2843" i="1"/>
  <c r="E2843" i="1"/>
  <c r="A2843" i="1" s="1"/>
  <c r="C2843" i="1"/>
  <c r="D2843" i="1" s="1"/>
  <c r="B2843" i="1"/>
  <c r="N2842" i="1"/>
  <c r="E2842" i="1"/>
  <c r="A2842" i="1" s="1"/>
  <c r="C2842" i="1"/>
  <c r="D2842" i="1" s="1"/>
  <c r="B2842" i="1"/>
  <c r="N2841" i="1"/>
  <c r="E2841" i="1"/>
  <c r="A2841" i="1" s="1"/>
  <c r="C2841" i="1"/>
  <c r="D2841" i="1" s="1"/>
  <c r="B2841" i="1"/>
  <c r="N2840" i="1"/>
  <c r="E2840" i="1"/>
  <c r="A2840" i="1" s="1"/>
  <c r="C2840" i="1"/>
  <c r="D2840" i="1" s="1"/>
  <c r="B2840" i="1"/>
  <c r="E2839" i="1"/>
  <c r="C2839" i="1"/>
  <c r="D2839" i="1" s="1"/>
  <c r="B2839" i="1"/>
  <c r="A2839" i="1"/>
  <c r="E2838" i="1"/>
  <c r="C2838" i="1"/>
  <c r="D2838" i="1" s="1"/>
  <c r="B2838" i="1"/>
  <c r="A2838" i="1"/>
  <c r="N2837" i="1"/>
  <c r="E2837" i="1"/>
  <c r="A2837" i="1" s="1"/>
  <c r="C2837" i="1"/>
  <c r="D2837" i="1" s="1"/>
  <c r="B2837" i="1"/>
  <c r="N2836" i="1"/>
  <c r="E2836" i="1"/>
  <c r="A2836" i="1" s="1"/>
  <c r="C2836" i="1"/>
  <c r="D2836" i="1" s="1"/>
  <c r="B2836" i="1"/>
  <c r="N2835" i="1"/>
  <c r="E2835" i="1"/>
  <c r="A2835" i="1" s="1"/>
  <c r="C2835" i="1"/>
  <c r="D2835" i="1" s="1"/>
  <c r="B2835" i="1"/>
  <c r="E2834" i="1"/>
  <c r="C2834" i="1"/>
  <c r="D2834" i="1" s="1"/>
  <c r="B2834" i="1"/>
  <c r="A2834" i="1"/>
  <c r="N2833" i="1"/>
  <c r="E2833" i="1"/>
  <c r="A2833" i="1" s="1"/>
  <c r="C2833" i="1"/>
  <c r="D2833" i="1" s="1"/>
  <c r="B2833" i="1"/>
  <c r="N2832" i="1"/>
  <c r="E2832" i="1"/>
  <c r="A2832" i="1" s="1"/>
  <c r="C2832" i="1"/>
  <c r="D2832" i="1" s="1"/>
  <c r="B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N2826" i="1"/>
  <c r="E2826" i="1"/>
  <c r="A2826" i="1" s="1"/>
  <c r="C2826" i="1"/>
  <c r="D2826" i="1" s="1"/>
  <c r="B2826" i="1"/>
  <c r="N2825" i="1"/>
  <c r="E2825" i="1"/>
  <c r="A2825" i="1" s="1"/>
  <c r="C2825" i="1"/>
  <c r="D2825" i="1" s="1"/>
  <c r="B2825" i="1"/>
  <c r="N2824" i="1"/>
  <c r="E2824" i="1"/>
  <c r="A2824" i="1" s="1"/>
  <c r="C2824" i="1"/>
  <c r="D2824" i="1" s="1"/>
  <c r="B2824" i="1"/>
  <c r="N2823" i="1"/>
  <c r="E2823" i="1"/>
  <c r="A2823" i="1" s="1"/>
  <c r="C2823" i="1"/>
  <c r="D2823" i="1" s="1"/>
  <c r="B2823" i="1"/>
  <c r="N2822" i="1"/>
  <c r="E2822" i="1"/>
  <c r="A2822" i="1" s="1"/>
  <c r="C2822" i="1"/>
  <c r="D2822" i="1" s="1"/>
  <c r="B2822" i="1"/>
  <c r="N2821" i="1"/>
  <c r="E2821" i="1"/>
  <c r="C2821" i="1"/>
  <c r="D2821" i="1" s="1"/>
  <c r="B2821" i="1"/>
  <c r="A2821" i="1"/>
  <c r="N2820" i="1"/>
  <c r="E2820" i="1"/>
  <c r="C2820" i="1"/>
  <c r="D2820" i="1" s="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A2789" i="1" s="1"/>
  <c r="C2789" i="1"/>
  <c r="D2789" i="1" s="1"/>
  <c r="B2789" i="1"/>
  <c r="E2788" i="1"/>
  <c r="C2788" i="1"/>
  <c r="D2788" i="1" s="1"/>
  <c r="B2788" i="1"/>
  <c r="A2788" i="1"/>
  <c r="E2787" i="1"/>
  <c r="A2787" i="1" s="1"/>
  <c r="C2787" i="1"/>
  <c r="D2787" i="1" s="1"/>
  <c r="B2787" i="1"/>
  <c r="E2786" i="1"/>
  <c r="A2786" i="1" s="1"/>
  <c r="C2786" i="1"/>
  <c r="D2786" i="1" s="1"/>
  <c r="B2786" i="1"/>
  <c r="E2785" i="1"/>
  <c r="A2785" i="1" s="1"/>
  <c r="C2785" i="1"/>
  <c r="D2785" i="1" s="1"/>
  <c r="B2785" i="1"/>
  <c r="E2784" i="1"/>
  <c r="C2784" i="1"/>
  <c r="D2784" i="1" s="1"/>
  <c r="B2784" i="1"/>
  <c r="A2784" i="1"/>
  <c r="E2783" i="1"/>
  <c r="A2783" i="1" s="1"/>
  <c r="C2783" i="1"/>
  <c r="D2783" i="1" s="1"/>
  <c r="B2783" i="1"/>
  <c r="E2782" i="1"/>
  <c r="A2782" i="1" s="1"/>
  <c r="C2782" i="1"/>
  <c r="D2782" i="1" s="1"/>
  <c r="B2782" i="1"/>
  <c r="E2781" i="1"/>
  <c r="A2781" i="1" s="1"/>
  <c r="C2781" i="1"/>
  <c r="D2781" i="1" s="1"/>
  <c r="B2781" i="1"/>
  <c r="E2780" i="1"/>
  <c r="A2780" i="1" s="1"/>
  <c r="C2780" i="1"/>
  <c r="D2780" i="1" s="1"/>
  <c r="B2780" i="1"/>
  <c r="E2779" i="1"/>
  <c r="A2779" i="1" s="1"/>
  <c r="C2779" i="1"/>
  <c r="D2779" i="1" s="1"/>
  <c r="B2779" i="1"/>
  <c r="E2778" i="1"/>
  <c r="A2778" i="1" s="1"/>
  <c r="C2778" i="1"/>
  <c r="D2778" i="1" s="1"/>
  <c r="B2778" i="1"/>
  <c r="E2777" i="1"/>
  <c r="A2777" i="1" s="1"/>
  <c r="C2777" i="1"/>
  <c r="D2777" i="1" s="1"/>
  <c r="B2777" i="1"/>
  <c r="E2776" i="1"/>
  <c r="A2776" i="1" s="1"/>
  <c r="C2776" i="1"/>
  <c r="D2776" i="1" s="1"/>
  <c r="B2776" i="1"/>
  <c r="E2775" i="1"/>
  <c r="A2775" i="1" s="1"/>
  <c r="C2775" i="1"/>
  <c r="D2775" i="1" s="1"/>
  <c r="B2775" i="1"/>
  <c r="E2774" i="1"/>
  <c r="C2774" i="1"/>
  <c r="D2774" i="1" s="1"/>
  <c r="B2774" i="1"/>
  <c r="A2774" i="1"/>
  <c r="E2773" i="1"/>
  <c r="A2773" i="1" s="1"/>
  <c r="C2773" i="1"/>
  <c r="D2773" i="1" s="1"/>
  <c r="B2773" i="1"/>
  <c r="E2772" i="1"/>
  <c r="A2772" i="1" s="1"/>
  <c r="C2772" i="1"/>
  <c r="D2772" i="1" s="1"/>
  <c r="B2772" i="1"/>
  <c r="E2771" i="1"/>
  <c r="C2771" i="1"/>
  <c r="D2771" i="1" s="1"/>
  <c r="B2771" i="1"/>
  <c r="A2771" i="1"/>
  <c r="E2770" i="1"/>
  <c r="C2770" i="1"/>
  <c r="D2770" i="1" s="1"/>
  <c r="B2770" i="1"/>
  <c r="A2770" i="1"/>
  <c r="E2769" i="1"/>
  <c r="C2769" i="1"/>
  <c r="D2769" i="1" s="1"/>
  <c r="B2769" i="1"/>
  <c r="A2769" i="1"/>
  <c r="E2768" i="1"/>
  <c r="C2768" i="1"/>
  <c r="D2768" i="1" s="1"/>
  <c r="B2768" i="1"/>
  <c r="A2768" i="1"/>
  <c r="E2767" i="1"/>
  <c r="A2767" i="1" s="1"/>
  <c r="C2767" i="1"/>
  <c r="D2767" i="1" s="1"/>
  <c r="B2767" i="1"/>
  <c r="E2766" i="1"/>
  <c r="A2766" i="1" s="1"/>
  <c r="C2766" i="1"/>
  <c r="D2766" i="1" s="1"/>
  <c r="B2766" i="1"/>
  <c r="E2765" i="1"/>
  <c r="A2765" i="1" s="1"/>
  <c r="C2765" i="1"/>
  <c r="D2765" i="1" s="1"/>
  <c r="B2765" i="1"/>
  <c r="E2764" i="1"/>
  <c r="A2764" i="1" s="1"/>
  <c r="C2764" i="1"/>
  <c r="D2764" i="1" s="1"/>
  <c r="B2764" i="1"/>
  <c r="E2763" i="1"/>
  <c r="A2763" i="1" s="1"/>
  <c r="C2763" i="1"/>
  <c r="D2763" i="1" s="1"/>
  <c r="B2763" i="1"/>
  <c r="E2762" i="1"/>
  <c r="A2762" i="1" s="1"/>
  <c r="C2762" i="1"/>
  <c r="D2762" i="1" s="1"/>
  <c r="B2762" i="1"/>
  <c r="E2761" i="1"/>
  <c r="A2761" i="1" s="1"/>
  <c r="C2761" i="1"/>
  <c r="D2761" i="1" s="1"/>
  <c r="B2761" i="1"/>
  <c r="E2760" i="1"/>
  <c r="A2760" i="1" s="1"/>
  <c r="C2760" i="1"/>
  <c r="D2760" i="1" s="1"/>
  <c r="B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A2745" i="1" s="1"/>
  <c r="C2745" i="1"/>
  <c r="D2745" i="1" s="1"/>
  <c r="B2745" i="1"/>
  <c r="E2744" i="1"/>
  <c r="A2744" i="1" s="1"/>
  <c r="C2744" i="1"/>
  <c r="D2744" i="1" s="1"/>
  <c r="B2744" i="1"/>
  <c r="E2743" i="1"/>
  <c r="C2743" i="1"/>
  <c r="D2743" i="1" s="1"/>
  <c r="B2743" i="1"/>
  <c r="A2743" i="1"/>
  <c r="E2742" i="1"/>
  <c r="A2742" i="1" s="1"/>
  <c r="C2742" i="1"/>
  <c r="D2742" i="1" s="1"/>
  <c r="B2742" i="1"/>
  <c r="E2741" i="1"/>
  <c r="A2741" i="1" s="1"/>
  <c r="C2741" i="1"/>
  <c r="D2741" i="1" s="1"/>
  <c r="B2741" i="1"/>
  <c r="E2740" i="1"/>
  <c r="C2740" i="1"/>
  <c r="D2740" i="1" s="1"/>
  <c r="B2740" i="1"/>
  <c r="A2740" i="1"/>
  <c r="E2739" i="1"/>
  <c r="A2739" i="1" s="1"/>
  <c r="C2739" i="1"/>
  <c r="D2739" i="1" s="1"/>
  <c r="B2739" i="1"/>
  <c r="E2738" i="1"/>
  <c r="A2738" i="1" s="1"/>
  <c r="C2738" i="1"/>
  <c r="D2738" i="1" s="1"/>
  <c r="B2738" i="1"/>
  <c r="E2737" i="1"/>
  <c r="A2737" i="1" s="1"/>
  <c r="C2737" i="1"/>
  <c r="D2737" i="1" s="1"/>
  <c r="B2737" i="1"/>
  <c r="E2736" i="1"/>
  <c r="A2736" i="1" s="1"/>
  <c r="C2736" i="1"/>
  <c r="D2736" i="1" s="1"/>
  <c r="B2736" i="1"/>
  <c r="E2735" i="1"/>
  <c r="A2735" i="1" s="1"/>
  <c r="C2735" i="1"/>
  <c r="D2735" i="1" s="1"/>
  <c r="B2735" i="1"/>
  <c r="E2734" i="1"/>
  <c r="A2734" i="1" s="1"/>
  <c r="C2734" i="1"/>
  <c r="D2734" i="1" s="1"/>
  <c r="B2734" i="1"/>
  <c r="E2733" i="1"/>
  <c r="A2733" i="1" s="1"/>
  <c r="C2733" i="1"/>
  <c r="D2733" i="1" s="1"/>
  <c r="B2733" i="1"/>
  <c r="E2732" i="1"/>
  <c r="A2732" i="1" s="1"/>
  <c r="C2732" i="1"/>
  <c r="D2732" i="1" s="1"/>
  <c r="B2732" i="1"/>
  <c r="N2731" i="1"/>
  <c r="E2731" i="1"/>
  <c r="A2731" i="1" s="1"/>
  <c r="C2731" i="1"/>
  <c r="D2731" i="1" s="1"/>
  <c r="B2731" i="1"/>
  <c r="N2730" i="1"/>
  <c r="E2730" i="1"/>
  <c r="A2730" i="1" s="1"/>
  <c r="C2730" i="1"/>
  <c r="D2730" i="1" s="1"/>
  <c r="B2730" i="1"/>
  <c r="N2729" i="1"/>
  <c r="E2729" i="1"/>
  <c r="A2729" i="1" s="1"/>
  <c r="C2729" i="1"/>
  <c r="D2729" i="1" s="1"/>
  <c r="B2729" i="1"/>
  <c r="N2728" i="1"/>
  <c r="E2728" i="1"/>
  <c r="A2728" i="1" s="1"/>
  <c r="C2728" i="1"/>
  <c r="D2728" i="1" s="1"/>
  <c r="B2728" i="1"/>
  <c r="N2727" i="1"/>
  <c r="E2727" i="1"/>
  <c r="A2727" i="1" s="1"/>
  <c r="C2727" i="1"/>
  <c r="D2727" i="1" s="1"/>
  <c r="B2727" i="1"/>
  <c r="N2726" i="1"/>
  <c r="E2726" i="1"/>
  <c r="A2726" i="1" s="1"/>
  <c r="C2726" i="1"/>
  <c r="D2726" i="1" s="1"/>
  <c r="B2726" i="1"/>
  <c r="N2725" i="1"/>
  <c r="E2725" i="1"/>
  <c r="A2725" i="1" s="1"/>
  <c r="C2725" i="1"/>
  <c r="D2725" i="1" s="1"/>
  <c r="B2725" i="1"/>
  <c r="N2724" i="1"/>
  <c r="E2724" i="1"/>
  <c r="A2724" i="1" s="1"/>
  <c r="C2724" i="1"/>
  <c r="D2724" i="1" s="1"/>
  <c r="B2724" i="1"/>
  <c r="N2723" i="1"/>
  <c r="E2723" i="1"/>
  <c r="A2723" i="1" s="1"/>
  <c r="C2723" i="1"/>
  <c r="D2723" i="1" s="1"/>
  <c r="B2723" i="1"/>
  <c r="N2722" i="1"/>
  <c r="E2722" i="1"/>
  <c r="A2722" i="1" s="1"/>
  <c r="C2722" i="1"/>
  <c r="D2722" i="1" s="1"/>
  <c r="B2722" i="1"/>
  <c r="N2721" i="1"/>
  <c r="E2721" i="1"/>
  <c r="A2721" i="1" s="1"/>
  <c r="C2721" i="1"/>
  <c r="D2721" i="1" s="1"/>
  <c r="B2721" i="1"/>
  <c r="N2720" i="1"/>
  <c r="E2720" i="1"/>
  <c r="A2720" i="1" s="1"/>
  <c r="C2720" i="1"/>
  <c r="D2720" i="1" s="1"/>
  <c r="B2720" i="1"/>
  <c r="N2719" i="1"/>
  <c r="E2719" i="1"/>
  <c r="A2719" i="1" s="1"/>
  <c r="C2719" i="1"/>
  <c r="D2719" i="1" s="1"/>
  <c r="B2719" i="1"/>
  <c r="N2718" i="1"/>
  <c r="E2718" i="1"/>
  <c r="A2718" i="1" s="1"/>
  <c r="C2718" i="1"/>
  <c r="D2718" i="1" s="1"/>
  <c r="B2718" i="1"/>
  <c r="N2717" i="1"/>
  <c r="E2717" i="1"/>
  <c r="A2717" i="1" s="1"/>
  <c r="C2717" i="1"/>
  <c r="D2717" i="1" s="1"/>
  <c r="B2717" i="1"/>
  <c r="N2716" i="1"/>
  <c r="E2716" i="1"/>
  <c r="A2716" i="1" s="1"/>
  <c r="C2716" i="1"/>
  <c r="D2716" i="1" s="1"/>
  <c r="B2716" i="1"/>
  <c r="N2715" i="1"/>
  <c r="E2715" i="1"/>
  <c r="A2715" i="1" s="1"/>
  <c r="C2715" i="1"/>
  <c r="D2715" i="1" s="1"/>
  <c r="B2715" i="1"/>
  <c r="N2714" i="1"/>
  <c r="E2714" i="1"/>
  <c r="A2714" i="1" s="1"/>
  <c r="C2714" i="1"/>
  <c r="D2714" i="1" s="1"/>
  <c r="B2714" i="1"/>
  <c r="N2713" i="1"/>
  <c r="E2713" i="1"/>
  <c r="A2713" i="1" s="1"/>
  <c r="C2713" i="1"/>
  <c r="D2713" i="1" s="1"/>
  <c r="B2713" i="1"/>
  <c r="N2712" i="1"/>
  <c r="E2712" i="1"/>
  <c r="A2712" i="1" s="1"/>
  <c r="C2712" i="1"/>
  <c r="D2712" i="1" s="1"/>
  <c r="B2712" i="1"/>
  <c r="N2711" i="1"/>
  <c r="E2711" i="1"/>
  <c r="A2711" i="1" s="1"/>
  <c r="C2711" i="1"/>
  <c r="D2711" i="1" s="1"/>
  <c r="B2711" i="1"/>
  <c r="N2710" i="1"/>
  <c r="E2710" i="1"/>
  <c r="A2710" i="1" s="1"/>
  <c r="C2710" i="1"/>
  <c r="D2710" i="1" s="1"/>
  <c r="B2710" i="1"/>
  <c r="E2709" i="1"/>
  <c r="A2709" i="1" s="1"/>
  <c r="C2709" i="1"/>
  <c r="D2709" i="1" s="1"/>
  <c r="B2709" i="1"/>
  <c r="E2708" i="1"/>
  <c r="A2708" i="1" s="1"/>
  <c r="C2708" i="1"/>
  <c r="D2708" i="1" s="1"/>
  <c r="B2708" i="1"/>
  <c r="E2707" i="1"/>
  <c r="C2707" i="1"/>
  <c r="D2707" i="1" s="1"/>
  <c r="B2707" i="1"/>
  <c r="A2707" i="1"/>
  <c r="E2706" i="1"/>
  <c r="A2706" i="1" s="1"/>
  <c r="C2706" i="1"/>
  <c r="D2706" i="1" s="1"/>
  <c r="B2706" i="1"/>
  <c r="N2705" i="1"/>
  <c r="E2705" i="1"/>
  <c r="C2705" i="1"/>
  <c r="D2705" i="1" s="1"/>
  <c r="B2705" i="1"/>
  <c r="A2705" i="1"/>
  <c r="E2704" i="1"/>
  <c r="C2704" i="1"/>
  <c r="D2704" i="1" s="1"/>
  <c r="B2704" i="1"/>
  <c r="A2704" i="1"/>
  <c r="E2703" i="1"/>
  <c r="C2703" i="1"/>
  <c r="D2703" i="1" s="1"/>
  <c r="B2703" i="1"/>
  <c r="A2703" i="1"/>
  <c r="N2702"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E2694" i="1"/>
  <c r="C2694" i="1"/>
  <c r="D2694" i="1" s="1"/>
  <c r="B2694" i="1"/>
  <c r="A2694" i="1"/>
  <c r="N2693" i="1"/>
  <c r="E2693" i="1"/>
  <c r="A2693" i="1" s="1"/>
  <c r="C2693" i="1"/>
  <c r="D2693" i="1" s="1"/>
  <c r="B2693" i="1"/>
  <c r="E2692" i="1"/>
  <c r="C2692" i="1"/>
  <c r="D2692" i="1" s="1"/>
  <c r="B2692" i="1"/>
  <c r="A2692" i="1"/>
  <c r="E2691" i="1"/>
  <c r="C2691" i="1"/>
  <c r="D2691" i="1" s="1"/>
  <c r="B2691" i="1"/>
  <c r="A2691" i="1"/>
  <c r="E2690" i="1"/>
  <c r="C2690" i="1"/>
  <c r="D2690" i="1" s="1"/>
  <c r="B2690" i="1"/>
  <c r="A2690" i="1"/>
  <c r="E2689" i="1"/>
  <c r="C2689" i="1"/>
  <c r="D2689" i="1" s="1"/>
  <c r="B2689" i="1"/>
  <c r="A2689"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C2683" i="1"/>
  <c r="D2683" i="1" s="1"/>
  <c r="B2683" i="1"/>
  <c r="A2683" i="1"/>
  <c r="E2682" i="1"/>
  <c r="C2682" i="1"/>
  <c r="D2682" i="1" s="1"/>
  <c r="B2682" i="1"/>
  <c r="A2682" i="1"/>
  <c r="E2681" i="1"/>
  <c r="C2681" i="1"/>
  <c r="D2681" i="1" s="1"/>
  <c r="B2681" i="1"/>
  <c r="A2681" i="1"/>
  <c r="E2680" i="1"/>
  <c r="C2680" i="1"/>
  <c r="D2680" i="1" s="1"/>
  <c r="B2680" i="1"/>
  <c r="A2680" i="1"/>
  <c r="E2679" i="1"/>
  <c r="C2679" i="1"/>
  <c r="D2679" i="1" s="1"/>
  <c r="B2679" i="1"/>
  <c r="A2679" i="1"/>
  <c r="E2678" i="1"/>
  <c r="C2678" i="1"/>
  <c r="D2678" i="1" s="1"/>
  <c r="B2678" i="1"/>
  <c r="A2678" i="1"/>
  <c r="E2677" i="1"/>
  <c r="C2677" i="1"/>
  <c r="D2677" i="1" s="1"/>
  <c r="B2677" i="1"/>
  <c r="A2677" i="1"/>
  <c r="E2676" i="1"/>
  <c r="C2676" i="1"/>
  <c r="D2676" i="1" s="1"/>
  <c r="B2676" i="1"/>
  <c r="A2676" i="1"/>
  <c r="E2675" i="1"/>
  <c r="C2675" i="1"/>
  <c r="D2675" i="1" s="1"/>
  <c r="B2675" i="1"/>
  <c r="A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A2646" i="1"/>
  <c r="E2645" i="1"/>
  <c r="C2645" i="1"/>
  <c r="D2645" i="1" s="1"/>
  <c r="B2645" i="1"/>
  <c r="A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A2612" i="1" s="1"/>
  <c r="C2612" i="1"/>
  <c r="D2612" i="1" s="1"/>
  <c r="B2612" i="1"/>
  <c r="N2611" i="1"/>
  <c r="E2611" i="1"/>
  <c r="C2611" i="1"/>
  <c r="D2611" i="1" s="1"/>
  <c r="B2611" i="1"/>
  <c r="A2611" i="1"/>
  <c r="N2610" i="1"/>
  <c r="E2610" i="1"/>
  <c r="A2610" i="1" s="1"/>
  <c r="C2610" i="1"/>
  <c r="D2610" i="1" s="1"/>
  <c r="B2610" i="1"/>
  <c r="N2609" i="1"/>
  <c r="E2609" i="1"/>
  <c r="A2609" i="1" s="1"/>
  <c r="C2609" i="1"/>
  <c r="D2609" i="1" s="1"/>
  <c r="B2609" i="1"/>
  <c r="N2608" i="1"/>
  <c r="E2608" i="1"/>
  <c r="A2608" i="1" s="1"/>
  <c r="C2608" i="1"/>
  <c r="D2608" i="1" s="1"/>
  <c r="B2608" i="1"/>
  <c r="N2607" i="1"/>
  <c r="E2607" i="1"/>
  <c r="A2607" i="1" s="1"/>
  <c r="C2607" i="1"/>
  <c r="D2607" i="1" s="1"/>
  <c r="B2607" i="1"/>
  <c r="N2606" i="1"/>
  <c r="E2606" i="1"/>
  <c r="A2606" i="1" s="1"/>
  <c r="C2606" i="1"/>
  <c r="D2606" i="1" s="1"/>
  <c r="B2606" i="1"/>
  <c r="N2605" i="1"/>
  <c r="E2605" i="1"/>
  <c r="A2605" i="1" s="1"/>
  <c r="C2605" i="1"/>
  <c r="D2605" i="1" s="1"/>
  <c r="B2605" i="1"/>
  <c r="N2604" i="1"/>
  <c r="E2604" i="1"/>
  <c r="A2604" i="1" s="1"/>
  <c r="C2604" i="1"/>
  <c r="D2604" i="1" s="1"/>
  <c r="B2604" i="1"/>
  <c r="N2603" i="1"/>
  <c r="E2603" i="1"/>
  <c r="A2603" i="1" s="1"/>
  <c r="C2603" i="1"/>
  <c r="D2603" i="1" s="1"/>
  <c r="B2603" i="1"/>
  <c r="N2602" i="1"/>
  <c r="E2602" i="1"/>
  <c r="A2602" i="1" s="1"/>
  <c r="C2602" i="1"/>
  <c r="D2602" i="1" s="1"/>
  <c r="B2602" i="1"/>
  <c r="N2601" i="1"/>
  <c r="E2601" i="1"/>
  <c r="A2601" i="1" s="1"/>
  <c r="C2601" i="1"/>
  <c r="D2601" i="1" s="1"/>
  <c r="B2601" i="1"/>
  <c r="N2600" i="1"/>
  <c r="E2600" i="1"/>
  <c r="A2600" i="1" s="1"/>
  <c r="C2600" i="1"/>
  <c r="D2600" i="1" s="1"/>
  <c r="B2600" i="1"/>
  <c r="N2599" i="1"/>
  <c r="E2599" i="1"/>
  <c r="A2599" i="1" s="1"/>
  <c r="C2599" i="1"/>
  <c r="D2599" i="1" s="1"/>
  <c r="B2599" i="1"/>
  <c r="N2598" i="1"/>
  <c r="E2598" i="1"/>
  <c r="A2598" i="1" s="1"/>
  <c r="C2598" i="1"/>
  <c r="D2598" i="1" s="1"/>
  <c r="B2598" i="1"/>
  <c r="N2597" i="1"/>
  <c r="E2597" i="1"/>
  <c r="A2597" i="1" s="1"/>
  <c r="C2597" i="1"/>
  <c r="D2597" i="1" s="1"/>
  <c r="B2597" i="1"/>
  <c r="N2596" i="1"/>
  <c r="E2596" i="1"/>
  <c r="A2596" i="1" s="1"/>
  <c r="C2596" i="1"/>
  <c r="D2596" i="1" s="1"/>
  <c r="B2596" i="1"/>
  <c r="N2595" i="1"/>
  <c r="E2595" i="1"/>
  <c r="A2595" i="1" s="1"/>
  <c r="C2595" i="1"/>
  <c r="D2595" i="1" s="1"/>
  <c r="B2595" i="1"/>
  <c r="N2594" i="1"/>
  <c r="E2594" i="1"/>
  <c r="A2594" i="1" s="1"/>
  <c r="C2594" i="1"/>
  <c r="D2594" i="1" s="1"/>
  <c r="B2594" i="1"/>
  <c r="N2593" i="1"/>
  <c r="E2593" i="1"/>
  <c r="A2593" i="1" s="1"/>
  <c r="C2593" i="1"/>
  <c r="D2593" i="1" s="1"/>
  <c r="B2593" i="1"/>
  <c r="N2592" i="1"/>
  <c r="E2592" i="1"/>
  <c r="A2592" i="1" s="1"/>
  <c r="C2592" i="1"/>
  <c r="D2592" i="1" s="1"/>
  <c r="B2592" i="1"/>
  <c r="N2591" i="1"/>
  <c r="E2591" i="1"/>
  <c r="A2591" i="1" s="1"/>
  <c r="C2591" i="1"/>
  <c r="D2591" i="1" s="1"/>
  <c r="B2591" i="1"/>
  <c r="N2590" i="1"/>
  <c r="E2590" i="1"/>
  <c r="A2590" i="1" s="1"/>
  <c r="C2590" i="1"/>
  <c r="D2590" i="1" s="1"/>
  <c r="B2590" i="1"/>
  <c r="N2589" i="1"/>
  <c r="E2589" i="1"/>
  <c r="C2589" i="1"/>
  <c r="D2589" i="1" s="1"/>
  <c r="B2589" i="1"/>
  <c r="A2589" i="1"/>
  <c r="N2588" i="1"/>
  <c r="E2588" i="1"/>
  <c r="A2588" i="1" s="1"/>
  <c r="C2588" i="1"/>
  <c r="D2588" i="1" s="1"/>
  <c r="B2588" i="1"/>
  <c r="N2587" i="1"/>
  <c r="E2587" i="1"/>
  <c r="A2587" i="1" s="1"/>
  <c r="C2587" i="1"/>
  <c r="D2587" i="1" s="1"/>
  <c r="B2587" i="1"/>
  <c r="N2586" i="1"/>
  <c r="E2586" i="1"/>
  <c r="A2586" i="1" s="1"/>
  <c r="C2586" i="1"/>
  <c r="D2586" i="1" s="1"/>
  <c r="B2586" i="1"/>
  <c r="N2585" i="1"/>
  <c r="E2585" i="1"/>
  <c r="A2585" i="1" s="1"/>
  <c r="C2585" i="1"/>
  <c r="D2585" i="1" s="1"/>
  <c r="B2585" i="1"/>
  <c r="N2584" i="1"/>
  <c r="E2584" i="1"/>
  <c r="A2584" i="1" s="1"/>
  <c r="C2584" i="1"/>
  <c r="D2584" i="1" s="1"/>
  <c r="B2584" i="1"/>
  <c r="N2583" i="1"/>
  <c r="E2583" i="1"/>
  <c r="A2583" i="1" s="1"/>
  <c r="C2583" i="1"/>
  <c r="D2583" i="1" s="1"/>
  <c r="B2583" i="1"/>
  <c r="N2582" i="1"/>
  <c r="E2582" i="1"/>
  <c r="A2582" i="1" s="1"/>
  <c r="C2582" i="1"/>
  <c r="D2582" i="1" s="1"/>
  <c r="B2582" i="1"/>
  <c r="N2581" i="1"/>
  <c r="E2581" i="1"/>
  <c r="A2581" i="1" s="1"/>
  <c r="C2581" i="1"/>
  <c r="D2581" i="1" s="1"/>
  <c r="B2581" i="1"/>
  <c r="N2580" i="1"/>
  <c r="E2580" i="1"/>
  <c r="A2580" i="1" s="1"/>
  <c r="C2580" i="1"/>
  <c r="D2580" i="1" s="1"/>
  <c r="B2580" i="1"/>
  <c r="N2579" i="1"/>
  <c r="E2579" i="1"/>
  <c r="C2579" i="1"/>
  <c r="D2579" i="1" s="1"/>
  <c r="B2579" i="1"/>
  <c r="A2579" i="1"/>
  <c r="N2578" i="1"/>
  <c r="E2578" i="1"/>
  <c r="A2578" i="1" s="1"/>
  <c r="C2578" i="1"/>
  <c r="D2578" i="1" s="1"/>
  <c r="B2578" i="1"/>
  <c r="N2577" i="1"/>
  <c r="E2577" i="1"/>
  <c r="A2577" i="1" s="1"/>
  <c r="C2577" i="1"/>
  <c r="D2577" i="1" s="1"/>
  <c r="B2577" i="1"/>
  <c r="N2576" i="1"/>
  <c r="E2576" i="1"/>
  <c r="A2576" i="1" s="1"/>
  <c r="C2576" i="1"/>
  <c r="D2576" i="1" s="1"/>
  <c r="B2576" i="1"/>
  <c r="N2575" i="1"/>
  <c r="E2575" i="1"/>
  <c r="A2575" i="1" s="1"/>
  <c r="C2575" i="1"/>
  <c r="D2575" i="1" s="1"/>
  <c r="B2575" i="1"/>
  <c r="N2574" i="1"/>
  <c r="E2574" i="1"/>
  <c r="A2574" i="1" s="1"/>
  <c r="C2574" i="1"/>
  <c r="D2574" i="1" s="1"/>
  <c r="B2574" i="1"/>
  <c r="N2573" i="1"/>
  <c r="E2573" i="1"/>
  <c r="A2573" i="1" s="1"/>
  <c r="C2573" i="1"/>
  <c r="D2573" i="1" s="1"/>
  <c r="B2573" i="1"/>
  <c r="N2572" i="1"/>
  <c r="E2572" i="1"/>
  <c r="A2572" i="1" s="1"/>
  <c r="C2572" i="1"/>
  <c r="D2572" i="1" s="1"/>
  <c r="B2572" i="1"/>
  <c r="N2571" i="1"/>
  <c r="E2571" i="1"/>
  <c r="A2571" i="1" s="1"/>
  <c r="C2571" i="1"/>
  <c r="D2571" i="1" s="1"/>
  <c r="B2571" i="1"/>
  <c r="N2570" i="1"/>
  <c r="E2570" i="1"/>
  <c r="A2570" i="1" s="1"/>
  <c r="C2570" i="1"/>
  <c r="D2570" i="1" s="1"/>
  <c r="B2570" i="1"/>
  <c r="N2569" i="1"/>
  <c r="E2569" i="1"/>
  <c r="A2569" i="1" s="1"/>
  <c r="C2569" i="1"/>
  <c r="D2569" i="1" s="1"/>
  <c r="B2569" i="1"/>
  <c r="N2568" i="1"/>
  <c r="E2568" i="1"/>
  <c r="A2568" i="1" s="1"/>
  <c r="C2568" i="1"/>
  <c r="D2568" i="1" s="1"/>
  <c r="B2568" i="1"/>
  <c r="N2567" i="1"/>
  <c r="E2567" i="1"/>
  <c r="C2567" i="1"/>
  <c r="D2567" i="1" s="1"/>
  <c r="B2567" i="1"/>
  <c r="A2567" i="1"/>
  <c r="N2566" i="1"/>
  <c r="E2566" i="1"/>
  <c r="A2566" i="1" s="1"/>
  <c r="C2566" i="1"/>
  <c r="D2566" i="1" s="1"/>
  <c r="B2566" i="1"/>
  <c r="N2565" i="1"/>
  <c r="E2565" i="1"/>
  <c r="C2565" i="1"/>
  <c r="D2565" i="1" s="1"/>
  <c r="B2565" i="1"/>
  <c r="A2565" i="1"/>
  <c r="N2564" i="1"/>
  <c r="E2564" i="1"/>
  <c r="A2564" i="1" s="1"/>
  <c r="C2564" i="1"/>
  <c r="D2564" i="1" s="1"/>
  <c r="B2564" i="1"/>
  <c r="N2563" i="1"/>
  <c r="E2563" i="1"/>
  <c r="A2563" i="1" s="1"/>
  <c r="C2563" i="1"/>
  <c r="D2563" i="1" s="1"/>
  <c r="B2563" i="1"/>
  <c r="N2562" i="1"/>
  <c r="E2562" i="1"/>
  <c r="A2562" i="1" s="1"/>
  <c r="C2562" i="1"/>
  <c r="D2562" i="1" s="1"/>
  <c r="B2562" i="1"/>
  <c r="N2561" i="1"/>
  <c r="E2561" i="1"/>
  <c r="A2561" i="1" s="1"/>
  <c r="C2561" i="1"/>
  <c r="D2561" i="1" s="1"/>
  <c r="B2561" i="1"/>
  <c r="N2560" i="1"/>
  <c r="E2560" i="1"/>
  <c r="C2560" i="1"/>
  <c r="D2560" i="1" s="1"/>
  <c r="B2560" i="1"/>
  <c r="A2560" i="1"/>
  <c r="N2559" i="1"/>
  <c r="E2559" i="1"/>
  <c r="A2559" i="1" s="1"/>
  <c r="C2559" i="1"/>
  <c r="D2559" i="1" s="1"/>
  <c r="B2559" i="1"/>
  <c r="N2558" i="1"/>
  <c r="E2558" i="1"/>
  <c r="C2558" i="1"/>
  <c r="D2558" i="1" s="1"/>
  <c r="B2558" i="1"/>
  <c r="A2558" i="1"/>
  <c r="N2557" i="1"/>
  <c r="E2557" i="1"/>
  <c r="C2557" i="1"/>
  <c r="D2557" i="1" s="1"/>
  <c r="B2557" i="1"/>
  <c r="A2557" i="1"/>
  <c r="N2556" i="1"/>
  <c r="E2556" i="1"/>
  <c r="C2556" i="1"/>
  <c r="D2556" i="1" s="1"/>
  <c r="B2556" i="1"/>
  <c r="A2556" i="1"/>
  <c r="N2555" i="1"/>
  <c r="E2555" i="1"/>
  <c r="A2555" i="1" s="1"/>
  <c r="C2555" i="1"/>
  <c r="D2555" i="1" s="1"/>
  <c r="B2555" i="1"/>
  <c r="N2554" i="1"/>
  <c r="E2554" i="1"/>
  <c r="A2554" i="1" s="1"/>
  <c r="C2554" i="1"/>
  <c r="D2554" i="1" s="1"/>
  <c r="B2554" i="1"/>
  <c r="N2553" i="1"/>
  <c r="E2553" i="1"/>
  <c r="A2553" i="1" s="1"/>
  <c r="C2553" i="1"/>
  <c r="D2553" i="1" s="1"/>
  <c r="B2553" i="1"/>
  <c r="N2552" i="1"/>
  <c r="E2552" i="1"/>
  <c r="A2552" i="1" s="1"/>
  <c r="C2552" i="1"/>
  <c r="D2552" i="1" s="1"/>
  <c r="B2552" i="1"/>
  <c r="N2551" i="1"/>
  <c r="E2551" i="1"/>
  <c r="A2551" i="1" s="1"/>
  <c r="C2551" i="1"/>
  <c r="D2551" i="1" s="1"/>
  <c r="B2551" i="1"/>
  <c r="N2550" i="1"/>
  <c r="E2550" i="1"/>
  <c r="A2550" i="1" s="1"/>
  <c r="C2550" i="1"/>
  <c r="D2550" i="1" s="1"/>
  <c r="B2550" i="1"/>
  <c r="N2549" i="1"/>
  <c r="E2549" i="1"/>
  <c r="A2549" i="1" s="1"/>
  <c r="C2549" i="1"/>
  <c r="D2549" i="1" s="1"/>
  <c r="B2549" i="1"/>
  <c r="N2548" i="1"/>
  <c r="E2548" i="1"/>
  <c r="A2548" i="1" s="1"/>
  <c r="C2548" i="1"/>
  <c r="D2548" i="1" s="1"/>
  <c r="B2548" i="1"/>
  <c r="N2547" i="1"/>
  <c r="E2547" i="1"/>
  <c r="A2547" i="1" s="1"/>
  <c r="C2547" i="1"/>
  <c r="D2547" i="1" s="1"/>
  <c r="B2547" i="1"/>
  <c r="N2546" i="1"/>
  <c r="E2546" i="1"/>
  <c r="A2546" i="1" s="1"/>
  <c r="C2546" i="1"/>
  <c r="D2546" i="1" s="1"/>
  <c r="B2546" i="1"/>
  <c r="N2545" i="1"/>
  <c r="E2545" i="1"/>
  <c r="A2545" i="1" s="1"/>
  <c r="C2545" i="1"/>
  <c r="D2545" i="1" s="1"/>
  <c r="B2545" i="1"/>
  <c r="N2544" i="1"/>
  <c r="E2544" i="1"/>
  <c r="A2544" i="1" s="1"/>
  <c r="C2544" i="1"/>
  <c r="D2544" i="1" s="1"/>
  <c r="B2544" i="1"/>
  <c r="N2543" i="1"/>
  <c r="E2543" i="1"/>
  <c r="A2543" i="1" s="1"/>
  <c r="C2543" i="1"/>
  <c r="D2543" i="1" s="1"/>
  <c r="B2543" i="1"/>
  <c r="N2542" i="1"/>
  <c r="E2542" i="1"/>
  <c r="A2542" i="1" s="1"/>
  <c r="C2542" i="1"/>
  <c r="D2542" i="1" s="1"/>
  <c r="B2542" i="1"/>
  <c r="N2541" i="1"/>
  <c r="E2541" i="1"/>
  <c r="A2541" i="1" s="1"/>
  <c r="C2541" i="1"/>
  <c r="D2541" i="1" s="1"/>
  <c r="B2541" i="1"/>
  <c r="N2540" i="1"/>
  <c r="E2540" i="1"/>
  <c r="A2540" i="1" s="1"/>
  <c r="C2540" i="1"/>
  <c r="D2540" i="1" s="1"/>
  <c r="B2540" i="1"/>
  <c r="N2539" i="1"/>
  <c r="E2539" i="1"/>
  <c r="A2539" i="1" s="1"/>
  <c r="C2539" i="1"/>
  <c r="D2539" i="1" s="1"/>
  <c r="B2539" i="1"/>
  <c r="N2538" i="1"/>
  <c r="E2538" i="1"/>
  <c r="A2538" i="1" s="1"/>
  <c r="C2538" i="1"/>
  <c r="D2538" i="1" s="1"/>
  <c r="B2538" i="1"/>
  <c r="N2537" i="1"/>
  <c r="E2537" i="1"/>
  <c r="A2537" i="1" s="1"/>
  <c r="C2537" i="1"/>
  <c r="D2537" i="1" s="1"/>
  <c r="B2537" i="1"/>
  <c r="N2536" i="1"/>
  <c r="E2536" i="1"/>
  <c r="A2536" i="1" s="1"/>
  <c r="C2536" i="1"/>
  <c r="D2536" i="1" s="1"/>
  <c r="B2536" i="1"/>
  <c r="N2535" i="1"/>
  <c r="E2535" i="1"/>
  <c r="A2535" i="1" s="1"/>
  <c r="C2535" i="1"/>
  <c r="D2535" i="1" s="1"/>
  <c r="B2535" i="1"/>
  <c r="N2534" i="1"/>
  <c r="E2534" i="1"/>
  <c r="A2534" i="1" s="1"/>
  <c r="C2534" i="1"/>
  <c r="D2534" i="1" s="1"/>
  <c r="B2534" i="1"/>
  <c r="N2533" i="1"/>
  <c r="E2533" i="1"/>
  <c r="A2533" i="1" s="1"/>
  <c r="C2533" i="1"/>
  <c r="D2533" i="1" s="1"/>
  <c r="B2533" i="1"/>
  <c r="N2532" i="1"/>
  <c r="E2532" i="1"/>
  <c r="A2532" i="1" s="1"/>
  <c r="C2532" i="1"/>
  <c r="D2532" i="1" s="1"/>
  <c r="B2532" i="1"/>
  <c r="N2531" i="1"/>
  <c r="E2531" i="1"/>
  <c r="A2531" i="1" s="1"/>
  <c r="C2531" i="1"/>
  <c r="D2531" i="1" s="1"/>
  <c r="B2531" i="1"/>
  <c r="N2530" i="1"/>
  <c r="E2530" i="1"/>
  <c r="A2530" i="1" s="1"/>
  <c r="C2530" i="1"/>
  <c r="D2530" i="1" s="1"/>
  <c r="B2530" i="1"/>
  <c r="N2529" i="1"/>
  <c r="E2529" i="1"/>
  <c r="A2529" i="1" s="1"/>
  <c r="C2529" i="1"/>
  <c r="D2529" i="1" s="1"/>
  <c r="B2529" i="1"/>
  <c r="N2528" i="1"/>
  <c r="E2528" i="1"/>
  <c r="A2528" i="1" s="1"/>
  <c r="C2528" i="1"/>
  <c r="D2528" i="1" s="1"/>
  <c r="B2528" i="1"/>
  <c r="N2527" i="1"/>
  <c r="E2527" i="1"/>
  <c r="A2527" i="1" s="1"/>
  <c r="C2527" i="1"/>
  <c r="D2527" i="1" s="1"/>
  <c r="B2527" i="1"/>
  <c r="N2526" i="1"/>
  <c r="E2526" i="1"/>
  <c r="A2526" i="1" s="1"/>
  <c r="C2526" i="1"/>
  <c r="D2526" i="1" s="1"/>
  <c r="B2526" i="1"/>
  <c r="N2525" i="1"/>
  <c r="E2525" i="1"/>
  <c r="A2525" i="1" s="1"/>
  <c r="C2525" i="1"/>
  <c r="D2525" i="1" s="1"/>
  <c r="B2525" i="1"/>
  <c r="N2524" i="1"/>
  <c r="E2524" i="1"/>
  <c r="A2524" i="1" s="1"/>
  <c r="C2524" i="1"/>
  <c r="D2524" i="1" s="1"/>
  <c r="B2524" i="1"/>
  <c r="N2523" i="1"/>
  <c r="E2523" i="1"/>
  <c r="A2523" i="1" s="1"/>
  <c r="C2523" i="1"/>
  <c r="D2523" i="1" s="1"/>
  <c r="B2523" i="1"/>
  <c r="N2522" i="1"/>
  <c r="E2522" i="1"/>
  <c r="A2522" i="1" s="1"/>
  <c r="C2522" i="1"/>
  <c r="D2522" i="1" s="1"/>
  <c r="B2522" i="1"/>
  <c r="N2521" i="1"/>
  <c r="E2521" i="1"/>
  <c r="A2521" i="1" s="1"/>
  <c r="C2521" i="1"/>
  <c r="D2521" i="1" s="1"/>
  <c r="B2521" i="1"/>
  <c r="N2520" i="1"/>
  <c r="E2520" i="1"/>
  <c r="A2520" i="1" s="1"/>
  <c r="C2520" i="1"/>
  <c r="D2520" i="1" s="1"/>
  <c r="B2520" i="1"/>
  <c r="N2519" i="1"/>
  <c r="E2519" i="1"/>
  <c r="A2519" i="1" s="1"/>
  <c r="C2519" i="1"/>
  <c r="D2519" i="1" s="1"/>
  <c r="B2519" i="1"/>
  <c r="N2518" i="1"/>
  <c r="E2518" i="1"/>
  <c r="A2518" i="1" s="1"/>
  <c r="C2518" i="1"/>
  <c r="D2518" i="1" s="1"/>
  <c r="B2518" i="1"/>
  <c r="N2517" i="1"/>
  <c r="E2517" i="1"/>
  <c r="A2517" i="1" s="1"/>
  <c r="C2517" i="1"/>
  <c r="D2517" i="1" s="1"/>
  <c r="B2517" i="1"/>
  <c r="N2516" i="1"/>
  <c r="E2516" i="1"/>
  <c r="A2516" i="1" s="1"/>
  <c r="C2516" i="1"/>
  <c r="D2516" i="1" s="1"/>
  <c r="B2516" i="1"/>
  <c r="N2515" i="1"/>
  <c r="E2515" i="1"/>
  <c r="C2515" i="1"/>
  <c r="D2515" i="1" s="1"/>
  <c r="B2515" i="1"/>
  <c r="A2515" i="1"/>
  <c r="N2514" i="1"/>
  <c r="E2514" i="1"/>
  <c r="C2514" i="1"/>
  <c r="D2514" i="1" s="1"/>
  <c r="B2514" i="1"/>
  <c r="A2514" i="1"/>
  <c r="N2513" i="1"/>
  <c r="E2513" i="1"/>
  <c r="A2513" i="1" s="1"/>
  <c r="C2513" i="1"/>
  <c r="D2513" i="1" s="1"/>
  <c r="B2513" i="1"/>
  <c r="N2512" i="1"/>
  <c r="E2512" i="1"/>
  <c r="A2512" i="1" s="1"/>
  <c r="C2512" i="1"/>
  <c r="D2512" i="1" s="1"/>
  <c r="B2512" i="1"/>
  <c r="N2511" i="1"/>
  <c r="E2511" i="1"/>
  <c r="A2511" i="1" s="1"/>
  <c r="C2511" i="1"/>
  <c r="D2511" i="1" s="1"/>
  <c r="B2511" i="1"/>
  <c r="N2510" i="1"/>
  <c r="E2510" i="1"/>
  <c r="A2510" i="1" s="1"/>
  <c r="C2510" i="1"/>
  <c r="D2510" i="1" s="1"/>
  <c r="B2510" i="1"/>
  <c r="N2509" i="1"/>
  <c r="E2509" i="1"/>
  <c r="C2509" i="1"/>
  <c r="D2509" i="1" s="1"/>
  <c r="B2509" i="1"/>
  <c r="A2509" i="1"/>
  <c r="N2508" i="1"/>
  <c r="E2508" i="1"/>
  <c r="C2508" i="1"/>
  <c r="D2508" i="1" s="1"/>
  <c r="B2508" i="1"/>
  <c r="A2508" i="1"/>
  <c r="N2507" i="1"/>
  <c r="E2507" i="1"/>
  <c r="A2507" i="1" s="1"/>
  <c r="C2507" i="1"/>
  <c r="D2507" i="1" s="1"/>
  <c r="B2507" i="1"/>
  <c r="N2506" i="1"/>
  <c r="E2506" i="1"/>
  <c r="C2506" i="1"/>
  <c r="D2506" i="1" s="1"/>
  <c r="B2506" i="1"/>
  <c r="A2506" i="1"/>
  <c r="N2505" i="1"/>
  <c r="E2505" i="1"/>
  <c r="C2505" i="1"/>
  <c r="D2505" i="1" s="1"/>
  <c r="B2505" i="1"/>
  <c r="A2505" i="1"/>
  <c r="N2504" i="1"/>
  <c r="E2504" i="1"/>
  <c r="C2504" i="1"/>
  <c r="D2504" i="1" s="1"/>
  <c r="B2504" i="1"/>
  <c r="A2504" i="1"/>
  <c r="N2503" i="1"/>
  <c r="E2503" i="1"/>
  <c r="C2503" i="1"/>
  <c r="D2503" i="1" s="1"/>
  <c r="B2503" i="1"/>
  <c r="A2503" i="1"/>
  <c r="N2502" i="1"/>
  <c r="E2502" i="1"/>
  <c r="A2502" i="1" s="1"/>
  <c r="C2502" i="1"/>
  <c r="D2502" i="1" s="1"/>
  <c r="B2502" i="1"/>
  <c r="N2501" i="1"/>
  <c r="E2501" i="1"/>
  <c r="C2501" i="1"/>
  <c r="D2501" i="1" s="1"/>
  <c r="B2501" i="1"/>
  <c r="A2501" i="1"/>
  <c r="N2500" i="1"/>
  <c r="E2500" i="1"/>
  <c r="A2500" i="1" s="1"/>
  <c r="C2500" i="1"/>
  <c r="D2500" i="1" s="1"/>
  <c r="B2500" i="1"/>
  <c r="N2499" i="1"/>
  <c r="E2499" i="1"/>
  <c r="A2499" i="1" s="1"/>
  <c r="C2499" i="1"/>
  <c r="D2499" i="1" s="1"/>
  <c r="B2499" i="1"/>
  <c r="N2498" i="1"/>
  <c r="E2498" i="1"/>
  <c r="A2498" i="1" s="1"/>
  <c r="C2498" i="1"/>
  <c r="D2498" i="1" s="1"/>
  <c r="B2498" i="1"/>
  <c r="N2497" i="1"/>
  <c r="E2497" i="1"/>
  <c r="C2497" i="1"/>
  <c r="D2497" i="1" s="1"/>
  <c r="B2497" i="1"/>
  <c r="A2497" i="1"/>
  <c r="N2496" i="1"/>
  <c r="E2496" i="1"/>
  <c r="C2496" i="1"/>
  <c r="D2496" i="1" s="1"/>
  <c r="B2496" i="1"/>
  <c r="A2496" i="1"/>
  <c r="N2495" i="1"/>
  <c r="E2495" i="1"/>
  <c r="C2495" i="1"/>
  <c r="D2495" i="1" s="1"/>
  <c r="B2495" i="1"/>
  <c r="A2495" i="1"/>
  <c r="N2494" i="1"/>
  <c r="E2494" i="1"/>
  <c r="A2494" i="1" s="1"/>
  <c r="C2494" i="1"/>
  <c r="D2494" i="1" s="1"/>
  <c r="B2494" i="1"/>
  <c r="N2493" i="1"/>
  <c r="E2493" i="1"/>
  <c r="A2493" i="1" s="1"/>
  <c r="C2493" i="1"/>
  <c r="D2493" i="1" s="1"/>
  <c r="B2493" i="1"/>
  <c r="N2492" i="1"/>
  <c r="E2492" i="1"/>
  <c r="A2492" i="1" s="1"/>
  <c r="C2492" i="1"/>
  <c r="D2492" i="1" s="1"/>
  <c r="B2492" i="1"/>
  <c r="N2491" i="1"/>
  <c r="E2491" i="1"/>
  <c r="A2491" i="1" s="1"/>
  <c r="C2491" i="1"/>
  <c r="D2491" i="1" s="1"/>
  <c r="B2491" i="1"/>
  <c r="N2490" i="1"/>
  <c r="E2490" i="1"/>
  <c r="A2490" i="1" s="1"/>
  <c r="C2490" i="1"/>
  <c r="D2490" i="1" s="1"/>
  <c r="B2490" i="1"/>
  <c r="N2489" i="1"/>
  <c r="E2489" i="1"/>
  <c r="A2489" i="1" s="1"/>
  <c r="C2489" i="1"/>
  <c r="D2489" i="1" s="1"/>
  <c r="B2489" i="1"/>
  <c r="N2488" i="1"/>
  <c r="E2488" i="1"/>
  <c r="A2488" i="1" s="1"/>
  <c r="C2488" i="1"/>
  <c r="D2488" i="1" s="1"/>
  <c r="B2488" i="1"/>
  <c r="N2487" i="1"/>
  <c r="E2487" i="1"/>
  <c r="A2487" i="1" s="1"/>
  <c r="C2487" i="1"/>
  <c r="D2487" i="1" s="1"/>
  <c r="B2487" i="1"/>
  <c r="N2486" i="1"/>
  <c r="E2486" i="1"/>
  <c r="A2486" i="1" s="1"/>
  <c r="C2486" i="1"/>
  <c r="D2486" i="1" s="1"/>
  <c r="B2486" i="1"/>
  <c r="N2485" i="1"/>
  <c r="E2485" i="1"/>
  <c r="A2485" i="1" s="1"/>
  <c r="C2485" i="1"/>
  <c r="D2485" i="1" s="1"/>
  <c r="B2485" i="1"/>
  <c r="N2484" i="1"/>
  <c r="E2484" i="1"/>
  <c r="A2484" i="1" s="1"/>
  <c r="C2484" i="1"/>
  <c r="D2484" i="1" s="1"/>
  <c r="B2484" i="1"/>
  <c r="N2483" i="1"/>
  <c r="E2483" i="1"/>
  <c r="C2483" i="1"/>
  <c r="D2483" i="1" s="1"/>
  <c r="B2483" i="1"/>
  <c r="A2483" i="1"/>
  <c r="N2482" i="1"/>
  <c r="E2482" i="1"/>
  <c r="A2482" i="1" s="1"/>
  <c r="C2482" i="1"/>
  <c r="D2482" i="1" s="1"/>
  <c r="B2482" i="1"/>
  <c r="N2481" i="1"/>
  <c r="E2481" i="1"/>
  <c r="A2481" i="1" s="1"/>
  <c r="C2481" i="1"/>
  <c r="D2481" i="1" s="1"/>
  <c r="B2481" i="1"/>
  <c r="N2480" i="1"/>
  <c r="E2480" i="1"/>
  <c r="A2480" i="1" s="1"/>
  <c r="C2480" i="1"/>
  <c r="D2480" i="1" s="1"/>
  <c r="B2480" i="1"/>
  <c r="N2479" i="1"/>
  <c r="E2479" i="1"/>
  <c r="A2479" i="1" s="1"/>
  <c r="C2479" i="1"/>
  <c r="D2479" i="1" s="1"/>
  <c r="B2479" i="1"/>
  <c r="N2478" i="1"/>
  <c r="E2478" i="1"/>
  <c r="A2478" i="1" s="1"/>
  <c r="C2478" i="1"/>
  <c r="D2478" i="1" s="1"/>
  <c r="B2478" i="1"/>
  <c r="N2477" i="1"/>
  <c r="E2477" i="1"/>
  <c r="A2477" i="1" s="1"/>
  <c r="C2477" i="1"/>
  <c r="D2477" i="1" s="1"/>
  <c r="B2477" i="1"/>
  <c r="N2476" i="1"/>
  <c r="E2476" i="1"/>
  <c r="A2476" i="1" s="1"/>
  <c r="C2476" i="1"/>
  <c r="D2476" i="1" s="1"/>
  <c r="B2476" i="1"/>
  <c r="N2475" i="1"/>
  <c r="E2475" i="1"/>
  <c r="A2475" i="1" s="1"/>
  <c r="C2475" i="1"/>
  <c r="D2475" i="1" s="1"/>
  <c r="B2475" i="1"/>
  <c r="N2474" i="1"/>
  <c r="E2474" i="1"/>
  <c r="A2474" i="1" s="1"/>
  <c r="C2474" i="1"/>
  <c r="D2474" i="1" s="1"/>
  <c r="B2474" i="1"/>
  <c r="N2473" i="1"/>
  <c r="E2473" i="1"/>
  <c r="A2473" i="1" s="1"/>
  <c r="C2473" i="1"/>
  <c r="D2473" i="1" s="1"/>
  <c r="B2473" i="1"/>
  <c r="N2472" i="1"/>
  <c r="E2472" i="1"/>
  <c r="A2472" i="1" s="1"/>
  <c r="C2472" i="1"/>
  <c r="D2472" i="1" s="1"/>
  <c r="B2472" i="1"/>
  <c r="N2471" i="1"/>
  <c r="E2471" i="1"/>
  <c r="A2471" i="1" s="1"/>
  <c r="C2471" i="1"/>
  <c r="D2471" i="1" s="1"/>
  <c r="B2471" i="1"/>
  <c r="N2470" i="1"/>
  <c r="E2470" i="1"/>
  <c r="A2470" i="1" s="1"/>
  <c r="C2470" i="1"/>
  <c r="D2470" i="1" s="1"/>
  <c r="B2470" i="1"/>
  <c r="N2469" i="1"/>
  <c r="E2469" i="1"/>
  <c r="A2469" i="1" s="1"/>
  <c r="C2469" i="1"/>
  <c r="D2469" i="1" s="1"/>
  <c r="B2469" i="1"/>
  <c r="N2468" i="1"/>
  <c r="E2468" i="1"/>
  <c r="A2468" i="1" s="1"/>
  <c r="C2468" i="1"/>
  <c r="D2468" i="1" s="1"/>
  <c r="B2468" i="1"/>
  <c r="N2467" i="1"/>
  <c r="E2467" i="1"/>
  <c r="C2467" i="1"/>
  <c r="D2467" i="1" s="1"/>
  <c r="B2467" i="1"/>
  <c r="A2467" i="1"/>
  <c r="N2466" i="1"/>
  <c r="E2466" i="1"/>
  <c r="A2466" i="1" s="1"/>
  <c r="C2466" i="1"/>
  <c r="D2466" i="1" s="1"/>
  <c r="B2466" i="1"/>
  <c r="N2465" i="1"/>
  <c r="E2465" i="1"/>
  <c r="C2465" i="1"/>
  <c r="D2465" i="1" s="1"/>
  <c r="B2465" i="1"/>
  <c r="A2465" i="1"/>
  <c r="N2464" i="1"/>
  <c r="E2464" i="1"/>
  <c r="C2464" i="1"/>
  <c r="D2464" i="1" s="1"/>
  <c r="B2464" i="1"/>
  <c r="A2464" i="1"/>
  <c r="N2463" i="1"/>
  <c r="E2463" i="1"/>
  <c r="C2463" i="1"/>
  <c r="D2463" i="1" s="1"/>
  <c r="B2463" i="1"/>
  <c r="A2463" i="1"/>
  <c r="N2462" i="1"/>
  <c r="E2462" i="1"/>
  <c r="A2462" i="1" s="1"/>
  <c r="C2462" i="1"/>
  <c r="D2462" i="1" s="1"/>
  <c r="B2462" i="1"/>
  <c r="N2461" i="1"/>
  <c r="E2461" i="1"/>
  <c r="A2461" i="1" s="1"/>
  <c r="C2461" i="1"/>
  <c r="D2461" i="1" s="1"/>
  <c r="B2461" i="1"/>
  <c r="N2460" i="1"/>
  <c r="E2460" i="1"/>
  <c r="A2460" i="1" s="1"/>
  <c r="C2460" i="1"/>
  <c r="D2460" i="1" s="1"/>
  <c r="B2460" i="1"/>
  <c r="N2459" i="1"/>
  <c r="E2459" i="1"/>
  <c r="A2459" i="1" s="1"/>
  <c r="C2459" i="1"/>
  <c r="D2459" i="1" s="1"/>
  <c r="B2459" i="1"/>
  <c r="N2458" i="1"/>
  <c r="E2458" i="1"/>
  <c r="A2458" i="1" s="1"/>
  <c r="C2458" i="1"/>
  <c r="D2458" i="1" s="1"/>
  <c r="B2458" i="1"/>
  <c r="N2457" i="1"/>
  <c r="E2457" i="1"/>
  <c r="A2457" i="1" s="1"/>
  <c r="C2457" i="1"/>
  <c r="D2457" i="1" s="1"/>
  <c r="B2457" i="1"/>
  <c r="N2456" i="1"/>
  <c r="E2456" i="1"/>
  <c r="A2456" i="1" s="1"/>
  <c r="C2456" i="1"/>
  <c r="D2456" i="1" s="1"/>
  <c r="B2456" i="1"/>
  <c r="E2455" i="1"/>
  <c r="A2455" i="1" s="1"/>
  <c r="C2455" i="1"/>
  <c r="D2455" i="1" s="1"/>
  <c r="B2455" i="1"/>
  <c r="N2454" i="1"/>
  <c r="E2454" i="1"/>
  <c r="C2454" i="1"/>
  <c r="D2454" i="1" s="1"/>
  <c r="B2454" i="1"/>
  <c r="A2454" i="1"/>
  <c r="N2453" i="1"/>
  <c r="E2453" i="1"/>
  <c r="A2453" i="1" s="1"/>
  <c r="C2453" i="1"/>
  <c r="D2453" i="1" s="1"/>
  <c r="B2453" i="1"/>
  <c r="N2452" i="1"/>
  <c r="E2452" i="1"/>
  <c r="C2452" i="1"/>
  <c r="D2452" i="1" s="1"/>
  <c r="B2452" i="1"/>
  <c r="A2452" i="1"/>
  <c r="N2451" i="1"/>
  <c r="E2451" i="1"/>
  <c r="C2451" i="1"/>
  <c r="D2451" i="1" s="1"/>
  <c r="B2451" i="1"/>
  <c r="A2451" i="1"/>
  <c r="N2450" i="1"/>
  <c r="E2450" i="1"/>
  <c r="C2450" i="1"/>
  <c r="D2450" i="1" s="1"/>
  <c r="B2450" i="1"/>
  <c r="A2450" i="1"/>
  <c r="N2449" i="1"/>
  <c r="E2449" i="1"/>
  <c r="C2449" i="1"/>
  <c r="D2449" i="1" s="1"/>
  <c r="B2449" i="1"/>
  <c r="A2449" i="1"/>
  <c r="N2448" i="1"/>
  <c r="E2448" i="1"/>
  <c r="A2448" i="1" s="1"/>
  <c r="C2448" i="1"/>
  <c r="D2448" i="1" s="1"/>
  <c r="B2448" i="1"/>
  <c r="N2447" i="1"/>
  <c r="E2447" i="1"/>
  <c r="A2447" i="1" s="1"/>
  <c r="C2447" i="1"/>
  <c r="D2447" i="1" s="1"/>
  <c r="B2447" i="1"/>
  <c r="N2446" i="1"/>
  <c r="E2446" i="1"/>
  <c r="A2446" i="1" s="1"/>
  <c r="C2446" i="1"/>
  <c r="D2446" i="1" s="1"/>
  <c r="B2446" i="1"/>
  <c r="N2445" i="1"/>
  <c r="E2445" i="1"/>
  <c r="C2445" i="1"/>
  <c r="D2445" i="1" s="1"/>
  <c r="B2445" i="1"/>
  <c r="A2445" i="1"/>
  <c r="N2444" i="1"/>
  <c r="E2444" i="1"/>
  <c r="A2444" i="1" s="1"/>
  <c r="C2444" i="1"/>
  <c r="D2444" i="1" s="1"/>
  <c r="B2444" i="1"/>
  <c r="N2443" i="1"/>
  <c r="E2443" i="1"/>
  <c r="A2443" i="1" s="1"/>
  <c r="C2443" i="1"/>
  <c r="D2443" i="1" s="1"/>
  <c r="B2443" i="1"/>
  <c r="N2442" i="1"/>
  <c r="E2442" i="1"/>
  <c r="C2442" i="1"/>
  <c r="D2442" i="1" s="1"/>
  <c r="B2442" i="1"/>
  <c r="A2442" i="1"/>
  <c r="N2441" i="1"/>
  <c r="E2441" i="1"/>
  <c r="A2441" i="1" s="1"/>
  <c r="C2441" i="1"/>
  <c r="D2441" i="1" s="1"/>
  <c r="B2441" i="1"/>
  <c r="N2440" i="1"/>
  <c r="E2440" i="1"/>
  <c r="A2440" i="1" s="1"/>
  <c r="C2440" i="1"/>
  <c r="D2440" i="1" s="1"/>
  <c r="B2440" i="1"/>
  <c r="N2439" i="1"/>
  <c r="E2439" i="1"/>
  <c r="A2439" i="1" s="1"/>
  <c r="C2439" i="1"/>
  <c r="D2439" i="1" s="1"/>
  <c r="B2439" i="1"/>
  <c r="N2438" i="1"/>
  <c r="E2438" i="1"/>
  <c r="A2438" i="1" s="1"/>
  <c r="C2438" i="1"/>
  <c r="D2438" i="1" s="1"/>
  <c r="B2438" i="1"/>
  <c r="N2437" i="1"/>
  <c r="E2437" i="1"/>
  <c r="A2437" i="1" s="1"/>
  <c r="C2437" i="1"/>
  <c r="D2437" i="1" s="1"/>
  <c r="B2437" i="1"/>
  <c r="N2436" i="1"/>
  <c r="E2436" i="1"/>
  <c r="A2436" i="1" s="1"/>
  <c r="C2436" i="1"/>
  <c r="D2436" i="1" s="1"/>
  <c r="B2436" i="1"/>
  <c r="E2435" i="1"/>
  <c r="C2435" i="1"/>
  <c r="D2435" i="1" s="1"/>
  <c r="B2435" i="1"/>
  <c r="A2435" i="1"/>
  <c r="E2434" i="1"/>
  <c r="C2434" i="1"/>
  <c r="D2434" i="1" s="1"/>
  <c r="B2434" i="1"/>
  <c r="A2434" i="1"/>
  <c r="N2433" i="1"/>
  <c r="E2433" i="1"/>
  <c r="A2433" i="1" s="1"/>
  <c r="C2433" i="1"/>
  <c r="D2433" i="1" s="1"/>
  <c r="B2433" i="1"/>
  <c r="N2432" i="1"/>
  <c r="E2432" i="1"/>
  <c r="A2432" i="1" s="1"/>
  <c r="C2432" i="1"/>
  <c r="D2432" i="1" s="1"/>
  <c r="B2432" i="1"/>
  <c r="N2431" i="1"/>
  <c r="E2431" i="1"/>
  <c r="A2431" i="1" s="1"/>
  <c r="C2431" i="1"/>
  <c r="D2431" i="1" s="1"/>
  <c r="B2431" i="1"/>
  <c r="N2430" i="1"/>
  <c r="E2430" i="1"/>
  <c r="C2430" i="1"/>
  <c r="D2430" i="1" s="1"/>
  <c r="B2430" i="1"/>
  <c r="A2430" i="1"/>
  <c r="N2429" i="1"/>
  <c r="E2429" i="1"/>
  <c r="C2429" i="1"/>
  <c r="D2429" i="1" s="1"/>
  <c r="B2429" i="1"/>
  <c r="A2429" i="1"/>
  <c r="N2428" i="1"/>
  <c r="E2428" i="1"/>
  <c r="A2428" i="1" s="1"/>
  <c r="C2428" i="1"/>
  <c r="D2428" i="1" s="1"/>
  <c r="B2428" i="1"/>
  <c r="N2427" i="1"/>
  <c r="E2427" i="1"/>
  <c r="A2427" i="1" s="1"/>
  <c r="C2427" i="1"/>
  <c r="D2427" i="1" s="1"/>
  <c r="B2427" i="1"/>
  <c r="N2426" i="1"/>
  <c r="E2426" i="1"/>
  <c r="A2426" i="1" s="1"/>
  <c r="C2426" i="1"/>
  <c r="D2426" i="1" s="1"/>
  <c r="B2426" i="1"/>
  <c r="N2425" i="1"/>
  <c r="E2425" i="1"/>
  <c r="A2425" i="1" s="1"/>
  <c r="C2425" i="1"/>
  <c r="D2425" i="1" s="1"/>
  <c r="B2425" i="1"/>
  <c r="N2424" i="1"/>
  <c r="E2424" i="1"/>
  <c r="A2424" i="1" s="1"/>
  <c r="C2424" i="1"/>
  <c r="D2424" i="1" s="1"/>
  <c r="B2424" i="1"/>
  <c r="N2423" i="1"/>
  <c r="E2423" i="1"/>
  <c r="A2423" i="1" s="1"/>
  <c r="C2423" i="1"/>
  <c r="D2423" i="1" s="1"/>
  <c r="B2423" i="1"/>
  <c r="N2422" i="1"/>
  <c r="E2422" i="1"/>
  <c r="A2422" i="1" s="1"/>
  <c r="C2422" i="1"/>
  <c r="D2422" i="1" s="1"/>
  <c r="B2422" i="1"/>
  <c r="N2421" i="1"/>
  <c r="E2421" i="1"/>
  <c r="A2421" i="1" s="1"/>
  <c r="C2421" i="1"/>
  <c r="D2421" i="1" s="1"/>
  <c r="B2421" i="1"/>
  <c r="N2420" i="1"/>
  <c r="E2420" i="1"/>
  <c r="A2420" i="1" s="1"/>
  <c r="C2420" i="1"/>
  <c r="D2420" i="1" s="1"/>
  <c r="B2420" i="1"/>
  <c r="N2419" i="1"/>
  <c r="E2419" i="1"/>
  <c r="A2419" i="1" s="1"/>
  <c r="C2419" i="1"/>
  <c r="D2419" i="1" s="1"/>
  <c r="B2419" i="1"/>
  <c r="N2418" i="1"/>
  <c r="E2418" i="1"/>
  <c r="A2418" i="1" s="1"/>
  <c r="C2418" i="1"/>
  <c r="D2418" i="1" s="1"/>
  <c r="B2418" i="1"/>
  <c r="N2417" i="1"/>
  <c r="E2417" i="1"/>
  <c r="A2417" i="1" s="1"/>
  <c r="C2417" i="1"/>
  <c r="D2417" i="1" s="1"/>
  <c r="B2417" i="1"/>
  <c r="N2416" i="1"/>
  <c r="E2416" i="1"/>
  <c r="A2416" i="1" s="1"/>
  <c r="C2416" i="1"/>
  <c r="D2416" i="1" s="1"/>
  <c r="B2416" i="1"/>
  <c r="N2415" i="1"/>
  <c r="E2415" i="1"/>
  <c r="A2415" i="1" s="1"/>
  <c r="C2415" i="1"/>
  <c r="D2415" i="1" s="1"/>
  <c r="B2415" i="1"/>
  <c r="E2414" i="1"/>
  <c r="C2414" i="1"/>
  <c r="D2414" i="1" s="1"/>
  <c r="B2414" i="1"/>
  <c r="A2414" i="1"/>
  <c r="N2413" i="1"/>
  <c r="E2413" i="1"/>
  <c r="C2413" i="1"/>
  <c r="D2413" i="1" s="1"/>
  <c r="B2413" i="1"/>
  <c r="A2413" i="1"/>
  <c r="N2412" i="1"/>
  <c r="E2412" i="1"/>
  <c r="A2412" i="1" s="1"/>
  <c r="C2412" i="1"/>
  <c r="D2412" i="1" s="1"/>
  <c r="B2412" i="1"/>
  <c r="E2411" i="1"/>
  <c r="C2411" i="1"/>
  <c r="D2411" i="1" s="1"/>
  <c r="B2411" i="1"/>
  <c r="A2411" i="1"/>
  <c r="N2410" i="1"/>
  <c r="E2410" i="1"/>
  <c r="A2410" i="1" s="1"/>
  <c r="C2410" i="1"/>
  <c r="D2410" i="1" s="1"/>
  <c r="B2410" i="1"/>
  <c r="N2409" i="1"/>
  <c r="E2409" i="1"/>
  <c r="A2409" i="1" s="1"/>
  <c r="C2409" i="1"/>
  <c r="D2409" i="1" s="1"/>
  <c r="B2409" i="1"/>
  <c r="N2408" i="1"/>
  <c r="E2408" i="1"/>
  <c r="A2408" i="1" s="1"/>
  <c r="C2408" i="1"/>
  <c r="D2408" i="1" s="1"/>
  <c r="B2408" i="1"/>
  <c r="E2407" i="1"/>
  <c r="C2407" i="1"/>
  <c r="D2407" i="1" s="1"/>
  <c r="B2407" i="1"/>
  <c r="A2407" i="1"/>
  <c r="N2406" i="1"/>
  <c r="E2406" i="1"/>
  <c r="A2406" i="1" s="1"/>
  <c r="C2406" i="1"/>
  <c r="D2406" i="1" s="1"/>
  <c r="B2406" i="1"/>
  <c r="N2405" i="1"/>
  <c r="E2405" i="1"/>
  <c r="A2405" i="1" s="1"/>
  <c r="C2405" i="1"/>
  <c r="D2405" i="1" s="1"/>
  <c r="B2405" i="1"/>
  <c r="N2404" i="1"/>
  <c r="E2404" i="1"/>
  <c r="A2404" i="1" s="1"/>
  <c r="C2404" i="1"/>
  <c r="D2404" i="1" s="1"/>
  <c r="B2404" i="1"/>
  <c r="E2403" i="1"/>
  <c r="C2403" i="1"/>
  <c r="D2403" i="1" s="1"/>
  <c r="B2403" i="1"/>
  <c r="A2403" i="1"/>
  <c r="N2402" i="1"/>
  <c r="E2402" i="1"/>
  <c r="A2402" i="1" s="1"/>
  <c r="C2402" i="1"/>
  <c r="D2402" i="1" s="1"/>
  <c r="B2402" i="1"/>
  <c r="E2401" i="1"/>
  <c r="C2401" i="1"/>
  <c r="D2401" i="1" s="1"/>
  <c r="B2401" i="1"/>
  <c r="A2401" i="1"/>
  <c r="N2400" i="1"/>
  <c r="E2400" i="1"/>
  <c r="A2400" i="1" s="1"/>
  <c r="C2400" i="1"/>
  <c r="D2400" i="1" s="1"/>
  <c r="B2400" i="1"/>
  <c r="N2399" i="1"/>
  <c r="E2399" i="1"/>
  <c r="A2399" i="1" s="1"/>
  <c r="C2399" i="1"/>
  <c r="D2399" i="1" s="1"/>
  <c r="B2399" i="1"/>
  <c r="E2398" i="1"/>
  <c r="C2398" i="1"/>
  <c r="D2398" i="1" s="1"/>
  <c r="B2398" i="1"/>
  <c r="A2398" i="1"/>
  <c r="E2397" i="1"/>
  <c r="C2397" i="1"/>
  <c r="D2397" i="1" s="1"/>
  <c r="B2397" i="1"/>
  <c r="A2397" i="1"/>
  <c r="E2396" i="1"/>
  <c r="C2396" i="1"/>
  <c r="D2396" i="1" s="1"/>
  <c r="B2396" i="1"/>
  <c r="A2396" i="1"/>
  <c r="E2395" i="1"/>
  <c r="C2395" i="1"/>
  <c r="D2395" i="1" s="1"/>
  <c r="B2395" i="1"/>
  <c r="A2395" i="1"/>
  <c r="N2394" i="1"/>
  <c r="E2394" i="1"/>
  <c r="A2394" i="1" s="1"/>
  <c r="C2394" i="1"/>
  <c r="D2394" i="1" s="1"/>
  <c r="B2394" i="1"/>
  <c r="N2393" i="1"/>
  <c r="E2393" i="1"/>
  <c r="A2393" i="1" s="1"/>
  <c r="C2393" i="1"/>
  <c r="D2393" i="1" s="1"/>
  <c r="B2393" i="1"/>
  <c r="N2392" i="1"/>
  <c r="E2392" i="1"/>
  <c r="A2392" i="1" s="1"/>
  <c r="C2392" i="1"/>
  <c r="D2392" i="1" s="1"/>
  <c r="B2392" i="1"/>
  <c r="E2391" i="1"/>
  <c r="C2391" i="1"/>
  <c r="D2391" i="1" s="1"/>
  <c r="B2391" i="1"/>
  <c r="A2391" i="1"/>
  <c r="E2390" i="1"/>
  <c r="A2390" i="1" s="1"/>
  <c r="C2390" i="1"/>
  <c r="D2390" i="1" s="1"/>
  <c r="B2390" i="1"/>
  <c r="E2389" i="1"/>
  <c r="C2389" i="1"/>
  <c r="D2389" i="1" s="1"/>
  <c r="B2389" i="1"/>
  <c r="A2389" i="1"/>
  <c r="E2388" i="1"/>
  <c r="A2388" i="1" s="1"/>
  <c r="C2388" i="1"/>
  <c r="D2388" i="1" s="1"/>
  <c r="B2388" i="1"/>
  <c r="E2387" i="1"/>
  <c r="C2387" i="1"/>
  <c r="D2387" i="1" s="1"/>
  <c r="B2387" i="1"/>
  <c r="A2387" i="1"/>
  <c r="N2386" i="1"/>
  <c r="E2386" i="1"/>
  <c r="A2386" i="1" s="1"/>
  <c r="C2386" i="1"/>
  <c r="D2386" i="1" s="1"/>
  <c r="B2386" i="1"/>
  <c r="N2385" i="1"/>
  <c r="E2385" i="1"/>
  <c r="A2385" i="1" s="1"/>
  <c r="C2385" i="1"/>
  <c r="D2385" i="1" s="1"/>
  <c r="B2385" i="1"/>
  <c r="N2384" i="1"/>
  <c r="E2384" i="1"/>
  <c r="A2384" i="1" s="1"/>
  <c r="C2384" i="1"/>
  <c r="D2384" i="1" s="1"/>
  <c r="B2384" i="1"/>
  <c r="E2383" i="1"/>
  <c r="A2383" i="1" s="1"/>
  <c r="C2383" i="1"/>
  <c r="D2383" i="1" s="1"/>
  <c r="B2383" i="1"/>
  <c r="N2382" i="1"/>
  <c r="E2382" i="1"/>
  <c r="A2382" i="1" s="1"/>
  <c r="C2382" i="1"/>
  <c r="D2382" i="1" s="1"/>
  <c r="B2382" i="1"/>
  <c r="N2381" i="1"/>
  <c r="E2381" i="1"/>
  <c r="A2381" i="1" s="1"/>
  <c r="C2381" i="1"/>
  <c r="D2381" i="1" s="1"/>
  <c r="B2381" i="1"/>
  <c r="E2380" i="1"/>
  <c r="C2380" i="1"/>
  <c r="D2380" i="1" s="1"/>
  <c r="B2380" i="1"/>
  <c r="A2380" i="1"/>
  <c r="E2379" i="1"/>
  <c r="C2379" i="1"/>
  <c r="D2379" i="1" s="1"/>
  <c r="B2379" i="1"/>
  <c r="A2379" i="1"/>
  <c r="E2378" i="1"/>
  <c r="C2378" i="1"/>
  <c r="D2378" i="1" s="1"/>
  <c r="B2378" i="1"/>
  <c r="A2378" i="1"/>
  <c r="E2377" i="1"/>
  <c r="A2377" i="1" s="1"/>
  <c r="C2377" i="1"/>
  <c r="D2377" i="1" s="1"/>
  <c r="B2377" i="1"/>
  <c r="E2376" i="1"/>
  <c r="A2376" i="1" s="1"/>
  <c r="C2376" i="1"/>
  <c r="D2376" i="1" s="1"/>
  <c r="B2376" i="1"/>
  <c r="E2375" i="1"/>
  <c r="C2375" i="1"/>
  <c r="D2375" i="1" s="1"/>
  <c r="B2375" i="1"/>
  <c r="A2375" i="1"/>
  <c r="E2374" i="1"/>
  <c r="C2374" i="1"/>
  <c r="D2374" i="1" s="1"/>
  <c r="B2374" i="1"/>
  <c r="A2374" i="1"/>
  <c r="E2373" i="1"/>
  <c r="C2373" i="1"/>
  <c r="D2373" i="1" s="1"/>
  <c r="B2373" i="1"/>
  <c r="A2373" i="1"/>
  <c r="N2372" i="1"/>
  <c r="E2372" i="1"/>
  <c r="A2372" i="1" s="1"/>
  <c r="C2372" i="1"/>
  <c r="D2372" i="1" s="1"/>
  <c r="B2372" i="1"/>
  <c r="N2371" i="1"/>
  <c r="E2371" i="1"/>
  <c r="A2371" i="1" s="1"/>
  <c r="C2371" i="1"/>
  <c r="D2371" i="1" s="1"/>
  <c r="B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E2363" i="1"/>
  <c r="C2363" i="1"/>
  <c r="D2363" i="1" s="1"/>
  <c r="B2363" i="1"/>
  <c r="A2363" i="1"/>
  <c r="E2362" i="1"/>
  <c r="C2362" i="1"/>
  <c r="D2362" i="1" s="1"/>
  <c r="B2362" i="1"/>
  <c r="A2362" i="1"/>
  <c r="E2361" i="1"/>
  <c r="C2361" i="1"/>
  <c r="D2361" i="1" s="1"/>
  <c r="B2361" i="1"/>
  <c r="A2361" i="1"/>
  <c r="E2360" i="1"/>
  <c r="C2360" i="1"/>
  <c r="D2360" i="1" s="1"/>
  <c r="B2360" i="1"/>
  <c r="A2360" i="1"/>
  <c r="E2359" i="1"/>
  <c r="C2359" i="1"/>
  <c r="D2359" i="1" s="1"/>
  <c r="B2359" i="1"/>
  <c r="A2359" i="1"/>
  <c r="E2358" i="1"/>
  <c r="C2358" i="1"/>
  <c r="D2358" i="1" s="1"/>
  <c r="B2358" i="1"/>
  <c r="A2358" i="1"/>
  <c r="E2357" i="1"/>
  <c r="C2357" i="1"/>
  <c r="D2357" i="1" s="1"/>
  <c r="B2357" i="1"/>
  <c r="A2357" i="1"/>
  <c r="E2356" i="1"/>
  <c r="C2356" i="1"/>
  <c r="D2356" i="1" s="1"/>
  <c r="B2356" i="1"/>
  <c r="A2356" i="1"/>
  <c r="E2355" i="1"/>
  <c r="C2355" i="1"/>
  <c r="D2355" i="1" s="1"/>
  <c r="B2355" i="1"/>
  <c r="A2355" i="1"/>
  <c r="E2354" i="1"/>
  <c r="C2354" i="1"/>
  <c r="D2354" i="1" s="1"/>
  <c r="B2354" i="1"/>
  <c r="A2354" i="1"/>
  <c r="E2353" i="1"/>
  <c r="C2353" i="1"/>
  <c r="D2353" i="1" s="1"/>
  <c r="B2353" i="1"/>
  <c r="A2353" i="1"/>
  <c r="E2352" i="1"/>
  <c r="C2352" i="1"/>
  <c r="D2352" i="1" s="1"/>
  <c r="B2352" i="1"/>
  <c r="A2352" i="1"/>
  <c r="E2351" i="1"/>
  <c r="C2351" i="1"/>
  <c r="D2351" i="1" s="1"/>
  <c r="B2351" i="1"/>
  <c r="A2351" i="1"/>
  <c r="E2350" i="1"/>
  <c r="C2350" i="1"/>
  <c r="D2350" i="1" s="1"/>
  <c r="B2350" i="1"/>
  <c r="A2350" i="1"/>
  <c r="E2349" i="1"/>
  <c r="C2349" i="1"/>
  <c r="D2349" i="1" s="1"/>
  <c r="B2349" i="1"/>
  <c r="A2349" i="1"/>
  <c r="N2348" i="1"/>
  <c r="E2348" i="1"/>
  <c r="C2348" i="1"/>
  <c r="D2348" i="1" s="1"/>
  <c r="B2348" i="1"/>
  <c r="A2348" i="1"/>
  <c r="N2347" i="1"/>
  <c r="E2347" i="1"/>
  <c r="A2347" i="1" s="1"/>
  <c r="C2347" i="1"/>
  <c r="D2347" i="1" s="1"/>
  <c r="B2347" i="1"/>
  <c r="E2346" i="1"/>
  <c r="C2346" i="1"/>
  <c r="D2346" i="1" s="1"/>
  <c r="B2346" i="1"/>
  <c r="A2346" i="1"/>
  <c r="E2345" i="1"/>
  <c r="C2345" i="1"/>
  <c r="D2345" i="1" s="1"/>
  <c r="B2345" i="1"/>
  <c r="A2345" i="1"/>
  <c r="E2344" i="1"/>
  <c r="C2344" i="1"/>
  <c r="D2344" i="1" s="1"/>
  <c r="B2344" i="1"/>
  <c r="A2344" i="1"/>
  <c r="N2343" i="1"/>
  <c r="E2343" i="1"/>
  <c r="A2343" i="1" s="1"/>
  <c r="C2343" i="1"/>
  <c r="D2343" i="1" s="1"/>
  <c r="B2343" i="1"/>
  <c r="E2342" i="1"/>
  <c r="C2342" i="1"/>
  <c r="D2342" i="1" s="1"/>
  <c r="B2342" i="1"/>
  <c r="A2342" i="1"/>
  <c r="E2341" i="1"/>
  <c r="C2341" i="1"/>
  <c r="D2341" i="1" s="1"/>
  <c r="B2341" i="1"/>
  <c r="A2341" i="1"/>
  <c r="E2340" i="1"/>
  <c r="C2340" i="1"/>
  <c r="D2340" i="1" s="1"/>
  <c r="B2340" i="1"/>
  <c r="A2340" i="1"/>
  <c r="E2339" i="1"/>
  <c r="C2339" i="1"/>
  <c r="D2339" i="1" s="1"/>
  <c r="B2339" i="1"/>
  <c r="A2339" i="1"/>
  <c r="E2338" i="1"/>
  <c r="C2338" i="1"/>
  <c r="D2338" i="1" s="1"/>
  <c r="B2338" i="1"/>
  <c r="A2338" i="1"/>
  <c r="E2337" i="1"/>
  <c r="C2337" i="1"/>
  <c r="D2337" i="1" s="1"/>
  <c r="B2337" i="1"/>
  <c r="A2337" i="1"/>
  <c r="E2336" i="1"/>
  <c r="C2336" i="1"/>
  <c r="D2336" i="1" s="1"/>
  <c r="B2336" i="1"/>
  <c r="A2336" i="1"/>
  <c r="E2335" i="1"/>
  <c r="C2335" i="1"/>
  <c r="D2335" i="1" s="1"/>
  <c r="B2335" i="1"/>
  <c r="A2335" i="1"/>
  <c r="E2334" i="1"/>
  <c r="C2334" i="1"/>
  <c r="D2334" i="1" s="1"/>
  <c r="B2334" i="1"/>
  <c r="A2334" i="1"/>
  <c r="E2333" i="1"/>
  <c r="C2333" i="1"/>
  <c r="D2333" i="1" s="1"/>
  <c r="B2333" i="1"/>
  <c r="A2333" i="1"/>
  <c r="E2332" i="1"/>
  <c r="C2332" i="1"/>
  <c r="D2332" i="1" s="1"/>
  <c r="B2332" i="1"/>
  <c r="A2332" i="1"/>
  <c r="E2331" i="1"/>
  <c r="C2331" i="1"/>
  <c r="D2331" i="1" s="1"/>
  <c r="B2331" i="1"/>
  <c r="A2331" i="1"/>
  <c r="E2330" i="1"/>
  <c r="C2330" i="1"/>
  <c r="D2330" i="1" s="1"/>
  <c r="B2330" i="1"/>
  <c r="A2330" i="1"/>
  <c r="E2329" i="1"/>
  <c r="C2329" i="1"/>
  <c r="D2329" i="1" s="1"/>
  <c r="B2329" i="1"/>
  <c r="A2329" i="1"/>
  <c r="E2328" i="1"/>
  <c r="C2328" i="1"/>
  <c r="D2328" i="1" s="1"/>
  <c r="B2328" i="1"/>
  <c r="A2328" i="1"/>
  <c r="E2327" i="1"/>
  <c r="C2327" i="1"/>
  <c r="D2327" i="1" s="1"/>
  <c r="B2327" i="1"/>
  <c r="A2327" i="1"/>
  <c r="E2326" i="1"/>
  <c r="C2326" i="1"/>
  <c r="D2326" i="1" s="1"/>
  <c r="B2326" i="1"/>
  <c r="A2326" i="1"/>
  <c r="N2325" i="1"/>
  <c r="E2325" i="1"/>
  <c r="A2325" i="1" s="1"/>
  <c r="C2325" i="1"/>
  <c r="D2325" i="1" s="1"/>
  <c r="B2325" i="1"/>
  <c r="E2324" i="1"/>
  <c r="C2324" i="1"/>
  <c r="D2324" i="1" s="1"/>
  <c r="B2324" i="1"/>
  <c r="A2324" i="1"/>
  <c r="N2323" i="1"/>
  <c r="E2323" i="1"/>
  <c r="A2323" i="1" s="1"/>
  <c r="C2323" i="1"/>
  <c r="D2323" i="1" s="1"/>
  <c r="B2323" i="1"/>
  <c r="E2322" i="1"/>
  <c r="C2322" i="1"/>
  <c r="D2322" i="1" s="1"/>
  <c r="B2322" i="1"/>
  <c r="A2322" i="1"/>
  <c r="E2321" i="1"/>
  <c r="C2321" i="1"/>
  <c r="D2321" i="1" s="1"/>
  <c r="B2321" i="1"/>
  <c r="A2321" i="1"/>
  <c r="E2320" i="1"/>
  <c r="C2320" i="1"/>
  <c r="D2320" i="1" s="1"/>
  <c r="B2320" i="1"/>
  <c r="A2320" i="1"/>
  <c r="E2319" i="1"/>
  <c r="C2319" i="1"/>
  <c r="D2319" i="1" s="1"/>
  <c r="B2319" i="1"/>
  <c r="A2319" i="1"/>
  <c r="E2318" i="1"/>
  <c r="C2318" i="1"/>
  <c r="D2318" i="1" s="1"/>
  <c r="B2318" i="1"/>
  <c r="A2318" i="1"/>
  <c r="E2317" i="1"/>
  <c r="C2317" i="1"/>
  <c r="D2317" i="1" s="1"/>
  <c r="B2317" i="1"/>
  <c r="A2317" i="1"/>
  <c r="E2316" i="1"/>
  <c r="C2316" i="1"/>
  <c r="D2316" i="1" s="1"/>
  <c r="B2316" i="1"/>
  <c r="A2316" i="1"/>
  <c r="E2315" i="1"/>
  <c r="C2315" i="1"/>
  <c r="D2315" i="1" s="1"/>
  <c r="B2315" i="1"/>
  <c r="A2315" i="1"/>
  <c r="E2314" i="1"/>
  <c r="C2314" i="1"/>
  <c r="D2314" i="1" s="1"/>
  <c r="B2314" i="1"/>
  <c r="A2314" i="1"/>
  <c r="E2313" i="1"/>
  <c r="C2313" i="1"/>
  <c r="D2313" i="1" s="1"/>
  <c r="B2313" i="1"/>
  <c r="A2313" i="1"/>
  <c r="E2312" i="1"/>
  <c r="C2312" i="1"/>
  <c r="D2312" i="1" s="1"/>
  <c r="B2312" i="1"/>
  <c r="A2312" i="1"/>
  <c r="E2311" i="1"/>
  <c r="C2311" i="1"/>
  <c r="D2311" i="1" s="1"/>
  <c r="B2311" i="1"/>
  <c r="A2311" i="1"/>
  <c r="E2310" i="1"/>
  <c r="C2310" i="1"/>
  <c r="D2310" i="1" s="1"/>
  <c r="B2310" i="1"/>
  <c r="A2310" i="1"/>
  <c r="E2309" i="1"/>
  <c r="C2309" i="1"/>
  <c r="D2309" i="1" s="1"/>
  <c r="B2309" i="1"/>
  <c r="A2309" i="1"/>
  <c r="N2308" i="1"/>
  <c r="E2308" i="1"/>
  <c r="A2308" i="1" s="1"/>
  <c r="C2308" i="1"/>
  <c r="D2308" i="1" s="1"/>
  <c r="B2308" i="1"/>
  <c r="N2307" i="1"/>
  <c r="E2307" i="1"/>
  <c r="A2307" i="1" s="1"/>
  <c r="C2307" i="1"/>
  <c r="D2307" i="1" s="1"/>
  <c r="B2307" i="1"/>
  <c r="E2306" i="1"/>
  <c r="C2306" i="1"/>
  <c r="D2306" i="1" s="1"/>
  <c r="B2306" i="1"/>
  <c r="A2306" i="1"/>
  <c r="N2305" i="1"/>
  <c r="E2305" i="1"/>
  <c r="A2305" i="1" s="1"/>
  <c r="C2305" i="1"/>
  <c r="D2305" i="1" s="1"/>
  <c r="B2305" i="1"/>
  <c r="E2304" i="1"/>
  <c r="A2304" i="1" s="1"/>
  <c r="C2304" i="1"/>
  <c r="D2304" i="1" s="1"/>
  <c r="B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E2292" i="1"/>
  <c r="C2292" i="1"/>
  <c r="D2292" i="1" s="1"/>
  <c r="B2292" i="1"/>
  <c r="A2292" i="1"/>
  <c r="E2291" i="1"/>
  <c r="C2291" i="1"/>
  <c r="D2291" i="1" s="1"/>
  <c r="B2291" i="1"/>
  <c r="A2291" i="1"/>
  <c r="E2290" i="1"/>
  <c r="C2290" i="1"/>
  <c r="D2290" i="1" s="1"/>
  <c r="B2290" i="1"/>
  <c r="A2290" i="1"/>
  <c r="E2289" i="1"/>
  <c r="C2289" i="1"/>
  <c r="D2289" i="1" s="1"/>
  <c r="B2289" i="1"/>
  <c r="A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A2281" i="1" s="1"/>
  <c r="C2281" i="1"/>
  <c r="D2281" i="1" s="1"/>
  <c r="B2281" i="1"/>
  <c r="E2280" i="1"/>
  <c r="A2280" i="1" s="1"/>
  <c r="C2280" i="1"/>
  <c r="D2280" i="1" s="1"/>
  <c r="B2280" i="1"/>
  <c r="E2279" i="1"/>
  <c r="C2279" i="1"/>
  <c r="D2279" i="1" s="1"/>
  <c r="B2279" i="1"/>
  <c r="A2279" i="1"/>
  <c r="E2278" i="1"/>
  <c r="C2278" i="1"/>
  <c r="D2278" i="1" s="1"/>
  <c r="B2278" i="1"/>
  <c r="A2278" i="1"/>
  <c r="E2277" i="1"/>
  <c r="C2277" i="1"/>
  <c r="D2277" i="1" s="1"/>
  <c r="B2277" i="1"/>
  <c r="A2277" i="1"/>
  <c r="E2276" i="1"/>
  <c r="A2276" i="1" s="1"/>
  <c r="C2276" i="1"/>
  <c r="D2276" i="1" s="1"/>
  <c r="B2276" i="1"/>
  <c r="E2275" i="1"/>
  <c r="A2275" i="1" s="1"/>
  <c r="C2275" i="1"/>
  <c r="D2275" i="1" s="1"/>
  <c r="B2275" i="1"/>
  <c r="E2274" i="1"/>
  <c r="A2274" i="1" s="1"/>
  <c r="C2274" i="1"/>
  <c r="D2274" i="1" s="1"/>
  <c r="B2274" i="1"/>
  <c r="E2273" i="1"/>
  <c r="C2273" i="1"/>
  <c r="D2273" i="1" s="1"/>
  <c r="B2273" i="1"/>
  <c r="A2273" i="1"/>
  <c r="N2272"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A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A2257" i="1"/>
  <c r="E2256" i="1"/>
  <c r="C2256" i="1"/>
  <c r="D2256" i="1" s="1"/>
  <c r="B2256" i="1"/>
  <c r="A2256" i="1"/>
  <c r="E2255" i="1"/>
  <c r="C2255" i="1"/>
  <c r="D2255" i="1" s="1"/>
  <c r="B2255" i="1"/>
  <c r="A2255" i="1"/>
  <c r="E2254" i="1"/>
  <c r="C2254" i="1"/>
  <c r="D2254" i="1" s="1"/>
  <c r="B2254" i="1"/>
  <c r="A2254" i="1"/>
  <c r="E2253" i="1"/>
  <c r="C2253" i="1"/>
  <c r="D2253" i="1" s="1"/>
  <c r="B2253" i="1"/>
  <c r="A2253" i="1"/>
  <c r="E2252" i="1"/>
  <c r="C2252" i="1"/>
  <c r="D2252" i="1" s="1"/>
  <c r="B2252" i="1"/>
  <c r="A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A2236" i="1"/>
  <c r="E2235" i="1"/>
  <c r="C2235" i="1"/>
  <c r="D2235" i="1" s="1"/>
  <c r="B2235" i="1"/>
  <c r="A2235" i="1"/>
  <c r="E2234" i="1"/>
  <c r="C2234" i="1"/>
  <c r="D2234" i="1" s="1"/>
  <c r="B2234" i="1"/>
  <c r="A2234" i="1"/>
  <c r="E2233" i="1"/>
  <c r="C2233" i="1"/>
  <c r="D2233" i="1" s="1"/>
  <c r="B2233" i="1"/>
  <c r="A2233" i="1"/>
  <c r="E2232" i="1"/>
  <c r="C2232" i="1"/>
  <c r="D2232" i="1" s="1"/>
  <c r="B2232" i="1"/>
  <c r="A2232" i="1"/>
  <c r="E2231" i="1"/>
  <c r="C2231" i="1"/>
  <c r="D2231" i="1" s="1"/>
  <c r="B2231" i="1"/>
  <c r="A2231" i="1"/>
  <c r="N2230" i="1"/>
  <c r="E2230" i="1"/>
  <c r="A2230" i="1" s="1"/>
  <c r="C2230" i="1"/>
  <c r="D2230" i="1" s="1"/>
  <c r="B2230" i="1"/>
  <c r="N2229" i="1"/>
  <c r="E2229" i="1"/>
  <c r="A2229" i="1" s="1"/>
  <c r="C2229" i="1"/>
  <c r="D2229" i="1" s="1"/>
  <c r="B2229" i="1"/>
  <c r="N2228" i="1"/>
  <c r="E2228" i="1"/>
  <c r="A2228" i="1" s="1"/>
  <c r="C2228" i="1"/>
  <c r="D2228" i="1" s="1"/>
  <c r="B2228" i="1"/>
  <c r="N2227" i="1"/>
  <c r="E2227" i="1"/>
  <c r="A2227" i="1" s="1"/>
  <c r="C2227" i="1"/>
  <c r="D2227" i="1" s="1"/>
  <c r="B2227" i="1"/>
  <c r="E2226" i="1"/>
  <c r="C2226" i="1"/>
  <c r="D2226" i="1" s="1"/>
  <c r="B2226" i="1"/>
  <c r="A2226" i="1"/>
  <c r="E2225" i="1"/>
  <c r="C2225" i="1"/>
  <c r="D2225" i="1" s="1"/>
  <c r="B2225" i="1"/>
  <c r="A2225" i="1"/>
  <c r="E2224" i="1"/>
  <c r="C2224" i="1"/>
  <c r="D2224" i="1" s="1"/>
  <c r="B2224" i="1"/>
  <c r="A2224" i="1"/>
  <c r="E2223" i="1"/>
  <c r="C2223" i="1"/>
  <c r="D2223" i="1" s="1"/>
  <c r="B2223" i="1"/>
  <c r="A2223" i="1"/>
  <c r="E2222" i="1"/>
  <c r="C2222" i="1"/>
  <c r="D2222" i="1" s="1"/>
  <c r="B2222" i="1"/>
  <c r="A2222" i="1"/>
  <c r="E2221" i="1"/>
  <c r="C2221" i="1"/>
  <c r="D2221" i="1" s="1"/>
  <c r="B2221" i="1"/>
  <c r="A2221" i="1"/>
  <c r="E2220" i="1"/>
  <c r="C2220" i="1"/>
  <c r="D2220" i="1" s="1"/>
  <c r="B2220" i="1"/>
  <c r="A2220" i="1"/>
  <c r="E2219" i="1"/>
  <c r="C2219" i="1"/>
  <c r="D2219" i="1" s="1"/>
  <c r="B2219" i="1"/>
  <c r="A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A2198" i="1"/>
  <c r="E2197" i="1"/>
  <c r="C2197" i="1"/>
  <c r="D2197" i="1" s="1"/>
  <c r="B2197" i="1"/>
  <c r="A2197" i="1"/>
  <c r="E2196" i="1"/>
  <c r="C2196" i="1"/>
  <c r="D2196" i="1" s="1"/>
  <c r="B2196" i="1"/>
  <c r="A2196" i="1"/>
  <c r="N2195" i="1"/>
  <c r="E2195" i="1"/>
  <c r="C2195" i="1"/>
  <c r="D2195" i="1" s="1"/>
  <c r="B2195" i="1"/>
  <c r="A2195" i="1"/>
  <c r="E2194" i="1"/>
  <c r="C2194" i="1"/>
  <c r="D2194" i="1" s="1"/>
  <c r="B2194" i="1"/>
  <c r="A2194" i="1"/>
  <c r="N2193" i="1"/>
  <c r="E2193" i="1"/>
  <c r="A2193" i="1" s="1"/>
  <c r="C2193" i="1"/>
  <c r="D2193" i="1" s="1"/>
  <c r="B2193" i="1"/>
  <c r="E2192" i="1"/>
  <c r="C2192" i="1"/>
  <c r="D2192" i="1" s="1"/>
  <c r="B2192" i="1"/>
  <c r="A2192" i="1"/>
  <c r="E2191" i="1"/>
  <c r="C2191" i="1"/>
  <c r="D2191" i="1" s="1"/>
  <c r="B2191" i="1"/>
  <c r="A2191" i="1"/>
  <c r="E2190" i="1"/>
  <c r="A2190" i="1" s="1"/>
  <c r="C2190" i="1"/>
  <c r="D2190" i="1" s="1"/>
  <c r="B2190" i="1"/>
  <c r="E2189" i="1"/>
  <c r="C2189" i="1"/>
  <c r="D2189" i="1" s="1"/>
  <c r="B2189" i="1"/>
  <c r="A2189" i="1"/>
  <c r="E2188" i="1"/>
  <c r="C2188" i="1"/>
  <c r="D2188" i="1" s="1"/>
  <c r="B2188" i="1"/>
  <c r="A2188" i="1"/>
  <c r="E2187" i="1"/>
  <c r="C2187" i="1"/>
  <c r="D2187" i="1" s="1"/>
  <c r="B2187" i="1"/>
  <c r="A2187" i="1"/>
  <c r="E2186" i="1"/>
  <c r="A2186" i="1" s="1"/>
  <c r="C2186" i="1"/>
  <c r="D2186" i="1" s="1"/>
  <c r="B2186" i="1"/>
  <c r="N2185" i="1"/>
  <c r="E2185" i="1"/>
  <c r="A2185" i="1" s="1"/>
  <c r="C2185" i="1"/>
  <c r="D2185" i="1" s="1"/>
  <c r="B2185" i="1"/>
  <c r="N2184" i="1"/>
  <c r="E2184" i="1"/>
  <c r="C2184" i="1"/>
  <c r="D2184" i="1" s="1"/>
  <c r="B2184" i="1"/>
  <c r="A2184" i="1"/>
  <c r="E2183" i="1"/>
  <c r="C2183" i="1"/>
  <c r="D2183" i="1" s="1"/>
  <c r="B2183" i="1"/>
  <c r="A2183" i="1"/>
  <c r="E2182" i="1"/>
  <c r="C2182" i="1"/>
  <c r="D2182" i="1" s="1"/>
  <c r="B2182" i="1"/>
  <c r="A2182" i="1"/>
  <c r="E2181" i="1"/>
  <c r="C2181" i="1"/>
  <c r="D2181" i="1" s="1"/>
  <c r="B2181" i="1"/>
  <c r="A2181" i="1"/>
  <c r="E2180" i="1"/>
  <c r="C2180" i="1"/>
  <c r="D2180" i="1" s="1"/>
  <c r="B2180" i="1"/>
  <c r="A2180" i="1"/>
  <c r="E2179" i="1"/>
  <c r="C2179" i="1"/>
  <c r="D2179" i="1" s="1"/>
  <c r="B2179" i="1"/>
  <c r="A2179" i="1"/>
  <c r="E2178" i="1"/>
  <c r="C2178" i="1"/>
  <c r="D2178" i="1" s="1"/>
  <c r="B2178" i="1"/>
  <c r="A2178" i="1"/>
  <c r="E2177" i="1"/>
  <c r="A2177" i="1" s="1"/>
  <c r="C2177" i="1"/>
  <c r="D2177" i="1" s="1"/>
  <c r="B2177" i="1"/>
  <c r="E2176" i="1"/>
  <c r="C2176" i="1"/>
  <c r="D2176" i="1" s="1"/>
  <c r="B2176" i="1"/>
  <c r="A2176" i="1"/>
  <c r="E2175" i="1"/>
  <c r="C2175" i="1"/>
  <c r="D2175" i="1" s="1"/>
  <c r="B2175" i="1"/>
  <c r="A2175" i="1"/>
  <c r="E2174" i="1"/>
  <c r="C2174" i="1"/>
  <c r="D2174" i="1" s="1"/>
  <c r="B2174" i="1"/>
  <c r="A2174" i="1"/>
  <c r="N2173" i="1"/>
  <c r="E2173" i="1"/>
  <c r="A2173" i="1" s="1"/>
  <c r="C2173" i="1"/>
  <c r="D2173" i="1" s="1"/>
  <c r="B2173" i="1"/>
  <c r="N2172" i="1"/>
  <c r="E2172" i="1"/>
  <c r="A2172" i="1" s="1"/>
  <c r="C2172" i="1"/>
  <c r="D2172" i="1" s="1"/>
  <c r="B2172" i="1"/>
  <c r="E2171" i="1"/>
  <c r="C2171" i="1"/>
  <c r="D2171" i="1" s="1"/>
  <c r="B2171" i="1"/>
  <c r="A2171" i="1"/>
  <c r="E2170" i="1"/>
  <c r="C2170" i="1"/>
  <c r="D2170" i="1" s="1"/>
  <c r="B2170" i="1"/>
  <c r="A2170" i="1"/>
  <c r="E2169" i="1"/>
  <c r="C2169" i="1"/>
  <c r="D2169" i="1" s="1"/>
  <c r="B2169" i="1"/>
  <c r="A2169" i="1"/>
  <c r="N2168" i="1"/>
  <c r="E2168" i="1"/>
  <c r="A2168" i="1" s="1"/>
  <c r="C2168" i="1"/>
  <c r="D2168" i="1" s="1"/>
  <c r="B2168" i="1"/>
  <c r="E2167" i="1"/>
  <c r="C2167" i="1"/>
  <c r="D2167" i="1" s="1"/>
  <c r="B2167" i="1"/>
  <c r="A2167" i="1"/>
  <c r="E2166" i="1"/>
  <c r="C2166" i="1"/>
  <c r="D2166" i="1" s="1"/>
  <c r="B2166" i="1"/>
  <c r="A2166" i="1"/>
  <c r="N2165" i="1"/>
  <c r="E2165" i="1"/>
  <c r="A2165" i="1" s="1"/>
  <c r="C2165" i="1"/>
  <c r="D2165" i="1" s="1"/>
  <c r="B2165" i="1"/>
  <c r="N2164" i="1"/>
  <c r="E2164" i="1"/>
  <c r="A2164" i="1" s="1"/>
  <c r="C2164" i="1"/>
  <c r="D2164" i="1" s="1"/>
  <c r="B2164" i="1"/>
  <c r="E2163" i="1"/>
  <c r="C2163" i="1"/>
  <c r="D2163" i="1" s="1"/>
  <c r="B2163" i="1"/>
  <c r="A2163" i="1"/>
  <c r="E2162" i="1"/>
  <c r="C2162" i="1"/>
  <c r="D2162" i="1" s="1"/>
  <c r="B2162" i="1"/>
  <c r="A2162" i="1"/>
  <c r="N2161" i="1"/>
  <c r="E2161" i="1"/>
  <c r="A2161" i="1" s="1"/>
  <c r="C2161" i="1"/>
  <c r="D2161" i="1" s="1"/>
  <c r="B2161" i="1"/>
  <c r="E2160" i="1"/>
  <c r="C2160" i="1"/>
  <c r="D2160" i="1" s="1"/>
  <c r="B2160" i="1"/>
  <c r="A2160" i="1"/>
  <c r="N2159" i="1"/>
  <c r="E2159" i="1"/>
  <c r="A2159" i="1" s="1"/>
  <c r="C2159" i="1"/>
  <c r="D2159" i="1" s="1"/>
  <c r="B2159" i="1"/>
  <c r="N2158" i="1"/>
  <c r="E2158" i="1"/>
  <c r="A2158" i="1" s="1"/>
  <c r="C2158" i="1"/>
  <c r="D2158" i="1" s="1"/>
  <c r="B2158" i="1"/>
  <c r="N2157" i="1"/>
  <c r="E2157" i="1"/>
  <c r="A2157" i="1" s="1"/>
  <c r="C2157" i="1"/>
  <c r="D2157" i="1" s="1"/>
  <c r="B2157" i="1"/>
  <c r="E2156" i="1"/>
  <c r="A2156" i="1" s="1"/>
  <c r="C2156" i="1"/>
  <c r="D2156" i="1" s="1"/>
  <c r="B2156" i="1"/>
  <c r="E2155" i="1"/>
  <c r="C2155" i="1"/>
  <c r="D2155" i="1" s="1"/>
  <c r="B2155" i="1"/>
  <c r="A2155" i="1"/>
  <c r="E2154" i="1"/>
  <c r="A2154" i="1" s="1"/>
  <c r="C2154" i="1"/>
  <c r="D2154" i="1" s="1"/>
  <c r="B2154" i="1"/>
  <c r="E2153" i="1"/>
  <c r="C2153" i="1"/>
  <c r="D2153" i="1" s="1"/>
  <c r="B2153" i="1"/>
  <c r="A2153" i="1"/>
  <c r="E2152" i="1"/>
  <c r="C2152" i="1"/>
  <c r="D2152" i="1" s="1"/>
  <c r="B2152" i="1"/>
  <c r="A2152" i="1"/>
  <c r="E2151" i="1"/>
  <c r="A2151" i="1" s="1"/>
  <c r="C2151" i="1"/>
  <c r="D2151" i="1" s="1"/>
  <c r="B2151" i="1"/>
  <c r="E2150" i="1"/>
  <c r="A2150" i="1" s="1"/>
  <c r="C2150" i="1"/>
  <c r="D2150" i="1" s="1"/>
  <c r="B2150" i="1"/>
  <c r="E2149" i="1"/>
  <c r="A2149" i="1" s="1"/>
  <c r="C2149" i="1"/>
  <c r="D2149" i="1" s="1"/>
  <c r="B2149" i="1"/>
  <c r="E2148" i="1"/>
  <c r="A2148" i="1" s="1"/>
  <c r="C2148" i="1"/>
  <c r="D2148" i="1" s="1"/>
  <c r="B2148" i="1"/>
  <c r="E2147" i="1"/>
  <c r="A2147" i="1" s="1"/>
  <c r="C2147" i="1"/>
  <c r="D2147" i="1" s="1"/>
  <c r="B2147" i="1"/>
  <c r="E2146" i="1"/>
  <c r="C2146" i="1"/>
  <c r="D2146" i="1" s="1"/>
  <c r="B2146" i="1"/>
  <c r="A2146" i="1"/>
  <c r="E2145" i="1"/>
  <c r="A2145" i="1" s="1"/>
  <c r="C2145" i="1"/>
  <c r="D2145" i="1" s="1"/>
  <c r="B2145" i="1"/>
  <c r="E2144" i="1"/>
  <c r="C2144" i="1"/>
  <c r="D2144" i="1" s="1"/>
  <c r="B2144" i="1"/>
  <c r="A2144" i="1"/>
  <c r="E2143" i="1"/>
  <c r="A2143" i="1" s="1"/>
  <c r="C2143" i="1"/>
  <c r="D2143" i="1" s="1"/>
  <c r="B2143" i="1"/>
  <c r="E2142" i="1"/>
  <c r="A2142" i="1" s="1"/>
  <c r="C2142" i="1"/>
  <c r="D2142" i="1" s="1"/>
  <c r="B2142" i="1"/>
  <c r="E2141" i="1"/>
  <c r="A2141" i="1" s="1"/>
  <c r="C2141" i="1"/>
  <c r="D2141" i="1" s="1"/>
  <c r="B2141" i="1"/>
  <c r="E2140" i="1"/>
  <c r="A2140" i="1" s="1"/>
  <c r="C2140" i="1"/>
  <c r="D2140" i="1" s="1"/>
  <c r="B2140" i="1"/>
  <c r="E2139" i="1"/>
  <c r="A2139" i="1" s="1"/>
  <c r="C2139" i="1"/>
  <c r="D2139" i="1" s="1"/>
  <c r="B2139" i="1"/>
  <c r="E2138" i="1"/>
  <c r="A2138" i="1" s="1"/>
  <c r="C2138" i="1"/>
  <c r="D2138" i="1" s="1"/>
  <c r="B2138" i="1"/>
  <c r="N2137" i="1"/>
  <c r="E2137" i="1"/>
  <c r="A2137" i="1" s="1"/>
  <c r="C2137" i="1"/>
  <c r="D2137" i="1" s="1"/>
  <c r="B2137" i="1"/>
  <c r="N2136" i="1"/>
  <c r="E2136" i="1"/>
  <c r="A2136" i="1" s="1"/>
  <c r="C2136" i="1"/>
  <c r="D2136" i="1" s="1"/>
  <c r="B2136" i="1"/>
  <c r="N2135" i="1"/>
  <c r="E2135" i="1"/>
  <c r="A2135" i="1" s="1"/>
  <c r="C2135" i="1"/>
  <c r="D2135" i="1" s="1"/>
  <c r="B2135" i="1"/>
  <c r="N2134" i="1"/>
  <c r="E2134" i="1"/>
  <c r="A2134" i="1" s="1"/>
  <c r="C2134" i="1"/>
  <c r="D2134" i="1" s="1"/>
  <c r="B2134" i="1"/>
  <c r="N2133" i="1"/>
  <c r="E2133" i="1"/>
  <c r="A2133" i="1" s="1"/>
  <c r="C2133" i="1"/>
  <c r="D2133" i="1" s="1"/>
  <c r="B2133" i="1"/>
  <c r="E2132" i="1"/>
  <c r="A2132" i="1" s="1"/>
  <c r="C2132" i="1"/>
  <c r="D2132" i="1" s="1"/>
  <c r="B2132" i="1"/>
  <c r="E2131" i="1"/>
  <c r="A2131" i="1" s="1"/>
  <c r="C2131" i="1"/>
  <c r="D2131" i="1" s="1"/>
  <c r="B2131" i="1"/>
  <c r="E2130" i="1"/>
  <c r="A2130" i="1" s="1"/>
  <c r="C2130" i="1"/>
  <c r="D2130" i="1" s="1"/>
  <c r="B2130" i="1"/>
  <c r="E2129" i="1"/>
  <c r="A2129" i="1" s="1"/>
  <c r="C2129" i="1"/>
  <c r="D2129" i="1" s="1"/>
  <c r="B2129" i="1"/>
  <c r="E2128" i="1"/>
  <c r="A2128" i="1" s="1"/>
  <c r="C2128" i="1"/>
  <c r="D2128" i="1" s="1"/>
  <c r="B2128" i="1"/>
  <c r="E2127" i="1"/>
  <c r="A2127" i="1" s="1"/>
  <c r="C2127" i="1"/>
  <c r="D2127" i="1" s="1"/>
  <c r="B2127" i="1"/>
  <c r="E2126" i="1"/>
  <c r="A2126" i="1" s="1"/>
  <c r="C2126" i="1"/>
  <c r="D2126" i="1" s="1"/>
  <c r="B2126" i="1"/>
  <c r="E2125" i="1"/>
  <c r="A2125" i="1" s="1"/>
  <c r="C2125" i="1"/>
  <c r="D2125" i="1" s="1"/>
  <c r="B2125" i="1"/>
  <c r="E2124" i="1"/>
  <c r="A2124" i="1" s="1"/>
  <c r="C2124" i="1"/>
  <c r="D2124" i="1" s="1"/>
  <c r="B2124" i="1"/>
  <c r="E2123" i="1"/>
  <c r="A2123" i="1" s="1"/>
  <c r="C2123" i="1"/>
  <c r="D2123" i="1" s="1"/>
  <c r="B2123" i="1"/>
  <c r="E2122" i="1"/>
  <c r="A2122" i="1" s="1"/>
  <c r="C2122" i="1"/>
  <c r="D2122" i="1" s="1"/>
  <c r="B2122" i="1"/>
  <c r="E2121" i="1"/>
  <c r="A2121" i="1" s="1"/>
  <c r="C2121" i="1"/>
  <c r="D2121" i="1" s="1"/>
  <c r="B2121" i="1"/>
  <c r="N2120" i="1"/>
  <c r="E2120" i="1"/>
  <c r="A2120" i="1" s="1"/>
  <c r="C2120" i="1"/>
  <c r="D2120" i="1" s="1"/>
  <c r="B2120" i="1"/>
  <c r="E2119" i="1"/>
  <c r="A2119" i="1" s="1"/>
  <c r="C2119" i="1"/>
  <c r="D2119" i="1" s="1"/>
  <c r="B2119" i="1"/>
  <c r="N2118" i="1"/>
  <c r="E2118" i="1"/>
  <c r="A2118" i="1" s="1"/>
  <c r="C2118" i="1"/>
  <c r="D2118" i="1" s="1"/>
  <c r="B2118" i="1"/>
  <c r="E2117" i="1"/>
  <c r="A2117" i="1" s="1"/>
  <c r="C2117" i="1"/>
  <c r="D2117" i="1" s="1"/>
  <c r="B2117" i="1"/>
  <c r="E2116" i="1"/>
  <c r="A2116" i="1" s="1"/>
  <c r="C2116" i="1"/>
  <c r="D2116" i="1" s="1"/>
  <c r="B2116" i="1"/>
  <c r="E2115" i="1"/>
  <c r="A2115" i="1" s="1"/>
  <c r="C2115" i="1"/>
  <c r="D2115" i="1" s="1"/>
  <c r="B2115" i="1"/>
  <c r="E2114" i="1"/>
  <c r="A2114" i="1" s="1"/>
  <c r="C2114" i="1"/>
  <c r="D2114" i="1" s="1"/>
  <c r="B2114" i="1"/>
  <c r="E2113" i="1"/>
  <c r="A2113" i="1" s="1"/>
  <c r="C2113" i="1"/>
  <c r="D2113" i="1" s="1"/>
  <c r="B2113" i="1"/>
  <c r="E2112" i="1"/>
  <c r="C2112" i="1"/>
  <c r="D2112" i="1" s="1"/>
  <c r="B2112" i="1"/>
  <c r="A2112" i="1"/>
  <c r="E2111" i="1"/>
  <c r="A2111" i="1" s="1"/>
  <c r="C2111" i="1"/>
  <c r="D2111" i="1" s="1"/>
  <c r="B2111" i="1"/>
  <c r="N2110" i="1"/>
  <c r="E2110" i="1"/>
  <c r="A2110" i="1" s="1"/>
  <c r="C2110" i="1"/>
  <c r="D2110" i="1" s="1"/>
  <c r="B2110" i="1"/>
  <c r="E2109" i="1"/>
  <c r="C2109" i="1"/>
  <c r="D2109" i="1" s="1"/>
  <c r="B2109" i="1"/>
  <c r="A2109" i="1"/>
  <c r="N2108" i="1"/>
  <c r="E2108" i="1"/>
  <c r="A2108" i="1" s="1"/>
  <c r="C2108" i="1"/>
  <c r="D2108" i="1" s="1"/>
  <c r="B2108" i="1"/>
  <c r="N2107" i="1"/>
  <c r="E2107" i="1"/>
  <c r="A2107" i="1" s="1"/>
  <c r="C2107" i="1"/>
  <c r="D2107" i="1" s="1"/>
  <c r="B2107" i="1"/>
  <c r="N2106" i="1"/>
  <c r="E2106" i="1"/>
  <c r="A2106" i="1" s="1"/>
  <c r="C2106" i="1"/>
  <c r="D2106" i="1" s="1"/>
  <c r="B2106" i="1"/>
  <c r="E2105" i="1"/>
  <c r="C2105" i="1"/>
  <c r="D2105" i="1" s="1"/>
  <c r="B2105" i="1"/>
  <c r="A2105" i="1"/>
  <c r="N2104" i="1"/>
  <c r="E2104" i="1"/>
  <c r="A2104" i="1" s="1"/>
  <c r="C2104" i="1"/>
  <c r="D2104" i="1" s="1"/>
  <c r="B2104" i="1"/>
  <c r="E2103" i="1"/>
  <c r="C2103" i="1"/>
  <c r="D2103" i="1" s="1"/>
  <c r="B2103" i="1"/>
  <c r="A2103" i="1"/>
  <c r="N2102" i="1"/>
  <c r="E2102" i="1"/>
  <c r="A2102" i="1" s="1"/>
  <c r="C2102" i="1"/>
  <c r="D2102" i="1" s="1"/>
  <c r="B2102" i="1"/>
  <c r="E2101" i="1"/>
  <c r="C2101" i="1"/>
  <c r="D2101" i="1" s="1"/>
  <c r="B2101" i="1"/>
  <c r="A2101" i="1"/>
  <c r="N2100" i="1"/>
  <c r="E2100" i="1"/>
  <c r="A2100" i="1" s="1"/>
  <c r="C2100" i="1"/>
  <c r="D2100" i="1" s="1"/>
  <c r="B2100" i="1"/>
  <c r="N2099" i="1"/>
  <c r="E2099" i="1"/>
  <c r="A2099" i="1" s="1"/>
  <c r="C2099" i="1"/>
  <c r="D2099" i="1" s="1"/>
  <c r="B2099" i="1"/>
  <c r="N2098" i="1"/>
  <c r="E2098" i="1"/>
  <c r="A2098" i="1" s="1"/>
  <c r="C2098" i="1"/>
  <c r="D2098" i="1" s="1"/>
  <c r="B2098" i="1"/>
  <c r="N2097" i="1"/>
  <c r="E2097" i="1"/>
  <c r="A2097" i="1" s="1"/>
  <c r="C2097" i="1"/>
  <c r="D2097" i="1" s="1"/>
  <c r="B2097" i="1"/>
  <c r="N2096" i="1"/>
  <c r="E2096" i="1"/>
  <c r="A2096" i="1" s="1"/>
  <c r="C2096" i="1"/>
  <c r="D2096" i="1" s="1"/>
  <c r="B2096" i="1"/>
  <c r="N2095" i="1"/>
  <c r="E2095" i="1"/>
  <c r="A2095" i="1" s="1"/>
  <c r="C2095" i="1"/>
  <c r="D2095" i="1" s="1"/>
  <c r="B2095" i="1"/>
  <c r="N2094" i="1"/>
  <c r="E2094" i="1"/>
  <c r="A2094" i="1" s="1"/>
  <c r="C2094" i="1"/>
  <c r="D2094" i="1" s="1"/>
  <c r="B2094" i="1"/>
  <c r="E2093" i="1"/>
  <c r="C2093" i="1"/>
  <c r="D2093" i="1" s="1"/>
  <c r="B2093" i="1"/>
  <c r="A2093" i="1"/>
  <c r="N2092" i="1"/>
  <c r="E2092" i="1"/>
  <c r="C2092" i="1"/>
  <c r="D2092" i="1" s="1"/>
  <c r="B2092" i="1"/>
  <c r="A2092" i="1"/>
  <c r="N2091" i="1"/>
  <c r="E2091" i="1"/>
  <c r="C2091" i="1"/>
  <c r="D2091" i="1" s="1"/>
  <c r="B2091" i="1"/>
  <c r="A2091" i="1"/>
  <c r="E2090" i="1"/>
  <c r="C2090" i="1"/>
  <c r="D2090" i="1" s="1"/>
  <c r="B2090" i="1"/>
  <c r="A2090" i="1"/>
  <c r="N2089" i="1"/>
  <c r="E2089" i="1"/>
  <c r="A2089" i="1" s="1"/>
  <c r="C2089" i="1"/>
  <c r="D2089" i="1" s="1"/>
  <c r="B2089" i="1"/>
  <c r="N2088" i="1"/>
  <c r="E2088" i="1"/>
  <c r="A2088" i="1" s="1"/>
  <c r="C2088" i="1"/>
  <c r="D2088" i="1" s="1"/>
  <c r="B2088" i="1"/>
  <c r="N2087" i="1"/>
  <c r="E2087" i="1"/>
  <c r="A2087" i="1" s="1"/>
  <c r="C2087" i="1"/>
  <c r="D2087" i="1" s="1"/>
  <c r="B2087" i="1"/>
  <c r="N2086" i="1"/>
  <c r="E2086" i="1"/>
  <c r="A2086" i="1" s="1"/>
  <c r="C2086" i="1"/>
  <c r="D2086" i="1" s="1"/>
  <c r="B2086" i="1"/>
  <c r="N2085" i="1"/>
  <c r="E2085" i="1"/>
  <c r="A2085" i="1" s="1"/>
  <c r="C2085" i="1"/>
  <c r="D2085" i="1" s="1"/>
  <c r="B2085" i="1"/>
  <c r="E2084" i="1"/>
  <c r="A2084" i="1" s="1"/>
  <c r="C2084" i="1"/>
  <c r="D2084" i="1" s="1"/>
  <c r="B2084" i="1"/>
  <c r="E2083" i="1"/>
  <c r="A2083" i="1" s="1"/>
  <c r="C2083" i="1"/>
  <c r="D2083" i="1" s="1"/>
  <c r="B2083" i="1"/>
  <c r="N2082" i="1"/>
  <c r="E2082" i="1"/>
  <c r="A2082" i="1" s="1"/>
  <c r="C2082" i="1"/>
  <c r="D2082" i="1" s="1"/>
  <c r="B2082" i="1"/>
  <c r="N2081" i="1"/>
  <c r="E2081" i="1"/>
  <c r="A2081" i="1" s="1"/>
  <c r="C2081" i="1"/>
  <c r="D2081" i="1" s="1"/>
  <c r="B2081" i="1"/>
  <c r="E2080" i="1"/>
  <c r="A2080" i="1" s="1"/>
  <c r="C2080" i="1"/>
  <c r="D2080" i="1" s="1"/>
  <c r="B2080" i="1"/>
  <c r="E2079" i="1"/>
  <c r="A2079" i="1" s="1"/>
  <c r="C2079" i="1"/>
  <c r="D2079" i="1" s="1"/>
  <c r="B2079" i="1"/>
  <c r="N2078" i="1"/>
  <c r="E2078" i="1"/>
  <c r="A2078" i="1" s="1"/>
  <c r="C2078" i="1"/>
  <c r="D2078" i="1" s="1"/>
  <c r="B2078" i="1"/>
  <c r="E2077" i="1"/>
  <c r="A2077" i="1" s="1"/>
  <c r="C2077" i="1"/>
  <c r="D2077" i="1" s="1"/>
  <c r="B2077" i="1"/>
  <c r="N2076" i="1"/>
  <c r="E2076" i="1"/>
  <c r="A2076" i="1" s="1"/>
  <c r="C2076" i="1"/>
  <c r="D2076" i="1" s="1"/>
  <c r="B2076" i="1"/>
  <c r="E2075" i="1"/>
  <c r="A2075" i="1" s="1"/>
  <c r="C2075" i="1"/>
  <c r="D2075" i="1" s="1"/>
  <c r="B2075" i="1"/>
  <c r="N2074" i="1"/>
  <c r="E2074" i="1"/>
  <c r="A2074" i="1" s="1"/>
  <c r="C2074" i="1"/>
  <c r="D2074" i="1" s="1"/>
  <c r="B2074" i="1"/>
  <c r="N2073" i="1"/>
  <c r="E2073" i="1"/>
  <c r="A2073" i="1" s="1"/>
  <c r="C2073" i="1"/>
  <c r="D2073" i="1" s="1"/>
  <c r="B2073" i="1"/>
  <c r="N2072" i="1"/>
  <c r="E2072" i="1"/>
  <c r="A2072" i="1" s="1"/>
  <c r="C2072" i="1"/>
  <c r="D2072" i="1" s="1"/>
  <c r="B2072" i="1"/>
  <c r="N2071" i="1"/>
  <c r="E2071" i="1"/>
  <c r="C2071" i="1"/>
  <c r="D2071" i="1" s="1"/>
  <c r="B2071" i="1"/>
  <c r="A2071" i="1"/>
  <c r="N2070" i="1"/>
  <c r="E2070" i="1"/>
  <c r="A2070" i="1" s="1"/>
  <c r="C2070" i="1"/>
  <c r="D2070" i="1" s="1"/>
  <c r="B2070" i="1"/>
  <c r="E2069" i="1"/>
  <c r="A2069" i="1" s="1"/>
  <c r="C2069" i="1"/>
  <c r="D2069" i="1" s="1"/>
  <c r="B2069" i="1"/>
  <c r="N2068" i="1"/>
  <c r="E2068" i="1"/>
  <c r="A2068" i="1" s="1"/>
  <c r="C2068" i="1"/>
  <c r="D2068" i="1" s="1"/>
  <c r="B2068" i="1"/>
  <c r="N2067" i="1"/>
  <c r="E2067" i="1"/>
  <c r="A2067" i="1" s="1"/>
  <c r="C2067" i="1"/>
  <c r="D2067" i="1" s="1"/>
  <c r="B2067" i="1"/>
  <c r="E2066" i="1"/>
  <c r="A2066" i="1" s="1"/>
  <c r="C2066" i="1"/>
  <c r="D2066" i="1" s="1"/>
  <c r="B2066" i="1"/>
  <c r="N2065" i="1"/>
  <c r="E2065" i="1"/>
  <c r="A2065" i="1" s="1"/>
  <c r="C2065" i="1"/>
  <c r="D2065" i="1" s="1"/>
  <c r="B2065" i="1"/>
  <c r="E2064" i="1"/>
  <c r="C2064" i="1"/>
  <c r="D2064" i="1" s="1"/>
  <c r="B2064" i="1"/>
  <c r="A2064" i="1"/>
  <c r="N2063" i="1"/>
  <c r="E2063" i="1"/>
  <c r="A2063" i="1" s="1"/>
  <c r="C2063" i="1"/>
  <c r="D2063" i="1" s="1"/>
  <c r="B2063" i="1"/>
  <c r="N2062" i="1"/>
  <c r="E2062" i="1"/>
  <c r="A2062" i="1" s="1"/>
  <c r="C2062" i="1"/>
  <c r="D2062" i="1" s="1"/>
  <c r="B2062" i="1"/>
  <c r="N2061" i="1"/>
  <c r="E2061" i="1"/>
  <c r="A2061" i="1" s="1"/>
  <c r="C2061" i="1"/>
  <c r="D2061" i="1" s="1"/>
  <c r="B2061" i="1"/>
  <c r="N2060" i="1"/>
  <c r="E2060" i="1"/>
  <c r="A2060" i="1" s="1"/>
  <c r="C2060" i="1"/>
  <c r="D2060" i="1" s="1"/>
  <c r="B2060" i="1"/>
  <c r="E2059" i="1"/>
  <c r="C2059" i="1"/>
  <c r="D2059" i="1" s="1"/>
  <c r="B2059" i="1"/>
  <c r="A2059" i="1"/>
  <c r="N2058" i="1"/>
  <c r="E2058" i="1"/>
  <c r="A2058" i="1" s="1"/>
  <c r="C2058" i="1"/>
  <c r="D2058" i="1" s="1"/>
  <c r="B2058" i="1"/>
  <c r="E2057" i="1"/>
  <c r="A2057" i="1" s="1"/>
  <c r="C2057" i="1"/>
  <c r="D2057" i="1" s="1"/>
  <c r="B2057" i="1"/>
  <c r="E2056" i="1"/>
  <c r="A2056" i="1" s="1"/>
  <c r="C2056" i="1"/>
  <c r="D2056" i="1" s="1"/>
  <c r="B2056" i="1"/>
  <c r="E2055" i="1"/>
  <c r="C2055" i="1"/>
  <c r="D2055" i="1" s="1"/>
  <c r="B2055" i="1"/>
  <c r="A2055" i="1"/>
  <c r="N2054" i="1"/>
  <c r="E2054" i="1"/>
  <c r="A2054" i="1" s="1"/>
  <c r="C2054" i="1"/>
  <c r="D2054" i="1" s="1"/>
  <c r="B2054" i="1"/>
  <c r="E2053" i="1"/>
  <c r="A2053" i="1" s="1"/>
  <c r="C2053" i="1"/>
  <c r="D2053" i="1" s="1"/>
  <c r="B2053" i="1"/>
  <c r="N2052" i="1"/>
  <c r="E2052" i="1"/>
  <c r="C2052" i="1"/>
  <c r="D2052" i="1" s="1"/>
  <c r="B2052" i="1"/>
  <c r="A2052" i="1"/>
  <c r="N2051" i="1"/>
  <c r="E2051" i="1"/>
  <c r="A2051" i="1" s="1"/>
  <c r="C2051" i="1"/>
  <c r="D2051" i="1" s="1"/>
  <c r="B2051" i="1"/>
  <c r="N2050" i="1"/>
  <c r="E2050" i="1"/>
  <c r="A2050" i="1" s="1"/>
  <c r="C2050" i="1"/>
  <c r="D2050" i="1" s="1"/>
  <c r="B2050" i="1"/>
  <c r="E2049" i="1"/>
  <c r="C2049" i="1"/>
  <c r="D2049" i="1" s="1"/>
  <c r="B2049" i="1"/>
  <c r="A2049" i="1"/>
  <c r="N2048" i="1"/>
  <c r="E2048" i="1"/>
  <c r="C2048" i="1"/>
  <c r="D2048" i="1" s="1"/>
  <c r="B2048" i="1"/>
  <c r="A2048" i="1"/>
  <c r="N2047" i="1"/>
  <c r="E2047" i="1"/>
  <c r="A2047" i="1" s="1"/>
  <c r="C2047" i="1"/>
  <c r="D2047" i="1" s="1"/>
  <c r="B2047" i="1"/>
  <c r="N2046" i="1"/>
  <c r="E2046" i="1"/>
  <c r="A2046" i="1" s="1"/>
  <c r="C2046" i="1"/>
  <c r="D2046" i="1" s="1"/>
  <c r="B2046" i="1"/>
  <c r="E2045" i="1"/>
  <c r="A2045" i="1" s="1"/>
  <c r="C2045" i="1"/>
  <c r="D2045" i="1" s="1"/>
  <c r="B2045" i="1"/>
  <c r="E2044" i="1"/>
  <c r="A2044" i="1" s="1"/>
  <c r="C2044" i="1"/>
  <c r="D2044" i="1" s="1"/>
  <c r="B2044" i="1"/>
  <c r="E2043" i="1"/>
  <c r="A2043" i="1" s="1"/>
  <c r="C2043" i="1"/>
  <c r="D2043" i="1" s="1"/>
  <c r="B2043" i="1"/>
  <c r="E2042" i="1"/>
  <c r="A2042" i="1" s="1"/>
  <c r="C2042" i="1"/>
  <c r="D2042" i="1" s="1"/>
  <c r="B2042" i="1"/>
  <c r="E2041" i="1"/>
  <c r="C2041" i="1"/>
  <c r="D2041" i="1" s="1"/>
  <c r="B2041" i="1"/>
  <c r="A2041" i="1"/>
  <c r="N2040" i="1"/>
  <c r="E2040" i="1"/>
  <c r="A2040" i="1" s="1"/>
  <c r="C2040" i="1"/>
  <c r="D2040" i="1" s="1"/>
  <c r="B2040" i="1"/>
  <c r="E2039" i="1"/>
  <c r="C2039" i="1"/>
  <c r="D2039" i="1" s="1"/>
  <c r="B2039" i="1"/>
  <c r="A2039" i="1"/>
  <c r="E2038" i="1"/>
  <c r="A2038" i="1" s="1"/>
  <c r="C2038" i="1"/>
  <c r="D2038" i="1" s="1"/>
  <c r="B2038" i="1"/>
  <c r="E2037" i="1"/>
  <c r="A2037" i="1" s="1"/>
  <c r="C2037" i="1"/>
  <c r="D2037" i="1" s="1"/>
  <c r="B2037" i="1"/>
  <c r="N2036" i="1"/>
  <c r="E2036" i="1"/>
  <c r="A2036" i="1" s="1"/>
  <c r="C2036" i="1"/>
  <c r="D2036" i="1" s="1"/>
  <c r="B2036" i="1"/>
  <c r="N2035" i="1"/>
  <c r="E2035" i="1"/>
  <c r="A2035" i="1" s="1"/>
  <c r="C2035" i="1"/>
  <c r="D2035" i="1" s="1"/>
  <c r="B2035" i="1"/>
  <c r="N2034" i="1"/>
  <c r="E2034" i="1"/>
  <c r="A2034" i="1" s="1"/>
  <c r="C2034" i="1"/>
  <c r="D2034" i="1" s="1"/>
  <c r="B2034" i="1"/>
  <c r="N2033" i="1"/>
  <c r="E2033" i="1"/>
  <c r="A2033" i="1" s="1"/>
  <c r="C2033" i="1"/>
  <c r="D2033" i="1" s="1"/>
  <c r="B2033" i="1"/>
  <c r="N2032" i="1"/>
  <c r="E2032" i="1"/>
  <c r="A2032" i="1" s="1"/>
  <c r="C2032" i="1"/>
  <c r="D2032" i="1" s="1"/>
  <c r="B2032" i="1"/>
  <c r="N2031" i="1"/>
  <c r="E2031" i="1"/>
  <c r="C2031" i="1"/>
  <c r="D2031" i="1" s="1"/>
  <c r="B2031" i="1"/>
  <c r="A2031" i="1"/>
  <c r="N2030" i="1"/>
  <c r="E2030" i="1"/>
  <c r="A2030" i="1" s="1"/>
  <c r="C2030" i="1"/>
  <c r="D2030" i="1" s="1"/>
  <c r="B2030" i="1"/>
  <c r="N2029"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C2022" i="1"/>
  <c r="D2022" i="1" s="1"/>
  <c r="B2022" i="1"/>
  <c r="A2022" i="1"/>
  <c r="E2021" i="1"/>
  <c r="C2021" i="1"/>
  <c r="D2021" i="1" s="1"/>
  <c r="B2021" i="1"/>
  <c r="A2021" i="1"/>
  <c r="E2020" i="1"/>
  <c r="C2020" i="1"/>
  <c r="D2020" i="1" s="1"/>
  <c r="B2020" i="1"/>
  <c r="A2020" i="1"/>
  <c r="N2019" i="1"/>
  <c r="E2019" i="1"/>
  <c r="A2019" i="1" s="1"/>
  <c r="C2019" i="1"/>
  <c r="D2019" i="1" s="1"/>
  <c r="B2019" i="1"/>
  <c r="E2018" i="1"/>
  <c r="C2018" i="1"/>
  <c r="D2018" i="1" s="1"/>
  <c r="B2018" i="1"/>
  <c r="A2018" i="1"/>
  <c r="N2017" i="1"/>
  <c r="E2017" i="1"/>
  <c r="A2017" i="1" s="1"/>
  <c r="C2017" i="1"/>
  <c r="D2017" i="1" s="1"/>
  <c r="B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A2011" i="1"/>
  <c r="E2010" i="1"/>
  <c r="C2010" i="1"/>
  <c r="D2010" i="1" s="1"/>
  <c r="B2010" i="1"/>
  <c r="A2010" i="1"/>
  <c r="E2009" i="1"/>
  <c r="A2009" i="1" s="1"/>
  <c r="C2009" i="1"/>
  <c r="D2009" i="1" s="1"/>
  <c r="B2009" i="1"/>
  <c r="N2008" i="1"/>
  <c r="E2008" i="1"/>
  <c r="A2008" i="1" s="1"/>
  <c r="C2008" i="1"/>
  <c r="D2008" i="1" s="1"/>
  <c r="B2008" i="1"/>
  <c r="E2007" i="1"/>
  <c r="C2007" i="1"/>
  <c r="D2007" i="1" s="1"/>
  <c r="B2007" i="1"/>
  <c r="A2007"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C1914" i="1"/>
  <c r="D1914" i="1" s="1"/>
  <c r="B1914" i="1"/>
  <c r="A1914" i="1"/>
  <c r="E1913" i="1"/>
  <c r="C1913" i="1"/>
  <c r="D1913" i="1" s="1"/>
  <c r="B1913" i="1"/>
  <c r="A1913" i="1"/>
  <c r="E1912" i="1"/>
  <c r="C1912" i="1"/>
  <c r="D1912" i="1" s="1"/>
  <c r="B1912" i="1"/>
  <c r="A1912" i="1"/>
  <c r="E1911" i="1"/>
  <c r="C1911" i="1"/>
  <c r="D1911" i="1" s="1"/>
  <c r="B1911" i="1"/>
  <c r="A1911" i="1"/>
  <c r="E1910" i="1"/>
  <c r="C1910" i="1"/>
  <c r="D1910" i="1" s="1"/>
  <c r="B1910" i="1"/>
  <c r="A1910" i="1"/>
  <c r="E1909" i="1"/>
  <c r="C1909" i="1"/>
  <c r="D1909" i="1" s="1"/>
  <c r="B1909" i="1"/>
  <c r="A1909" i="1"/>
  <c r="E1908" i="1"/>
  <c r="C1908" i="1"/>
  <c r="D1908" i="1" s="1"/>
  <c r="B1908" i="1"/>
  <c r="A1908" i="1"/>
  <c r="E1907" i="1"/>
  <c r="C1907" i="1"/>
  <c r="D1907" i="1" s="1"/>
  <c r="B1907" i="1"/>
  <c r="A1907" i="1"/>
  <c r="E1906" i="1"/>
  <c r="C1906" i="1"/>
  <c r="D1906" i="1" s="1"/>
  <c r="B1906" i="1"/>
  <c r="A1906" i="1"/>
  <c r="E1905" i="1"/>
  <c r="C1905" i="1"/>
  <c r="D1905" i="1" s="1"/>
  <c r="B1905" i="1"/>
  <c r="A1905" i="1"/>
  <c r="E1904" i="1"/>
  <c r="C1904" i="1"/>
  <c r="D1904" i="1" s="1"/>
  <c r="B1904" i="1"/>
  <c r="A1904" i="1"/>
  <c r="E1903" i="1"/>
  <c r="C1903" i="1"/>
  <c r="D1903" i="1" s="1"/>
  <c r="B1903" i="1"/>
  <c r="A1903" i="1"/>
  <c r="E1902" i="1"/>
  <c r="C1902" i="1"/>
  <c r="D1902" i="1" s="1"/>
  <c r="B1902" i="1"/>
  <c r="A1902" i="1"/>
  <c r="E1901" i="1"/>
  <c r="C1901" i="1"/>
  <c r="D1901" i="1" s="1"/>
  <c r="B1901" i="1"/>
  <c r="A1901" i="1"/>
  <c r="E1900" i="1"/>
  <c r="C1900" i="1"/>
  <c r="D1900" i="1" s="1"/>
  <c r="B1900" i="1"/>
  <c r="A1900" i="1"/>
  <c r="E1899" i="1"/>
  <c r="C1899" i="1"/>
  <c r="D1899" i="1" s="1"/>
  <c r="B1899" i="1"/>
  <c r="A1899" i="1"/>
  <c r="E1898" i="1"/>
  <c r="C1898" i="1"/>
  <c r="D1898" i="1" s="1"/>
  <c r="B1898" i="1"/>
  <c r="A1898" i="1"/>
  <c r="E1897" i="1"/>
  <c r="C1897" i="1"/>
  <c r="D1897" i="1" s="1"/>
  <c r="B1897" i="1"/>
  <c r="A1897" i="1"/>
  <c r="E1896" i="1"/>
  <c r="C1896" i="1"/>
  <c r="D1896" i="1" s="1"/>
  <c r="B1896" i="1"/>
  <c r="A1896" i="1"/>
  <c r="E1895" i="1"/>
  <c r="C1895" i="1"/>
  <c r="D1895" i="1" s="1"/>
  <c r="B1895" i="1"/>
  <c r="A1895" i="1"/>
  <c r="E1894" i="1"/>
  <c r="C1894" i="1"/>
  <c r="D1894" i="1" s="1"/>
  <c r="B1894" i="1"/>
  <c r="A1894" i="1"/>
  <c r="E1893" i="1"/>
  <c r="C1893" i="1"/>
  <c r="D1893" i="1" s="1"/>
  <c r="B1893" i="1"/>
  <c r="A1893" i="1"/>
  <c r="E1892" i="1"/>
  <c r="C1892" i="1"/>
  <c r="D1892" i="1" s="1"/>
  <c r="B1892" i="1"/>
  <c r="A1892" i="1"/>
  <c r="E1891" i="1"/>
  <c r="C1891" i="1"/>
  <c r="D1891" i="1" s="1"/>
  <c r="B1891" i="1"/>
  <c r="A1891" i="1"/>
  <c r="E1890" i="1"/>
  <c r="C1890" i="1"/>
  <c r="D1890" i="1" s="1"/>
  <c r="B1890" i="1"/>
  <c r="A1890" i="1"/>
  <c r="E1889" i="1"/>
  <c r="C1889" i="1"/>
  <c r="D1889" i="1" s="1"/>
  <c r="B1889" i="1"/>
  <c r="A1889" i="1"/>
  <c r="E1888" i="1"/>
  <c r="C1888" i="1"/>
  <c r="D1888" i="1" s="1"/>
  <c r="B1888" i="1"/>
  <c r="A1888" i="1"/>
  <c r="E1887" i="1"/>
  <c r="C1887" i="1"/>
  <c r="D1887" i="1" s="1"/>
  <c r="B1887" i="1"/>
  <c r="A1887" i="1"/>
  <c r="E1886" i="1"/>
  <c r="C1886" i="1"/>
  <c r="D1886" i="1" s="1"/>
  <c r="B1886" i="1"/>
  <c r="A1886" i="1"/>
  <c r="E1885" i="1"/>
  <c r="C1885" i="1"/>
  <c r="D1885" i="1" s="1"/>
  <c r="B1885" i="1"/>
  <c r="A1885" i="1"/>
  <c r="E1884" i="1"/>
  <c r="C1884" i="1"/>
  <c r="D1884" i="1" s="1"/>
  <c r="B1884" i="1"/>
  <c r="A1884" i="1"/>
  <c r="E1883" i="1"/>
  <c r="C1883" i="1"/>
  <c r="D1883" i="1" s="1"/>
  <c r="B1883" i="1"/>
  <c r="A1883" i="1"/>
  <c r="E1882" i="1"/>
  <c r="C1882" i="1"/>
  <c r="D1882" i="1" s="1"/>
  <c r="B1882" i="1"/>
  <c r="A1882" i="1"/>
  <c r="E1881" i="1"/>
  <c r="C1881" i="1"/>
  <c r="D1881" i="1" s="1"/>
  <c r="B1881" i="1"/>
  <c r="A1881" i="1"/>
  <c r="E1880" i="1"/>
  <c r="C1880" i="1"/>
  <c r="D1880" i="1" s="1"/>
  <c r="B1880" i="1"/>
  <c r="A1880" i="1"/>
  <c r="E1879" i="1"/>
  <c r="C1879" i="1"/>
  <c r="D1879" i="1" s="1"/>
  <c r="B1879" i="1"/>
  <c r="A1879" i="1"/>
  <c r="E1878" i="1"/>
  <c r="C1878" i="1"/>
  <c r="D1878" i="1" s="1"/>
  <c r="B1878" i="1"/>
  <c r="A1878" i="1"/>
  <c r="E1877" i="1"/>
  <c r="C1877" i="1"/>
  <c r="D1877" i="1" s="1"/>
  <c r="B1877" i="1"/>
  <c r="A1877" i="1"/>
  <c r="E1876" i="1"/>
  <c r="C1876" i="1"/>
  <c r="D1876" i="1" s="1"/>
  <c r="B1876" i="1"/>
  <c r="A1876" i="1"/>
  <c r="E1875" i="1"/>
  <c r="C1875" i="1"/>
  <c r="D1875" i="1" s="1"/>
  <c r="B1875" i="1"/>
  <c r="A1875" i="1"/>
  <c r="E1874" i="1"/>
  <c r="C1874" i="1"/>
  <c r="D1874" i="1" s="1"/>
  <c r="B1874" i="1"/>
  <c r="A1874" i="1"/>
  <c r="E1873" i="1"/>
  <c r="C1873" i="1"/>
  <c r="D1873" i="1" s="1"/>
  <c r="B1873" i="1"/>
  <c r="A1873" i="1"/>
  <c r="E1872" i="1"/>
  <c r="C1872" i="1"/>
  <c r="D1872" i="1" s="1"/>
  <c r="B1872" i="1"/>
  <c r="A1872" i="1"/>
  <c r="E1871" i="1"/>
  <c r="C1871" i="1"/>
  <c r="D1871" i="1" s="1"/>
  <c r="B1871" i="1"/>
  <c r="A1871" i="1"/>
  <c r="E1870" i="1"/>
  <c r="C1870" i="1"/>
  <c r="D1870" i="1" s="1"/>
  <c r="B1870" i="1"/>
  <c r="A1870" i="1"/>
  <c r="E1869" i="1"/>
  <c r="C1869" i="1"/>
  <c r="D1869" i="1" s="1"/>
  <c r="B1869" i="1"/>
  <c r="A1869" i="1"/>
  <c r="E1868" i="1"/>
  <c r="C1868" i="1"/>
  <c r="D1868" i="1" s="1"/>
  <c r="B1868" i="1"/>
  <c r="A1868" i="1"/>
  <c r="E1867" i="1"/>
  <c r="C1867" i="1"/>
  <c r="D1867" i="1" s="1"/>
  <c r="B1867" i="1"/>
  <c r="A1867" i="1"/>
  <c r="E1866" i="1"/>
  <c r="C1866" i="1"/>
  <c r="D1866" i="1" s="1"/>
  <c r="B1866" i="1"/>
  <c r="A1866" i="1"/>
  <c r="E1865" i="1"/>
  <c r="C1865" i="1"/>
  <c r="D1865" i="1" s="1"/>
  <c r="B1865" i="1"/>
  <c r="A1865" i="1"/>
  <c r="E1864" i="1"/>
  <c r="C1864" i="1"/>
  <c r="D1864" i="1" s="1"/>
  <c r="B1864" i="1"/>
  <c r="A1864" i="1"/>
  <c r="E1863" i="1"/>
  <c r="C1863" i="1"/>
  <c r="D1863" i="1" s="1"/>
  <c r="B1863" i="1"/>
  <c r="A1863" i="1"/>
  <c r="E1862" i="1"/>
  <c r="C1862" i="1"/>
  <c r="D1862" i="1" s="1"/>
  <c r="B1862" i="1"/>
  <c r="A1862" i="1"/>
  <c r="E1861" i="1"/>
  <c r="C1861" i="1"/>
  <c r="D1861" i="1" s="1"/>
  <c r="B1861" i="1"/>
  <c r="A1861" i="1"/>
  <c r="E1860" i="1"/>
  <c r="C1860" i="1"/>
  <c r="D1860" i="1" s="1"/>
  <c r="B1860" i="1"/>
  <c r="A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C1853" i="1"/>
  <c r="D1853" i="1" s="1"/>
  <c r="B1853" i="1"/>
  <c r="A1853" i="1"/>
  <c r="E1852" i="1"/>
  <c r="C1852" i="1"/>
  <c r="D1852" i="1" s="1"/>
  <c r="B1852" i="1"/>
  <c r="A1852" i="1"/>
  <c r="E1851" i="1"/>
  <c r="C1851" i="1"/>
  <c r="D1851" i="1" s="1"/>
  <c r="B1851" i="1"/>
  <c r="A1851" i="1"/>
  <c r="E1850" i="1"/>
  <c r="C1850" i="1"/>
  <c r="D1850" i="1" s="1"/>
  <c r="B1850" i="1"/>
  <c r="A1850" i="1"/>
  <c r="E1849" i="1"/>
  <c r="C1849" i="1"/>
  <c r="D1849" i="1" s="1"/>
  <c r="B1849" i="1"/>
  <c r="A1849" i="1"/>
  <c r="E1848" i="1"/>
  <c r="C1848" i="1"/>
  <c r="D1848" i="1" s="1"/>
  <c r="B1848" i="1"/>
  <c r="A1848" i="1"/>
  <c r="E1847" i="1"/>
  <c r="C1847" i="1"/>
  <c r="D1847" i="1" s="1"/>
  <c r="B1847" i="1"/>
  <c r="A1847" i="1"/>
  <c r="E1846" i="1"/>
  <c r="C1846" i="1"/>
  <c r="D1846" i="1" s="1"/>
  <c r="B1846" i="1"/>
  <c r="A1846" i="1"/>
  <c r="E1845" i="1"/>
  <c r="C1845" i="1"/>
  <c r="D1845" i="1" s="1"/>
  <c r="B1845" i="1"/>
  <c r="A1845" i="1"/>
  <c r="E1844" i="1"/>
  <c r="C1844" i="1"/>
  <c r="D1844" i="1" s="1"/>
  <c r="B1844" i="1"/>
  <c r="A1844" i="1"/>
  <c r="E1843" i="1"/>
  <c r="C1843" i="1"/>
  <c r="D1843" i="1" s="1"/>
  <c r="B1843" i="1"/>
  <c r="A1843" i="1"/>
  <c r="E1842" i="1"/>
  <c r="C1842" i="1"/>
  <c r="D1842" i="1" s="1"/>
  <c r="B1842" i="1"/>
  <c r="A1842" i="1"/>
  <c r="E1841" i="1"/>
  <c r="C1841" i="1"/>
  <c r="D1841" i="1" s="1"/>
  <c r="B1841" i="1"/>
  <c r="A1841" i="1"/>
  <c r="E1840" i="1"/>
  <c r="C1840" i="1"/>
  <c r="D1840" i="1" s="1"/>
  <c r="B1840" i="1"/>
  <c r="A1840" i="1"/>
  <c r="E1839" i="1"/>
  <c r="C1839" i="1"/>
  <c r="D1839" i="1" s="1"/>
  <c r="B1839" i="1"/>
  <c r="A1839" i="1"/>
  <c r="E1838" i="1"/>
  <c r="C1838" i="1"/>
  <c r="D1838" i="1" s="1"/>
  <c r="B1838" i="1"/>
  <c r="A1838" i="1"/>
  <c r="E1837" i="1"/>
  <c r="C1837" i="1"/>
  <c r="D1837" i="1" s="1"/>
  <c r="B1837" i="1"/>
  <c r="A1837" i="1"/>
  <c r="E1836" i="1"/>
  <c r="C1836" i="1"/>
  <c r="D1836" i="1" s="1"/>
  <c r="B1836" i="1"/>
  <c r="A1836" i="1"/>
  <c r="E1835" i="1"/>
  <c r="C1835" i="1"/>
  <c r="D1835" i="1" s="1"/>
  <c r="B1835" i="1"/>
  <c r="A1835" i="1"/>
  <c r="E1834" i="1"/>
  <c r="C1834" i="1"/>
  <c r="D1834" i="1" s="1"/>
  <c r="B1834" i="1"/>
  <c r="A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E1820" i="1"/>
  <c r="C1820" i="1"/>
  <c r="D1820" i="1" s="1"/>
  <c r="B1820" i="1"/>
  <c r="A1820" i="1"/>
  <c r="E1819" i="1"/>
  <c r="C1819" i="1"/>
  <c r="D1819" i="1" s="1"/>
  <c r="B1819" i="1"/>
  <c r="A1819" i="1"/>
  <c r="E1818" i="1"/>
  <c r="C1818" i="1"/>
  <c r="D1818" i="1" s="1"/>
  <c r="B1818" i="1"/>
  <c r="A1818" i="1"/>
  <c r="E1817" i="1"/>
  <c r="C1817" i="1"/>
  <c r="D1817" i="1" s="1"/>
  <c r="B1817" i="1"/>
  <c r="A1817" i="1"/>
  <c r="E1816" i="1"/>
  <c r="C1816" i="1"/>
  <c r="D1816" i="1" s="1"/>
  <c r="B1816" i="1"/>
  <c r="A1816" i="1"/>
  <c r="E1815" i="1"/>
  <c r="C1815" i="1"/>
  <c r="D1815" i="1" s="1"/>
  <c r="B1815" i="1"/>
  <c r="A1815" i="1"/>
  <c r="E1814" i="1"/>
  <c r="C1814" i="1"/>
  <c r="D1814" i="1" s="1"/>
  <c r="B1814" i="1"/>
  <c r="A1814" i="1"/>
  <c r="E1813" i="1"/>
  <c r="C1813" i="1"/>
  <c r="D1813" i="1" s="1"/>
  <c r="B1813" i="1"/>
  <c r="A1813" i="1"/>
  <c r="E1812" i="1"/>
  <c r="C1812" i="1"/>
  <c r="D1812" i="1" s="1"/>
  <c r="B1812" i="1"/>
  <c r="A1812" i="1"/>
  <c r="E1811" i="1"/>
  <c r="C1811" i="1"/>
  <c r="D1811" i="1" s="1"/>
  <c r="B1811" i="1"/>
  <c r="A1811" i="1"/>
  <c r="E1810" i="1"/>
  <c r="C1810" i="1"/>
  <c r="D1810" i="1" s="1"/>
  <c r="B1810" i="1"/>
  <c r="A1810" i="1"/>
  <c r="E1809" i="1"/>
  <c r="C1809" i="1"/>
  <c r="D1809" i="1" s="1"/>
  <c r="B1809" i="1"/>
  <c r="A1809" i="1"/>
  <c r="E1808" i="1"/>
  <c r="C1808" i="1"/>
  <c r="D1808" i="1" s="1"/>
  <c r="B1808" i="1"/>
  <c r="A1808" i="1"/>
  <c r="E1807" i="1"/>
  <c r="C1807" i="1"/>
  <c r="D1807" i="1" s="1"/>
  <c r="B1807" i="1"/>
  <c r="A1807" i="1"/>
  <c r="E1806" i="1"/>
  <c r="C1806" i="1"/>
  <c r="D1806" i="1" s="1"/>
  <c r="B1806" i="1"/>
  <c r="A1806" i="1"/>
  <c r="E1805" i="1"/>
  <c r="C1805" i="1"/>
  <c r="D1805" i="1" s="1"/>
  <c r="B1805" i="1"/>
  <c r="A1805" i="1"/>
  <c r="E1804" i="1"/>
  <c r="C1804" i="1"/>
  <c r="D1804" i="1" s="1"/>
  <c r="B1804" i="1"/>
  <c r="A1804" i="1"/>
  <c r="E1803" i="1"/>
  <c r="C1803" i="1"/>
  <c r="D1803" i="1" s="1"/>
  <c r="B1803" i="1"/>
  <c r="A1803" i="1"/>
  <c r="E1802" i="1"/>
  <c r="C1802" i="1"/>
  <c r="D1802" i="1" s="1"/>
  <c r="B1802" i="1"/>
  <c r="A1802" i="1"/>
  <c r="E1801" i="1"/>
  <c r="C1801" i="1"/>
  <c r="D1801" i="1" s="1"/>
  <c r="B1801" i="1"/>
  <c r="A1801" i="1"/>
  <c r="E1800" i="1"/>
  <c r="C1800" i="1"/>
  <c r="D1800" i="1" s="1"/>
  <c r="B1800" i="1"/>
  <c r="A1800" i="1"/>
  <c r="E1799" i="1"/>
  <c r="C1799" i="1"/>
  <c r="D1799" i="1" s="1"/>
  <c r="B1799" i="1"/>
  <c r="A1799" i="1"/>
  <c r="E1798" i="1"/>
  <c r="C1798" i="1"/>
  <c r="D1798" i="1" s="1"/>
  <c r="B1798" i="1"/>
  <c r="A1798" i="1"/>
  <c r="E1797" i="1"/>
  <c r="C1797" i="1"/>
  <c r="D1797" i="1" s="1"/>
  <c r="B1797" i="1"/>
  <c r="A1797" i="1"/>
  <c r="N1796" i="1"/>
  <c r="E1796" i="1"/>
  <c r="A1796" i="1" s="1"/>
  <c r="C1796" i="1"/>
  <c r="D1796" i="1" s="1"/>
  <c r="B1796" i="1"/>
  <c r="E1795" i="1"/>
  <c r="C1795" i="1"/>
  <c r="D1795" i="1" s="1"/>
  <c r="B1795" i="1"/>
  <c r="A1795" i="1"/>
  <c r="E1794" i="1"/>
  <c r="C1794" i="1"/>
  <c r="D1794" i="1" s="1"/>
  <c r="B1794" i="1"/>
  <c r="A1794" i="1"/>
  <c r="E1793" i="1"/>
  <c r="C1793" i="1"/>
  <c r="D1793" i="1" s="1"/>
  <c r="B1793" i="1"/>
  <c r="A1793" i="1"/>
  <c r="N1792" i="1"/>
  <c r="E1792" i="1"/>
  <c r="A1792" i="1" s="1"/>
  <c r="C1792" i="1"/>
  <c r="D1792" i="1" s="1"/>
  <c r="B1792" i="1"/>
  <c r="N1791" i="1"/>
  <c r="E1791" i="1"/>
  <c r="C1791" i="1"/>
  <c r="D1791" i="1" s="1"/>
  <c r="B1791" i="1"/>
  <c r="A1791" i="1"/>
  <c r="N1790" i="1"/>
  <c r="E1790" i="1"/>
  <c r="A1790" i="1" s="1"/>
  <c r="C1790" i="1"/>
  <c r="D1790" i="1" s="1"/>
  <c r="B1790" i="1"/>
  <c r="N1789" i="1"/>
  <c r="E1789" i="1"/>
  <c r="A1789" i="1" s="1"/>
  <c r="C1789" i="1"/>
  <c r="D1789" i="1" s="1"/>
  <c r="B1789" i="1"/>
  <c r="N1788" i="1"/>
  <c r="E1788" i="1"/>
  <c r="A1788" i="1" s="1"/>
  <c r="C1788" i="1"/>
  <c r="D1788" i="1" s="1"/>
  <c r="B1788" i="1"/>
  <c r="N1787" i="1"/>
  <c r="E1787" i="1"/>
  <c r="A1787" i="1" s="1"/>
  <c r="C1787" i="1"/>
  <c r="D1787" i="1" s="1"/>
  <c r="B1787" i="1"/>
  <c r="N1786" i="1"/>
  <c r="E1786" i="1"/>
  <c r="A1786" i="1" s="1"/>
  <c r="C1786" i="1"/>
  <c r="D1786" i="1" s="1"/>
  <c r="B1786" i="1"/>
  <c r="N1785" i="1"/>
  <c r="E1785" i="1"/>
  <c r="A1785" i="1" s="1"/>
  <c r="C1785" i="1"/>
  <c r="D1785" i="1" s="1"/>
  <c r="B1785" i="1"/>
  <c r="E1784" i="1"/>
  <c r="C1784" i="1"/>
  <c r="D1784" i="1" s="1"/>
  <c r="B1784" i="1"/>
  <c r="A1784" i="1"/>
  <c r="N1783" i="1"/>
  <c r="E1783" i="1"/>
  <c r="A1783" i="1" s="1"/>
  <c r="C1783" i="1"/>
  <c r="D1783" i="1" s="1"/>
  <c r="B1783" i="1"/>
  <c r="N1782" i="1"/>
  <c r="E1782" i="1"/>
  <c r="A1782" i="1" s="1"/>
  <c r="C1782" i="1"/>
  <c r="D1782" i="1" s="1"/>
  <c r="B1782" i="1"/>
  <c r="N1781" i="1"/>
  <c r="E1781" i="1"/>
  <c r="A1781" i="1" s="1"/>
  <c r="C1781" i="1"/>
  <c r="D1781" i="1" s="1"/>
  <c r="B1781" i="1"/>
  <c r="N1780" i="1"/>
  <c r="E1780" i="1"/>
  <c r="A1780" i="1" s="1"/>
  <c r="C1780" i="1"/>
  <c r="D1780" i="1" s="1"/>
  <c r="B1780" i="1"/>
  <c r="N1779" i="1"/>
  <c r="E1779" i="1"/>
  <c r="A1779" i="1" s="1"/>
  <c r="C1779" i="1"/>
  <c r="D1779" i="1" s="1"/>
  <c r="B1779" i="1"/>
  <c r="N1778" i="1"/>
  <c r="E1778" i="1"/>
  <c r="A1778" i="1" s="1"/>
  <c r="C1778" i="1"/>
  <c r="D1778" i="1" s="1"/>
  <c r="B1778" i="1"/>
  <c r="E1777" i="1"/>
  <c r="C1777" i="1"/>
  <c r="D1777" i="1" s="1"/>
  <c r="B1777" i="1"/>
  <c r="A1777" i="1"/>
  <c r="E1776" i="1"/>
  <c r="C1776" i="1"/>
  <c r="D1776" i="1" s="1"/>
  <c r="B1776" i="1"/>
  <c r="A1776" i="1"/>
  <c r="N1775" i="1"/>
  <c r="E1775" i="1"/>
  <c r="A1775" i="1" s="1"/>
  <c r="C1775" i="1"/>
  <c r="D1775" i="1" s="1"/>
  <c r="B1775" i="1"/>
  <c r="E1774" i="1"/>
  <c r="C1774" i="1"/>
  <c r="D1774" i="1" s="1"/>
  <c r="B1774" i="1"/>
  <c r="A1774" i="1"/>
  <c r="N1773" i="1"/>
  <c r="E1773" i="1"/>
  <c r="A1773" i="1" s="1"/>
  <c r="C1773" i="1"/>
  <c r="D1773" i="1" s="1"/>
  <c r="B1773" i="1"/>
  <c r="E1772" i="1"/>
  <c r="C1772" i="1"/>
  <c r="D1772" i="1" s="1"/>
  <c r="B1772" i="1"/>
  <c r="A1772" i="1"/>
  <c r="N1771" i="1"/>
  <c r="E1771" i="1"/>
  <c r="A1771" i="1" s="1"/>
  <c r="C1771" i="1"/>
  <c r="D1771" i="1" s="1"/>
  <c r="B1771" i="1"/>
  <c r="N1770" i="1"/>
  <c r="E1770" i="1"/>
  <c r="A1770" i="1" s="1"/>
  <c r="C1770" i="1"/>
  <c r="D1770" i="1" s="1"/>
  <c r="B1770" i="1"/>
  <c r="N1769" i="1"/>
  <c r="E1769" i="1"/>
  <c r="A1769" i="1" s="1"/>
  <c r="C1769" i="1"/>
  <c r="D1769" i="1" s="1"/>
  <c r="B1769" i="1"/>
  <c r="E1768" i="1"/>
  <c r="C1768" i="1"/>
  <c r="D1768" i="1" s="1"/>
  <c r="B1768" i="1"/>
  <c r="A1768" i="1"/>
  <c r="E1767" i="1"/>
  <c r="C1767" i="1"/>
  <c r="D1767" i="1" s="1"/>
  <c r="B1767" i="1"/>
  <c r="A1767" i="1"/>
  <c r="E1766" i="1"/>
  <c r="C1766" i="1"/>
  <c r="D1766" i="1" s="1"/>
  <c r="B1766" i="1"/>
  <c r="A1766" i="1"/>
  <c r="E1765" i="1"/>
  <c r="C1765" i="1"/>
  <c r="D1765" i="1" s="1"/>
  <c r="B1765" i="1"/>
  <c r="A1765" i="1"/>
  <c r="E1764" i="1"/>
  <c r="C1764" i="1"/>
  <c r="D1764" i="1" s="1"/>
  <c r="B1764" i="1"/>
  <c r="A1764" i="1"/>
  <c r="N1763" i="1"/>
  <c r="E1763" i="1"/>
  <c r="C1763" i="1"/>
  <c r="D1763" i="1" s="1"/>
  <c r="B1763" i="1"/>
  <c r="A1763" i="1"/>
  <c r="N1762" i="1"/>
  <c r="E1762" i="1"/>
  <c r="C1762" i="1"/>
  <c r="D1762" i="1" s="1"/>
  <c r="B1762" i="1"/>
  <c r="A1762" i="1"/>
  <c r="N1761" i="1"/>
  <c r="E1761" i="1"/>
  <c r="A1761" i="1" s="1"/>
  <c r="C1761" i="1"/>
  <c r="D1761" i="1" s="1"/>
  <c r="B1761" i="1"/>
  <c r="E1760" i="1"/>
  <c r="C1760" i="1"/>
  <c r="D1760" i="1" s="1"/>
  <c r="B1760" i="1"/>
  <c r="A1760" i="1"/>
  <c r="E1759" i="1"/>
  <c r="C1759" i="1"/>
  <c r="D1759" i="1" s="1"/>
  <c r="B1759" i="1"/>
  <c r="A1759" i="1"/>
  <c r="N1758" i="1"/>
  <c r="E1758" i="1"/>
  <c r="C1758" i="1"/>
  <c r="D1758" i="1" s="1"/>
  <c r="B1758" i="1"/>
  <c r="A1758" i="1"/>
  <c r="E1757" i="1"/>
  <c r="A1757" i="1" s="1"/>
  <c r="C1757" i="1"/>
  <c r="D1757" i="1" s="1"/>
  <c r="B1757" i="1"/>
  <c r="E1756" i="1"/>
  <c r="C1756" i="1"/>
  <c r="D1756" i="1" s="1"/>
  <c r="B1756" i="1"/>
  <c r="A1756" i="1"/>
  <c r="N1755" i="1"/>
  <c r="E1755" i="1"/>
  <c r="A1755" i="1" s="1"/>
  <c r="C1755" i="1"/>
  <c r="D1755" i="1" s="1"/>
  <c r="B1755" i="1"/>
  <c r="E1754" i="1"/>
  <c r="C1754" i="1"/>
  <c r="D1754" i="1" s="1"/>
  <c r="B1754" i="1"/>
  <c r="A1754" i="1"/>
  <c r="E1753" i="1"/>
  <c r="C1753" i="1"/>
  <c r="D1753" i="1" s="1"/>
  <c r="B1753" i="1"/>
  <c r="A1753" i="1"/>
  <c r="N1752" i="1"/>
  <c r="E1752" i="1"/>
  <c r="A1752" i="1" s="1"/>
  <c r="C1752" i="1"/>
  <c r="D1752" i="1" s="1"/>
  <c r="B1752" i="1"/>
  <c r="E1751" i="1"/>
  <c r="C1751" i="1"/>
  <c r="D1751" i="1" s="1"/>
  <c r="B1751" i="1"/>
  <c r="A1751" i="1"/>
  <c r="N1750" i="1"/>
  <c r="E1750" i="1"/>
  <c r="A1750" i="1" s="1"/>
  <c r="C1750" i="1"/>
  <c r="D1750" i="1" s="1"/>
  <c r="B1750" i="1"/>
  <c r="E1749" i="1"/>
  <c r="C1749" i="1"/>
  <c r="D1749" i="1" s="1"/>
  <c r="B1749" i="1"/>
  <c r="A1749" i="1"/>
  <c r="E1748" i="1"/>
  <c r="C1748" i="1"/>
  <c r="D1748" i="1" s="1"/>
  <c r="B1748" i="1"/>
  <c r="A1748" i="1"/>
  <c r="N1747" i="1"/>
  <c r="E1747" i="1"/>
  <c r="A1747" i="1" s="1"/>
  <c r="C1747" i="1"/>
  <c r="D1747" i="1" s="1"/>
  <c r="B1747" i="1"/>
  <c r="N1746" i="1"/>
  <c r="E1746" i="1"/>
  <c r="A1746" i="1" s="1"/>
  <c r="C1746" i="1"/>
  <c r="D1746" i="1" s="1"/>
  <c r="B1746" i="1"/>
  <c r="E1745" i="1"/>
  <c r="C1745" i="1"/>
  <c r="D1745" i="1" s="1"/>
  <c r="B1745" i="1"/>
  <c r="A1745" i="1"/>
  <c r="E1744" i="1"/>
  <c r="C1744" i="1"/>
  <c r="D1744" i="1" s="1"/>
  <c r="B1744" i="1"/>
  <c r="A1744" i="1"/>
  <c r="N1743" i="1"/>
  <c r="E1743" i="1"/>
  <c r="A1743" i="1" s="1"/>
  <c r="C1743" i="1"/>
  <c r="D1743" i="1" s="1"/>
  <c r="B1743" i="1"/>
  <c r="N1742" i="1"/>
  <c r="E1742" i="1"/>
  <c r="A1742" i="1" s="1"/>
  <c r="C1742" i="1"/>
  <c r="D1742" i="1" s="1"/>
  <c r="B1742" i="1"/>
  <c r="E1741" i="1"/>
  <c r="C1741" i="1"/>
  <c r="D1741" i="1" s="1"/>
  <c r="B1741" i="1"/>
  <c r="A1741" i="1"/>
  <c r="N1740" i="1"/>
  <c r="E1740" i="1"/>
  <c r="A1740" i="1" s="1"/>
  <c r="C1740" i="1"/>
  <c r="D1740" i="1" s="1"/>
  <c r="B1740" i="1"/>
  <c r="N1739" i="1"/>
  <c r="E1739" i="1"/>
  <c r="C1739" i="1"/>
  <c r="D1739" i="1" s="1"/>
  <c r="B1739" i="1"/>
  <c r="A1739" i="1"/>
  <c r="E1738" i="1"/>
  <c r="C1738" i="1"/>
  <c r="D1738" i="1" s="1"/>
  <c r="B1738" i="1"/>
  <c r="A1738" i="1"/>
  <c r="N1737" i="1"/>
  <c r="E1737" i="1"/>
  <c r="A1737" i="1" s="1"/>
  <c r="C1737" i="1"/>
  <c r="D1737" i="1" s="1"/>
  <c r="B1737" i="1"/>
  <c r="N1736" i="1"/>
  <c r="E1736" i="1"/>
  <c r="A1736" i="1" s="1"/>
  <c r="C1736" i="1"/>
  <c r="D1736" i="1" s="1"/>
  <c r="B1736" i="1"/>
  <c r="E1735" i="1"/>
  <c r="C1735" i="1"/>
  <c r="D1735" i="1" s="1"/>
  <c r="B1735" i="1"/>
  <c r="A1735" i="1"/>
  <c r="N1734" i="1"/>
  <c r="E1734" i="1"/>
  <c r="A1734" i="1" s="1"/>
  <c r="C1734" i="1"/>
  <c r="D1734" i="1" s="1"/>
  <c r="B1734" i="1"/>
  <c r="E1733" i="1"/>
  <c r="C1733" i="1"/>
  <c r="D1733" i="1" s="1"/>
  <c r="B1733" i="1"/>
  <c r="A1733" i="1"/>
  <c r="N1732" i="1"/>
  <c r="E1732" i="1"/>
  <c r="A1732" i="1" s="1"/>
  <c r="C1732" i="1"/>
  <c r="D1732" i="1" s="1"/>
  <c r="B1732" i="1"/>
  <c r="N1731" i="1"/>
  <c r="E1731" i="1"/>
  <c r="A1731" i="1" s="1"/>
  <c r="C1731" i="1"/>
  <c r="D1731" i="1" s="1"/>
  <c r="B1731" i="1"/>
  <c r="E1730" i="1"/>
  <c r="C1730" i="1"/>
  <c r="D1730" i="1" s="1"/>
  <c r="B1730" i="1"/>
  <c r="A1730" i="1"/>
  <c r="N1729" i="1"/>
  <c r="E1729" i="1"/>
  <c r="A1729" i="1" s="1"/>
  <c r="C1729" i="1"/>
  <c r="D1729" i="1" s="1"/>
  <c r="B1729" i="1"/>
  <c r="E1728" i="1"/>
  <c r="C1728" i="1"/>
  <c r="D1728" i="1" s="1"/>
  <c r="B1728" i="1"/>
  <c r="A1728" i="1"/>
  <c r="N1727" i="1"/>
  <c r="E1727" i="1"/>
  <c r="A1727" i="1" s="1"/>
  <c r="C1727" i="1"/>
  <c r="D1727" i="1" s="1"/>
  <c r="B1727" i="1"/>
  <c r="E1726" i="1"/>
  <c r="C1726" i="1"/>
  <c r="D1726" i="1" s="1"/>
  <c r="B1726" i="1"/>
  <c r="A1726" i="1"/>
  <c r="N1725" i="1"/>
  <c r="E1725" i="1"/>
  <c r="A1725" i="1" s="1"/>
  <c r="C1725" i="1"/>
  <c r="D1725" i="1" s="1"/>
  <c r="B1725" i="1"/>
  <c r="E1724" i="1"/>
  <c r="C1724" i="1"/>
  <c r="D1724" i="1" s="1"/>
  <c r="B1724" i="1"/>
  <c r="A1724" i="1"/>
  <c r="E1723" i="1"/>
  <c r="C1723" i="1"/>
  <c r="D1723" i="1" s="1"/>
  <c r="B1723" i="1"/>
  <c r="A1723" i="1"/>
  <c r="E1722" i="1"/>
  <c r="C1722" i="1"/>
  <c r="D1722" i="1" s="1"/>
  <c r="B1722" i="1"/>
  <c r="A1722" i="1"/>
  <c r="E1721" i="1"/>
  <c r="C1721" i="1"/>
  <c r="D1721" i="1" s="1"/>
  <c r="B1721" i="1"/>
  <c r="A1721" i="1"/>
  <c r="N1720" i="1"/>
  <c r="E1720" i="1"/>
  <c r="A1720" i="1" s="1"/>
  <c r="C1720" i="1"/>
  <c r="D1720" i="1" s="1"/>
  <c r="B1720" i="1"/>
  <c r="N1719" i="1"/>
  <c r="E1719" i="1"/>
  <c r="A1719" i="1" s="1"/>
  <c r="C1719" i="1"/>
  <c r="D1719" i="1" s="1"/>
  <c r="B1719" i="1"/>
  <c r="N1718" i="1"/>
  <c r="E1718" i="1"/>
  <c r="A1718" i="1" s="1"/>
  <c r="C1718" i="1"/>
  <c r="D1718" i="1" s="1"/>
  <c r="B1718" i="1"/>
  <c r="N1717" i="1"/>
  <c r="E1717" i="1"/>
  <c r="A1717" i="1" s="1"/>
  <c r="C1717" i="1"/>
  <c r="D1717" i="1" s="1"/>
  <c r="B1717" i="1"/>
  <c r="N1716" i="1"/>
  <c r="E1716" i="1"/>
  <c r="A1716" i="1" s="1"/>
  <c r="C1716" i="1"/>
  <c r="D1716" i="1" s="1"/>
  <c r="B1716" i="1"/>
  <c r="N1715" i="1"/>
  <c r="E1715" i="1"/>
  <c r="C1715" i="1"/>
  <c r="D1715" i="1" s="1"/>
  <c r="B1715" i="1"/>
  <c r="A1715" i="1"/>
  <c r="E1714" i="1"/>
  <c r="C1714" i="1"/>
  <c r="D1714" i="1" s="1"/>
  <c r="B1714" i="1"/>
  <c r="A1714" i="1"/>
  <c r="E1713" i="1"/>
  <c r="C1713" i="1"/>
  <c r="D1713" i="1" s="1"/>
  <c r="B1713" i="1"/>
  <c r="A1713" i="1"/>
  <c r="N1712" i="1"/>
  <c r="E1712" i="1"/>
  <c r="A1712" i="1" s="1"/>
  <c r="C1712" i="1"/>
  <c r="D1712" i="1" s="1"/>
  <c r="B1712" i="1"/>
  <c r="N1711" i="1"/>
  <c r="E1711" i="1"/>
  <c r="A1711" i="1" s="1"/>
  <c r="C1711" i="1"/>
  <c r="D1711" i="1" s="1"/>
  <c r="B1711" i="1"/>
  <c r="N1710" i="1"/>
  <c r="E1710" i="1"/>
  <c r="A1710" i="1" s="1"/>
  <c r="C1710" i="1"/>
  <c r="D1710" i="1" s="1"/>
  <c r="B1710" i="1"/>
  <c r="N1709" i="1"/>
  <c r="E1709" i="1"/>
  <c r="A1709" i="1" s="1"/>
  <c r="C1709" i="1"/>
  <c r="D1709" i="1" s="1"/>
  <c r="B1709" i="1"/>
  <c r="N1708" i="1"/>
  <c r="E1708" i="1"/>
  <c r="A1708" i="1" s="1"/>
  <c r="C1708" i="1"/>
  <c r="D1708" i="1" s="1"/>
  <c r="B1708" i="1"/>
  <c r="E1707" i="1"/>
  <c r="C1707" i="1"/>
  <c r="D1707" i="1" s="1"/>
  <c r="B1707" i="1"/>
  <c r="A1707" i="1"/>
  <c r="N1706" i="1"/>
  <c r="E1706" i="1"/>
  <c r="A1706" i="1" s="1"/>
  <c r="C1706" i="1"/>
  <c r="D1706" i="1" s="1"/>
  <c r="B1706" i="1"/>
  <c r="E1705" i="1"/>
  <c r="C1705" i="1"/>
  <c r="D1705" i="1" s="1"/>
  <c r="B1705" i="1"/>
  <c r="A1705" i="1"/>
  <c r="N1704" i="1"/>
  <c r="E1704" i="1"/>
  <c r="A1704" i="1" s="1"/>
  <c r="C1704" i="1"/>
  <c r="D1704" i="1" s="1"/>
  <c r="B1704" i="1"/>
  <c r="N1703" i="1"/>
  <c r="E1703" i="1"/>
  <c r="A1703" i="1" s="1"/>
  <c r="C1703" i="1"/>
  <c r="D1703" i="1" s="1"/>
  <c r="B1703" i="1"/>
  <c r="N1702" i="1"/>
  <c r="E1702" i="1"/>
  <c r="A1702" i="1" s="1"/>
  <c r="C1702" i="1"/>
  <c r="D1702" i="1" s="1"/>
  <c r="B1702" i="1"/>
  <c r="N1701" i="1"/>
  <c r="E1701" i="1"/>
  <c r="A1701" i="1" s="1"/>
  <c r="C1701" i="1"/>
  <c r="D1701" i="1" s="1"/>
  <c r="B1701" i="1"/>
  <c r="N1700" i="1"/>
  <c r="E1700" i="1"/>
  <c r="A1700" i="1" s="1"/>
  <c r="C1700" i="1"/>
  <c r="D1700" i="1" s="1"/>
  <c r="B1700" i="1"/>
  <c r="N1699" i="1"/>
  <c r="E1699" i="1"/>
  <c r="C1699" i="1"/>
  <c r="D1699" i="1" s="1"/>
  <c r="B1699" i="1"/>
  <c r="A1699" i="1"/>
  <c r="E1698" i="1"/>
  <c r="C1698" i="1"/>
  <c r="D1698" i="1" s="1"/>
  <c r="B1698" i="1"/>
  <c r="A1698" i="1"/>
  <c r="N1697" i="1"/>
  <c r="E1697" i="1"/>
  <c r="A1697" i="1" s="1"/>
  <c r="C1697" i="1"/>
  <c r="D1697" i="1" s="1"/>
  <c r="B1697" i="1"/>
  <c r="N1696" i="1"/>
  <c r="E1696" i="1"/>
  <c r="A1696" i="1" s="1"/>
  <c r="C1696" i="1"/>
  <c r="D1696" i="1" s="1"/>
  <c r="B1696" i="1"/>
  <c r="E1695" i="1"/>
  <c r="C1695" i="1"/>
  <c r="D1695" i="1" s="1"/>
  <c r="B1695" i="1"/>
  <c r="A1695" i="1"/>
  <c r="E1694" i="1"/>
  <c r="C1694" i="1"/>
  <c r="D1694" i="1" s="1"/>
  <c r="B1694" i="1"/>
  <c r="A1694" i="1"/>
  <c r="E1693" i="1"/>
  <c r="C1693" i="1"/>
  <c r="D1693" i="1" s="1"/>
  <c r="B1693" i="1"/>
  <c r="A1693" i="1"/>
  <c r="E1692" i="1"/>
  <c r="C1692" i="1"/>
  <c r="D1692" i="1" s="1"/>
  <c r="B1692" i="1"/>
  <c r="A1692" i="1"/>
  <c r="N1691" i="1"/>
  <c r="E1691" i="1"/>
  <c r="A1691" i="1" s="1"/>
  <c r="C1691" i="1"/>
  <c r="D1691" i="1" s="1"/>
  <c r="B1691" i="1"/>
  <c r="E1690" i="1"/>
  <c r="C1690" i="1"/>
  <c r="D1690" i="1" s="1"/>
  <c r="B1690" i="1"/>
  <c r="A1690" i="1"/>
  <c r="N1689" i="1"/>
  <c r="E1689" i="1"/>
  <c r="A1689" i="1" s="1"/>
  <c r="C1689" i="1"/>
  <c r="D1689" i="1" s="1"/>
  <c r="B1689" i="1"/>
  <c r="E1688" i="1"/>
  <c r="C1688" i="1"/>
  <c r="D1688" i="1" s="1"/>
  <c r="B1688" i="1"/>
  <c r="A1688" i="1"/>
  <c r="E1687" i="1"/>
  <c r="C1687" i="1"/>
  <c r="D1687" i="1" s="1"/>
  <c r="B1687" i="1"/>
  <c r="A1687" i="1"/>
  <c r="N1686" i="1"/>
  <c r="E1686" i="1"/>
  <c r="A1686" i="1" s="1"/>
  <c r="C1686" i="1"/>
  <c r="D1686" i="1" s="1"/>
  <c r="B1686" i="1"/>
  <c r="E1685" i="1"/>
  <c r="C1685" i="1"/>
  <c r="D1685" i="1" s="1"/>
  <c r="B1685" i="1"/>
  <c r="A1685" i="1"/>
  <c r="N1684" i="1"/>
  <c r="E1684" i="1"/>
  <c r="A1684" i="1" s="1"/>
  <c r="C1684" i="1"/>
  <c r="D1684" i="1" s="1"/>
  <c r="B1684" i="1"/>
  <c r="N1683" i="1"/>
  <c r="E1683" i="1"/>
  <c r="A1683" i="1" s="1"/>
  <c r="C1683" i="1"/>
  <c r="D1683" i="1" s="1"/>
  <c r="B1683" i="1"/>
  <c r="E1682" i="1"/>
  <c r="C1682" i="1"/>
  <c r="D1682" i="1" s="1"/>
  <c r="B1682" i="1"/>
  <c r="A1682" i="1"/>
  <c r="E1681" i="1"/>
  <c r="C1681" i="1"/>
  <c r="D1681" i="1" s="1"/>
  <c r="B1681" i="1"/>
  <c r="A1681" i="1"/>
  <c r="E1680" i="1"/>
  <c r="C1680" i="1"/>
  <c r="D1680" i="1" s="1"/>
  <c r="B1680" i="1"/>
  <c r="A1680" i="1"/>
  <c r="E1679" i="1"/>
  <c r="C1679" i="1"/>
  <c r="D1679" i="1" s="1"/>
  <c r="B1679" i="1"/>
  <c r="A1679" i="1"/>
  <c r="E1678" i="1"/>
  <c r="C1678" i="1"/>
  <c r="D1678" i="1" s="1"/>
  <c r="B1678" i="1"/>
  <c r="A1678" i="1"/>
  <c r="E1677" i="1"/>
  <c r="C1677" i="1"/>
  <c r="D1677" i="1" s="1"/>
  <c r="B1677" i="1"/>
  <c r="A1677" i="1"/>
  <c r="E1676" i="1"/>
  <c r="C1676" i="1"/>
  <c r="D1676" i="1" s="1"/>
  <c r="B1676" i="1"/>
  <c r="A1676" i="1"/>
  <c r="E1675" i="1"/>
  <c r="C1675" i="1"/>
  <c r="D1675" i="1" s="1"/>
  <c r="B1675" i="1"/>
  <c r="A1675" i="1"/>
  <c r="E1674" i="1"/>
  <c r="C1674" i="1"/>
  <c r="D1674" i="1" s="1"/>
  <c r="B1674" i="1"/>
  <c r="A1674" i="1"/>
  <c r="E1673" i="1"/>
  <c r="C1673" i="1"/>
  <c r="D1673" i="1" s="1"/>
  <c r="B1673" i="1"/>
  <c r="A1673" i="1"/>
  <c r="E1672" i="1"/>
  <c r="C1672" i="1"/>
  <c r="D1672" i="1" s="1"/>
  <c r="B1672" i="1"/>
  <c r="A1672" i="1"/>
  <c r="E1671" i="1"/>
  <c r="C1671" i="1"/>
  <c r="D1671" i="1" s="1"/>
  <c r="B1671" i="1"/>
  <c r="A1671" i="1"/>
  <c r="E1670" i="1"/>
  <c r="C1670" i="1"/>
  <c r="D1670" i="1" s="1"/>
  <c r="B1670" i="1"/>
  <c r="A1670" i="1"/>
  <c r="E1669" i="1"/>
  <c r="C1669" i="1"/>
  <c r="D1669" i="1" s="1"/>
  <c r="B1669" i="1"/>
  <c r="A1669" i="1"/>
  <c r="E1668" i="1"/>
  <c r="C1668" i="1"/>
  <c r="D1668" i="1" s="1"/>
  <c r="B1668" i="1"/>
  <c r="A1668" i="1"/>
  <c r="N1667" i="1"/>
  <c r="E1667" i="1"/>
  <c r="C1667" i="1"/>
  <c r="D1667" i="1" s="1"/>
  <c r="B1667" i="1"/>
  <c r="A1667" i="1"/>
  <c r="E1666" i="1"/>
  <c r="C1666" i="1"/>
  <c r="D1666" i="1" s="1"/>
  <c r="B1666" i="1"/>
  <c r="A1666" i="1"/>
  <c r="E1665" i="1"/>
  <c r="A1665" i="1" s="1"/>
  <c r="C1665" i="1"/>
  <c r="D1665" i="1" s="1"/>
  <c r="B1665" i="1"/>
  <c r="E1664" i="1"/>
  <c r="C1664" i="1"/>
  <c r="D1664" i="1" s="1"/>
  <c r="B1664" i="1"/>
  <c r="A1664" i="1"/>
  <c r="E1663" i="1"/>
  <c r="C1663" i="1"/>
  <c r="D1663" i="1" s="1"/>
  <c r="B1663" i="1"/>
  <c r="A1663" i="1"/>
  <c r="E1662" i="1"/>
  <c r="C1662" i="1"/>
  <c r="D1662" i="1" s="1"/>
  <c r="B1662" i="1"/>
  <c r="A1662" i="1"/>
  <c r="E1661" i="1"/>
  <c r="C1661" i="1"/>
  <c r="D1661" i="1" s="1"/>
  <c r="B1661" i="1"/>
  <c r="A1661" i="1"/>
  <c r="E1660" i="1"/>
  <c r="A1660" i="1" s="1"/>
  <c r="C1660" i="1"/>
  <c r="D1660" i="1" s="1"/>
  <c r="B1660" i="1"/>
  <c r="E1659" i="1"/>
  <c r="C1659" i="1"/>
  <c r="D1659" i="1" s="1"/>
  <c r="B1659" i="1"/>
  <c r="A1659" i="1"/>
  <c r="E1658" i="1"/>
  <c r="C1658" i="1"/>
  <c r="D1658" i="1" s="1"/>
  <c r="B1658" i="1"/>
  <c r="A1658" i="1"/>
  <c r="E1657" i="1"/>
  <c r="A1657" i="1" s="1"/>
  <c r="C1657" i="1"/>
  <c r="D1657" i="1" s="1"/>
  <c r="B1657" i="1"/>
  <c r="E1656" i="1"/>
  <c r="C1656" i="1"/>
  <c r="D1656" i="1" s="1"/>
  <c r="B1656" i="1"/>
  <c r="A1656" i="1"/>
  <c r="N1655" i="1"/>
  <c r="E1655" i="1"/>
  <c r="A1655" i="1" s="1"/>
  <c r="C1655" i="1"/>
  <c r="D1655" i="1" s="1"/>
  <c r="B1655" i="1"/>
  <c r="E1654" i="1"/>
  <c r="C1654" i="1"/>
  <c r="D1654" i="1" s="1"/>
  <c r="B1654" i="1"/>
  <c r="A1654" i="1"/>
  <c r="E1653" i="1"/>
  <c r="C1653" i="1"/>
  <c r="D1653" i="1" s="1"/>
  <c r="B1653" i="1"/>
  <c r="A1653" i="1"/>
  <c r="E1652" i="1"/>
  <c r="C1652" i="1"/>
  <c r="D1652" i="1" s="1"/>
  <c r="B1652" i="1"/>
  <c r="A1652" i="1"/>
  <c r="E1651" i="1"/>
  <c r="C1651" i="1"/>
  <c r="D1651" i="1" s="1"/>
  <c r="B1651" i="1"/>
  <c r="A1651" i="1"/>
  <c r="E1650" i="1"/>
  <c r="C1650" i="1"/>
  <c r="D1650" i="1" s="1"/>
  <c r="B1650" i="1"/>
  <c r="A1650" i="1"/>
  <c r="E1649" i="1"/>
  <c r="C1649" i="1"/>
  <c r="D1649" i="1" s="1"/>
  <c r="B1649" i="1"/>
  <c r="A1649" i="1"/>
  <c r="E1648" i="1"/>
  <c r="A1648" i="1" s="1"/>
  <c r="C1648" i="1"/>
  <c r="D1648" i="1" s="1"/>
  <c r="B1648" i="1"/>
  <c r="E1647" i="1"/>
  <c r="A1647" i="1" s="1"/>
  <c r="C1647" i="1"/>
  <c r="D1647" i="1" s="1"/>
  <c r="B1647" i="1"/>
  <c r="E1646" i="1"/>
  <c r="C1646" i="1"/>
  <c r="D1646" i="1" s="1"/>
  <c r="B1646" i="1"/>
  <c r="A1646" i="1"/>
  <c r="E1645" i="1"/>
  <c r="C1645" i="1"/>
  <c r="D1645" i="1" s="1"/>
  <c r="B1645" i="1"/>
  <c r="A1645" i="1"/>
  <c r="E1644" i="1"/>
  <c r="C1644" i="1"/>
  <c r="D1644" i="1" s="1"/>
  <c r="B1644" i="1"/>
  <c r="A1644" i="1"/>
  <c r="E1643" i="1"/>
  <c r="C1643" i="1"/>
  <c r="D1643" i="1" s="1"/>
  <c r="B1643" i="1"/>
  <c r="A1643" i="1"/>
  <c r="E1642" i="1"/>
  <c r="C1642" i="1"/>
  <c r="D1642" i="1" s="1"/>
  <c r="B1642" i="1"/>
  <c r="A1642" i="1"/>
  <c r="N1641" i="1"/>
  <c r="E1641" i="1"/>
  <c r="A1641" i="1" s="1"/>
  <c r="C1641" i="1"/>
  <c r="D1641" i="1" s="1"/>
  <c r="B1641" i="1"/>
  <c r="E1640" i="1"/>
  <c r="C1640" i="1"/>
  <c r="D1640" i="1" s="1"/>
  <c r="B1640" i="1"/>
  <c r="A1640" i="1"/>
  <c r="E1639" i="1"/>
  <c r="C1639" i="1"/>
  <c r="D1639" i="1" s="1"/>
  <c r="B1639" i="1"/>
  <c r="A1639" i="1"/>
  <c r="E1638" i="1"/>
  <c r="C1638" i="1"/>
  <c r="D1638" i="1" s="1"/>
  <c r="B1638" i="1"/>
  <c r="A1638" i="1"/>
  <c r="E1637" i="1"/>
  <c r="C1637" i="1"/>
  <c r="D1637" i="1" s="1"/>
  <c r="B1637" i="1"/>
  <c r="A1637" i="1"/>
  <c r="E1636" i="1"/>
  <c r="C1636" i="1"/>
  <c r="D1636" i="1" s="1"/>
  <c r="B1636" i="1"/>
  <c r="A1636" i="1"/>
  <c r="E1635" i="1"/>
  <c r="C1635" i="1"/>
  <c r="D1635" i="1" s="1"/>
  <c r="B1635" i="1"/>
  <c r="A1635" i="1"/>
  <c r="E1634" i="1"/>
  <c r="C1634" i="1"/>
  <c r="D1634" i="1" s="1"/>
  <c r="B1634" i="1"/>
  <c r="A1634" i="1"/>
  <c r="N1633" i="1"/>
  <c r="E1633" i="1"/>
  <c r="A1633" i="1" s="1"/>
  <c r="C1633" i="1"/>
  <c r="D1633" i="1" s="1"/>
  <c r="B1633" i="1"/>
  <c r="E1632" i="1"/>
  <c r="C1632" i="1"/>
  <c r="D1632" i="1" s="1"/>
  <c r="B1632" i="1"/>
  <c r="A1632" i="1"/>
  <c r="E1631" i="1"/>
  <c r="C1631" i="1"/>
  <c r="D1631" i="1" s="1"/>
  <c r="B1631" i="1"/>
  <c r="A1631" i="1"/>
  <c r="E1630" i="1"/>
  <c r="C1630" i="1"/>
  <c r="D1630" i="1" s="1"/>
  <c r="B1630" i="1"/>
  <c r="A1630" i="1"/>
  <c r="E1629" i="1"/>
  <c r="C1629" i="1"/>
  <c r="D1629" i="1" s="1"/>
  <c r="B1629" i="1"/>
  <c r="A1629" i="1"/>
  <c r="E1628" i="1"/>
  <c r="C1628" i="1"/>
  <c r="D1628" i="1" s="1"/>
  <c r="B1628" i="1"/>
  <c r="A1628" i="1"/>
  <c r="E1627" i="1"/>
  <c r="C1627" i="1"/>
  <c r="D1627" i="1" s="1"/>
  <c r="B1627" i="1"/>
  <c r="A1627" i="1"/>
  <c r="E1626" i="1"/>
  <c r="C1626" i="1"/>
  <c r="D1626" i="1" s="1"/>
  <c r="B1626" i="1"/>
  <c r="A1626" i="1"/>
  <c r="E1625" i="1"/>
  <c r="C1625" i="1"/>
  <c r="D1625" i="1" s="1"/>
  <c r="B1625" i="1"/>
  <c r="A1625" i="1"/>
  <c r="E1624" i="1"/>
  <c r="C1624" i="1"/>
  <c r="D1624" i="1" s="1"/>
  <c r="B1624" i="1"/>
  <c r="A1624"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A1619" i="1" s="1"/>
  <c r="C1619" i="1"/>
  <c r="D1619" i="1" s="1"/>
  <c r="B1619" i="1"/>
  <c r="E1618" i="1"/>
  <c r="C1618" i="1"/>
  <c r="D1618" i="1" s="1"/>
  <c r="B1618" i="1"/>
  <c r="A1618" i="1"/>
  <c r="E1617" i="1"/>
  <c r="A1617" i="1" s="1"/>
  <c r="C1617" i="1"/>
  <c r="D1617" i="1" s="1"/>
  <c r="B1617" i="1"/>
  <c r="E1616" i="1"/>
  <c r="C1616" i="1"/>
  <c r="D1616" i="1" s="1"/>
  <c r="B1616" i="1"/>
  <c r="A1616" i="1"/>
  <c r="N1615" i="1"/>
  <c r="E1615" i="1"/>
  <c r="A1615" i="1" s="1"/>
  <c r="C1615" i="1"/>
  <c r="D1615" i="1" s="1"/>
  <c r="B1615" i="1"/>
  <c r="N1614" i="1"/>
  <c r="E1614" i="1"/>
  <c r="C1614" i="1"/>
  <c r="D1614" i="1" s="1"/>
  <c r="B1614" i="1"/>
  <c r="A1614" i="1"/>
  <c r="E1613" i="1"/>
  <c r="C1613" i="1"/>
  <c r="D1613" i="1" s="1"/>
  <c r="B1613" i="1"/>
  <c r="A1613" i="1"/>
  <c r="N1612" i="1"/>
  <c r="E1612" i="1"/>
  <c r="A1612" i="1" s="1"/>
  <c r="C1612" i="1"/>
  <c r="D1612" i="1" s="1"/>
  <c r="B1612" i="1"/>
  <c r="E1611" i="1"/>
  <c r="C1611" i="1"/>
  <c r="D1611" i="1" s="1"/>
  <c r="B1611" i="1"/>
  <c r="A1611" i="1"/>
  <c r="E1610" i="1"/>
  <c r="C1610" i="1"/>
  <c r="D1610" i="1" s="1"/>
  <c r="B1610" i="1"/>
  <c r="A1610" i="1"/>
  <c r="E1609" i="1"/>
  <c r="C1609" i="1"/>
  <c r="D1609" i="1" s="1"/>
  <c r="B1609" i="1"/>
  <c r="A1609" i="1"/>
  <c r="E1608" i="1"/>
  <c r="A1608" i="1" s="1"/>
  <c r="C1608" i="1"/>
  <c r="D1608" i="1" s="1"/>
  <c r="B1608" i="1"/>
  <c r="E1607" i="1"/>
  <c r="C1607" i="1"/>
  <c r="D1607" i="1" s="1"/>
  <c r="B1607" i="1"/>
  <c r="A1607" i="1"/>
  <c r="E1606" i="1"/>
  <c r="A1606" i="1" s="1"/>
  <c r="C1606" i="1"/>
  <c r="D1606" i="1" s="1"/>
  <c r="B1606" i="1"/>
  <c r="E1605" i="1"/>
  <c r="C1605" i="1"/>
  <c r="D1605" i="1" s="1"/>
  <c r="B1605" i="1"/>
  <c r="A1605" i="1"/>
  <c r="E1604" i="1"/>
  <c r="C1604" i="1"/>
  <c r="D1604" i="1" s="1"/>
  <c r="B1604" i="1"/>
  <c r="A1604" i="1"/>
  <c r="N1603" i="1"/>
  <c r="E1603" i="1"/>
  <c r="A1603" i="1" s="1"/>
  <c r="C1603" i="1"/>
  <c r="D1603" i="1" s="1"/>
  <c r="B1603" i="1"/>
  <c r="E1602" i="1"/>
  <c r="C1602" i="1"/>
  <c r="D1602" i="1" s="1"/>
  <c r="B1602" i="1"/>
  <c r="A1602" i="1"/>
  <c r="E1601" i="1"/>
  <c r="C1601" i="1"/>
  <c r="D1601" i="1" s="1"/>
  <c r="B1601" i="1"/>
  <c r="A1601" i="1"/>
  <c r="E1600" i="1"/>
  <c r="C1600" i="1"/>
  <c r="D1600" i="1" s="1"/>
  <c r="B1600" i="1"/>
  <c r="A1600" i="1"/>
  <c r="N1599" i="1"/>
  <c r="E1599" i="1"/>
  <c r="A1599" i="1" s="1"/>
  <c r="C1599" i="1"/>
  <c r="D1599" i="1" s="1"/>
  <c r="B1599" i="1"/>
  <c r="N1598" i="1"/>
  <c r="E1598" i="1"/>
  <c r="C1598" i="1"/>
  <c r="D1598" i="1" s="1"/>
  <c r="B1598" i="1"/>
  <c r="A1598" i="1"/>
  <c r="E1597" i="1"/>
  <c r="C1597" i="1"/>
  <c r="D1597" i="1" s="1"/>
  <c r="B1597" i="1"/>
  <c r="A1597" i="1"/>
  <c r="E1596" i="1"/>
  <c r="A1596" i="1" s="1"/>
  <c r="C1596" i="1"/>
  <c r="D1596" i="1" s="1"/>
  <c r="B1596" i="1"/>
  <c r="E1595" i="1"/>
  <c r="C1595" i="1"/>
  <c r="D1595" i="1" s="1"/>
  <c r="B1595" i="1"/>
  <c r="A1595" i="1"/>
  <c r="E1594" i="1"/>
  <c r="C1594" i="1"/>
  <c r="D1594" i="1" s="1"/>
  <c r="B1594" i="1"/>
  <c r="A1594" i="1"/>
  <c r="E1593" i="1"/>
  <c r="C1593" i="1"/>
  <c r="D1593" i="1" s="1"/>
  <c r="B1593" i="1"/>
  <c r="A1593" i="1"/>
  <c r="E1592" i="1"/>
  <c r="C1592" i="1"/>
  <c r="D1592" i="1" s="1"/>
  <c r="B1592" i="1"/>
  <c r="A1592" i="1"/>
  <c r="E1591" i="1"/>
  <c r="C1591" i="1"/>
  <c r="D1591" i="1" s="1"/>
  <c r="B1591" i="1"/>
  <c r="A1591" i="1"/>
  <c r="E1590" i="1"/>
  <c r="C1590" i="1"/>
  <c r="D1590" i="1" s="1"/>
  <c r="B1590" i="1"/>
  <c r="A1590" i="1"/>
  <c r="E1589" i="1"/>
  <c r="C1589" i="1"/>
  <c r="D1589" i="1" s="1"/>
  <c r="B1589" i="1"/>
  <c r="A1589" i="1"/>
  <c r="E1588" i="1"/>
  <c r="C1588" i="1"/>
  <c r="D1588" i="1" s="1"/>
  <c r="B1588" i="1"/>
  <c r="A1588" i="1"/>
  <c r="E1587" i="1"/>
  <c r="C1587" i="1"/>
  <c r="D1587" i="1" s="1"/>
  <c r="B1587" i="1"/>
  <c r="A1587" i="1"/>
  <c r="E1586" i="1"/>
  <c r="C1586" i="1"/>
  <c r="D1586" i="1" s="1"/>
  <c r="B1586" i="1"/>
  <c r="A1586" i="1"/>
  <c r="E1585" i="1"/>
  <c r="C1585" i="1"/>
  <c r="D1585" i="1" s="1"/>
  <c r="B1585" i="1"/>
  <c r="A1585" i="1"/>
  <c r="N1584" i="1"/>
  <c r="E1584" i="1"/>
  <c r="A1584" i="1" s="1"/>
  <c r="C1584" i="1"/>
  <c r="D1584" i="1" s="1"/>
  <c r="B1584" i="1"/>
  <c r="E1583" i="1"/>
  <c r="C1583" i="1"/>
  <c r="D1583" i="1" s="1"/>
  <c r="B1583" i="1"/>
  <c r="A1583" i="1"/>
  <c r="E1582" i="1"/>
  <c r="C1582" i="1"/>
  <c r="D1582" i="1" s="1"/>
  <c r="B1582" i="1"/>
  <c r="A1582" i="1"/>
  <c r="N1581" i="1"/>
  <c r="E1581" i="1"/>
  <c r="A1581" i="1" s="1"/>
  <c r="C1581" i="1"/>
  <c r="D1581" i="1" s="1"/>
  <c r="B1581" i="1"/>
  <c r="E1580" i="1"/>
  <c r="C1580" i="1"/>
  <c r="D1580" i="1" s="1"/>
  <c r="B1580" i="1"/>
  <c r="A1580" i="1"/>
  <c r="E1579" i="1"/>
  <c r="C1579" i="1"/>
  <c r="D1579" i="1" s="1"/>
  <c r="B1579" i="1"/>
  <c r="A1579" i="1"/>
  <c r="N1578" i="1"/>
  <c r="E1578" i="1"/>
  <c r="A1578" i="1" s="1"/>
  <c r="C1578" i="1"/>
  <c r="D1578" i="1" s="1"/>
  <c r="B1578" i="1"/>
  <c r="N1577" i="1"/>
  <c r="E1577" i="1"/>
  <c r="A1577" i="1" s="1"/>
  <c r="C1577" i="1"/>
  <c r="D1577" i="1" s="1"/>
  <c r="B1577" i="1"/>
  <c r="N1576" i="1"/>
  <c r="E1576" i="1"/>
  <c r="A1576" i="1" s="1"/>
  <c r="C1576" i="1"/>
  <c r="D1576" i="1" s="1"/>
  <c r="B1576" i="1"/>
  <c r="E1575" i="1"/>
  <c r="C1575" i="1"/>
  <c r="D1575" i="1" s="1"/>
  <c r="B1575" i="1"/>
  <c r="A1575" i="1"/>
  <c r="E1574" i="1"/>
  <c r="C1574" i="1"/>
  <c r="D1574" i="1" s="1"/>
  <c r="B1574" i="1"/>
  <c r="A1574" i="1"/>
  <c r="E1573" i="1"/>
  <c r="C1573" i="1"/>
  <c r="D1573" i="1" s="1"/>
  <c r="B1573" i="1"/>
  <c r="A1573" i="1"/>
  <c r="E1572" i="1"/>
  <c r="A1572" i="1" s="1"/>
  <c r="C1572" i="1"/>
  <c r="D1572" i="1" s="1"/>
  <c r="B1572" i="1"/>
  <c r="E1571" i="1"/>
  <c r="C1571" i="1"/>
  <c r="D1571" i="1" s="1"/>
  <c r="B1571" i="1"/>
  <c r="A1571" i="1"/>
  <c r="E1570" i="1"/>
  <c r="C1570" i="1"/>
  <c r="D1570" i="1" s="1"/>
  <c r="B1570" i="1"/>
  <c r="A1570" i="1"/>
  <c r="E1569" i="1"/>
  <c r="C1569" i="1"/>
  <c r="D1569" i="1" s="1"/>
  <c r="B1569" i="1"/>
  <c r="A1569" i="1"/>
  <c r="N1568" i="1"/>
  <c r="E1568" i="1"/>
  <c r="A1568" i="1" s="1"/>
  <c r="C1568" i="1"/>
  <c r="D1568" i="1" s="1"/>
  <c r="B1568" i="1"/>
  <c r="N1567" i="1"/>
  <c r="E1567" i="1"/>
  <c r="A1567" i="1" s="1"/>
  <c r="C1567" i="1"/>
  <c r="D1567" i="1" s="1"/>
  <c r="B1567" i="1"/>
  <c r="N1566" i="1"/>
  <c r="E1566" i="1"/>
  <c r="A1566" i="1" s="1"/>
  <c r="C1566" i="1"/>
  <c r="D1566" i="1" s="1"/>
  <c r="B1566" i="1"/>
  <c r="N1565" i="1"/>
  <c r="E1565" i="1"/>
  <c r="A1565" i="1" s="1"/>
  <c r="C1565" i="1"/>
  <c r="D1565" i="1" s="1"/>
  <c r="B1565" i="1"/>
  <c r="E1564" i="1"/>
  <c r="C1564" i="1"/>
  <c r="D1564" i="1" s="1"/>
  <c r="B1564" i="1"/>
  <c r="A1564" i="1"/>
  <c r="E1563" i="1"/>
  <c r="C1563" i="1"/>
  <c r="D1563" i="1" s="1"/>
  <c r="B1563" i="1"/>
  <c r="A1563" i="1"/>
  <c r="E1562" i="1"/>
  <c r="C1562" i="1"/>
  <c r="D1562" i="1" s="1"/>
  <c r="B1562" i="1"/>
  <c r="A1562" i="1"/>
  <c r="E1561" i="1"/>
  <c r="C1561" i="1"/>
  <c r="D1561" i="1" s="1"/>
  <c r="B1561" i="1"/>
  <c r="A1561" i="1"/>
  <c r="E1560" i="1"/>
  <c r="C1560" i="1"/>
  <c r="D1560" i="1" s="1"/>
  <c r="B1560" i="1"/>
  <c r="A1560" i="1"/>
  <c r="N1559" i="1"/>
  <c r="E1559" i="1"/>
  <c r="A1559" i="1" s="1"/>
  <c r="C1559" i="1"/>
  <c r="D1559" i="1" s="1"/>
  <c r="B1559" i="1"/>
  <c r="N1558" i="1"/>
  <c r="E1558" i="1"/>
  <c r="A1558" i="1" s="1"/>
  <c r="C1558" i="1"/>
  <c r="D1558" i="1" s="1"/>
  <c r="B1558" i="1"/>
  <c r="N1557" i="1"/>
  <c r="E1557" i="1"/>
  <c r="A1557" i="1" s="1"/>
  <c r="C1557" i="1"/>
  <c r="D1557" i="1" s="1"/>
  <c r="B1557" i="1"/>
  <c r="N1556" i="1"/>
  <c r="E1556" i="1"/>
  <c r="A1556" i="1" s="1"/>
  <c r="C1556" i="1"/>
  <c r="D1556" i="1" s="1"/>
  <c r="B1556" i="1"/>
  <c r="N1555" i="1"/>
  <c r="E1555" i="1"/>
  <c r="A1555" i="1" s="1"/>
  <c r="C1555" i="1"/>
  <c r="D1555" i="1" s="1"/>
  <c r="B1555" i="1"/>
  <c r="E1554" i="1"/>
  <c r="C1554" i="1"/>
  <c r="D1554" i="1" s="1"/>
  <c r="B1554" i="1"/>
  <c r="A1554" i="1"/>
  <c r="N1553" i="1"/>
  <c r="E1553" i="1"/>
  <c r="A1553" i="1" s="1"/>
  <c r="C1553" i="1"/>
  <c r="D1553" i="1" s="1"/>
  <c r="B1553" i="1"/>
  <c r="N1552" i="1"/>
  <c r="E1552" i="1"/>
  <c r="A1552" i="1" s="1"/>
  <c r="C1552" i="1"/>
  <c r="D1552" i="1" s="1"/>
  <c r="B1552" i="1"/>
  <c r="N1551" i="1"/>
  <c r="E1551" i="1"/>
  <c r="A1551" i="1" s="1"/>
  <c r="C1551" i="1"/>
  <c r="D1551" i="1" s="1"/>
  <c r="B1551" i="1"/>
  <c r="N1550" i="1"/>
  <c r="E1550" i="1"/>
  <c r="A1550" i="1" s="1"/>
  <c r="C1550" i="1"/>
  <c r="D1550" i="1" s="1"/>
  <c r="B1550" i="1"/>
  <c r="N1549" i="1"/>
  <c r="E1549" i="1"/>
  <c r="C1549" i="1"/>
  <c r="D1549" i="1" s="1"/>
  <c r="B1549" i="1"/>
  <c r="A1549" i="1"/>
  <c r="N1548" i="1"/>
  <c r="E1548" i="1"/>
  <c r="A1548" i="1" s="1"/>
  <c r="C1548" i="1"/>
  <c r="D1548" i="1" s="1"/>
  <c r="B1548" i="1"/>
  <c r="E1547" i="1"/>
  <c r="C1547" i="1"/>
  <c r="D1547" i="1" s="1"/>
  <c r="B1547" i="1"/>
  <c r="A1547" i="1"/>
  <c r="N1546" i="1"/>
  <c r="E1546" i="1"/>
  <c r="C1546" i="1"/>
  <c r="D1546" i="1" s="1"/>
  <c r="B1546" i="1"/>
  <c r="A1546" i="1"/>
  <c r="E1545" i="1"/>
  <c r="A1545" i="1" s="1"/>
  <c r="C1545" i="1"/>
  <c r="D1545" i="1" s="1"/>
  <c r="B1545" i="1"/>
  <c r="N1544" i="1"/>
  <c r="E1544" i="1"/>
  <c r="A1544" i="1" s="1"/>
  <c r="C1544" i="1"/>
  <c r="D1544" i="1" s="1"/>
  <c r="B1544" i="1"/>
  <c r="E1543" i="1"/>
  <c r="C1543" i="1"/>
  <c r="D1543" i="1" s="1"/>
  <c r="B1543" i="1"/>
  <c r="A1543" i="1"/>
  <c r="N1542" i="1"/>
  <c r="E1542" i="1"/>
  <c r="A1542" i="1" s="1"/>
  <c r="C1542" i="1"/>
  <c r="D1542" i="1" s="1"/>
  <c r="B1542" i="1"/>
  <c r="E1541" i="1"/>
  <c r="C1541" i="1"/>
  <c r="D1541" i="1" s="1"/>
  <c r="B1541" i="1"/>
  <c r="A1541" i="1"/>
  <c r="N1540" i="1"/>
  <c r="E1540" i="1"/>
  <c r="A1540" i="1" s="1"/>
  <c r="C1540" i="1"/>
  <c r="D1540" i="1" s="1"/>
  <c r="B1540" i="1"/>
  <c r="E1539" i="1"/>
  <c r="C1539" i="1"/>
  <c r="D1539" i="1" s="1"/>
  <c r="B1539" i="1"/>
  <c r="A1539" i="1"/>
  <c r="N1538" i="1"/>
  <c r="E1538" i="1"/>
  <c r="A1538" i="1" s="1"/>
  <c r="C1538" i="1"/>
  <c r="D1538" i="1" s="1"/>
  <c r="B1538" i="1"/>
  <c r="E1537" i="1"/>
  <c r="C1537" i="1"/>
  <c r="D1537" i="1" s="1"/>
  <c r="B1537" i="1"/>
  <c r="A1537" i="1"/>
  <c r="E1536" i="1"/>
  <c r="C1536" i="1"/>
  <c r="D1536" i="1" s="1"/>
  <c r="B1536" i="1"/>
  <c r="A1536" i="1"/>
  <c r="N1535" i="1"/>
  <c r="E1535" i="1"/>
  <c r="A1535" i="1" s="1"/>
  <c r="C1535" i="1"/>
  <c r="D1535" i="1" s="1"/>
  <c r="B1535" i="1"/>
  <c r="E1534" i="1"/>
  <c r="C1534" i="1"/>
  <c r="D1534" i="1" s="1"/>
  <c r="B1534" i="1"/>
  <c r="A1534" i="1"/>
  <c r="N1533" i="1"/>
  <c r="E1533" i="1"/>
  <c r="A1533" i="1" s="1"/>
  <c r="C1533" i="1"/>
  <c r="D1533" i="1" s="1"/>
  <c r="B1533" i="1"/>
  <c r="N1532" i="1"/>
  <c r="E1532" i="1"/>
  <c r="A1532" i="1" s="1"/>
  <c r="C1532" i="1"/>
  <c r="D1532" i="1" s="1"/>
  <c r="B1532" i="1"/>
  <c r="E1531" i="1"/>
  <c r="C1531" i="1"/>
  <c r="D1531" i="1" s="1"/>
  <c r="B1531" i="1"/>
  <c r="A1531" i="1"/>
  <c r="E1530" i="1"/>
  <c r="C1530" i="1"/>
  <c r="D1530" i="1" s="1"/>
  <c r="B1530" i="1"/>
  <c r="A1530" i="1"/>
  <c r="E1529" i="1"/>
  <c r="C1529" i="1"/>
  <c r="D1529" i="1" s="1"/>
  <c r="B1529" i="1"/>
  <c r="A1529" i="1"/>
  <c r="E1528" i="1"/>
  <c r="A1528" i="1" s="1"/>
  <c r="C1528" i="1"/>
  <c r="D1528" i="1" s="1"/>
  <c r="B1528" i="1"/>
  <c r="N1527" i="1"/>
  <c r="E1527" i="1"/>
  <c r="A1527" i="1" s="1"/>
  <c r="C1527" i="1"/>
  <c r="D1527" i="1" s="1"/>
  <c r="B1527" i="1"/>
  <c r="N1526" i="1"/>
  <c r="E1526" i="1"/>
  <c r="A1526" i="1" s="1"/>
  <c r="C1526" i="1"/>
  <c r="D1526" i="1" s="1"/>
  <c r="B1526" i="1"/>
  <c r="N1525" i="1"/>
  <c r="E1525" i="1"/>
  <c r="A1525" i="1" s="1"/>
  <c r="C1525" i="1"/>
  <c r="D1525" i="1" s="1"/>
  <c r="B1525" i="1"/>
  <c r="E1524" i="1"/>
  <c r="C1524" i="1"/>
  <c r="D1524" i="1" s="1"/>
  <c r="B1524" i="1"/>
  <c r="A1524" i="1"/>
  <c r="E1523" i="1"/>
  <c r="A1523" i="1" s="1"/>
  <c r="C1523" i="1"/>
  <c r="D1523" i="1" s="1"/>
  <c r="B1523" i="1"/>
  <c r="E1522" i="1"/>
  <c r="C1522" i="1"/>
  <c r="D1522" i="1" s="1"/>
  <c r="B1522" i="1"/>
  <c r="A1522" i="1"/>
  <c r="E1521" i="1"/>
  <c r="A1521" i="1" s="1"/>
  <c r="C1521" i="1"/>
  <c r="D1521" i="1" s="1"/>
  <c r="B1521" i="1"/>
  <c r="N1520" i="1"/>
  <c r="E1520" i="1"/>
  <c r="A1520" i="1" s="1"/>
  <c r="C1520" i="1"/>
  <c r="D1520" i="1" s="1"/>
  <c r="B1520" i="1"/>
  <c r="E1519" i="1"/>
  <c r="C1519" i="1"/>
  <c r="D1519" i="1" s="1"/>
  <c r="B1519" i="1"/>
  <c r="A1519" i="1"/>
  <c r="E1518" i="1"/>
  <c r="C1518" i="1"/>
  <c r="D1518" i="1" s="1"/>
  <c r="B1518" i="1"/>
  <c r="A1518" i="1"/>
  <c r="E1517" i="1"/>
  <c r="C1517" i="1"/>
  <c r="D1517" i="1" s="1"/>
  <c r="B1517" i="1"/>
  <c r="A1517" i="1"/>
  <c r="E1516" i="1"/>
  <c r="C1516" i="1"/>
  <c r="D1516" i="1" s="1"/>
  <c r="B1516" i="1"/>
  <c r="A1516" i="1"/>
  <c r="E1515" i="1"/>
  <c r="A1515" i="1" s="1"/>
  <c r="C1515" i="1"/>
  <c r="D1515" i="1" s="1"/>
  <c r="B1515" i="1"/>
  <c r="E1514" i="1"/>
  <c r="C1514" i="1"/>
  <c r="D1514" i="1" s="1"/>
  <c r="B1514" i="1"/>
  <c r="A1514" i="1"/>
  <c r="E1513" i="1"/>
  <c r="A1513" i="1" s="1"/>
  <c r="C1513" i="1"/>
  <c r="D1513" i="1" s="1"/>
  <c r="B1513" i="1"/>
  <c r="E1512" i="1"/>
  <c r="A1512" i="1" s="1"/>
  <c r="C1512" i="1"/>
  <c r="D1512" i="1" s="1"/>
  <c r="B1512" i="1"/>
  <c r="E1511" i="1"/>
  <c r="C1511" i="1"/>
  <c r="D1511" i="1" s="1"/>
  <c r="B1511" i="1"/>
  <c r="A1511" i="1"/>
  <c r="E1510" i="1"/>
  <c r="A1510" i="1" s="1"/>
  <c r="C1510" i="1"/>
  <c r="D1510" i="1" s="1"/>
  <c r="B1510" i="1"/>
  <c r="E1509" i="1"/>
  <c r="A1509" i="1" s="1"/>
  <c r="C1509" i="1"/>
  <c r="D1509" i="1" s="1"/>
  <c r="B1509" i="1"/>
  <c r="E1508" i="1"/>
  <c r="A1508" i="1" s="1"/>
  <c r="C1508" i="1"/>
  <c r="D1508" i="1" s="1"/>
  <c r="B1508" i="1"/>
  <c r="E1507" i="1"/>
  <c r="A1507" i="1" s="1"/>
  <c r="C1507" i="1"/>
  <c r="D1507" i="1" s="1"/>
  <c r="B1507" i="1"/>
  <c r="E1506" i="1"/>
  <c r="C1506" i="1"/>
  <c r="D1506" i="1" s="1"/>
  <c r="B1506" i="1"/>
  <c r="A1506" i="1"/>
  <c r="E1505" i="1"/>
  <c r="C1505" i="1"/>
  <c r="D1505" i="1" s="1"/>
  <c r="B1505" i="1"/>
  <c r="A1505" i="1"/>
  <c r="E1504" i="1"/>
  <c r="C1504" i="1"/>
  <c r="D1504" i="1" s="1"/>
  <c r="B1504" i="1"/>
  <c r="A1504" i="1"/>
  <c r="N1503" i="1"/>
  <c r="E1503" i="1"/>
  <c r="A1503" i="1" s="1"/>
  <c r="C1503" i="1"/>
  <c r="D1503" i="1" s="1"/>
  <c r="B1503" i="1"/>
  <c r="E1502" i="1"/>
  <c r="C1502" i="1"/>
  <c r="D1502" i="1" s="1"/>
  <c r="B1502" i="1"/>
  <c r="A1502" i="1"/>
  <c r="E1501" i="1"/>
  <c r="A1501" i="1" s="1"/>
  <c r="C1501" i="1"/>
  <c r="D1501" i="1" s="1"/>
  <c r="B1501" i="1"/>
  <c r="E1500" i="1"/>
  <c r="C1500" i="1"/>
  <c r="D1500" i="1" s="1"/>
  <c r="B1500" i="1"/>
  <c r="A1500" i="1"/>
  <c r="E1499" i="1"/>
  <c r="C1499" i="1"/>
  <c r="D1499" i="1" s="1"/>
  <c r="B1499" i="1"/>
  <c r="A1499" i="1"/>
  <c r="E1498" i="1"/>
  <c r="A1498" i="1" s="1"/>
  <c r="C1498" i="1"/>
  <c r="D1498" i="1" s="1"/>
  <c r="B1498" i="1"/>
  <c r="E1497" i="1"/>
  <c r="C1497" i="1"/>
  <c r="D1497" i="1" s="1"/>
  <c r="B1497" i="1"/>
  <c r="A1497" i="1"/>
  <c r="E1496" i="1"/>
  <c r="C1496" i="1"/>
  <c r="D1496" i="1" s="1"/>
  <c r="B1496" i="1"/>
  <c r="A1496" i="1"/>
  <c r="E1495" i="1"/>
  <c r="C1495" i="1"/>
  <c r="D1495" i="1" s="1"/>
  <c r="B1495" i="1"/>
  <c r="A1495" i="1"/>
  <c r="E1494" i="1"/>
  <c r="C1494" i="1"/>
  <c r="D1494" i="1" s="1"/>
  <c r="B1494" i="1"/>
  <c r="A1494" i="1"/>
  <c r="N1493" i="1"/>
  <c r="E1493" i="1"/>
  <c r="C1493" i="1"/>
  <c r="D1493" i="1" s="1"/>
  <c r="B1493" i="1"/>
  <c r="A1493" i="1"/>
  <c r="E1492" i="1"/>
  <c r="A1492" i="1" s="1"/>
  <c r="C1492" i="1"/>
  <c r="D1492" i="1" s="1"/>
  <c r="B1492" i="1"/>
  <c r="E1491" i="1"/>
  <c r="C1491" i="1"/>
  <c r="D1491" i="1" s="1"/>
  <c r="B1491" i="1"/>
  <c r="A1491" i="1"/>
  <c r="E1490" i="1"/>
  <c r="C1490" i="1"/>
  <c r="D1490" i="1" s="1"/>
  <c r="B1490" i="1"/>
  <c r="A1490" i="1"/>
  <c r="E1489" i="1"/>
  <c r="C1489" i="1"/>
  <c r="D1489" i="1" s="1"/>
  <c r="B1489" i="1"/>
  <c r="A1489" i="1"/>
  <c r="E1488" i="1"/>
  <c r="C1488" i="1"/>
  <c r="D1488" i="1" s="1"/>
  <c r="B1488" i="1"/>
  <c r="A1488" i="1"/>
  <c r="E1487" i="1"/>
  <c r="A1487" i="1" s="1"/>
  <c r="C1487" i="1"/>
  <c r="D1487" i="1" s="1"/>
  <c r="B1487" i="1"/>
  <c r="E1486" i="1"/>
  <c r="C1486" i="1"/>
  <c r="D1486" i="1" s="1"/>
  <c r="B1486" i="1"/>
  <c r="A1486" i="1"/>
  <c r="E1485" i="1"/>
  <c r="C1485" i="1"/>
  <c r="D1485" i="1" s="1"/>
  <c r="B1485" i="1"/>
  <c r="A1485" i="1"/>
  <c r="E1484" i="1"/>
  <c r="A1484" i="1" s="1"/>
  <c r="C1484" i="1"/>
  <c r="D1484" i="1" s="1"/>
  <c r="B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A1476" i="1"/>
  <c r="E1475" i="1"/>
  <c r="C1475" i="1"/>
  <c r="D1475" i="1" s="1"/>
  <c r="B1475" i="1"/>
  <c r="A1475" i="1"/>
  <c r="E1474" i="1"/>
  <c r="A1474" i="1" s="1"/>
  <c r="C1474" i="1"/>
  <c r="D1474" i="1" s="1"/>
  <c r="B1474" i="1"/>
  <c r="E1473" i="1"/>
  <c r="A1473" i="1" s="1"/>
  <c r="C1473" i="1"/>
  <c r="D1473" i="1" s="1"/>
  <c r="B1473" i="1"/>
  <c r="E1472" i="1"/>
  <c r="C1472" i="1"/>
  <c r="D1472" i="1" s="1"/>
  <c r="B1472" i="1"/>
  <c r="A1472" i="1"/>
  <c r="E1471" i="1"/>
  <c r="A1471" i="1" s="1"/>
  <c r="C1471" i="1"/>
  <c r="D1471" i="1" s="1"/>
  <c r="B1471" i="1"/>
  <c r="E1470" i="1"/>
  <c r="A1470" i="1" s="1"/>
  <c r="C1470" i="1"/>
  <c r="D1470" i="1" s="1"/>
  <c r="B1470" i="1"/>
  <c r="E1469" i="1"/>
  <c r="C1469" i="1"/>
  <c r="D1469" i="1" s="1"/>
  <c r="B1469" i="1"/>
  <c r="A1469" i="1"/>
  <c r="E1468" i="1"/>
  <c r="C1468" i="1"/>
  <c r="D1468" i="1" s="1"/>
  <c r="B1468" i="1"/>
  <c r="A1468" i="1"/>
  <c r="E1467" i="1"/>
  <c r="A1467" i="1" s="1"/>
  <c r="C1467" i="1"/>
  <c r="D1467" i="1" s="1"/>
  <c r="B1467" i="1"/>
  <c r="E1466" i="1"/>
  <c r="C1466" i="1"/>
  <c r="D1466" i="1" s="1"/>
  <c r="B1466" i="1"/>
  <c r="A1466" i="1"/>
  <c r="E1465" i="1"/>
  <c r="C1465" i="1"/>
  <c r="D1465" i="1" s="1"/>
  <c r="B1465" i="1"/>
  <c r="A1465" i="1"/>
  <c r="E1464" i="1"/>
  <c r="A1464" i="1" s="1"/>
  <c r="C1464" i="1"/>
  <c r="D1464" i="1" s="1"/>
  <c r="B1464" i="1"/>
  <c r="E1463" i="1"/>
  <c r="C1463" i="1"/>
  <c r="D1463" i="1" s="1"/>
  <c r="B1463" i="1"/>
  <c r="A1463" i="1"/>
  <c r="E1462" i="1"/>
  <c r="A1462" i="1" s="1"/>
  <c r="C1462" i="1"/>
  <c r="D1462" i="1" s="1"/>
  <c r="B1462" i="1"/>
  <c r="E1461" i="1"/>
  <c r="C1461" i="1"/>
  <c r="D1461" i="1" s="1"/>
  <c r="B1461" i="1"/>
  <c r="A1461" i="1"/>
  <c r="E1460" i="1"/>
  <c r="A1460" i="1" s="1"/>
  <c r="C1460" i="1"/>
  <c r="D1460" i="1" s="1"/>
  <c r="B1460" i="1"/>
  <c r="E1459" i="1"/>
  <c r="C1459" i="1"/>
  <c r="D1459" i="1" s="1"/>
  <c r="B1459" i="1"/>
  <c r="A1459" i="1"/>
  <c r="E1458" i="1"/>
  <c r="A1458" i="1" s="1"/>
  <c r="C1458" i="1"/>
  <c r="D1458" i="1" s="1"/>
  <c r="B1458" i="1"/>
  <c r="E1457" i="1"/>
  <c r="C1457" i="1"/>
  <c r="D1457" i="1" s="1"/>
  <c r="B1457" i="1"/>
  <c r="A1457" i="1"/>
  <c r="N1456" i="1"/>
  <c r="E1456" i="1"/>
  <c r="C1456" i="1"/>
  <c r="D1456" i="1" s="1"/>
  <c r="B1456" i="1"/>
  <c r="A1456" i="1"/>
  <c r="N1455" i="1"/>
  <c r="E1455" i="1"/>
  <c r="C1455" i="1"/>
  <c r="D1455" i="1" s="1"/>
  <c r="B1455" i="1"/>
  <c r="A1455" i="1"/>
  <c r="N1454" i="1"/>
  <c r="E1454" i="1"/>
  <c r="C1454" i="1"/>
  <c r="D1454" i="1" s="1"/>
  <c r="B1454" i="1"/>
  <c r="A1454" i="1"/>
  <c r="N1453" i="1"/>
  <c r="E1453" i="1"/>
  <c r="C1453" i="1"/>
  <c r="D1453" i="1" s="1"/>
  <c r="B1453" i="1"/>
  <c r="A1453" i="1"/>
  <c r="N1452" i="1"/>
  <c r="E1452" i="1"/>
  <c r="C1452" i="1"/>
  <c r="D1452" i="1" s="1"/>
  <c r="B1452" i="1"/>
  <c r="A1452" i="1"/>
  <c r="N1451" i="1"/>
  <c r="E1451" i="1"/>
  <c r="C1451" i="1"/>
  <c r="D1451" i="1" s="1"/>
  <c r="B1451" i="1"/>
  <c r="A1451" i="1"/>
  <c r="N1450" i="1"/>
  <c r="E1450" i="1"/>
  <c r="C1450" i="1"/>
  <c r="D1450" i="1" s="1"/>
  <c r="B1450" i="1"/>
  <c r="A1450" i="1"/>
  <c r="N1449" i="1"/>
  <c r="E1449" i="1"/>
  <c r="C1449" i="1"/>
  <c r="D1449" i="1" s="1"/>
  <c r="B1449" i="1"/>
  <c r="A1449" i="1"/>
  <c r="E1448" i="1"/>
  <c r="C1448" i="1"/>
  <c r="D1448" i="1" s="1"/>
  <c r="B1448" i="1"/>
  <c r="A1448" i="1"/>
  <c r="N1447" i="1"/>
  <c r="E1447" i="1"/>
  <c r="A1447" i="1" s="1"/>
  <c r="C1447" i="1"/>
  <c r="D1447" i="1" s="1"/>
  <c r="B1447" i="1"/>
  <c r="E1446" i="1"/>
  <c r="A1446" i="1" s="1"/>
  <c r="C1446" i="1"/>
  <c r="D1446" i="1" s="1"/>
  <c r="B1446" i="1"/>
  <c r="N1445" i="1"/>
  <c r="E1445" i="1"/>
  <c r="A1445" i="1" s="1"/>
  <c r="C1445" i="1"/>
  <c r="D1445" i="1" s="1"/>
  <c r="B1445" i="1"/>
  <c r="E1444" i="1"/>
  <c r="C1444" i="1"/>
  <c r="D1444" i="1" s="1"/>
  <c r="B1444" i="1"/>
  <c r="A1444" i="1"/>
  <c r="E1443" i="1"/>
  <c r="C1443" i="1"/>
  <c r="D1443" i="1" s="1"/>
  <c r="B1443" i="1"/>
  <c r="A1443" i="1"/>
  <c r="E1442" i="1"/>
  <c r="C1442" i="1"/>
  <c r="D1442" i="1" s="1"/>
  <c r="B1442" i="1"/>
  <c r="A1442" i="1"/>
  <c r="N1441" i="1"/>
  <c r="E1441" i="1"/>
  <c r="A1441" i="1" s="1"/>
  <c r="C1441" i="1"/>
  <c r="D1441" i="1" s="1"/>
  <c r="B1441" i="1"/>
  <c r="E1440" i="1"/>
  <c r="C1440" i="1"/>
  <c r="D1440" i="1" s="1"/>
  <c r="B1440" i="1"/>
  <c r="A1440" i="1"/>
  <c r="N1439" i="1"/>
  <c r="E1439" i="1"/>
  <c r="A1439" i="1" s="1"/>
  <c r="C1439" i="1"/>
  <c r="D1439" i="1" s="1"/>
  <c r="B1439" i="1"/>
  <c r="E1438" i="1"/>
  <c r="C1438" i="1"/>
  <c r="D1438" i="1" s="1"/>
  <c r="B1438" i="1"/>
  <c r="A1438" i="1"/>
  <c r="E1437" i="1"/>
  <c r="C1437" i="1"/>
  <c r="D1437" i="1" s="1"/>
  <c r="B1437" i="1"/>
  <c r="A1437" i="1"/>
  <c r="N1436" i="1"/>
  <c r="E1436" i="1"/>
  <c r="A1436" i="1" s="1"/>
  <c r="C1436" i="1"/>
  <c r="D1436" i="1" s="1"/>
  <c r="B1436" i="1"/>
  <c r="E1435" i="1"/>
  <c r="C1435" i="1"/>
  <c r="D1435" i="1" s="1"/>
  <c r="B1435" i="1"/>
  <c r="A1435" i="1"/>
  <c r="N1434" i="1"/>
  <c r="E1434" i="1"/>
  <c r="A1434" i="1" s="1"/>
  <c r="C1434" i="1"/>
  <c r="D1434" i="1" s="1"/>
  <c r="B1434" i="1"/>
  <c r="E1433" i="1"/>
  <c r="A1433" i="1" s="1"/>
  <c r="C1433" i="1"/>
  <c r="D1433" i="1" s="1"/>
  <c r="B1433" i="1"/>
  <c r="N1432" i="1"/>
  <c r="E1432" i="1"/>
  <c r="A1432" i="1" s="1"/>
  <c r="C1432" i="1"/>
  <c r="D1432" i="1" s="1"/>
  <c r="B1432" i="1"/>
  <c r="N1431" i="1"/>
  <c r="E1431" i="1"/>
  <c r="A1431" i="1" s="1"/>
  <c r="C1431" i="1"/>
  <c r="D1431" i="1" s="1"/>
  <c r="B1431" i="1"/>
  <c r="E1430" i="1"/>
  <c r="C1430" i="1"/>
  <c r="D1430" i="1" s="1"/>
  <c r="B1430" i="1"/>
  <c r="A1430" i="1"/>
  <c r="E1429" i="1"/>
  <c r="C1429" i="1"/>
  <c r="D1429" i="1" s="1"/>
  <c r="B1429" i="1"/>
  <c r="A1429" i="1"/>
  <c r="E1428" i="1"/>
  <c r="C1428" i="1"/>
  <c r="D1428" i="1" s="1"/>
  <c r="B1428" i="1"/>
  <c r="A1428" i="1"/>
  <c r="E1427" i="1"/>
  <c r="A1427" i="1" s="1"/>
  <c r="C1427" i="1"/>
  <c r="D1427" i="1" s="1"/>
  <c r="B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N1421" i="1"/>
  <c r="E1421" i="1"/>
  <c r="A1421" i="1" s="1"/>
  <c r="C1421" i="1"/>
  <c r="D1421" i="1" s="1"/>
  <c r="B1421" i="1"/>
  <c r="E1420" i="1"/>
  <c r="C1420" i="1"/>
  <c r="D1420" i="1" s="1"/>
  <c r="B1420" i="1"/>
  <c r="A1420" i="1"/>
  <c r="N1419" i="1"/>
  <c r="E1419" i="1"/>
  <c r="A1419" i="1" s="1"/>
  <c r="C1419" i="1"/>
  <c r="D1419" i="1" s="1"/>
  <c r="B1419" i="1"/>
  <c r="N1418" i="1"/>
  <c r="E1418" i="1"/>
  <c r="A1418" i="1" s="1"/>
  <c r="C1418" i="1"/>
  <c r="D1418" i="1" s="1"/>
  <c r="B1418" i="1"/>
  <c r="N1417" i="1"/>
  <c r="E1417" i="1"/>
  <c r="A1417" i="1" s="1"/>
  <c r="C1417" i="1"/>
  <c r="D1417" i="1" s="1"/>
  <c r="B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A1410" i="1" s="1"/>
  <c r="C1410" i="1"/>
  <c r="D1410" i="1" s="1"/>
  <c r="B1410" i="1"/>
  <c r="N1409" i="1"/>
  <c r="E1409" i="1"/>
  <c r="A1409" i="1" s="1"/>
  <c r="C1409" i="1"/>
  <c r="D1409" i="1" s="1"/>
  <c r="B1409" i="1"/>
  <c r="N1408" i="1"/>
  <c r="E1408" i="1"/>
  <c r="A1408" i="1" s="1"/>
  <c r="C1408" i="1"/>
  <c r="D1408" i="1" s="1"/>
  <c r="B1408" i="1"/>
  <c r="E1407" i="1"/>
  <c r="C1407" i="1"/>
  <c r="D1407" i="1" s="1"/>
  <c r="B1407" i="1"/>
  <c r="A1407" i="1"/>
  <c r="E1406" i="1"/>
  <c r="C1406" i="1"/>
  <c r="D1406" i="1" s="1"/>
  <c r="B1406" i="1"/>
  <c r="A1406" i="1"/>
  <c r="E1405" i="1"/>
  <c r="C1405" i="1"/>
  <c r="D1405" i="1" s="1"/>
  <c r="B1405" i="1"/>
  <c r="A1405" i="1"/>
  <c r="N1404" i="1"/>
  <c r="E1404" i="1"/>
  <c r="A1404" i="1" s="1"/>
  <c r="C1404" i="1"/>
  <c r="D1404" i="1" s="1"/>
  <c r="B1404" i="1"/>
  <c r="N1403" i="1"/>
  <c r="E1403" i="1"/>
  <c r="A1403" i="1" s="1"/>
  <c r="C1403" i="1"/>
  <c r="D1403" i="1" s="1"/>
  <c r="B1403" i="1"/>
  <c r="N1402" i="1"/>
  <c r="E1402" i="1"/>
  <c r="A1402" i="1" s="1"/>
  <c r="C1402" i="1"/>
  <c r="D1402" i="1" s="1"/>
  <c r="B1402" i="1"/>
  <c r="E1401" i="1"/>
  <c r="C1401" i="1"/>
  <c r="D1401" i="1" s="1"/>
  <c r="B1401" i="1"/>
  <c r="A1401" i="1"/>
  <c r="E1400" i="1"/>
  <c r="C1400" i="1"/>
  <c r="D1400" i="1" s="1"/>
  <c r="B1400" i="1"/>
  <c r="A1400" i="1"/>
  <c r="N1399" i="1"/>
  <c r="E1399" i="1"/>
  <c r="A1399" i="1" s="1"/>
  <c r="C1399" i="1"/>
  <c r="D1399" i="1" s="1"/>
  <c r="B1399" i="1"/>
  <c r="N1398" i="1"/>
  <c r="E1398" i="1"/>
  <c r="A1398" i="1" s="1"/>
  <c r="C1398" i="1"/>
  <c r="D1398" i="1" s="1"/>
  <c r="B1398" i="1"/>
  <c r="E1397" i="1"/>
  <c r="A1397" i="1" s="1"/>
  <c r="C1397" i="1"/>
  <c r="D1397" i="1" s="1"/>
  <c r="B1397" i="1"/>
  <c r="E1396" i="1"/>
  <c r="A1396" i="1" s="1"/>
  <c r="C1396" i="1"/>
  <c r="D1396" i="1" s="1"/>
  <c r="B1396" i="1"/>
  <c r="N1395" i="1"/>
  <c r="E1395" i="1"/>
  <c r="A1395" i="1" s="1"/>
  <c r="C1395" i="1"/>
  <c r="D1395" i="1" s="1"/>
  <c r="B1395" i="1"/>
  <c r="E1394" i="1"/>
  <c r="C1394" i="1"/>
  <c r="D1394" i="1" s="1"/>
  <c r="B1394" i="1"/>
  <c r="A1394" i="1"/>
  <c r="E1393" i="1"/>
  <c r="C1393" i="1"/>
  <c r="D1393" i="1" s="1"/>
  <c r="B1393" i="1"/>
  <c r="A1393" i="1"/>
  <c r="E1392" i="1"/>
  <c r="C1392" i="1"/>
  <c r="D1392" i="1" s="1"/>
  <c r="B1392" i="1"/>
  <c r="A1392" i="1"/>
  <c r="N1391" i="1"/>
  <c r="E1391" i="1"/>
  <c r="A1391" i="1" s="1"/>
  <c r="C1391" i="1"/>
  <c r="D1391" i="1" s="1"/>
  <c r="B1391" i="1"/>
  <c r="E1390" i="1"/>
  <c r="C1390" i="1"/>
  <c r="D1390" i="1" s="1"/>
  <c r="B1390" i="1"/>
  <c r="A1390" i="1"/>
  <c r="E1389" i="1"/>
  <c r="C1389" i="1"/>
  <c r="D1389" i="1" s="1"/>
  <c r="B1389" i="1"/>
  <c r="A1389" i="1"/>
  <c r="N1388" i="1"/>
  <c r="E1388" i="1"/>
  <c r="A1388" i="1" s="1"/>
  <c r="C1388" i="1"/>
  <c r="D1388" i="1" s="1"/>
  <c r="B1388" i="1"/>
  <c r="N1387" i="1"/>
  <c r="E1387" i="1"/>
  <c r="A1387" i="1" s="1"/>
  <c r="C1387" i="1"/>
  <c r="D1387" i="1" s="1"/>
  <c r="B1387" i="1"/>
  <c r="N1386" i="1"/>
  <c r="E1386" i="1"/>
  <c r="A1386" i="1" s="1"/>
  <c r="C1386" i="1"/>
  <c r="D1386" i="1" s="1"/>
  <c r="B1386" i="1"/>
  <c r="N1385" i="1"/>
  <c r="E1385" i="1"/>
  <c r="A1385" i="1" s="1"/>
  <c r="C1385" i="1"/>
  <c r="D1385" i="1" s="1"/>
  <c r="B1385" i="1"/>
  <c r="E1384" i="1"/>
  <c r="C1384" i="1"/>
  <c r="D1384" i="1" s="1"/>
  <c r="B1384" i="1"/>
  <c r="A1384" i="1"/>
  <c r="E1383" i="1"/>
  <c r="C1383" i="1"/>
  <c r="D1383" i="1" s="1"/>
  <c r="B1383" i="1"/>
  <c r="A1383" i="1"/>
  <c r="N1382" i="1"/>
  <c r="E1382" i="1"/>
  <c r="A1382" i="1" s="1"/>
  <c r="C1382" i="1"/>
  <c r="D1382" i="1" s="1"/>
  <c r="B1382" i="1"/>
  <c r="N1381" i="1"/>
  <c r="E1381" i="1"/>
  <c r="A1381" i="1" s="1"/>
  <c r="C1381" i="1"/>
  <c r="D1381" i="1" s="1"/>
  <c r="B1381" i="1"/>
  <c r="E1380" i="1"/>
  <c r="C1380" i="1"/>
  <c r="D1380" i="1" s="1"/>
  <c r="B1380" i="1"/>
  <c r="A1380" i="1"/>
  <c r="N1379" i="1"/>
  <c r="E1379" i="1"/>
  <c r="A1379" i="1" s="1"/>
  <c r="C1379" i="1"/>
  <c r="D1379" i="1" s="1"/>
  <c r="B1379" i="1"/>
  <c r="N1378" i="1"/>
  <c r="E1378" i="1"/>
  <c r="A1378" i="1" s="1"/>
  <c r="C1378" i="1"/>
  <c r="D1378" i="1" s="1"/>
  <c r="B1378" i="1"/>
  <c r="E1377" i="1"/>
  <c r="C1377" i="1"/>
  <c r="D1377" i="1" s="1"/>
  <c r="B1377" i="1"/>
  <c r="A1377" i="1"/>
  <c r="E1376" i="1"/>
  <c r="C1376" i="1"/>
  <c r="D1376" i="1" s="1"/>
  <c r="B1376" i="1"/>
  <c r="A1376" i="1"/>
  <c r="N1375" i="1"/>
  <c r="E1375" i="1"/>
  <c r="A1375" i="1" s="1"/>
  <c r="C1375" i="1"/>
  <c r="D1375" i="1" s="1"/>
  <c r="B1375" i="1"/>
  <c r="N1374" i="1"/>
  <c r="E1374" i="1"/>
  <c r="A1374" i="1" s="1"/>
  <c r="C1374" i="1"/>
  <c r="D1374" i="1" s="1"/>
  <c r="B1374" i="1"/>
  <c r="N1373" i="1"/>
  <c r="E1373" i="1"/>
  <c r="A1373" i="1" s="1"/>
  <c r="C1373" i="1"/>
  <c r="D1373" i="1" s="1"/>
  <c r="B1373" i="1"/>
  <c r="N1372" i="1"/>
  <c r="E1372" i="1"/>
  <c r="A1372" i="1" s="1"/>
  <c r="C1372" i="1"/>
  <c r="D1372" i="1" s="1"/>
  <c r="B1372" i="1"/>
  <c r="N1371" i="1"/>
  <c r="E1371" i="1"/>
  <c r="A1371" i="1" s="1"/>
  <c r="C1371" i="1"/>
  <c r="D1371" i="1" s="1"/>
  <c r="B1371" i="1"/>
  <c r="N1370" i="1"/>
  <c r="E1370" i="1"/>
  <c r="A1370" i="1" s="1"/>
  <c r="C1370" i="1"/>
  <c r="D1370" i="1" s="1"/>
  <c r="B1370" i="1"/>
  <c r="N1369" i="1"/>
  <c r="E1369" i="1"/>
  <c r="A1369" i="1" s="1"/>
  <c r="C1369" i="1"/>
  <c r="D1369" i="1" s="1"/>
  <c r="B1369" i="1"/>
  <c r="N1368" i="1"/>
  <c r="E1368" i="1"/>
  <c r="A1368" i="1" s="1"/>
  <c r="C1368" i="1"/>
  <c r="D1368" i="1" s="1"/>
  <c r="B1368" i="1"/>
  <c r="N1367" i="1"/>
  <c r="E1367" i="1"/>
  <c r="C1367" i="1"/>
  <c r="D1367" i="1" s="1"/>
  <c r="B1367" i="1"/>
  <c r="A1367" i="1"/>
  <c r="E1366" i="1"/>
  <c r="A1366" i="1" s="1"/>
  <c r="C1366" i="1"/>
  <c r="D1366" i="1" s="1"/>
  <c r="B1366" i="1"/>
  <c r="N1365" i="1"/>
  <c r="E1365" i="1"/>
  <c r="A1365" i="1" s="1"/>
  <c r="C1365" i="1"/>
  <c r="D1365" i="1" s="1"/>
  <c r="B1365" i="1"/>
  <c r="N1364" i="1"/>
  <c r="E1364" i="1"/>
  <c r="A1364" i="1" s="1"/>
  <c r="C1364" i="1"/>
  <c r="D1364" i="1" s="1"/>
  <c r="B1364" i="1"/>
  <c r="N1363" i="1"/>
  <c r="E1363" i="1"/>
  <c r="A1363" i="1" s="1"/>
  <c r="C1363" i="1"/>
  <c r="D1363" i="1" s="1"/>
  <c r="B1363" i="1"/>
  <c r="N1362" i="1"/>
  <c r="E1362" i="1"/>
  <c r="A1362" i="1" s="1"/>
  <c r="C1362" i="1"/>
  <c r="D1362" i="1" s="1"/>
  <c r="B1362" i="1"/>
  <c r="N1361" i="1"/>
  <c r="E1361" i="1"/>
  <c r="A1361" i="1" s="1"/>
  <c r="C1361" i="1"/>
  <c r="D1361" i="1" s="1"/>
  <c r="B1361" i="1"/>
  <c r="N1360" i="1"/>
  <c r="E1360" i="1"/>
  <c r="A1360" i="1" s="1"/>
  <c r="C1360" i="1"/>
  <c r="D1360" i="1" s="1"/>
  <c r="B1360" i="1"/>
  <c r="N1359" i="1"/>
  <c r="E1359" i="1"/>
  <c r="A1359" i="1" s="1"/>
  <c r="C1359" i="1"/>
  <c r="D1359" i="1" s="1"/>
  <c r="B1359" i="1"/>
  <c r="E1358" i="1"/>
  <c r="A1358" i="1" s="1"/>
  <c r="C1358" i="1"/>
  <c r="D1358" i="1" s="1"/>
  <c r="B1358" i="1"/>
  <c r="N1357" i="1"/>
  <c r="E1357" i="1"/>
  <c r="A1357" i="1" s="1"/>
  <c r="C1357" i="1"/>
  <c r="D1357" i="1" s="1"/>
  <c r="B1357" i="1"/>
  <c r="E1356" i="1"/>
  <c r="C1356" i="1"/>
  <c r="D1356" i="1" s="1"/>
  <c r="B1356" i="1"/>
  <c r="A1356" i="1"/>
  <c r="E1355" i="1"/>
  <c r="C1355" i="1"/>
  <c r="D1355" i="1" s="1"/>
  <c r="B1355" i="1"/>
  <c r="A1355" i="1"/>
  <c r="E1354" i="1"/>
  <c r="C1354" i="1"/>
  <c r="D1354" i="1" s="1"/>
  <c r="B1354" i="1"/>
  <c r="A1354" i="1"/>
  <c r="E1353" i="1"/>
  <c r="C1353" i="1"/>
  <c r="D1353" i="1" s="1"/>
  <c r="B1353" i="1"/>
  <c r="A1353" i="1"/>
  <c r="E1352" i="1"/>
  <c r="C1352" i="1"/>
  <c r="D1352" i="1" s="1"/>
  <c r="B1352" i="1"/>
  <c r="A1352" i="1"/>
  <c r="E1351" i="1"/>
  <c r="C1351" i="1"/>
  <c r="D1351" i="1" s="1"/>
  <c r="B1351" i="1"/>
  <c r="A1351" i="1"/>
  <c r="E1350" i="1"/>
  <c r="C1350" i="1"/>
  <c r="D1350" i="1" s="1"/>
  <c r="B1350" i="1"/>
  <c r="A1350" i="1"/>
  <c r="E1349" i="1"/>
  <c r="C1349" i="1"/>
  <c r="D1349" i="1" s="1"/>
  <c r="B1349" i="1"/>
  <c r="A1349" i="1"/>
  <c r="N1348" i="1"/>
  <c r="E1348" i="1"/>
  <c r="A1348" i="1" s="1"/>
  <c r="C1348" i="1"/>
  <c r="D1348" i="1" s="1"/>
  <c r="B1348" i="1"/>
  <c r="E1347" i="1"/>
  <c r="C1347" i="1"/>
  <c r="D1347" i="1" s="1"/>
  <c r="B1347" i="1"/>
  <c r="A1347" i="1"/>
  <c r="N1346" i="1"/>
  <c r="E1346" i="1"/>
  <c r="A1346" i="1" s="1"/>
  <c r="C1346" i="1"/>
  <c r="D1346" i="1" s="1"/>
  <c r="B1346" i="1"/>
  <c r="E1345" i="1"/>
  <c r="C1345" i="1"/>
  <c r="D1345" i="1" s="1"/>
  <c r="B1345" i="1"/>
  <c r="A1345" i="1"/>
  <c r="N1344" i="1"/>
  <c r="E1344" i="1"/>
  <c r="A1344" i="1" s="1"/>
  <c r="C1344" i="1"/>
  <c r="D1344" i="1" s="1"/>
  <c r="B1344" i="1"/>
  <c r="N1343" i="1"/>
  <c r="E1343" i="1"/>
  <c r="A1343" i="1" s="1"/>
  <c r="C1343" i="1"/>
  <c r="D1343" i="1" s="1"/>
  <c r="B1343" i="1"/>
  <c r="N1342" i="1"/>
  <c r="E1342" i="1"/>
  <c r="A1342" i="1" s="1"/>
  <c r="C1342" i="1"/>
  <c r="D1342" i="1" s="1"/>
  <c r="B1342" i="1"/>
  <c r="N1341" i="1"/>
  <c r="E1341" i="1"/>
  <c r="A1341" i="1" s="1"/>
  <c r="C1341" i="1"/>
  <c r="D1341" i="1" s="1"/>
  <c r="B1341" i="1"/>
  <c r="E1340" i="1"/>
  <c r="C1340" i="1"/>
  <c r="D1340" i="1" s="1"/>
  <c r="B1340" i="1"/>
  <c r="A1340" i="1"/>
  <c r="E1339" i="1"/>
  <c r="C1339" i="1"/>
  <c r="D1339" i="1" s="1"/>
  <c r="B1339" i="1"/>
  <c r="A1339" i="1"/>
  <c r="E1338" i="1"/>
  <c r="A1338" i="1" s="1"/>
  <c r="C1338" i="1"/>
  <c r="D1338" i="1" s="1"/>
  <c r="B1338" i="1"/>
  <c r="E1337" i="1"/>
  <c r="C1337" i="1"/>
  <c r="D1337" i="1" s="1"/>
  <c r="B1337" i="1"/>
  <c r="A1337" i="1"/>
  <c r="N1336" i="1"/>
  <c r="E1336" i="1"/>
  <c r="A1336" i="1" s="1"/>
  <c r="C1336" i="1"/>
  <c r="D1336" i="1" s="1"/>
  <c r="B1336" i="1"/>
  <c r="E1335" i="1"/>
  <c r="A1335" i="1" s="1"/>
  <c r="C1335" i="1"/>
  <c r="D1335" i="1" s="1"/>
  <c r="B1335" i="1"/>
  <c r="E1334" i="1"/>
  <c r="C1334" i="1"/>
  <c r="D1334" i="1" s="1"/>
  <c r="B1334" i="1"/>
  <c r="A1334" i="1"/>
  <c r="E1333" i="1"/>
  <c r="C1333" i="1"/>
  <c r="D1333" i="1" s="1"/>
  <c r="B1333" i="1"/>
  <c r="A1333" i="1"/>
  <c r="E1332" i="1"/>
  <c r="C1332" i="1"/>
  <c r="D1332" i="1" s="1"/>
  <c r="B1332" i="1"/>
  <c r="A1332" i="1"/>
  <c r="N1331" i="1"/>
  <c r="E1331" i="1"/>
  <c r="A1331" i="1" s="1"/>
  <c r="C1331" i="1"/>
  <c r="D1331" i="1" s="1"/>
  <c r="B1331" i="1"/>
  <c r="E1330" i="1"/>
  <c r="C1330" i="1"/>
  <c r="D1330" i="1" s="1"/>
  <c r="B1330" i="1"/>
  <c r="A1330" i="1"/>
  <c r="N1329" i="1"/>
  <c r="E1329" i="1"/>
  <c r="A1329" i="1" s="1"/>
  <c r="C1329" i="1"/>
  <c r="D1329" i="1" s="1"/>
  <c r="B1329" i="1"/>
  <c r="N1328" i="1"/>
  <c r="E1328" i="1"/>
  <c r="A1328" i="1" s="1"/>
  <c r="C1328" i="1"/>
  <c r="D1328" i="1" s="1"/>
  <c r="B1328" i="1"/>
  <c r="N1327" i="1"/>
  <c r="E1327" i="1"/>
  <c r="A1327" i="1" s="1"/>
  <c r="C1327" i="1"/>
  <c r="D1327" i="1" s="1"/>
  <c r="B1327" i="1"/>
  <c r="N1326" i="1"/>
  <c r="E1326" i="1"/>
  <c r="A1326" i="1" s="1"/>
  <c r="C1326" i="1"/>
  <c r="D1326" i="1" s="1"/>
  <c r="B1326" i="1"/>
  <c r="E1325" i="1"/>
  <c r="C1325" i="1"/>
  <c r="D1325" i="1" s="1"/>
  <c r="B1325" i="1"/>
  <c r="A1325" i="1"/>
  <c r="E1324" i="1"/>
  <c r="C1324" i="1"/>
  <c r="D1324" i="1" s="1"/>
  <c r="B1324" i="1"/>
  <c r="A1324" i="1"/>
  <c r="E1323" i="1"/>
  <c r="C1323" i="1"/>
  <c r="D1323" i="1" s="1"/>
  <c r="B1323" i="1"/>
  <c r="A1323" i="1"/>
  <c r="N1322" i="1"/>
  <c r="E1322" i="1"/>
  <c r="A1322" i="1" s="1"/>
  <c r="C1322" i="1"/>
  <c r="D1322" i="1" s="1"/>
  <c r="B1322" i="1"/>
  <c r="E1321" i="1"/>
  <c r="C1321" i="1"/>
  <c r="D1321" i="1" s="1"/>
  <c r="B1321" i="1"/>
  <c r="A1321" i="1"/>
  <c r="N1320" i="1"/>
  <c r="E1320" i="1"/>
  <c r="A1320" i="1" s="1"/>
  <c r="C1320" i="1"/>
  <c r="D1320" i="1" s="1"/>
  <c r="B1320" i="1"/>
  <c r="E1319" i="1"/>
  <c r="C1319" i="1"/>
  <c r="D1319" i="1" s="1"/>
  <c r="B1319" i="1"/>
  <c r="A1319" i="1"/>
  <c r="N1318" i="1"/>
  <c r="E1318" i="1"/>
  <c r="A1318" i="1" s="1"/>
  <c r="C1318" i="1"/>
  <c r="D1318" i="1" s="1"/>
  <c r="B1318" i="1"/>
  <c r="E1317" i="1"/>
  <c r="C1317" i="1"/>
  <c r="D1317" i="1" s="1"/>
  <c r="B1317" i="1"/>
  <c r="A1317" i="1"/>
  <c r="E1316" i="1"/>
  <c r="C1316" i="1"/>
  <c r="D1316" i="1" s="1"/>
  <c r="B1316" i="1"/>
  <c r="A1316" i="1"/>
  <c r="E1315" i="1"/>
  <c r="C1315" i="1"/>
  <c r="D1315" i="1" s="1"/>
  <c r="B1315" i="1"/>
  <c r="A1315" i="1"/>
  <c r="E1314" i="1"/>
  <c r="C1314" i="1"/>
  <c r="D1314" i="1" s="1"/>
  <c r="B1314" i="1"/>
  <c r="A1314" i="1"/>
  <c r="N1313" i="1"/>
  <c r="E1313" i="1"/>
  <c r="A1313" i="1" s="1"/>
  <c r="C1313" i="1"/>
  <c r="D1313" i="1" s="1"/>
  <c r="B1313" i="1"/>
  <c r="N1312" i="1"/>
  <c r="E1312" i="1"/>
  <c r="A1312" i="1" s="1"/>
  <c r="C1312" i="1"/>
  <c r="D1312" i="1" s="1"/>
  <c r="B1312" i="1"/>
  <c r="E1311" i="1"/>
  <c r="A1311" i="1" s="1"/>
  <c r="C1311" i="1"/>
  <c r="D1311" i="1" s="1"/>
  <c r="B1311" i="1"/>
  <c r="E1310" i="1"/>
  <c r="C1310" i="1"/>
  <c r="D1310" i="1" s="1"/>
  <c r="B1310" i="1"/>
  <c r="A1310" i="1"/>
  <c r="E1309" i="1"/>
  <c r="A1309" i="1" s="1"/>
  <c r="C1309" i="1"/>
  <c r="D1309" i="1" s="1"/>
  <c r="B1309" i="1"/>
  <c r="E1308" i="1"/>
  <c r="C1308" i="1"/>
  <c r="D1308" i="1" s="1"/>
  <c r="B1308" i="1"/>
  <c r="A1308" i="1"/>
  <c r="E1307" i="1"/>
  <c r="C1307" i="1"/>
  <c r="D1307" i="1" s="1"/>
  <c r="B1307" i="1"/>
  <c r="A1307" i="1"/>
  <c r="N1306" i="1"/>
  <c r="E1306" i="1"/>
  <c r="A1306" i="1" s="1"/>
  <c r="C1306" i="1"/>
  <c r="D1306" i="1" s="1"/>
  <c r="B1306" i="1"/>
  <c r="E1305" i="1"/>
  <c r="C1305" i="1"/>
  <c r="D1305" i="1" s="1"/>
  <c r="B1305" i="1"/>
  <c r="A1305" i="1"/>
  <c r="N1304" i="1"/>
  <c r="E1304" i="1"/>
  <c r="A1304" i="1" s="1"/>
  <c r="C1304" i="1"/>
  <c r="D1304" i="1" s="1"/>
  <c r="B1304" i="1"/>
  <c r="N1303" i="1"/>
  <c r="E1303" i="1"/>
  <c r="A1303" i="1" s="1"/>
  <c r="C1303" i="1"/>
  <c r="D1303" i="1" s="1"/>
  <c r="B1303" i="1"/>
  <c r="N1302" i="1"/>
  <c r="E1302" i="1"/>
  <c r="A1302" i="1" s="1"/>
  <c r="C1302" i="1"/>
  <c r="D1302" i="1" s="1"/>
  <c r="B1302" i="1"/>
  <c r="N1301" i="1"/>
  <c r="E1301" i="1"/>
  <c r="A1301" i="1" s="1"/>
  <c r="C1301" i="1"/>
  <c r="D1301" i="1" s="1"/>
  <c r="B1301" i="1"/>
  <c r="E1300" i="1"/>
  <c r="A1300" i="1" s="1"/>
  <c r="C1300" i="1"/>
  <c r="D1300" i="1" s="1"/>
  <c r="B1300" i="1"/>
  <c r="N1299" i="1"/>
  <c r="E1299" i="1"/>
  <c r="A1299" i="1" s="1"/>
  <c r="C1299" i="1"/>
  <c r="D1299" i="1" s="1"/>
  <c r="B1299" i="1"/>
  <c r="N1298" i="1"/>
  <c r="E1298" i="1"/>
  <c r="A1298" i="1" s="1"/>
  <c r="C1298" i="1"/>
  <c r="D1298" i="1" s="1"/>
  <c r="B1298" i="1"/>
  <c r="N1297" i="1"/>
  <c r="E1297" i="1"/>
  <c r="C1297" i="1"/>
  <c r="D1297" i="1" s="1"/>
  <c r="B1297" i="1"/>
  <c r="A1297" i="1"/>
  <c r="N1296" i="1"/>
  <c r="E1296" i="1"/>
  <c r="A1296" i="1" s="1"/>
  <c r="C1296" i="1"/>
  <c r="D1296" i="1" s="1"/>
  <c r="B1296" i="1"/>
  <c r="N1295" i="1"/>
  <c r="E1295" i="1"/>
  <c r="A1295" i="1" s="1"/>
  <c r="C1295" i="1"/>
  <c r="D1295" i="1" s="1"/>
  <c r="B1295" i="1"/>
  <c r="N1294" i="1"/>
  <c r="E1294" i="1"/>
  <c r="A1294" i="1" s="1"/>
  <c r="C1294" i="1"/>
  <c r="D1294" i="1" s="1"/>
  <c r="B1294" i="1"/>
  <c r="N1293" i="1"/>
  <c r="E1293" i="1"/>
  <c r="A1293" i="1" s="1"/>
  <c r="C1293" i="1"/>
  <c r="D1293" i="1" s="1"/>
  <c r="B1293" i="1"/>
  <c r="N1292" i="1"/>
  <c r="E1292" i="1"/>
  <c r="A1292" i="1" s="1"/>
  <c r="C1292" i="1"/>
  <c r="D1292" i="1" s="1"/>
  <c r="B1292" i="1"/>
  <c r="E1291" i="1"/>
  <c r="C1291" i="1"/>
  <c r="D1291" i="1" s="1"/>
  <c r="B1291" i="1"/>
  <c r="A1291" i="1"/>
  <c r="E1290" i="1"/>
  <c r="C1290" i="1"/>
  <c r="D1290" i="1" s="1"/>
  <c r="B1290" i="1"/>
  <c r="A1290" i="1"/>
  <c r="N1289" i="1"/>
  <c r="E1289" i="1"/>
  <c r="A1289" i="1" s="1"/>
  <c r="C1289" i="1"/>
  <c r="D1289" i="1" s="1"/>
  <c r="B1289" i="1"/>
  <c r="N1288" i="1"/>
  <c r="E1288" i="1"/>
  <c r="A1288" i="1" s="1"/>
  <c r="C1288" i="1"/>
  <c r="D1288" i="1" s="1"/>
  <c r="B1288" i="1"/>
  <c r="N1287" i="1"/>
  <c r="E1287" i="1"/>
  <c r="A1287" i="1" s="1"/>
  <c r="C1287" i="1"/>
  <c r="D1287" i="1" s="1"/>
  <c r="B1287" i="1"/>
  <c r="N1286" i="1"/>
  <c r="E1286" i="1"/>
  <c r="A1286" i="1" s="1"/>
  <c r="C1286" i="1"/>
  <c r="D1286" i="1" s="1"/>
  <c r="B1286" i="1"/>
  <c r="N1285" i="1"/>
  <c r="E1285" i="1"/>
  <c r="A1285" i="1" s="1"/>
  <c r="C1285" i="1"/>
  <c r="D1285" i="1" s="1"/>
  <c r="B1285" i="1"/>
  <c r="N1284" i="1"/>
  <c r="E1284" i="1"/>
  <c r="A1284" i="1" s="1"/>
  <c r="C1284" i="1"/>
  <c r="D1284" i="1" s="1"/>
  <c r="B1284" i="1"/>
  <c r="N1283" i="1"/>
  <c r="E1283" i="1"/>
  <c r="A1283" i="1" s="1"/>
  <c r="C1283" i="1"/>
  <c r="D1283" i="1" s="1"/>
  <c r="B1283" i="1"/>
  <c r="E1282" i="1"/>
  <c r="C1282" i="1"/>
  <c r="D1282" i="1" s="1"/>
  <c r="B1282" i="1"/>
  <c r="A1282" i="1"/>
  <c r="E1281" i="1"/>
  <c r="C1281" i="1"/>
  <c r="D1281" i="1" s="1"/>
  <c r="B1281" i="1"/>
  <c r="A1281" i="1"/>
  <c r="E1280" i="1"/>
  <c r="C1280" i="1"/>
  <c r="D1280" i="1" s="1"/>
  <c r="B1280" i="1"/>
  <c r="A1280" i="1"/>
  <c r="E1279" i="1"/>
  <c r="C1279" i="1"/>
  <c r="D1279" i="1" s="1"/>
  <c r="B1279" i="1"/>
  <c r="A1279" i="1"/>
  <c r="E1278" i="1"/>
  <c r="C1278" i="1"/>
  <c r="D1278" i="1" s="1"/>
  <c r="B1278" i="1"/>
  <c r="A1278" i="1"/>
  <c r="E1277" i="1"/>
  <c r="C1277" i="1"/>
  <c r="D1277" i="1" s="1"/>
  <c r="B1277" i="1"/>
  <c r="A1277" i="1"/>
  <c r="N1276" i="1"/>
  <c r="E1276" i="1"/>
  <c r="A1276" i="1" s="1"/>
  <c r="C1276" i="1"/>
  <c r="D1276" i="1" s="1"/>
  <c r="B1276" i="1"/>
  <c r="N1275" i="1"/>
  <c r="E1275" i="1"/>
  <c r="C1275" i="1"/>
  <c r="D1275" i="1" s="1"/>
  <c r="B1275" i="1"/>
  <c r="A1275" i="1"/>
  <c r="N1274" i="1"/>
  <c r="E1274" i="1"/>
  <c r="C1274" i="1"/>
  <c r="D1274" i="1" s="1"/>
  <c r="B1274" i="1"/>
  <c r="A1274" i="1"/>
  <c r="N1273" i="1"/>
  <c r="E1273" i="1"/>
  <c r="C1273" i="1"/>
  <c r="D1273" i="1" s="1"/>
  <c r="B1273" i="1"/>
  <c r="A1273" i="1"/>
  <c r="N1272" i="1"/>
  <c r="E1272" i="1"/>
  <c r="C1272" i="1"/>
  <c r="D1272" i="1" s="1"/>
  <c r="B1272" i="1"/>
  <c r="A1272" i="1"/>
  <c r="N1271" i="1"/>
  <c r="E1271" i="1"/>
  <c r="C1271" i="1"/>
  <c r="D1271" i="1" s="1"/>
  <c r="B1271" i="1"/>
  <c r="A1271" i="1"/>
  <c r="N1270" i="1"/>
  <c r="E1270" i="1"/>
  <c r="C1270" i="1"/>
  <c r="D1270" i="1" s="1"/>
  <c r="B1270" i="1"/>
  <c r="A1270" i="1"/>
  <c r="N1269" i="1"/>
  <c r="E1269" i="1"/>
  <c r="C1269" i="1"/>
  <c r="D1269" i="1" s="1"/>
  <c r="B1269" i="1"/>
  <c r="A1269" i="1"/>
  <c r="N1268" i="1"/>
  <c r="E1268" i="1"/>
  <c r="C1268" i="1"/>
  <c r="D1268" i="1" s="1"/>
  <c r="B1268" i="1"/>
  <c r="A1268" i="1"/>
  <c r="N1267" i="1"/>
  <c r="E1267" i="1"/>
  <c r="C1267" i="1"/>
  <c r="D1267" i="1" s="1"/>
  <c r="B1267" i="1"/>
  <c r="A1267" i="1"/>
  <c r="N1266" i="1"/>
  <c r="E1266" i="1"/>
  <c r="C1266" i="1"/>
  <c r="D1266" i="1" s="1"/>
  <c r="B1266" i="1"/>
  <c r="A1266" i="1"/>
  <c r="N1265" i="1"/>
  <c r="E1265" i="1"/>
  <c r="C1265" i="1"/>
  <c r="D1265" i="1" s="1"/>
  <c r="B1265" i="1"/>
  <c r="A1265" i="1"/>
  <c r="N1264" i="1"/>
  <c r="E1264" i="1"/>
  <c r="A1264" i="1" s="1"/>
  <c r="C1264" i="1"/>
  <c r="D1264" i="1" s="1"/>
  <c r="B1264" i="1"/>
  <c r="E1263" i="1"/>
  <c r="C1263" i="1"/>
  <c r="D1263" i="1" s="1"/>
  <c r="B1263" i="1"/>
  <c r="A1263" i="1"/>
  <c r="E1262" i="1"/>
  <c r="A1262" i="1" s="1"/>
  <c r="C1262" i="1"/>
  <c r="D1262" i="1" s="1"/>
  <c r="B1262" i="1"/>
  <c r="N1261" i="1"/>
  <c r="E1261" i="1"/>
  <c r="A1261" i="1" s="1"/>
  <c r="C1261" i="1"/>
  <c r="D1261" i="1" s="1"/>
  <c r="B1261" i="1"/>
  <c r="E1260" i="1"/>
  <c r="C1260" i="1"/>
  <c r="D1260" i="1" s="1"/>
  <c r="B1260" i="1"/>
  <c r="A1260" i="1"/>
  <c r="N1259" i="1"/>
  <c r="E1259" i="1"/>
  <c r="A1259" i="1" s="1"/>
  <c r="C1259" i="1"/>
  <c r="D1259" i="1" s="1"/>
  <c r="B1259" i="1"/>
  <c r="E1258" i="1"/>
  <c r="C1258" i="1"/>
  <c r="D1258" i="1" s="1"/>
  <c r="B1258" i="1"/>
  <c r="A1258" i="1"/>
  <c r="E1257" i="1"/>
  <c r="C1257" i="1"/>
  <c r="D1257" i="1" s="1"/>
  <c r="B1257" i="1"/>
  <c r="A1257" i="1"/>
  <c r="E1256" i="1"/>
  <c r="C1256" i="1"/>
  <c r="D1256" i="1" s="1"/>
  <c r="B1256" i="1"/>
  <c r="A1256" i="1"/>
  <c r="E1255" i="1"/>
  <c r="C1255" i="1"/>
  <c r="D1255" i="1" s="1"/>
  <c r="B1255" i="1"/>
  <c r="A1255" i="1"/>
  <c r="E1254" i="1"/>
  <c r="C1254" i="1"/>
  <c r="D1254" i="1" s="1"/>
  <c r="B1254" i="1"/>
  <c r="A1254" i="1"/>
  <c r="E1253" i="1"/>
  <c r="C1253" i="1"/>
  <c r="D1253" i="1" s="1"/>
  <c r="B1253" i="1"/>
  <c r="A1253" i="1"/>
  <c r="E1252" i="1"/>
  <c r="C1252" i="1"/>
  <c r="D1252" i="1" s="1"/>
  <c r="B1252" i="1"/>
  <c r="A1252" i="1"/>
  <c r="E1251" i="1"/>
  <c r="C1251" i="1"/>
  <c r="D1251" i="1" s="1"/>
  <c r="B1251" i="1"/>
  <c r="A1251" i="1"/>
  <c r="N1250" i="1"/>
  <c r="E1250" i="1"/>
  <c r="A1250" i="1" s="1"/>
  <c r="C1250" i="1"/>
  <c r="D1250" i="1" s="1"/>
  <c r="B1250" i="1"/>
  <c r="N1249" i="1"/>
  <c r="E1249" i="1"/>
  <c r="A1249" i="1" s="1"/>
  <c r="C1249" i="1"/>
  <c r="D1249" i="1" s="1"/>
  <c r="B1249" i="1"/>
  <c r="N1248" i="1"/>
  <c r="E1248" i="1"/>
  <c r="A1248" i="1" s="1"/>
  <c r="C1248" i="1"/>
  <c r="D1248" i="1" s="1"/>
  <c r="B1248" i="1"/>
  <c r="N1247" i="1"/>
  <c r="E1247" i="1"/>
  <c r="A1247" i="1" s="1"/>
  <c r="C1247" i="1"/>
  <c r="D1247" i="1" s="1"/>
  <c r="B1247" i="1"/>
  <c r="N1246" i="1"/>
  <c r="E1246" i="1"/>
  <c r="A1246" i="1" s="1"/>
  <c r="C1246" i="1"/>
  <c r="D1246" i="1" s="1"/>
  <c r="B1246" i="1"/>
  <c r="N1245" i="1"/>
  <c r="E1245" i="1"/>
  <c r="A1245" i="1" s="1"/>
  <c r="C1245" i="1"/>
  <c r="D1245" i="1" s="1"/>
  <c r="B1245" i="1"/>
  <c r="N1244" i="1"/>
  <c r="E1244" i="1"/>
  <c r="A1244" i="1" s="1"/>
  <c r="C1244" i="1"/>
  <c r="D1244" i="1" s="1"/>
  <c r="B1244" i="1"/>
  <c r="N1243" i="1"/>
  <c r="E1243" i="1"/>
  <c r="C1243" i="1"/>
  <c r="D1243" i="1" s="1"/>
  <c r="B1243" i="1"/>
  <c r="A1243" i="1"/>
  <c r="N1242" i="1"/>
  <c r="E1242" i="1"/>
  <c r="A1242" i="1" s="1"/>
  <c r="C1242" i="1"/>
  <c r="D1242" i="1" s="1"/>
  <c r="B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N1235" i="1"/>
  <c r="E1235" i="1"/>
  <c r="A1235" i="1" s="1"/>
  <c r="C1235" i="1"/>
  <c r="D1235" i="1" s="1"/>
  <c r="B1235" i="1"/>
  <c r="E1234" i="1"/>
  <c r="A1234" i="1" s="1"/>
  <c r="C1234" i="1"/>
  <c r="D1234" i="1" s="1"/>
  <c r="B1234" i="1"/>
  <c r="E1233" i="1"/>
  <c r="A1233" i="1" s="1"/>
  <c r="C1233" i="1"/>
  <c r="D1233" i="1" s="1"/>
  <c r="B1233" i="1"/>
  <c r="N1232" i="1"/>
  <c r="E1232" i="1"/>
  <c r="A1232" i="1" s="1"/>
  <c r="C1232" i="1"/>
  <c r="D1232" i="1" s="1"/>
  <c r="B1232" i="1"/>
  <c r="N1231" i="1"/>
  <c r="E1231" i="1"/>
  <c r="A1231" i="1" s="1"/>
  <c r="C1231" i="1"/>
  <c r="D1231" i="1" s="1"/>
  <c r="B1231" i="1"/>
  <c r="E1230" i="1"/>
  <c r="A1230" i="1" s="1"/>
  <c r="C1230" i="1"/>
  <c r="D1230" i="1" s="1"/>
  <c r="B1230" i="1"/>
  <c r="N1229" i="1"/>
  <c r="E1229" i="1"/>
  <c r="A1229" i="1" s="1"/>
  <c r="C1229" i="1"/>
  <c r="D1229" i="1" s="1"/>
  <c r="B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N1219" i="1"/>
  <c r="E1219" i="1"/>
  <c r="A1219" i="1" s="1"/>
  <c r="C1219" i="1"/>
  <c r="D1219" i="1" s="1"/>
  <c r="B1219" i="1"/>
  <c r="E1218" i="1"/>
  <c r="A1218" i="1" s="1"/>
  <c r="C1218" i="1"/>
  <c r="D1218" i="1" s="1"/>
  <c r="B1218" i="1"/>
  <c r="E1217" i="1"/>
  <c r="A1217" i="1" s="1"/>
  <c r="C1217" i="1"/>
  <c r="D1217" i="1" s="1"/>
  <c r="B1217" i="1"/>
  <c r="E1216" i="1"/>
  <c r="A1216" i="1" s="1"/>
  <c r="C1216" i="1"/>
  <c r="D1216" i="1" s="1"/>
  <c r="B1216" i="1"/>
  <c r="N1215" i="1"/>
  <c r="E1215" i="1"/>
  <c r="A1215" i="1" s="1"/>
  <c r="C1215" i="1"/>
  <c r="D1215" i="1" s="1"/>
  <c r="B1215" i="1"/>
  <c r="E1214" i="1"/>
  <c r="A1214" i="1" s="1"/>
  <c r="C1214" i="1"/>
  <c r="D1214" i="1" s="1"/>
  <c r="B1214" i="1"/>
  <c r="N1213" i="1"/>
  <c r="E1213" i="1"/>
  <c r="A1213" i="1" s="1"/>
  <c r="C1213" i="1"/>
  <c r="D1213" i="1" s="1"/>
  <c r="B1213" i="1"/>
  <c r="E1212" i="1"/>
  <c r="C1212" i="1"/>
  <c r="D1212" i="1" s="1"/>
  <c r="B1212" i="1"/>
  <c r="A1212" i="1"/>
  <c r="E1211" i="1"/>
  <c r="C1211" i="1"/>
  <c r="D1211" i="1" s="1"/>
  <c r="B1211" i="1"/>
  <c r="A1211" i="1"/>
  <c r="E1210" i="1"/>
  <c r="A1210" i="1" s="1"/>
  <c r="C1210" i="1"/>
  <c r="D1210" i="1" s="1"/>
  <c r="B1210" i="1"/>
  <c r="E1209" i="1"/>
  <c r="C1209" i="1"/>
  <c r="D1209" i="1" s="1"/>
  <c r="B1209" i="1"/>
  <c r="A1209" i="1"/>
  <c r="E1208" i="1"/>
  <c r="C1208" i="1"/>
  <c r="D1208" i="1" s="1"/>
  <c r="B1208" i="1"/>
  <c r="A1208" i="1"/>
  <c r="E1207" i="1"/>
  <c r="A1207" i="1" s="1"/>
  <c r="C1207" i="1"/>
  <c r="D1207" i="1" s="1"/>
  <c r="B1207" i="1"/>
  <c r="E1206" i="1"/>
  <c r="A1206" i="1" s="1"/>
  <c r="C1206" i="1"/>
  <c r="D1206" i="1" s="1"/>
  <c r="B1206" i="1"/>
  <c r="E1205" i="1"/>
  <c r="C1205" i="1"/>
  <c r="D1205" i="1" s="1"/>
  <c r="B1205" i="1"/>
  <c r="A1205" i="1"/>
  <c r="N1204" i="1"/>
  <c r="E1204" i="1"/>
  <c r="C1204" i="1"/>
  <c r="D1204" i="1" s="1"/>
  <c r="B1204" i="1"/>
  <c r="A1204" i="1"/>
  <c r="N1203" i="1"/>
  <c r="E1203" i="1"/>
  <c r="C1203" i="1"/>
  <c r="D1203" i="1" s="1"/>
  <c r="B1203" i="1"/>
  <c r="A1203" i="1"/>
  <c r="N1202" i="1"/>
  <c r="E1202" i="1"/>
  <c r="C1202" i="1"/>
  <c r="D1202" i="1" s="1"/>
  <c r="B1202" i="1"/>
  <c r="A1202" i="1"/>
  <c r="N1201" i="1"/>
  <c r="E1201" i="1"/>
  <c r="C1201" i="1"/>
  <c r="D1201" i="1" s="1"/>
  <c r="B1201" i="1"/>
  <c r="A1201" i="1"/>
  <c r="N1200" i="1"/>
  <c r="E1200" i="1"/>
  <c r="C1200" i="1"/>
  <c r="D1200" i="1" s="1"/>
  <c r="B1200" i="1"/>
  <c r="A1200" i="1"/>
  <c r="N1199" i="1"/>
  <c r="E1199" i="1"/>
  <c r="C1199" i="1"/>
  <c r="D1199" i="1" s="1"/>
  <c r="B1199" i="1"/>
  <c r="A1199" i="1"/>
  <c r="N1198" i="1"/>
  <c r="E1198" i="1"/>
  <c r="C1198" i="1"/>
  <c r="D1198" i="1" s="1"/>
  <c r="B1198" i="1"/>
  <c r="A1198" i="1"/>
  <c r="N1197" i="1"/>
  <c r="E1197" i="1"/>
  <c r="C1197" i="1"/>
  <c r="D1197" i="1" s="1"/>
  <c r="B1197" i="1"/>
  <c r="A1197" i="1"/>
  <c r="N1196" i="1"/>
  <c r="E1196" i="1"/>
  <c r="C1196" i="1"/>
  <c r="D1196" i="1" s="1"/>
  <c r="B1196" i="1"/>
  <c r="A1196" i="1"/>
  <c r="N1195" i="1"/>
  <c r="E1195" i="1"/>
  <c r="C1195" i="1"/>
  <c r="D1195" i="1" s="1"/>
  <c r="B1195" i="1"/>
  <c r="A1195" i="1"/>
  <c r="N1194" i="1"/>
  <c r="E1194" i="1"/>
  <c r="C1194" i="1"/>
  <c r="D1194" i="1" s="1"/>
  <c r="B1194" i="1"/>
  <c r="A1194" i="1"/>
  <c r="N1193" i="1"/>
  <c r="E1193" i="1"/>
  <c r="C1193" i="1"/>
  <c r="D1193" i="1" s="1"/>
  <c r="B1193" i="1"/>
  <c r="A1193" i="1"/>
  <c r="N1192" i="1"/>
  <c r="E1192" i="1"/>
  <c r="C1192" i="1"/>
  <c r="D1192" i="1" s="1"/>
  <c r="B1192" i="1"/>
  <c r="A1192" i="1"/>
  <c r="N1191" i="1"/>
  <c r="E1191" i="1"/>
  <c r="C1191" i="1"/>
  <c r="D1191" i="1" s="1"/>
  <c r="B1191" i="1"/>
  <c r="A1191" i="1"/>
  <c r="N1190" i="1"/>
  <c r="E1190" i="1"/>
  <c r="C1190" i="1"/>
  <c r="D1190" i="1" s="1"/>
  <c r="B1190" i="1"/>
  <c r="A1190" i="1"/>
  <c r="N1189" i="1"/>
  <c r="E1189" i="1"/>
  <c r="C1189" i="1"/>
  <c r="D1189" i="1" s="1"/>
  <c r="B1189" i="1"/>
  <c r="A1189" i="1"/>
  <c r="E1188" i="1"/>
  <c r="C1188" i="1"/>
  <c r="D1188" i="1" s="1"/>
  <c r="B1188" i="1"/>
  <c r="A1188" i="1"/>
  <c r="N1187" i="1"/>
  <c r="E1187" i="1"/>
  <c r="C1187" i="1"/>
  <c r="D1187" i="1" s="1"/>
  <c r="B1187" i="1"/>
  <c r="A1187" i="1"/>
  <c r="N1186" i="1"/>
  <c r="E1186" i="1"/>
  <c r="C1186" i="1"/>
  <c r="D1186" i="1" s="1"/>
  <c r="B1186" i="1"/>
  <c r="A1186" i="1"/>
  <c r="N1185" i="1"/>
  <c r="E1185" i="1"/>
  <c r="C1185" i="1"/>
  <c r="D1185" i="1" s="1"/>
  <c r="B1185" i="1"/>
  <c r="A1185" i="1"/>
  <c r="N1184" i="1"/>
  <c r="E1184" i="1"/>
  <c r="C1184" i="1"/>
  <c r="D1184" i="1" s="1"/>
  <c r="B1184" i="1"/>
  <c r="A1184" i="1"/>
  <c r="N1183" i="1"/>
  <c r="E1183" i="1"/>
  <c r="C1183" i="1"/>
  <c r="D1183" i="1" s="1"/>
  <c r="B1183" i="1"/>
  <c r="A1183" i="1"/>
  <c r="N1182" i="1"/>
  <c r="E1182" i="1"/>
  <c r="C1182" i="1"/>
  <c r="D1182" i="1" s="1"/>
  <c r="B1182" i="1"/>
  <c r="A1182" i="1"/>
  <c r="N1181" i="1"/>
  <c r="E1181" i="1"/>
  <c r="C1181" i="1"/>
  <c r="D1181" i="1" s="1"/>
  <c r="B1181" i="1"/>
  <c r="A1181" i="1"/>
  <c r="N1180" i="1"/>
  <c r="E1180" i="1"/>
  <c r="C1180" i="1"/>
  <c r="D1180" i="1" s="1"/>
  <c r="B1180" i="1"/>
  <c r="A1180" i="1"/>
  <c r="N1179" i="1"/>
  <c r="E1179" i="1"/>
  <c r="C1179" i="1"/>
  <c r="D1179" i="1" s="1"/>
  <c r="B1179" i="1"/>
  <c r="A1179" i="1"/>
  <c r="N1178" i="1"/>
  <c r="E1178" i="1"/>
  <c r="C1178" i="1"/>
  <c r="D1178" i="1" s="1"/>
  <c r="B1178" i="1"/>
  <c r="A1178" i="1"/>
  <c r="N1177" i="1"/>
  <c r="E1177" i="1"/>
  <c r="C1177" i="1"/>
  <c r="D1177" i="1" s="1"/>
  <c r="B1177" i="1"/>
  <c r="A1177" i="1"/>
  <c r="N1176" i="1"/>
  <c r="E1176" i="1"/>
  <c r="C1176" i="1"/>
  <c r="D1176" i="1" s="1"/>
  <c r="B1176" i="1"/>
  <c r="A1176" i="1"/>
  <c r="N1175" i="1"/>
  <c r="E1175" i="1"/>
  <c r="C1175" i="1"/>
  <c r="D1175" i="1" s="1"/>
  <c r="B1175" i="1"/>
  <c r="A1175" i="1"/>
  <c r="E1174" i="1"/>
  <c r="C1174" i="1"/>
  <c r="D1174" i="1" s="1"/>
  <c r="B1174" i="1"/>
  <c r="A1174" i="1"/>
  <c r="E1173" i="1"/>
  <c r="C1173" i="1"/>
  <c r="D1173" i="1" s="1"/>
  <c r="B1173" i="1"/>
  <c r="A1173" i="1"/>
  <c r="E1172" i="1"/>
  <c r="C1172" i="1"/>
  <c r="D1172" i="1" s="1"/>
  <c r="B1172" i="1"/>
  <c r="A1172" i="1"/>
  <c r="N1171" i="1"/>
  <c r="E1171" i="1"/>
  <c r="A1171" i="1" s="1"/>
  <c r="C1171" i="1"/>
  <c r="D1171" i="1" s="1"/>
  <c r="B1171" i="1"/>
  <c r="N1170" i="1"/>
  <c r="E1170" i="1"/>
  <c r="A1170" i="1" s="1"/>
  <c r="C1170" i="1"/>
  <c r="D1170" i="1" s="1"/>
  <c r="B1170" i="1"/>
  <c r="N1169" i="1"/>
  <c r="E1169" i="1"/>
  <c r="C1169" i="1"/>
  <c r="D1169" i="1" s="1"/>
  <c r="B1169" i="1"/>
  <c r="A1169" i="1"/>
  <c r="N1168" i="1"/>
  <c r="E1168" i="1"/>
  <c r="A1168" i="1" s="1"/>
  <c r="C1168" i="1"/>
  <c r="D1168" i="1" s="1"/>
  <c r="B1168" i="1"/>
  <c r="N1167" i="1"/>
  <c r="E1167" i="1"/>
  <c r="A1167" i="1" s="1"/>
  <c r="C1167" i="1"/>
  <c r="D1167" i="1" s="1"/>
  <c r="B1167" i="1"/>
  <c r="N1166" i="1"/>
  <c r="E1166" i="1"/>
  <c r="C1166" i="1"/>
  <c r="D1166" i="1" s="1"/>
  <c r="B1166" i="1"/>
  <c r="A1166" i="1"/>
  <c r="N1165" i="1"/>
  <c r="E1165" i="1"/>
  <c r="C1165" i="1"/>
  <c r="D1165" i="1" s="1"/>
  <c r="B1165" i="1"/>
  <c r="A1165" i="1"/>
  <c r="E1164" i="1"/>
  <c r="C1164" i="1"/>
  <c r="D1164" i="1" s="1"/>
  <c r="B1164" i="1"/>
  <c r="A1164" i="1"/>
  <c r="E1163" i="1"/>
  <c r="A1163" i="1" s="1"/>
  <c r="C1163" i="1"/>
  <c r="D1163" i="1" s="1"/>
  <c r="B1163" i="1"/>
  <c r="E1162" i="1"/>
  <c r="A1162" i="1" s="1"/>
  <c r="C1162" i="1"/>
  <c r="D1162" i="1" s="1"/>
  <c r="B1162" i="1"/>
  <c r="E1161" i="1"/>
  <c r="A1161" i="1" s="1"/>
  <c r="C1161" i="1"/>
  <c r="D1161" i="1" s="1"/>
  <c r="B1161" i="1"/>
  <c r="E1160" i="1"/>
  <c r="A1160" i="1" s="1"/>
  <c r="C1160" i="1"/>
  <c r="D1160" i="1" s="1"/>
  <c r="B1160" i="1"/>
  <c r="E1159" i="1"/>
  <c r="C1159" i="1"/>
  <c r="D1159" i="1" s="1"/>
  <c r="B1159" i="1"/>
  <c r="A1159" i="1"/>
  <c r="E1158" i="1"/>
  <c r="C1158" i="1"/>
  <c r="D1158" i="1" s="1"/>
  <c r="B1158" i="1"/>
  <c r="A1158" i="1"/>
  <c r="E1157" i="1"/>
  <c r="C1157" i="1"/>
  <c r="D1157" i="1" s="1"/>
  <c r="B1157" i="1"/>
  <c r="A1157" i="1"/>
  <c r="E1156" i="1"/>
  <c r="C1156" i="1"/>
  <c r="D1156" i="1" s="1"/>
  <c r="B1156" i="1"/>
  <c r="A1156" i="1"/>
  <c r="E1155" i="1"/>
  <c r="A1155" i="1" s="1"/>
  <c r="C1155" i="1"/>
  <c r="D1155" i="1" s="1"/>
  <c r="B1155" i="1"/>
  <c r="N1154" i="1"/>
  <c r="E1154" i="1"/>
  <c r="C1154" i="1"/>
  <c r="D1154" i="1" s="1"/>
  <c r="B1154" i="1"/>
  <c r="A1154" i="1"/>
  <c r="E1153" i="1"/>
  <c r="A1153" i="1" s="1"/>
  <c r="C1153" i="1"/>
  <c r="D1153" i="1" s="1"/>
  <c r="B1153" i="1"/>
  <c r="E1152" i="1"/>
  <c r="C1152" i="1"/>
  <c r="D1152" i="1" s="1"/>
  <c r="B1152" i="1"/>
  <c r="A1152" i="1"/>
  <c r="N1151" i="1"/>
  <c r="E1151" i="1"/>
  <c r="A1151" i="1" s="1"/>
  <c r="C1151" i="1"/>
  <c r="D1151" i="1" s="1"/>
  <c r="B1151" i="1"/>
  <c r="N1150" i="1"/>
  <c r="E1150" i="1"/>
  <c r="A1150" i="1" s="1"/>
  <c r="C1150" i="1"/>
  <c r="D1150" i="1" s="1"/>
  <c r="B1150" i="1"/>
  <c r="N1149" i="1"/>
  <c r="E1149" i="1"/>
  <c r="A1149" i="1" s="1"/>
  <c r="C1149" i="1"/>
  <c r="D1149" i="1" s="1"/>
  <c r="B1149" i="1"/>
  <c r="N1148" i="1"/>
  <c r="E1148" i="1"/>
  <c r="A1148" i="1" s="1"/>
  <c r="C1148" i="1"/>
  <c r="D1148" i="1" s="1"/>
  <c r="B1148" i="1"/>
  <c r="E1147" i="1"/>
  <c r="A1147" i="1" s="1"/>
  <c r="C1147" i="1"/>
  <c r="D1147" i="1" s="1"/>
  <c r="B1147" i="1"/>
  <c r="E1146" i="1"/>
  <c r="C1146" i="1"/>
  <c r="D1146" i="1" s="1"/>
  <c r="B1146" i="1"/>
  <c r="A1146" i="1"/>
  <c r="N1145" i="1"/>
  <c r="E1145" i="1"/>
  <c r="A1145" i="1" s="1"/>
  <c r="C1145" i="1"/>
  <c r="D1145" i="1" s="1"/>
  <c r="B1145" i="1"/>
  <c r="N1144" i="1"/>
  <c r="E1144" i="1"/>
  <c r="A1144" i="1" s="1"/>
  <c r="C1144" i="1"/>
  <c r="D1144" i="1" s="1"/>
  <c r="B1144" i="1"/>
  <c r="N1143" i="1"/>
  <c r="E1143" i="1"/>
  <c r="A1143" i="1" s="1"/>
  <c r="C1143" i="1"/>
  <c r="D1143" i="1" s="1"/>
  <c r="B1143" i="1"/>
  <c r="N1142" i="1"/>
  <c r="E1142" i="1"/>
  <c r="A1142" i="1" s="1"/>
  <c r="C1142" i="1"/>
  <c r="D1142" i="1" s="1"/>
  <c r="B1142" i="1"/>
  <c r="E1141" i="1"/>
  <c r="C1141" i="1"/>
  <c r="D1141" i="1" s="1"/>
  <c r="B1141" i="1"/>
  <c r="A1141" i="1"/>
  <c r="E1140" i="1"/>
  <c r="C1140" i="1"/>
  <c r="D1140" i="1" s="1"/>
  <c r="B1140" i="1"/>
  <c r="A1140" i="1"/>
  <c r="N1139" i="1"/>
  <c r="E1139" i="1"/>
  <c r="A1139" i="1" s="1"/>
  <c r="C1139" i="1"/>
  <c r="D1139" i="1" s="1"/>
  <c r="B1139" i="1"/>
  <c r="E1138" i="1"/>
  <c r="C1138" i="1"/>
  <c r="D1138" i="1" s="1"/>
  <c r="B1138" i="1"/>
  <c r="A1138" i="1"/>
  <c r="N1137" i="1"/>
  <c r="E1137" i="1"/>
  <c r="A1137" i="1" s="1"/>
  <c r="C1137" i="1"/>
  <c r="D1137" i="1" s="1"/>
  <c r="B1137" i="1"/>
  <c r="N1136" i="1"/>
  <c r="E1136" i="1"/>
  <c r="A1136" i="1" s="1"/>
  <c r="C1136" i="1"/>
  <c r="D1136" i="1" s="1"/>
  <c r="B1136" i="1"/>
  <c r="E1135" i="1"/>
  <c r="C1135" i="1"/>
  <c r="D1135" i="1" s="1"/>
  <c r="B1135" i="1"/>
  <c r="A1135" i="1"/>
  <c r="E1134" i="1"/>
  <c r="C1134" i="1"/>
  <c r="D1134" i="1" s="1"/>
  <c r="B1134" i="1"/>
  <c r="A1134" i="1"/>
  <c r="E1133" i="1"/>
  <c r="C1133" i="1"/>
  <c r="D1133" i="1" s="1"/>
  <c r="B1133" i="1"/>
  <c r="A1133" i="1"/>
  <c r="E1132" i="1"/>
  <c r="C1132" i="1"/>
  <c r="D1132" i="1" s="1"/>
  <c r="B1132" i="1"/>
  <c r="A1132" i="1"/>
  <c r="E1131" i="1"/>
  <c r="C1131" i="1"/>
  <c r="D1131" i="1" s="1"/>
  <c r="B1131" i="1"/>
  <c r="A1131" i="1"/>
  <c r="E1130" i="1"/>
  <c r="C1130" i="1"/>
  <c r="D1130" i="1" s="1"/>
  <c r="B1130" i="1"/>
  <c r="A1130" i="1"/>
  <c r="E1129" i="1"/>
  <c r="C1129" i="1"/>
  <c r="D1129" i="1" s="1"/>
  <c r="B1129" i="1"/>
  <c r="A1129" i="1"/>
  <c r="N1128" i="1"/>
  <c r="E1128" i="1"/>
  <c r="A1128" i="1" s="1"/>
  <c r="C1128" i="1"/>
  <c r="D1128" i="1" s="1"/>
  <c r="B1128" i="1"/>
  <c r="E1127" i="1"/>
  <c r="C1127" i="1"/>
  <c r="D1127" i="1" s="1"/>
  <c r="B1127" i="1"/>
  <c r="A1127" i="1"/>
  <c r="E1126" i="1"/>
  <c r="A1126" i="1" s="1"/>
  <c r="C1126" i="1"/>
  <c r="D1126" i="1" s="1"/>
  <c r="B1126" i="1"/>
  <c r="N1125" i="1"/>
  <c r="E1125" i="1"/>
  <c r="A1125" i="1" s="1"/>
  <c r="C1125" i="1"/>
  <c r="D1125" i="1" s="1"/>
  <c r="B1125" i="1"/>
  <c r="E1124" i="1"/>
  <c r="C1124" i="1"/>
  <c r="D1124" i="1" s="1"/>
  <c r="B1124" i="1"/>
  <c r="A1124" i="1"/>
  <c r="E1123" i="1"/>
  <c r="A1123" i="1" s="1"/>
  <c r="C1123" i="1"/>
  <c r="D1123" i="1" s="1"/>
  <c r="B1123" i="1"/>
  <c r="E1122" i="1"/>
  <c r="C1122" i="1"/>
  <c r="D1122" i="1" s="1"/>
  <c r="B1122" i="1"/>
  <c r="A1122" i="1"/>
  <c r="E1121" i="1"/>
  <c r="C1121" i="1"/>
  <c r="D1121" i="1" s="1"/>
  <c r="B1121" i="1"/>
  <c r="A1121" i="1"/>
  <c r="E1120" i="1"/>
  <c r="A1120" i="1" s="1"/>
  <c r="C1120" i="1"/>
  <c r="D1120" i="1" s="1"/>
  <c r="B1120" i="1"/>
  <c r="N1119" i="1"/>
  <c r="E1119" i="1"/>
  <c r="A1119" i="1" s="1"/>
  <c r="C1119" i="1"/>
  <c r="D1119" i="1" s="1"/>
  <c r="B1119" i="1"/>
  <c r="E1118" i="1"/>
  <c r="A1118" i="1" s="1"/>
  <c r="C1118" i="1"/>
  <c r="D1118" i="1" s="1"/>
  <c r="B1118" i="1"/>
  <c r="N1117" i="1"/>
  <c r="E1117" i="1"/>
  <c r="A1117" i="1" s="1"/>
  <c r="C1117" i="1"/>
  <c r="D1117" i="1" s="1"/>
  <c r="B1117" i="1"/>
  <c r="N1116" i="1"/>
  <c r="E1116" i="1"/>
  <c r="A1116" i="1" s="1"/>
  <c r="C1116" i="1"/>
  <c r="D1116" i="1" s="1"/>
  <c r="B1116" i="1"/>
  <c r="N1115" i="1"/>
  <c r="E1115" i="1"/>
  <c r="A1115" i="1" s="1"/>
  <c r="C1115" i="1"/>
  <c r="D1115" i="1" s="1"/>
  <c r="B1115" i="1"/>
  <c r="N1114" i="1"/>
  <c r="E1114" i="1"/>
  <c r="A1114" i="1" s="1"/>
  <c r="C1114" i="1"/>
  <c r="D1114" i="1" s="1"/>
  <c r="B1114" i="1"/>
  <c r="N1113" i="1"/>
  <c r="E1113" i="1"/>
  <c r="A1113" i="1" s="1"/>
  <c r="C1113" i="1"/>
  <c r="D1113" i="1" s="1"/>
  <c r="B1113" i="1"/>
  <c r="N1112" i="1"/>
  <c r="E1112" i="1"/>
  <c r="A1112" i="1" s="1"/>
  <c r="C1112" i="1"/>
  <c r="D1112" i="1" s="1"/>
  <c r="B1112" i="1"/>
  <c r="E1111" i="1"/>
  <c r="A1111" i="1" s="1"/>
  <c r="C1111" i="1"/>
  <c r="D1111" i="1" s="1"/>
  <c r="B1111" i="1"/>
  <c r="E1110" i="1"/>
  <c r="C1110" i="1"/>
  <c r="D1110" i="1" s="1"/>
  <c r="B1110" i="1"/>
  <c r="A1110" i="1"/>
  <c r="E1109" i="1"/>
  <c r="C1109" i="1"/>
  <c r="D1109" i="1" s="1"/>
  <c r="B1109" i="1"/>
  <c r="A1109" i="1"/>
  <c r="N1108" i="1"/>
  <c r="E1108" i="1"/>
  <c r="A1108" i="1" s="1"/>
  <c r="C1108" i="1"/>
  <c r="D1108" i="1" s="1"/>
  <c r="B1108" i="1"/>
  <c r="E1107" i="1"/>
  <c r="C1107" i="1"/>
  <c r="D1107" i="1" s="1"/>
  <c r="B1107" i="1"/>
  <c r="A1107" i="1"/>
  <c r="E1106" i="1"/>
  <c r="C1106" i="1"/>
  <c r="D1106" i="1" s="1"/>
  <c r="B1106" i="1"/>
  <c r="A1106" i="1"/>
  <c r="E1105" i="1"/>
  <c r="A1105" i="1" s="1"/>
  <c r="C1105" i="1"/>
  <c r="D1105" i="1" s="1"/>
  <c r="B1105" i="1"/>
  <c r="E1104" i="1"/>
  <c r="A1104" i="1" s="1"/>
  <c r="C1104" i="1"/>
  <c r="D1104" i="1" s="1"/>
  <c r="B1104" i="1"/>
  <c r="E1103" i="1"/>
  <c r="C1103" i="1"/>
  <c r="D1103" i="1" s="1"/>
  <c r="B1103" i="1"/>
  <c r="A1103" i="1"/>
  <c r="E1102" i="1"/>
  <c r="C1102" i="1"/>
  <c r="D1102" i="1" s="1"/>
  <c r="B1102" i="1"/>
  <c r="A1102" i="1"/>
  <c r="N1101" i="1"/>
  <c r="E1101" i="1"/>
  <c r="A1101" i="1" s="1"/>
  <c r="C1101" i="1"/>
  <c r="D1101" i="1" s="1"/>
  <c r="B1101" i="1"/>
  <c r="E1100" i="1"/>
  <c r="C1100" i="1"/>
  <c r="D1100" i="1" s="1"/>
  <c r="B1100" i="1"/>
  <c r="A1100" i="1"/>
  <c r="E1099" i="1"/>
  <c r="C1099" i="1"/>
  <c r="D1099" i="1" s="1"/>
  <c r="B1099" i="1"/>
  <c r="A1099" i="1"/>
  <c r="N1098" i="1"/>
  <c r="E1098" i="1"/>
  <c r="A1098" i="1" s="1"/>
  <c r="C1098" i="1"/>
  <c r="D1098" i="1" s="1"/>
  <c r="B1098" i="1"/>
  <c r="E1097" i="1"/>
  <c r="A1097" i="1" s="1"/>
  <c r="C1097" i="1"/>
  <c r="D1097" i="1" s="1"/>
  <c r="B1097" i="1"/>
  <c r="E1096" i="1"/>
  <c r="A1096" i="1" s="1"/>
  <c r="C1096" i="1"/>
  <c r="D1096" i="1" s="1"/>
  <c r="B1096" i="1"/>
  <c r="N1095" i="1"/>
  <c r="E1095" i="1"/>
  <c r="A1095" i="1" s="1"/>
  <c r="C1095" i="1"/>
  <c r="D1095" i="1" s="1"/>
  <c r="B1095" i="1"/>
  <c r="E1094" i="1"/>
  <c r="A1094" i="1" s="1"/>
  <c r="C1094" i="1"/>
  <c r="D1094" i="1" s="1"/>
  <c r="B1094" i="1"/>
  <c r="N1093" i="1"/>
  <c r="E1093" i="1"/>
  <c r="A1093" i="1" s="1"/>
  <c r="C1093" i="1"/>
  <c r="D1093" i="1" s="1"/>
  <c r="B1093" i="1"/>
  <c r="E1092" i="1"/>
  <c r="C1092" i="1"/>
  <c r="D1092" i="1" s="1"/>
  <c r="B1092" i="1"/>
  <c r="A1092" i="1"/>
  <c r="N1091" i="1"/>
  <c r="E1091" i="1"/>
  <c r="A1091" i="1" s="1"/>
  <c r="C1091" i="1"/>
  <c r="D1091" i="1" s="1"/>
  <c r="B1091" i="1"/>
  <c r="E1090" i="1"/>
  <c r="C1090" i="1"/>
  <c r="D1090" i="1" s="1"/>
  <c r="B1090" i="1"/>
  <c r="A1090" i="1"/>
  <c r="N1089" i="1"/>
  <c r="E1089" i="1"/>
  <c r="A1089" i="1" s="1"/>
  <c r="C1089" i="1"/>
  <c r="D1089" i="1" s="1"/>
  <c r="B1089" i="1"/>
  <c r="N1088" i="1"/>
  <c r="E1088" i="1"/>
  <c r="A1088" i="1" s="1"/>
  <c r="C1088" i="1"/>
  <c r="D1088" i="1" s="1"/>
  <c r="B1088" i="1"/>
  <c r="E1087" i="1"/>
  <c r="C1087" i="1"/>
  <c r="D1087" i="1" s="1"/>
  <c r="B1087" i="1"/>
  <c r="A1087" i="1"/>
  <c r="N1086" i="1"/>
  <c r="E1086" i="1"/>
  <c r="A1086" i="1" s="1"/>
  <c r="C1086" i="1"/>
  <c r="D1086" i="1" s="1"/>
  <c r="B1086" i="1"/>
  <c r="N1085" i="1"/>
  <c r="E1085" i="1"/>
  <c r="A1085" i="1" s="1"/>
  <c r="C1085" i="1"/>
  <c r="D1085" i="1" s="1"/>
  <c r="B1085" i="1"/>
  <c r="E1084" i="1"/>
  <c r="A1084" i="1" s="1"/>
  <c r="C1084" i="1"/>
  <c r="D1084" i="1" s="1"/>
  <c r="B1084" i="1"/>
  <c r="N1083" i="1"/>
  <c r="E1083" i="1"/>
  <c r="C1083" i="1"/>
  <c r="D1083" i="1" s="1"/>
  <c r="B1083" i="1"/>
  <c r="A1083" i="1"/>
  <c r="E1082" i="1"/>
  <c r="C1082" i="1"/>
  <c r="D1082" i="1" s="1"/>
  <c r="B1082" i="1"/>
  <c r="A1082" i="1"/>
  <c r="N1081" i="1"/>
  <c r="E1081" i="1"/>
  <c r="C1081" i="1"/>
  <c r="D1081" i="1" s="1"/>
  <c r="B1081" i="1"/>
  <c r="A1081" i="1"/>
  <c r="N1080" i="1"/>
  <c r="E1080" i="1"/>
  <c r="C1080" i="1"/>
  <c r="D1080" i="1" s="1"/>
  <c r="B1080" i="1"/>
  <c r="A1080" i="1"/>
  <c r="E1079" i="1"/>
  <c r="C1079" i="1"/>
  <c r="D1079" i="1" s="1"/>
  <c r="B1079" i="1"/>
  <c r="A1079" i="1"/>
  <c r="E1078" i="1"/>
  <c r="A1078" i="1" s="1"/>
  <c r="C1078" i="1"/>
  <c r="D1078" i="1" s="1"/>
  <c r="B1078" i="1"/>
  <c r="N1077" i="1"/>
  <c r="E1077" i="1"/>
  <c r="C1077" i="1"/>
  <c r="D1077" i="1" s="1"/>
  <c r="B1077" i="1"/>
  <c r="A1077" i="1"/>
  <c r="E1076" i="1"/>
  <c r="C1076" i="1"/>
  <c r="D1076" i="1" s="1"/>
  <c r="B1076" i="1"/>
  <c r="A1076" i="1"/>
  <c r="N1075" i="1"/>
  <c r="E1075" i="1"/>
  <c r="A1075" i="1" s="1"/>
  <c r="C1075" i="1"/>
  <c r="D1075" i="1" s="1"/>
  <c r="B1075" i="1"/>
  <c r="E1074" i="1"/>
  <c r="C1074" i="1"/>
  <c r="D1074" i="1" s="1"/>
  <c r="B1074" i="1"/>
  <c r="A1074" i="1"/>
  <c r="E1073" i="1"/>
  <c r="C1073" i="1"/>
  <c r="D1073" i="1" s="1"/>
  <c r="B1073" i="1"/>
  <c r="A1073" i="1"/>
  <c r="E1072" i="1"/>
  <c r="C1072" i="1"/>
  <c r="D1072" i="1" s="1"/>
  <c r="B1072" i="1"/>
  <c r="A1072" i="1"/>
  <c r="N1071" i="1"/>
  <c r="E1071" i="1"/>
  <c r="A1071" i="1" s="1"/>
  <c r="C1071" i="1"/>
  <c r="D1071" i="1" s="1"/>
  <c r="B1071" i="1"/>
  <c r="N1070" i="1"/>
  <c r="E1070" i="1"/>
  <c r="C1070" i="1"/>
  <c r="D1070" i="1" s="1"/>
  <c r="B1070" i="1"/>
  <c r="A1070" i="1"/>
  <c r="N1069" i="1"/>
  <c r="E1069" i="1"/>
  <c r="A1069" i="1" s="1"/>
  <c r="C1069" i="1"/>
  <c r="D1069" i="1" s="1"/>
  <c r="B1069" i="1"/>
  <c r="E1068" i="1"/>
  <c r="C1068" i="1"/>
  <c r="D1068" i="1" s="1"/>
  <c r="B1068" i="1"/>
  <c r="A1068" i="1"/>
  <c r="E1067" i="1"/>
  <c r="C1067" i="1"/>
  <c r="D1067" i="1" s="1"/>
  <c r="B1067" i="1"/>
  <c r="A1067" i="1"/>
  <c r="E1066" i="1"/>
  <c r="A1066" i="1" s="1"/>
  <c r="C1066" i="1"/>
  <c r="D1066" i="1" s="1"/>
  <c r="B1066" i="1"/>
  <c r="N1065" i="1"/>
  <c r="E1065" i="1"/>
  <c r="A1065" i="1" s="1"/>
  <c r="C1065" i="1"/>
  <c r="D1065" i="1" s="1"/>
  <c r="B1065" i="1"/>
  <c r="E1064" i="1"/>
  <c r="A1064" i="1" s="1"/>
  <c r="C1064" i="1"/>
  <c r="D1064" i="1" s="1"/>
  <c r="B1064" i="1"/>
  <c r="N1063" i="1"/>
  <c r="E1063" i="1"/>
  <c r="A1063" i="1" s="1"/>
  <c r="C1063" i="1"/>
  <c r="D1063" i="1" s="1"/>
  <c r="B1063" i="1"/>
  <c r="E1062" i="1"/>
  <c r="C1062" i="1"/>
  <c r="D1062" i="1" s="1"/>
  <c r="B1062" i="1"/>
  <c r="A1062" i="1"/>
  <c r="N1061" i="1"/>
  <c r="E1061" i="1"/>
  <c r="A1061" i="1" s="1"/>
  <c r="C1061" i="1"/>
  <c r="D1061" i="1" s="1"/>
  <c r="B1061" i="1"/>
  <c r="N1060" i="1"/>
  <c r="E1060" i="1"/>
  <c r="C1060" i="1"/>
  <c r="D1060" i="1" s="1"/>
  <c r="B1060" i="1"/>
  <c r="A1060" i="1"/>
  <c r="N1059" i="1"/>
  <c r="E1059" i="1"/>
  <c r="A1059" i="1" s="1"/>
  <c r="C1059" i="1"/>
  <c r="D1059" i="1" s="1"/>
  <c r="B1059" i="1"/>
  <c r="N1058" i="1"/>
  <c r="E1058" i="1"/>
  <c r="A1058" i="1" s="1"/>
  <c r="C1058" i="1"/>
  <c r="D1058" i="1" s="1"/>
  <c r="B1058" i="1"/>
  <c r="E1057" i="1"/>
  <c r="C1057" i="1"/>
  <c r="D1057" i="1" s="1"/>
  <c r="B1057" i="1"/>
  <c r="A1057" i="1"/>
  <c r="N1056" i="1"/>
  <c r="E1056" i="1"/>
  <c r="A1056" i="1" s="1"/>
  <c r="C1056" i="1"/>
  <c r="D1056" i="1" s="1"/>
  <c r="B1056" i="1"/>
  <c r="E1055" i="1"/>
  <c r="A1055" i="1" s="1"/>
  <c r="C1055" i="1"/>
  <c r="D1055" i="1" s="1"/>
  <c r="B1055" i="1"/>
  <c r="E1054" i="1"/>
  <c r="A1054" i="1" s="1"/>
  <c r="C1054" i="1"/>
  <c r="D1054" i="1" s="1"/>
  <c r="B1054" i="1"/>
  <c r="N1053" i="1"/>
  <c r="E1053" i="1"/>
  <c r="A1053" i="1" s="1"/>
  <c r="C1053" i="1"/>
  <c r="D1053" i="1" s="1"/>
  <c r="B1053" i="1"/>
  <c r="E1052" i="1"/>
  <c r="A1052" i="1" s="1"/>
  <c r="C1052" i="1"/>
  <c r="D1052" i="1" s="1"/>
  <c r="B1052" i="1"/>
  <c r="E1051" i="1"/>
  <c r="C1051" i="1"/>
  <c r="D1051" i="1" s="1"/>
  <c r="B1051" i="1"/>
  <c r="A1051" i="1"/>
  <c r="E1050" i="1"/>
  <c r="C1050" i="1"/>
  <c r="D1050" i="1" s="1"/>
  <c r="B1050" i="1"/>
  <c r="A1050" i="1"/>
  <c r="E1049" i="1"/>
  <c r="A1049" i="1" s="1"/>
  <c r="C1049" i="1"/>
  <c r="D1049" i="1" s="1"/>
  <c r="B1049" i="1"/>
  <c r="E1048" i="1"/>
  <c r="C1048" i="1"/>
  <c r="D1048" i="1" s="1"/>
  <c r="B1048" i="1"/>
  <c r="A1048" i="1"/>
  <c r="E1047" i="1"/>
  <c r="C1047" i="1"/>
  <c r="D1047" i="1" s="1"/>
  <c r="B1047" i="1"/>
  <c r="A1047" i="1"/>
  <c r="N1046" i="1"/>
  <c r="E1046" i="1"/>
  <c r="A1046" i="1" s="1"/>
  <c r="C1046" i="1"/>
  <c r="D1046" i="1" s="1"/>
  <c r="B1046" i="1"/>
  <c r="E1045" i="1"/>
  <c r="C1045" i="1"/>
  <c r="D1045" i="1" s="1"/>
  <c r="B1045" i="1"/>
  <c r="A1045" i="1"/>
  <c r="N1044" i="1"/>
  <c r="E1044" i="1"/>
  <c r="A1044" i="1" s="1"/>
  <c r="C1044" i="1"/>
  <c r="D1044" i="1" s="1"/>
  <c r="B1044" i="1"/>
  <c r="E1043" i="1"/>
  <c r="C1043" i="1"/>
  <c r="D1043" i="1" s="1"/>
  <c r="B1043" i="1"/>
  <c r="A1043" i="1"/>
  <c r="N1042" i="1"/>
  <c r="E1042" i="1"/>
  <c r="A1042" i="1" s="1"/>
  <c r="C1042" i="1"/>
  <c r="D1042" i="1" s="1"/>
  <c r="B1042" i="1"/>
  <c r="N1041" i="1"/>
  <c r="E1041" i="1"/>
  <c r="A1041" i="1" s="1"/>
  <c r="C1041" i="1"/>
  <c r="D1041" i="1" s="1"/>
  <c r="B1041" i="1"/>
  <c r="N1040" i="1"/>
  <c r="E1040" i="1"/>
  <c r="A1040" i="1" s="1"/>
  <c r="C1040" i="1"/>
  <c r="D1040" i="1" s="1"/>
  <c r="B1040" i="1"/>
  <c r="E1039" i="1"/>
  <c r="A1039" i="1" s="1"/>
  <c r="C1039" i="1"/>
  <c r="D1039" i="1" s="1"/>
  <c r="B1039" i="1"/>
  <c r="E1038" i="1"/>
  <c r="A1038" i="1" s="1"/>
  <c r="C1038" i="1"/>
  <c r="D1038" i="1" s="1"/>
  <c r="B1038" i="1"/>
  <c r="N1037" i="1"/>
  <c r="E1037" i="1"/>
  <c r="A1037" i="1" s="1"/>
  <c r="C1037" i="1"/>
  <c r="D1037" i="1" s="1"/>
  <c r="B1037" i="1"/>
  <c r="N1036" i="1"/>
  <c r="E1036" i="1"/>
  <c r="A1036" i="1" s="1"/>
  <c r="C1036" i="1"/>
  <c r="D1036" i="1" s="1"/>
  <c r="B1036" i="1"/>
  <c r="N1035" i="1"/>
  <c r="E1035" i="1"/>
  <c r="A1035" i="1" s="1"/>
  <c r="C1035" i="1"/>
  <c r="D1035" i="1" s="1"/>
  <c r="B1035" i="1"/>
  <c r="E1034" i="1"/>
  <c r="C1034" i="1"/>
  <c r="D1034" i="1" s="1"/>
  <c r="B1034" i="1"/>
  <c r="A1034" i="1"/>
  <c r="E1033" i="1"/>
  <c r="C1033" i="1"/>
  <c r="D1033" i="1" s="1"/>
  <c r="B1033" i="1"/>
  <c r="A1033" i="1"/>
  <c r="E1032" i="1"/>
  <c r="C1032" i="1"/>
  <c r="D1032" i="1" s="1"/>
  <c r="B1032" i="1"/>
  <c r="A1032" i="1"/>
  <c r="N1031" i="1"/>
  <c r="E1031" i="1"/>
  <c r="C1031" i="1"/>
  <c r="D1031" i="1" s="1"/>
  <c r="B1031" i="1"/>
  <c r="A1031" i="1"/>
  <c r="E1030" i="1"/>
  <c r="C1030" i="1"/>
  <c r="D1030" i="1" s="1"/>
  <c r="B1030" i="1"/>
  <c r="A1030" i="1"/>
  <c r="N1029" i="1"/>
  <c r="E1029" i="1"/>
  <c r="A1029" i="1" s="1"/>
  <c r="C1029" i="1"/>
  <c r="D1029" i="1" s="1"/>
  <c r="B1029" i="1"/>
  <c r="E1028" i="1"/>
  <c r="C1028" i="1"/>
  <c r="D1028" i="1" s="1"/>
  <c r="B1028" i="1"/>
  <c r="A1028" i="1"/>
  <c r="N1027" i="1"/>
  <c r="E1027" i="1"/>
  <c r="C1027" i="1"/>
  <c r="D1027" i="1" s="1"/>
  <c r="B1027" i="1"/>
  <c r="A1027" i="1"/>
  <c r="N1026" i="1"/>
  <c r="E1026" i="1"/>
  <c r="A1026" i="1" s="1"/>
  <c r="C1026" i="1"/>
  <c r="D1026" i="1" s="1"/>
  <c r="B1026" i="1"/>
  <c r="E1025" i="1"/>
  <c r="C1025" i="1"/>
  <c r="D1025" i="1" s="1"/>
  <c r="B1025" i="1"/>
  <c r="A1025" i="1"/>
  <c r="N1024" i="1"/>
  <c r="E1024" i="1"/>
  <c r="A1024" i="1" s="1"/>
  <c r="C1024" i="1"/>
  <c r="D1024" i="1" s="1"/>
  <c r="B1024" i="1"/>
  <c r="N1023" i="1"/>
  <c r="E1023" i="1"/>
  <c r="A1023" i="1" s="1"/>
  <c r="C1023" i="1"/>
  <c r="D1023" i="1" s="1"/>
  <c r="B1023" i="1"/>
  <c r="N1022" i="1"/>
  <c r="E1022" i="1"/>
  <c r="A1022" i="1" s="1"/>
  <c r="C1022" i="1"/>
  <c r="D1022" i="1" s="1"/>
  <c r="B1022" i="1"/>
  <c r="E1021" i="1"/>
  <c r="C1021" i="1"/>
  <c r="D1021" i="1" s="1"/>
  <c r="B1021" i="1"/>
  <c r="A1021" i="1"/>
  <c r="N1020" i="1"/>
  <c r="E1020" i="1"/>
  <c r="C1020" i="1"/>
  <c r="D1020" i="1" s="1"/>
  <c r="B1020" i="1"/>
  <c r="A1020" i="1"/>
  <c r="E1019" i="1"/>
  <c r="C1019" i="1"/>
  <c r="D1019" i="1" s="1"/>
  <c r="B1019" i="1"/>
  <c r="A1019" i="1"/>
  <c r="E1018" i="1"/>
  <c r="C1018" i="1"/>
  <c r="D1018" i="1" s="1"/>
  <c r="B1018" i="1"/>
  <c r="A1018" i="1"/>
  <c r="E1017" i="1"/>
  <c r="C1017" i="1"/>
  <c r="D1017" i="1" s="1"/>
  <c r="B1017" i="1"/>
  <c r="A1017" i="1"/>
  <c r="N1016" i="1"/>
  <c r="E1016" i="1"/>
  <c r="A1016" i="1" s="1"/>
  <c r="C1016" i="1"/>
  <c r="D1016" i="1" s="1"/>
  <c r="B1016" i="1"/>
  <c r="E1015" i="1"/>
  <c r="C1015" i="1"/>
  <c r="D1015" i="1" s="1"/>
  <c r="B1015" i="1"/>
  <c r="A1015" i="1"/>
  <c r="N1014" i="1"/>
  <c r="E1014" i="1"/>
  <c r="A1014" i="1" s="1"/>
  <c r="C1014" i="1"/>
  <c r="D1014" i="1" s="1"/>
  <c r="B1014" i="1"/>
  <c r="E1013" i="1"/>
  <c r="C1013" i="1"/>
  <c r="D1013" i="1" s="1"/>
  <c r="B1013" i="1"/>
  <c r="A1013" i="1"/>
  <c r="E1012" i="1"/>
  <c r="C1012" i="1"/>
  <c r="D1012" i="1" s="1"/>
  <c r="B1012" i="1"/>
  <c r="A1012" i="1"/>
  <c r="E1011" i="1"/>
  <c r="C1011" i="1"/>
  <c r="D1011" i="1" s="1"/>
  <c r="B1011" i="1"/>
  <c r="A1011" i="1"/>
  <c r="E1010" i="1"/>
  <c r="C1010" i="1"/>
  <c r="D1010" i="1" s="1"/>
  <c r="B1010" i="1"/>
  <c r="A1010" i="1"/>
  <c r="N1009" i="1"/>
  <c r="E1009" i="1"/>
  <c r="A1009" i="1" s="1"/>
  <c r="C1009" i="1"/>
  <c r="D1009" i="1" s="1"/>
  <c r="B1009" i="1"/>
  <c r="E1008" i="1"/>
  <c r="C1008" i="1"/>
  <c r="D1008" i="1" s="1"/>
  <c r="B1008" i="1"/>
  <c r="A1008" i="1"/>
  <c r="E1007" i="1"/>
  <c r="A1007" i="1" s="1"/>
  <c r="C1007" i="1"/>
  <c r="D1007" i="1" s="1"/>
  <c r="B1007" i="1"/>
  <c r="E1006" i="1"/>
  <c r="A1006" i="1" s="1"/>
  <c r="C1006" i="1"/>
  <c r="D1006" i="1" s="1"/>
  <c r="B1006" i="1"/>
  <c r="N1005" i="1"/>
  <c r="E1005" i="1"/>
  <c r="A1005" i="1" s="1"/>
  <c r="C1005" i="1"/>
  <c r="D1005" i="1" s="1"/>
  <c r="B1005" i="1"/>
  <c r="E1004" i="1"/>
  <c r="A1004" i="1" s="1"/>
  <c r="C1004" i="1"/>
  <c r="D1004" i="1" s="1"/>
  <c r="B1004" i="1"/>
  <c r="E1003" i="1"/>
  <c r="A1003" i="1" s="1"/>
  <c r="C1003" i="1"/>
  <c r="D1003" i="1" s="1"/>
  <c r="B1003" i="1"/>
  <c r="E1002" i="1"/>
  <c r="C1002" i="1"/>
  <c r="D1002" i="1" s="1"/>
  <c r="B1002" i="1"/>
  <c r="A1002" i="1"/>
  <c r="N1001" i="1"/>
  <c r="E1001" i="1"/>
  <c r="A1001" i="1" s="1"/>
  <c r="C1001" i="1"/>
  <c r="D1001" i="1" s="1"/>
  <c r="B1001" i="1"/>
  <c r="N1000" i="1"/>
  <c r="E1000" i="1"/>
  <c r="A1000" i="1" s="1"/>
  <c r="C1000" i="1"/>
  <c r="D1000" i="1" s="1"/>
  <c r="B1000" i="1"/>
  <c r="E999" i="1"/>
  <c r="C999" i="1"/>
  <c r="D999" i="1" s="1"/>
  <c r="B999" i="1"/>
  <c r="A999" i="1"/>
  <c r="E998" i="1"/>
  <c r="C998" i="1"/>
  <c r="D998" i="1" s="1"/>
  <c r="B998" i="1"/>
  <c r="A998" i="1"/>
  <c r="N997" i="1"/>
  <c r="E997" i="1"/>
  <c r="A997" i="1" s="1"/>
  <c r="C997" i="1"/>
  <c r="D997" i="1" s="1"/>
  <c r="B997" i="1"/>
  <c r="N996" i="1"/>
  <c r="E996" i="1"/>
  <c r="A996" i="1" s="1"/>
  <c r="C996" i="1"/>
  <c r="D996" i="1" s="1"/>
  <c r="B996" i="1"/>
  <c r="E995" i="1"/>
  <c r="A995" i="1" s="1"/>
  <c r="C995" i="1"/>
  <c r="D995" i="1" s="1"/>
  <c r="B995" i="1"/>
  <c r="N994" i="1"/>
  <c r="E994" i="1"/>
  <c r="A994" i="1" s="1"/>
  <c r="C994" i="1"/>
  <c r="D994" i="1" s="1"/>
  <c r="B994" i="1"/>
  <c r="N993" i="1"/>
  <c r="E993" i="1"/>
  <c r="A993" i="1" s="1"/>
  <c r="C993" i="1"/>
  <c r="D993" i="1" s="1"/>
  <c r="B993" i="1"/>
  <c r="E992" i="1"/>
  <c r="C992" i="1"/>
  <c r="D992" i="1" s="1"/>
  <c r="B992" i="1"/>
  <c r="A992" i="1"/>
  <c r="E991" i="1"/>
  <c r="C991" i="1"/>
  <c r="D991" i="1" s="1"/>
  <c r="B991" i="1"/>
  <c r="A991" i="1"/>
  <c r="N990" i="1"/>
  <c r="E990" i="1"/>
  <c r="A990" i="1" s="1"/>
  <c r="C990" i="1"/>
  <c r="D990" i="1" s="1"/>
  <c r="B990" i="1"/>
  <c r="N989" i="1"/>
  <c r="E989" i="1"/>
  <c r="A989" i="1" s="1"/>
  <c r="C989" i="1"/>
  <c r="D989" i="1" s="1"/>
  <c r="B989" i="1"/>
  <c r="E988" i="1"/>
  <c r="C988" i="1"/>
  <c r="D988" i="1" s="1"/>
  <c r="B988" i="1"/>
  <c r="A988" i="1"/>
  <c r="N987" i="1"/>
  <c r="E987" i="1"/>
  <c r="A987" i="1" s="1"/>
  <c r="C987" i="1"/>
  <c r="D987" i="1" s="1"/>
  <c r="B987" i="1"/>
  <c r="E986" i="1"/>
  <c r="A986" i="1" s="1"/>
  <c r="C986" i="1"/>
  <c r="D986" i="1" s="1"/>
  <c r="B986" i="1"/>
  <c r="E985" i="1"/>
  <c r="A985" i="1" s="1"/>
  <c r="C985" i="1"/>
  <c r="D985" i="1" s="1"/>
  <c r="B985" i="1"/>
  <c r="E984" i="1"/>
  <c r="C984" i="1"/>
  <c r="D984" i="1" s="1"/>
  <c r="B984" i="1"/>
  <c r="A984" i="1"/>
  <c r="E983" i="1"/>
  <c r="C983" i="1"/>
  <c r="D983" i="1" s="1"/>
  <c r="B983" i="1"/>
  <c r="A983" i="1"/>
  <c r="E982" i="1"/>
  <c r="C982" i="1"/>
  <c r="D982" i="1" s="1"/>
  <c r="B982" i="1"/>
  <c r="A982" i="1"/>
  <c r="E981" i="1"/>
  <c r="C981" i="1"/>
  <c r="D981" i="1" s="1"/>
  <c r="B981" i="1"/>
  <c r="A981" i="1"/>
  <c r="E980" i="1"/>
  <c r="C980" i="1"/>
  <c r="D980" i="1" s="1"/>
  <c r="B980" i="1"/>
  <c r="A980" i="1"/>
  <c r="E979" i="1"/>
  <c r="C979" i="1"/>
  <c r="D979" i="1" s="1"/>
  <c r="B979" i="1"/>
  <c r="A979" i="1"/>
  <c r="E978" i="1"/>
  <c r="C978" i="1"/>
  <c r="D978" i="1" s="1"/>
  <c r="B978" i="1"/>
  <c r="A978" i="1"/>
  <c r="E977" i="1"/>
  <c r="C977" i="1"/>
  <c r="D977" i="1" s="1"/>
  <c r="B977" i="1"/>
  <c r="A977" i="1"/>
  <c r="E976" i="1"/>
  <c r="C976" i="1"/>
  <c r="D976" i="1" s="1"/>
  <c r="B976" i="1"/>
  <c r="A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N962" i="1"/>
  <c r="E962" i="1"/>
  <c r="A962" i="1" s="1"/>
  <c r="C962" i="1"/>
  <c r="D962" i="1" s="1"/>
  <c r="B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A955" i="1" s="1"/>
  <c r="C955" i="1"/>
  <c r="D955" i="1" s="1"/>
  <c r="B955" i="1"/>
  <c r="E954" i="1"/>
  <c r="C954" i="1"/>
  <c r="D954" i="1" s="1"/>
  <c r="B954" i="1"/>
  <c r="A954" i="1"/>
  <c r="E953" i="1"/>
  <c r="C953" i="1"/>
  <c r="D953" i="1" s="1"/>
  <c r="B953" i="1"/>
  <c r="A953" i="1"/>
  <c r="E952" i="1"/>
  <c r="C952" i="1"/>
  <c r="D952" i="1" s="1"/>
  <c r="B952" i="1"/>
  <c r="A952" i="1"/>
  <c r="E951" i="1"/>
  <c r="C951" i="1"/>
  <c r="D951" i="1" s="1"/>
  <c r="B951" i="1"/>
  <c r="A951" i="1"/>
  <c r="E950" i="1"/>
  <c r="C950" i="1"/>
  <c r="D950" i="1" s="1"/>
  <c r="B950" i="1"/>
  <c r="A950" i="1"/>
  <c r="E949" i="1"/>
  <c r="C949" i="1"/>
  <c r="D949" i="1" s="1"/>
  <c r="B949" i="1"/>
  <c r="A949" i="1"/>
  <c r="E948" i="1"/>
  <c r="C948" i="1"/>
  <c r="D948" i="1" s="1"/>
  <c r="B948" i="1"/>
  <c r="A948" i="1"/>
  <c r="E947" i="1"/>
  <c r="C947" i="1"/>
  <c r="D947" i="1" s="1"/>
  <c r="B947" i="1"/>
  <c r="A947" i="1"/>
  <c r="N946" i="1"/>
  <c r="E946" i="1"/>
  <c r="A946" i="1" s="1"/>
  <c r="C946" i="1"/>
  <c r="D946" i="1" s="1"/>
  <c r="B946" i="1"/>
  <c r="N945" i="1"/>
  <c r="E945" i="1"/>
  <c r="A945" i="1" s="1"/>
  <c r="C945" i="1"/>
  <c r="D945" i="1" s="1"/>
  <c r="B945" i="1"/>
  <c r="E944" i="1"/>
  <c r="A944" i="1" s="1"/>
  <c r="C944" i="1"/>
  <c r="D944" i="1" s="1"/>
  <c r="B944" i="1"/>
  <c r="E943" i="1"/>
  <c r="C943" i="1"/>
  <c r="D943" i="1" s="1"/>
  <c r="B943" i="1"/>
  <c r="A943" i="1"/>
  <c r="N942" i="1"/>
  <c r="E942" i="1"/>
  <c r="A942" i="1" s="1"/>
  <c r="C942" i="1"/>
  <c r="D942" i="1" s="1"/>
  <c r="B942" i="1"/>
  <c r="N941" i="1"/>
  <c r="E941" i="1"/>
  <c r="A941" i="1" s="1"/>
  <c r="C941" i="1"/>
  <c r="D941" i="1" s="1"/>
  <c r="B941" i="1"/>
  <c r="E940" i="1"/>
  <c r="C940" i="1"/>
  <c r="D940" i="1" s="1"/>
  <c r="B940" i="1"/>
  <c r="A940" i="1"/>
  <c r="E939" i="1"/>
  <c r="C939" i="1"/>
  <c r="D939" i="1" s="1"/>
  <c r="B939" i="1"/>
  <c r="A939" i="1"/>
  <c r="E938" i="1"/>
  <c r="C938" i="1"/>
  <c r="D938" i="1" s="1"/>
  <c r="B938" i="1"/>
  <c r="A938" i="1"/>
  <c r="E937" i="1"/>
  <c r="C937" i="1"/>
  <c r="D937" i="1" s="1"/>
  <c r="B937" i="1"/>
  <c r="A937" i="1"/>
  <c r="N936" i="1"/>
  <c r="E936" i="1"/>
  <c r="A936" i="1" s="1"/>
  <c r="C936" i="1"/>
  <c r="D936" i="1" s="1"/>
  <c r="B936" i="1"/>
  <c r="E935" i="1"/>
  <c r="C935" i="1"/>
  <c r="D935" i="1" s="1"/>
  <c r="B935" i="1"/>
  <c r="A935" i="1"/>
  <c r="E934" i="1"/>
  <c r="C934" i="1"/>
  <c r="D934" i="1" s="1"/>
  <c r="B934" i="1"/>
  <c r="A934" i="1"/>
  <c r="E933" i="1"/>
  <c r="C933" i="1"/>
  <c r="D933" i="1" s="1"/>
  <c r="B933" i="1"/>
  <c r="A933" i="1"/>
  <c r="N932" i="1"/>
  <c r="E932" i="1"/>
  <c r="A932" i="1" s="1"/>
  <c r="C932" i="1"/>
  <c r="D932" i="1" s="1"/>
  <c r="B932" i="1"/>
  <c r="E931" i="1"/>
  <c r="A931" i="1" s="1"/>
  <c r="C931" i="1"/>
  <c r="D931" i="1" s="1"/>
  <c r="B931" i="1"/>
  <c r="E930" i="1"/>
  <c r="C930" i="1"/>
  <c r="D930" i="1" s="1"/>
  <c r="B930" i="1"/>
  <c r="A930" i="1"/>
  <c r="E929" i="1"/>
  <c r="C929" i="1"/>
  <c r="D929" i="1" s="1"/>
  <c r="B929" i="1"/>
  <c r="A929" i="1"/>
  <c r="E928" i="1"/>
  <c r="C928" i="1"/>
  <c r="D928" i="1" s="1"/>
  <c r="B928" i="1"/>
  <c r="A928" i="1"/>
  <c r="E927" i="1"/>
  <c r="C927" i="1"/>
  <c r="D927" i="1" s="1"/>
  <c r="B927" i="1"/>
  <c r="A927" i="1"/>
  <c r="N926" i="1"/>
  <c r="E926" i="1"/>
  <c r="A926" i="1" s="1"/>
  <c r="C926" i="1"/>
  <c r="D926" i="1" s="1"/>
  <c r="B926" i="1"/>
  <c r="N925" i="1"/>
  <c r="E925" i="1"/>
  <c r="A925" i="1" s="1"/>
  <c r="C925" i="1"/>
  <c r="D925" i="1" s="1"/>
  <c r="B925" i="1"/>
  <c r="E924" i="1"/>
  <c r="C924" i="1"/>
  <c r="D924" i="1" s="1"/>
  <c r="B924" i="1"/>
  <c r="A924" i="1"/>
  <c r="N923" i="1"/>
  <c r="E923" i="1"/>
  <c r="A923" i="1" s="1"/>
  <c r="C923" i="1"/>
  <c r="D923" i="1" s="1"/>
  <c r="B923" i="1"/>
  <c r="N922" i="1"/>
  <c r="E922" i="1"/>
  <c r="A922" i="1" s="1"/>
  <c r="C922" i="1"/>
  <c r="D922" i="1" s="1"/>
  <c r="B922" i="1"/>
  <c r="N921" i="1"/>
  <c r="E921" i="1"/>
  <c r="A921" i="1" s="1"/>
  <c r="C921" i="1"/>
  <c r="D921" i="1" s="1"/>
  <c r="B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A895" i="1" s="1"/>
  <c r="C895" i="1"/>
  <c r="D895" i="1" s="1"/>
  <c r="B895" i="1"/>
  <c r="E894" i="1"/>
  <c r="A894" i="1" s="1"/>
  <c r="C894" i="1"/>
  <c r="D894" i="1" s="1"/>
  <c r="B894" i="1"/>
  <c r="E893" i="1"/>
  <c r="A893" i="1" s="1"/>
  <c r="C893" i="1"/>
  <c r="D893" i="1" s="1"/>
  <c r="B893" i="1"/>
  <c r="E892" i="1"/>
  <c r="C892" i="1"/>
  <c r="D892" i="1" s="1"/>
  <c r="B892" i="1"/>
  <c r="A892" i="1"/>
  <c r="E891" i="1"/>
  <c r="C891" i="1"/>
  <c r="D891" i="1" s="1"/>
  <c r="B891" i="1"/>
  <c r="A891" i="1"/>
  <c r="E890" i="1"/>
  <c r="A890" i="1" s="1"/>
  <c r="C890" i="1"/>
  <c r="D890" i="1" s="1"/>
  <c r="B890" i="1"/>
  <c r="E889" i="1"/>
  <c r="C889" i="1"/>
  <c r="D889" i="1" s="1"/>
  <c r="B889" i="1"/>
  <c r="A889" i="1"/>
  <c r="E888" i="1"/>
  <c r="C888" i="1"/>
  <c r="D888" i="1" s="1"/>
  <c r="B888" i="1"/>
  <c r="A888" i="1"/>
  <c r="E887" i="1"/>
  <c r="C887" i="1"/>
  <c r="D887" i="1" s="1"/>
  <c r="B887" i="1"/>
  <c r="A887" i="1"/>
  <c r="E886" i="1"/>
  <c r="A886" i="1" s="1"/>
  <c r="C886" i="1"/>
  <c r="D886" i="1" s="1"/>
  <c r="B886" i="1"/>
  <c r="E885" i="1"/>
  <c r="C885" i="1"/>
  <c r="D885" i="1" s="1"/>
  <c r="B885" i="1"/>
  <c r="A885" i="1"/>
  <c r="N884" i="1"/>
  <c r="E884" i="1"/>
  <c r="A884" i="1" s="1"/>
  <c r="C884" i="1"/>
  <c r="D884" i="1" s="1"/>
  <c r="B884" i="1"/>
  <c r="N883" i="1"/>
  <c r="E883" i="1"/>
  <c r="A883" i="1" s="1"/>
  <c r="C883" i="1"/>
  <c r="D883" i="1" s="1"/>
  <c r="B883" i="1"/>
  <c r="N882" i="1"/>
  <c r="E882" i="1"/>
  <c r="A882" i="1" s="1"/>
  <c r="C882" i="1"/>
  <c r="D882" i="1" s="1"/>
  <c r="B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N874" i="1"/>
  <c r="E874" i="1"/>
  <c r="A874" i="1" s="1"/>
  <c r="C874" i="1"/>
  <c r="D874" i="1" s="1"/>
  <c r="B874" i="1"/>
  <c r="E873" i="1"/>
  <c r="C873" i="1"/>
  <c r="D873" i="1" s="1"/>
  <c r="B873" i="1"/>
  <c r="A873" i="1"/>
  <c r="E872" i="1"/>
  <c r="C872" i="1"/>
  <c r="D872" i="1" s="1"/>
  <c r="B872" i="1"/>
  <c r="A872" i="1"/>
  <c r="E871" i="1"/>
  <c r="C871" i="1"/>
  <c r="D871" i="1" s="1"/>
  <c r="B871" i="1"/>
  <c r="A871" i="1"/>
  <c r="E870" i="1"/>
  <c r="C870" i="1"/>
  <c r="D870" i="1" s="1"/>
  <c r="B870" i="1"/>
  <c r="A870" i="1"/>
  <c r="E869" i="1"/>
  <c r="C869" i="1"/>
  <c r="D869" i="1" s="1"/>
  <c r="B869" i="1"/>
  <c r="A869" i="1"/>
  <c r="E868" i="1"/>
  <c r="C868" i="1"/>
  <c r="D868" i="1" s="1"/>
  <c r="B868" i="1"/>
  <c r="A868" i="1"/>
  <c r="E867" i="1"/>
  <c r="C867" i="1"/>
  <c r="D867" i="1" s="1"/>
  <c r="B867" i="1"/>
  <c r="A867" i="1"/>
  <c r="E866" i="1"/>
  <c r="C866" i="1"/>
  <c r="D866" i="1" s="1"/>
  <c r="B866" i="1"/>
  <c r="A866" i="1"/>
  <c r="E865" i="1"/>
  <c r="C865" i="1"/>
  <c r="D865" i="1" s="1"/>
  <c r="B865" i="1"/>
  <c r="A865" i="1"/>
  <c r="E864" i="1"/>
  <c r="C864" i="1"/>
  <c r="D864" i="1" s="1"/>
  <c r="B864" i="1"/>
  <c r="A864" i="1"/>
  <c r="E863" i="1"/>
  <c r="C863" i="1"/>
  <c r="D863" i="1" s="1"/>
  <c r="B863" i="1"/>
  <c r="A863" i="1"/>
  <c r="E862" i="1"/>
  <c r="C862" i="1"/>
  <c r="D862" i="1" s="1"/>
  <c r="B862" i="1"/>
  <c r="A862" i="1"/>
  <c r="E861" i="1"/>
  <c r="A861" i="1" s="1"/>
  <c r="C861" i="1"/>
  <c r="D861" i="1" s="1"/>
  <c r="B861" i="1"/>
  <c r="E860" i="1"/>
  <c r="A860" i="1" s="1"/>
  <c r="C860" i="1"/>
  <c r="D860" i="1" s="1"/>
  <c r="B860" i="1"/>
  <c r="E859" i="1"/>
  <c r="A859" i="1" s="1"/>
  <c r="C859" i="1"/>
  <c r="D859" i="1" s="1"/>
  <c r="B859" i="1"/>
  <c r="N858" i="1"/>
  <c r="E858" i="1"/>
  <c r="A858" i="1" s="1"/>
  <c r="C858" i="1"/>
  <c r="D858" i="1" s="1"/>
  <c r="B858" i="1"/>
  <c r="N857" i="1"/>
  <c r="E857" i="1"/>
  <c r="A857" i="1" s="1"/>
  <c r="C857" i="1"/>
  <c r="D857" i="1" s="1"/>
  <c r="B857" i="1"/>
  <c r="E856" i="1"/>
  <c r="A856" i="1" s="1"/>
  <c r="C856" i="1"/>
  <c r="D856" i="1" s="1"/>
  <c r="B856" i="1"/>
  <c r="E855" i="1"/>
  <c r="A855" i="1" s="1"/>
  <c r="C855" i="1"/>
  <c r="D855" i="1" s="1"/>
  <c r="B855" i="1"/>
  <c r="E854" i="1"/>
  <c r="A854" i="1" s="1"/>
  <c r="C854" i="1"/>
  <c r="D854" i="1" s="1"/>
  <c r="B854" i="1"/>
  <c r="E853" i="1"/>
  <c r="A853" i="1" s="1"/>
  <c r="C853" i="1"/>
  <c r="D853" i="1" s="1"/>
  <c r="B853" i="1"/>
  <c r="E852" i="1"/>
  <c r="C852" i="1"/>
  <c r="D852" i="1" s="1"/>
  <c r="B852" i="1"/>
  <c r="A852" i="1"/>
  <c r="E851" i="1"/>
  <c r="C851" i="1"/>
  <c r="D851" i="1" s="1"/>
  <c r="B851" i="1"/>
  <c r="A851" i="1"/>
  <c r="E850" i="1"/>
  <c r="C850" i="1"/>
  <c r="D850" i="1" s="1"/>
  <c r="B850" i="1"/>
  <c r="A850" i="1"/>
  <c r="N849" i="1"/>
  <c r="E849" i="1"/>
  <c r="A849" i="1" s="1"/>
  <c r="C849" i="1"/>
  <c r="D849" i="1" s="1"/>
  <c r="B849" i="1"/>
  <c r="N848" i="1"/>
  <c r="E848" i="1"/>
  <c r="A848" i="1" s="1"/>
  <c r="C848" i="1"/>
  <c r="D848" i="1" s="1"/>
  <c r="B848" i="1"/>
  <c r="E847" i="1"/>
  <c r="C847" i="1"/>
  <c r="D847" i="1" s="1"/>
  <c r="B847" i="1"/>
  <c r="A847" i="1"/>
  <c r="N846" i="1"/>
  <c r="E846" i="1"/>
  <c r="A846" i="1" s="1"/>
  <c r="C846" i="1"/>
  <c r="D846" i="1" s="1"/>
  <c r="B846" i="1"/>
  <c r="E845" i="1"/>
  <c r="C845" i="1"/>
  <c r="D845" i="1" s="1"/>
  <c r="B845" i="1"/>
  <c r="A845" i="1"/>
  <c r="E844" i="1"/>
  <c r="C844" i="1"/>
  <c r="D844" i="1" s="1"/>
  <c r="B844" i="1"/>
  <c r="A844" i="1"/>
  <c r="E843" i="1"/>
  <c r="C843" i="1"/>
  <c r="D843" i="1" s="1"/>
  <c r="B843" i="1"/>
  <c r="A843" i="1"/>
  <c r="E842" i="1"/>
  <c r="C842" i="1"/>
  <c r="D842" i="1" s="1"/>
  <c r="B842" i="1"/>
  <c r="A842" i="1"/>
  <c r="E841" i="1"/>
  <c r="C841" i="1"/>
  <c r="D841" i="1" s="1"/>
  <c r="B841" i="1"/>
  <c r="A841" i="1"/>
  <c r="E840" i="1"/>
  <c r="A840" i="1" s="1"/>
  <c r="C840" i="1"/>
  <c r="D840" i="1" s="1"/>
  <c r="B840" i="1"/>
  <c r="E839" i="1"/>
  <c r="C839" i="1"/>
  <c r="D839" i="1" s="1"/>
  <c r="B839" i="1"/>
  <c r="A839" i="1"/>
  <c r="N838" i="1"/>
  <c r="E838" i="1"/>
  <c r="A838" i="1" s="1"/>
  <c r="C838" i="1"/>
  <c r="D838" i="1" s="1"/>
  <c r="B838" i="1"/>
  <c r="E837" i="1"/>
  <c r="C837" i="1"/>
  <c r="D837" i="1" s="1"/>
  <c r="B837" i="1"/>
  <c r="A837" i="1"/>
  <c r="N836" i="1"/>
  <c r="E836" i="1"/>
  <c r="A836" i="1" s="1"/>
  <c r="C836" i="1"/>
  <c r="D836" i="1" s="1"/>
  <c r="B836" i="1"/>
  <c r="E835" i="1"/>
  <c r="A835" i="1" s="1"/>
  <c r="C835" i="1"/>
  <c r="D835" i="1" s="1"/>
  <c r="B835" i="1"/>
  <c r="N834" i="1"/>
  <c r="E834" i="1"/>
  <c r="A834" i="1" s="1"/>
  <c r="C834" i="1"/>
  <c r="D834" i="1" s="1"/>
  <c r="B834" i="1"/>
  <c r="E833" i="1"/>
  <c r="C833" i="1"/>
  <c r="D833" i="1" s="1"/>
  <c r="B833" i="1"/>
  <c r="A833" i="1"/>
  <c r="E832" i="1"/>
  <c r="C832" i="1"/>
  <c r="D832" i="1" s="1"/>
  <c r="B832" i="1"/>
  <c r="A832" i="1"/>
  <c r="E831" i="1"/>
  <c r="C831" i="1"/>
  <c r="D831" i="1" s="1"/>
  <c r="B831" i="1"/>
  <c r="A831" i="1"/>
  <c r="E830" i="1"/>
  <c r="C830" i="1"/>
  <c r="D830" i="1" s="1"/>
  <c r="B830" i="1"/>
  <c r="A830" i="1"/>
  <c r="E829" i="1"/>
  <c r="C829" i="1"/>
  <c r="D829" i="1" s="1"/>
  <c r="B829" i="1"/>
  <c r="A829" i="1"/>
  <c r="E828" i="1"/>
  <c r="C828" i="1"/>
  <c r="D828" i="1" s="1"/>
  <c r="B828" i="1"/>
  <c r="A828" i="1"/>
  <c r="E827" i="1"/>
  <c r="C827" i="1"/>
  <c r="D827" i="1" s="1"/>
  <c r="B827" i="1"/>
  <c r="A827" i="1"/>
  <c r="E826" i="1"/>
  <c r="C826" i="1"/>
  <c r="D826" i="1" s="1"/>
  <c r="B826" i="1"/>
  <c r="A826" i="1"/>
  <c r="E825" i="1"/>
  <c r="C825" i="1"/>
  <c r="D825" i="1" s="1"/>
  <c r="B825" i="1"/>
  <c r="A825" i="1"/>
  <c r="E824" i="1"/>
  <c r="C824" i="1"/>
  <c r="D824" i="1" s="1"/>
  <c r="B824" i="1"/>
  <c r="A824" i="1"/>
  <c r="E823" i="1"/>
  <c r="C823" i="1"/>
  <c r="D823" i="1" s="1"/>
  <c r="B823" i="1"/>
  <c r="A823" i="1"/>
  <c r="E822" i="1"/>
  <c r="C822" i="1"/>
  <c r="D822" i="1" s="1"/>
  <c r="B822" i="1"/>
  <c r="A822" i="1"/>
  <c r="E821" i="1"/>
  <c r="C821" i="1"/>
  <c r="D821" i="1" s="1"/>
  <c r="B821" i="1"/>
  <c r="A821" i="1"/>
  <c r="E820" i="1"/>
  <c r="C820" i="1"/>
  <c r="D820" i="1" s="1"/>
  <c r="B820" i="1"/>
  <c r="A820" i="1"/>
  <c r="E819" i="1"/>
  <c r="A819" i="1" s="1"/>
  <c r="C819" i="1"/>
  <c r="D819" i="1" s="1"/>
  <c r="B819" i="1"/>
  <c r="E818" i="1"/>
  <c r="A818" i="1" s="1"/>
  <c r="C818" i="1"/>
  <c r="D818" i="1" s="1"/>
  <c r="B818" i="1"/>
  <c r="E817" i="1"/>
  <c r="A817" i="1" s="1"/>
  <c r="C817" i="1"/>
  <c r="D817" i="1" s="1"/>
  <c r="B817" i="1"/>
  <c r="E816" i="1"/>
  <c r="A816" i="1" s="1"/>
  <c r="C816" i="1"/>
  <c r="D816" i="1" s="1"/>
  <c r="B816" i="1"/>
  <c r="E815" i="1"/>
  <c r="C815" i="1"/>
  <c r="D815" i="1" s="1"/>
  <c r="B815" i="1"/>
  <c r="A815" i="1"/>
  <c r="E814" i="1"/>
  <c r="C814" i="1"/>
  <c r="D814" i="1" s="1"/>
  <c r="B814" i="1"/>
  <c r="A814" i="1"/>
  <c r="E813" i="1"/>
  <c r="C813" i="1"/>
  <c r="D813" i="1" s="1"/>
  <c r="B813" i="1"/>
  <c r="A813" i="1"/>
  <c r="E812" i="1"/>
  <c r="A812" i="1" s="1"/>
  <c r="C812" i="1"/>
  <c r="D812" i="1" s="1"/>
  <c r="B812" i="1"/>
  <c r="E811" i="1"/>
  <c r="A811" i="1" s="1"/>
  <c r="C811" i="1"/>
  <c r="D811" i="1" s="1"/>
  <c r="B811" i="1"/>
  <c r="E810" i="1"/>
  <c r="A810" i="1" s="1"/>
  <c r="C810" i="1"/>
  <c r="D810" i="1" s="1"/>
  <c r="B810" i="1"/>
  <c r="E809" i="1"/>
  <c r="C809" i="1"/>
  <c r="D809" i="1" s="1"/>
  <c r="B809" i="1"/>
  <c r="A809" i="1"/>
  <c r="E808" i="1"/>
  <c r="A808" i="1" s="1"/>
  <c r="C808" i="1"/>
  <c r="D808" i="1" s="1"/>
  <c r="B808" i="1"/>
  <c r="E807" i="1"/>
  <c r="C807" i="1"/>
  <c r="D807" i="1" s="1"/>
  <c r="B807" i="1"/>
  <c r="A807" i="1"/>
  <c r="E806" i="1"/>
  <c r="C806" i="1"/>
  <c r="D806" i="1" s="1"/>
  <c r="B806" i="1"/>
  <c r="A806" i="1"/>
  <c r="E805" i="1"/>
  <c r="C805" i="1"/>
  <c r="D805" i="1" s="1"/>
  <c r="B805" i="1"/>
  <c r="A805" i="1"/>
  <c r="E804" i="1"/>
  <c r="A804" i="1" s="1"/>
  <c r="C804" i="1"/>
  <c r="D804" i="1" s="1"/>
  <c r="B804" i="1"/>
  <c r="E803" i="1"/>
  <c r="C803" i="1"/>
  <c r="D803" i="1" s="1"/>
  <c r="B803" i="1"/>
  <c r="A803" i="1"/>
  <c r="E802" i="1"/>
  <c r="C802" i="1"/>
  <c r="D802" i="1" s="1"/>
  <c r="B802" i="1"/>
  <c r="A802" i="1"/>
  <c r="E801" i="1"/>
  <c r="C801" i="1"/>
  <c r="D801" i="1" s="1"/>
  <c r="B801" i="1"/>
  <c r="A801" i="1"/>
  <c r="N800" i="1"/>
  <c r="E800" i="1"/>
  <c r="A800" i="1" s="1"/>
  <c r="C800" i="1"/>
  <c r="D800" i="1" s="1"/>
  <c r="B800" i="1"/>
  <c r="N799" i="1"/>
  <c r="E799" i="1"/>
  <c r="A799" i="1" s="1"/>
  <c r="C799" i="1"/>
  <c r="D799" i="1" s="1"/>
  <c r="B799" i="1"/>
  <c r="E798" i="1"/>
  <c r="C798" i="1"/>
  <c r="D798" i="1" s="1"/>
  <c r="B798" i="1"/>
  <c r="A798" i="1"/>
  <c r="E797" i="1"/>
  <c r="A797" i="1" s="1"/>
  <c r="C797" i="1"/>
  <c r="D797" i="1" s="1"/>
  <c r="B797" i="1"/>
  <c r="E796" i="1"/>
  <c r="C796" i="1"/>
  <c r="D796" i="1" s="1"/>
  <c r="B796" i="1"/>
  <c r="A796" i="1"/>
  <c r="N795" i="1"/>
  <c r="E795" i="1"/>
  <c r="A795" i="1" s="1"/>
  <c r="C795" i="1"/>
  <c r="D795" i="1" s="1"/>
  <c r="B795" i="1"/>
  <c r="E794" i="1"/>
  <c r="A794" i="1" s="1"/>
  <c r="C794" i="1"/>
  <c r="D794" i="1" s="1"/>
  <c r="B794" i="1"/>
  <c r="E793" i="1"/>
  <c r="C793" i="1"/>
  <c r="D793" i="1" s="1"/>
  <c r="B793" i="1"/>
  <c r="A793" i="1"/>
  <c r="E792" i="1"/>
  <c r="A792" i="1" s="1"/>
  <c r="C792" i="1"/>
  <c r="D792" i="1" s="1"/>
  <c r="B792" i="1"/>
  <c r="E791" i="1"/>
  <c r="C791" i="1"/>
  <c r="D791" i="1" s="1"/>
  <c r="B791" i="1"/>
  <c r="A791" i="1"/>
  <c r="E790" i="1"/>
  <c r="C790" i="1"/>
  <c r="D790" i="1" s="1"/>
  <c r="B790" i="1"/>
  <c r="A790" i="1"/>
  <c r="N789" i="1"/>
  <c r="E789" i="1"/>
  <c r="A789" i="1" s="1"/>
  <c r="C789" i="1"/>
  <c r="D789" i="1" s="1"/>
  <c r="B789" i="1"/>
  <c r="N788" i="1"/>
  <c r="E788" i="1"/>
  <c r="A788" i="1" s="1"/>
  <c r="C788" i="1"/>
  <c r="D788" i="1" s="1"/>
  <c r="B788" i="1"/>
  <c r="E787" i="1"/>
  <c r="C787" i="1"/>
  <c r="D787" i="1" s="1"/>
  <c r="B787" i="1"/>
  <c r="A787" i="1"/>
  <c r="N786" i="1"/>
  <c r="E786" i="1"/>
  <c r="A786" i="1" s="1"/>
  <c r="C786" i="1"/>
  <c r="D786" i="1" s="1"/>
  <c r="B786" i="1"/>
  <c r="N785" i="1"/>
  <c r="E785" i="1"/>
  <c r="A785" i="1" s="1"/>
  <c r="C785" i="1"/>
  <c r="D785" i="1" s="1"/>
  <c r="B785" i="1"/>
  <c r="E784" i="1"/>
  <c r="C784" i="1"/>
  <c r="D784" i="1" s="1"/>
  <c r="B784" i="1"/>
  <c r="A784" i="1"/>
  <c r="N783" i="1"/>
  <c r="E783" i="1"/>
  <c r="A783" i="1" s="1"/>
  <c r="C783" i="1"/>
  <c r="D783" i="1" s="1"/>
  <c r="B783" i="1"/>
  <c r="N782" i="1"/>
  <c r="E782" i="1"/>
  <c r="A782" i="1" s="1"/>
  <c r="C782" i="1"/>
  <c r="D782" i="1" s="1"/>
  <c r="B782" i="1"/>
  <c r="E781" i="1"/>
  <c r="C781" i="1"/>
  <c r="D781" i="1" s="1"/>
  <c r="B781" i="1"/>
  <c r="A781" i="1"/>
  <c r="N780" i="1"/>
  <c r="E780" i="1"/>
  <c r="A780" i="1" s="1"/>
  <c r="C780" i="1"/>
  <c r="D780" i="1" s="1"/>
  <c r="B780" i="1"/>
  <c r="E779" i="1"/>
  <c r="C779" i="1"/>
  <c r="D779" i="1" s="1"/>
  <c r="B779" i="1"/>
  <c r="A779" i="1"/>
  <c r="E778" i="1"/>
  <c r="A778" i="1" s="1"/>
  <c r="C778" i="1"/>
  <c r="D778" i="1" s="1"/>
  <c r="B778" i="1"/>
  <c r="N777" i="1"/>
  <c r="E777" i="1"/>
  <c r="A777" i="1" s="1"/>
  <c r="C777" i="1"/>
  <c r="D777" i="1" s="1"/>
  <c r="B777" i="1"/>
  <c r="E776" i="1"/>
  <c r="C776" i="1"/>
  <c r="D776" i="1" s="1"/>
  <c r="B776" i="1"/>
  <c r="A776" i="1"/>
  <c r="N775" i="1"/>
  <c r="E775" i="1"/>
  <c r="A775" i="1" s="1"/>
  <c r="C775" i="1"/>
  <c r="D775" i="1" s="1"/>
  <c r="B775" i="1"/>
  <c r="N774" i="1"/>
  <c r="E774" i="1"/>
  <c r="A774" i="1" s="1"/>
  <c r="C774" i="1"/>
  <c r="D774" i="1" s="1"/>
  <c r="B774" i="1"/>
  <c r="E773" i="1"/>
  <c r="C773" i="1"/>
  <c r="D773" i="1" s="1"/>
  <c r="B773" i="1"/>
  <c r="A773" i="1"/>
  <c r="E772" i="1"/>
  <c r="C772" i="1"/>
  <c r="D772" i="1" s="1"/>
  <c r="B772" i="1"/>
  <c r="A772" i="1"/>
  <c r="E771" i="1"/>
  <c r="C771" i="1"/>
  <c r="D771" i="1" s="1"/>
  <c r="B771" i="1"/>
  <c r="A771" i="1"/>
  <c r="E770" i="1"/>
  <c r="A770" i="1" s="1"/>
  <c r="C770" i="1"/>
  <c r="D770" i="1" s="1"/>
  <c r="B770" i="1"/>
  <c r="N769" i="1"/>
  <c r="E769" i="1"/>
  <c r="A769" i="1" s="1"/>
  <c r="C769" i="1"/>
  <c r="D769" i="1" s="1"/>
  <c r="B769" i="1"/>
  <c r="E768" i="1"/>
  <c r="C768" i="1"/>
  <c r="D768" i="1" s="1"/>
  <c r="B768" i="1"/>
  <c r="A768" i="1"/>
  <c r="E767" i="1"/>
  <c r="C767" i="1"/>
  <c r="D767" i="1" s="1"/>
  <c r="B767" i="1"/>
  <c r="A767" i="1"/>
  <c r="E766" i="1"/>
  <c r="A766" i="1" s="1"/>
  <c r="C766" i="1"/>
  <c r="D766" i="1" s="1"/>
  <c r="B766" i="1"/>
  <c r="E765" i="1"/>
  <c r="C765" i="1"/>
  <c r="D765" i="1" s="1"/>
  <c r="B765" i="1"/>
  <c r="A765" i="1"/>
  <c r="N764" i="1"/>
  <c r="E764" i="1"/>
  <c r="A764" i="1" s="1"/>
  <c r="C764" i="1"/>
  <c r="D764" i="1" s="1"/>
  <c r="B764" i="1"/>
  <c r="E763" i="1"/>
  <c r="C763" i="1"/>
  <c r="D763" i="1" s="1"/>
  <c r="B763" i="1"/>
  <c r="A763" i="1"/>
  <c r="E762" i="1"/>
  <c r="A762" i="1" s="1"/>
  <c r="C762" i="1"/>
  <c r="D762" i="1" s="1"/>
  <c r="B762" i="1"/>
  <c r="N761" i="1"/>
  <c r="E761" i="1"/>
  <c r="A761" i="1" s="1"/>
  <c r="C761" i="1"/>
  <c r="D761" i="1" s="1"/>
  <c r="B761" i="1"/>
  <c r="N760" i="1"/>
  <c r="E760" i="1"/>
  <c r="A760" i="1" s="1"/>
  <c r="C760" i="1"/>
  <c r="D760" i="1" s="1"/>
  <c r="B760" i="1"/>
  <c r="N759" i="1"/>
  <c r="E759" i="1"/>
  <c r="A759" i="1" s="1"/>
  <c r="C759" i="1"/>
  <c r="D759" i="1" s="1"/>
  <c r="B759" i="1"/>
  <c r="N758" i="1"/>
  <c r="E758" i="1"/>
  <c r="A758" i="1" s="1"/>
  <c r="C758" i="1"/>
  <c r="D758" i="1" s="1"/>
  <c r="B758" i="1"/>
  <c r="N757" i="1"/>
  <c r="E757" i="1"/>
  <c r="A757" i="1" s="1"/>
  <c r="C757" i="1"/>
  <c r="D757" i="1" s="1"/>
  <c r="B757" i="1"/>
  <c r="E756" i="1"/>
  <c r="C756" i="1"/>
  <c r="D756" i="1" s="1"/>
  <c r="B756" i="1"/>
  <c r="A756" i="1"/>
  <c r="E755" i="1"/>
  <c r="A755" i="1" s="1"/>
  <c r="C755" i="1"/>
  <c r="D755" i="1" s="1"/>
  <c r="B755" i="1"/>
  <c r="E754" i="1"/>
  <c r="A754" i="1" s="1"/>
  <c r="C754" i="1"/>
  <c r="D754" i="1" s="1"/>
  <c r="B754" i="1"/>
  <c r="E753" i="1"/>
  <c r="A753" i="1" s="1"/>
  <c r="C753" i="1"/>
  <c r="D753" i="1" s="1"/>
  <c r="B753" i="1"/>
  <c r="E752" i="1"/>
  <c r="C752" i="1"/>
  <c r="D752" i="1" s="1"/>
  <c r="B752" i="1"/>
  <c r="A752" i="1"/>
  <c r="E751" i="1"/>
  <c r="C751" i="1"/>
  <c r="D751" i="1" s="1"/>
  <c r="B751" i="1"/>
  <c r="A751" i="1"/>
  <c r="E750" i="1"/>
  <c r="C750" i="1"/>
  <c r="D750" i="1" s="1"/>
  <c r="B750" i="1"/>
  <c r="A750" i="1"/>
  <c r="E749" i="1"/>
  <c r="C749" i="1"/>
  <c r="D749" i="1" s="1"/>
  <c r="B749" i="1"/>
  <c r="A749" i="1"/>
  <c r="E748" i="1"/>
  <c r="A748" i="1" s="1"/>
  <c r="C748" i="1"/>
  <c r="D748" i="1" s="1"/>
  <c r="B748" i="1"/>
  <c r="E747" i="1"/>
  <c r="C747" i="1"/>
  <c r="D747" i="1" s="1"/>
  <c r="B747" i="1"/>
  <c r="A747" i="1"/>
  <c r="E746" i="1"/>
  <c r="A746" i="1" s="1"/>
  <c r="C746" i="1"/>
  <c r="D746" i="1" s="1"/>
  <c r="B746" i="1"/>
  <c r="N745" i="1"/>
  <c r="E745" i="1"/>
  <c r="A745" i="1" s="1"/>
  <c r="C745" i="1"/>
  <c r="D745" i="1" s="1"/>
  <c r="B745" i="1"/>
  <c r="N744" i="1"/>
  <c r="E744" i="1"/>
  <c r="A744" i="1" s="1"/>
  <c r="C744" i="1"/>
  <c r="D744" i="1" s="1"/>
  <c r="B744" i="1"/>
  <c r="N743" i="1"/>
  <c r="E743" i="1"/>
  <c r="A743" i="1" s="1"/>
  <c r="C743" i="1"/>
  <c r="D743" i="1" s="1"/>
  <c r="B743" i="1"/>
  <c r="N742" i="1"/>
  <c r="E742" i="1"/>
  <c r="A742" i="1" s="1"/>
  <c r="C742" i="1"/>
  <c r="D742" i="1" s="1"/>
  <c r="B742" i="1"/>
  <c r="N741" i="1"/>
  <c r="E741" i="1"/>
  <c r="A741" i="1" s="1"/>
  <c r="C741" i="1"/>
  <c r="D741" i="1" s="1"/>
  <c r="B741" i="1"/>
  <c r="N740" i="1"/>
  <c r="E740" i="1"/>
  <c r="A740" i="1" s="1"/>
  <c r="C740" i="1"/>
  <c r="D740" i="1" s="1"/>
  <c r="B740" i="1"/>
  <c r="E739" i="1"/>
  <c r="C739" i="1"/>
  <c r="D739" i="1" s="1"/>
  <c r="B739" i="1"/>
  <c r="A739" i="1"/>
  <c r="E738" i="1"/>
  <c r="A738" i="1" s="1"/>
  <c r="C738" i="1"/>
  <c r="D738" i="1" s="1"/>
  <c r="B738" i="1"/>
  <c r="E737" i="1"/>
  <c r="C737" i="1"/>
  <c r="D737" i="1" s="1"/>
  <c r="B737" i="1"/>
  <c r="A737" i="1"/>
  <c r="N736" i="1"/>
  <c r="E736" i="1"/>
  <c r="A736" i="1" s="1"/>
  <c r="C736" i="1"/>
  <c r="D736" i="1" s="1"/>
  <c r="B736" i="1"/>
  <c r="N735" i="1"/>
  <c r="E735" i="1"/>
  <c r="A735" i="1" s="1"/>
  <c r="C735" i="1"/>
  <c r="D735" i="1" s="1"/>
  <c r="B735" i="1"/>
  <c r="E734" i="1"/>
  <c r="C734" i="1"/>
  <c r="D734" i="1" s="1"/>
  <c r="B734" i="1"/>
  <c r="A734" i="1"/>
  <c r="E733" i="1"/>
  <c r="C733" i="1"/>
  <c r="D733" i="1" s="1"/>
  <c r="B733" i="1"/>
  <c r="A733" i="1"/>
  <c r="N732" i="1"/>
  <c r="E732" i="1"/>
  <c r="A732" i="1" s="1"/>
  <c r="C732" i="1"/>
  <c r="D732" i="1" s="1"/>
  <c r="B732" i="1"/>
  <c r="N731" i="1"/>
  <c r="E731" i="1"/>
  <c r="A731" i="1" s="1"/>
  <c r="C731" i="1"/>
  <c r="D731" i="1" s="1"/>
  <c r="B731" i="1"/>
  <c r="N730" i="1"/>
  <c r="E730" i="1"/>
  <c r="C730" i="1"/>
  <c r="D730" i="1" s="1"/>
  <c r="B730" i="1"/>
  <c r="A730" i="1"/>
  <c r="N729" i="1"/>
  <c r="E729" i="1"/>
  <c r="C729" i="1"/>
  <c r="D729" i="1" s="1"/>
  <c r="B729" i="1"/>
  <c r="A729" i="1"/>
  <c r="N728" i="1"/>
  <c r="E728" i="1"/>
  <c r="C728" i="1"/>
  <c r="D728" i="1" s="1"/>
  <c r="B728" i="1"/>
  <c r="A728" i="1"/>
  <c r="N727" i="1"/>
  <c r="E727" i="1"/>
  <c r="C727" i="1"/>
  <c r="D727" i="1" s="1"/>
  <c r="B727" i="1"/>
  <c r="A727" i="1"/>
  <c r="N726" i="1"/>
  <c r="E726" i="1"/>
  <c r="A726" i="1" s="1"/>
  <c r="C726" i="1"/>
  <c r="D726" i="1" s="1"/>
  <c r="B726" i="1"/>
  <c r="E725" i="1"/>
  <c r="C725" i="1"/>
  <c r="D725" i="1" s="1"/>
  <c r="B725" i="1"/>
  <c r="A725" i="1"/>
  <c r="N724" i="1"/>
  <c r="E724" i="1"/>
  <c r="A724" i="1" s="1"/>
  <c r="C724" i="1"/>
  <c r="D724" i="1" s="1"/>
  <c r="B724" i="1"/>
  <c r="N723" i="1"/>
  <c r="E723" i="1"/>
  <c r="A723" i="1" s="1"/>
  <c r="C723" i="1"/>
  <c r="D723" i="1" s="1"/>
  <c r="B723" i="1"/>
  <c r="N722" i="1"/>
  <c r="E722" i="1"/>
  <c r="A722" i="1" s="1"/>
  <c r="C722" i="1"/>
  <c r="D722" i="1" s="1"/>
  <c r="B722" i="1"/>
  <c r="N721" i="1"/>
  <c r="E721" i="1"/>
  <c r="A721" i="1" s="1"/>
  <c r="C721" i="1"/>
  <c r="D721" i="1" s="1"/>
  <c r="B721" i="1"/>
  <c r="E720" i="1"/>
  <c r="C720" i="1"/>
  <c r="D720" i="1" s="1"/>
  <c r="B720" i="1"/>
  <c r="A720" i="1"/>
  <c r="N719" i="1"/>
  <c r="E719" i="1"/>
  <c r="A719" i="1" s="1"/>
  <c r="C719" i="1"/>
  <c r="D719" i="1" s="1"/>
  <c r="B719" i="1"/>
  <c r="E718" i="1"/>
  <c r="C718" i="1"/>
  <c r="D718" i="1" s="1"/>
  <c r="B718" i="1"/>
  <c r="A718" i="1"/>
  <c r="E717" i="1"/>
  <c r="C717" i="1"/>
  <c r="D717" i="1" s="1"/>
  <c r="B717" i="1"/>
  <c r="A717" i="1"/>
  <c r="E716" i="1"/>
  <c r="C716" i="1"/>
  <c r="D716" i="1" s="1"/>
  <c r="B716" i="1"/>
  <c r="A716" i="1"/>
  <c r="E715" i="1"/>
  <c r="C715" i="1"/>
  <c r="D715" i="1" s="1"/>
  <c r="B715" i="1"/>
  <c r="A715" i="1"/>
  <c r="E714" i="1"/>
  <c r="C714" i="1"/>
  <c r="D714" i="1" s="1"/>
  <c r="B714" i="1"/>
  <c r="A714" i="1"/>
  <c r="E713" i="1"/>
  <c r="C713" i="1"/>
  <c r="D713" i="1" s="1"/>
  <c r="B713" i="1"/>
  <c r="A713" i="1"/>
  <c r="E712" i="1"/>
  <c r="C712" i="1"/>
  <c r="D712" i="1" s="1"/>
  <c r="B712" i="1"/>
  <c r="A712" i="1"/>
  <c r="E711" i="1"/>
  <c r="C711" i="1"/>
  <c r="D711" i="1" s="1"/>
  <c r="B711" i="1"/>
  <c r="A711" i="1"/>
  <c r="E710" i="1"/>
  <c r="C710" i="1"/>
  <c r="D710" i="1" s="1"/>
  <c r="B710" i="1"/>
  <c r="A710" i="1"/>
  <c r="E709" i="1"/>
  <c r="C709" i="1"/>
  <c r="D709" i="1" s="1"/>
  <c r="B709" i="1"/>
  <c r="A709" i="1"/>
  <c r="E708" i="1"/>
  <c r="C708" i="1"/>
  <c r="D708" i="1" s="1"/>
  <c r="B708" i="1"/>
  <c r="A708" i="1"/>
  <c r="E707" i="1"/>
  <c r="C707" i="1"/>
  <c r="D707" i="1" s="1"/>
  <c r="B707" i="1"/>
  <c r="A707" i="1"/>
  <c r="E706" i="1"/>
  <c r="C706" i="1"/>
  <c r="D706" i="1" s="1"/>
  <c r="B706" i="1"/>
  <c r="A706" i="1"/>
  <c r="E705" i="1"/>
  <c r="C705" i="1"/>
  <c r="D705" i="1" s="1"/>
  <c r="B705" i="1"/>
  <c r="A705" i="1"/>
  <c r="E704" i="1"/>
  <c r="C704" i="1"/>
  <c r="D704" i="1" s="1"/>
  <c r="B704" i="1"/>
  <c r="A704" i="1"/>
  <c r="E703" i="1"/>
  <c r="C703" i="1"/>
  <c r="D703" i="1" s="1"/>
  <c r="B703" i="1"/>
  <c r="A703" i="1"/>
  <c r="E702" i="1"/>
  <c r="C702" i="1"/>
  <c r="D702" i="1" s="1"/>
  <c r="B702" i="1"/>
  <c r="A702" i="1"/>
  <c r="E701" i="1"/>
  <c r="A701" i="1" s="1"/>
  <c r="C701" i="1"/>
  <c r="D701" i="1" s="1"/>
  <c r="B701" i="1"/>
  <c r="E700" i="1"/>
  <c r="C700" i="1"/>
  <c r="D700" i="1" s="1"/>
  <c r="B700" i="1"/>
  <c r="A700" i="1"/>
  <c r="E699" i="1"/>
  <c r="C699" i="1"/>
  <c r="D699" i="1" s="1"/>
  <c r="B699" i="1"/>
  <c r="A699" i="1"/>
  <c r="E698" i="1"/>
  <c r="A698" i="1" s="1"/>
  <c r="C698" i="1"/>
  <c r="D698" i="1" s="1"/>
  <c r="B698" i="1"/>
  <c r="E697" i="1"/>
  <c r="A697" i="1" s="1"/>
  <c r="C697" i="1"/>
  <c r="D697" i="1" s="1"/>
  <c r="B697" i="1"/>
  <c r="E696" i="1"/>
  <c r="C696" i="1"/>
  <c r="D696" i="1" s="1"/>
  <c r="B696" i="1"/>
  <c r="A696" i="1"/>
  <c r="E695" i="1"/>
  <c r="A695" i="1" s="1"/>
  <c r="C695" i="1"/>
  <c r="D695" i="1" s="1"/>
  <c r="B695" i="1"/>
  <c r="E694" i="1"/>
  <c r="A694" i="1" s="1"/>
  <c r="C694" i="1"/>
  <c r="D694" i="1" s="1"/>
  <c r="B694" i="1"/>
  <c r="E693" i="1"/>
  <c r="C693" i="1"/>
  <c r="D693" i="1" s="1"/>
  <c r="B693" i="1"/>
  <c r="A693" i="1"/>
  <c r="E692" i="1"/>
  <c r="A692" i="1" s="1"/>
  <c r="C692" i="1"/>
  <c r="D692" i="1" s="1"/>
  <c r="B692" i="1"/>
  <c r="E691" i="1"/>
  <c r="C691" i="1"/>
  <c r="D691" i="1" s="1"/>
  <c r="B691" i="1"/>
  <c r="A691" i="1"/>
  <c r="E690" i="1"/>
  <c r="A690" i="1" s="1"/>
  <c r="C690" i="1"/>
  <c r="D690" i="1" s="1"/>
  <c r="B690" i="1"/>
  <c r="N689" i="1"/>
  <c r="E689" i="1"/>
  <c r="A689" i="1" s="1"/>
  <c r="C689" i="1"/>
  <c r="D689" i="1" s="1"/>
  <c r="B689" i="1"/>
  <c r="E688" i="1"/>
  <c r="C688" i="1"/>
  <c r="D688" i="1" s="1"/>
  <c r="B688" i="1"/>
  <c r="A688" i="1"/>
  <c r="N687" i="1"/>
  <c r="E687" i="1"/>
  <c r="A687" i="1" s="1"/>
  <c r="C687" i="1"/>
  <c r="D687" i="1" s="1"/>
  <c r="B687" i="1"/>
  <c r="N686" i="1"/>
  <c r="E686" i="1"/>
  <c r="A686" i="1" s="1"/>
  <c r="C686" i="1"/>
  <c r="D686" i="1" s="1"/>
  <c r="B686" i="1"/>
  <c r="N685" i="1"/>
  <c r="E685" i="1"/>
  <c r="A685" i="1" s="1"/>
  <c r="C685" i="1"/>
  <c r="D685" i="1" s="1"/>
  <c r="B685" i="1"/>
  <c r="N684" i="1"/>
  <c r="E684" i="1"/>
  <c r="A684" i="1" s="1"/>
  <c r="C684" i="1"/>
  <c r="D684" i="1" s="1"/>
  <c r="B684" i="1"/>
  <c r="N683" i="1"/>
  <c r="E683" i="1"/>
  <c r="A683" i="1" s="1"/>
  <c r="C683" i="1"/>
  <c r="D683" i="1" s="1"/>
  <c r="B683" i="1"/>
  <c r="N682" i="1"/>
  <c r="E682" i="1"/>
  <c r="A682" i="1" s="1"/>
  <c r="C682" i="1"/>
  <c r="D682" i="1" s="1"/>
  <c r="B682" i="1"/>
  <c r="N681" i="1"/>
  <c r="E681" i="1"/>
  <c r="A681" i="1" s="1"/>
  <c r="C681" i="1"/>
  <c r="D681" i="1" s="1"/>
  <c r="B681" i="1"/>
  <c r="N680" i="1"/>
  <c r="E680" i="1"/>
  <c r="A680" i="1" s="1"/>
  <c r="C680" i="1"/>
  <c r="D680" i="1" s="1"/>
  <c r="B680" i="1"/>
  <c r="N679" i="1"/>
  <c r="E679" i="1"/>
  <c r="A679" i="1" s="1"/>
  <c r="C679" i="1"/>
  <c r="D679" i="1" s="1"/>
  <c r="B679" i="1"/>
  <c r="N678" i="1"/>
  <c r="E678" i="1"/>
  <c r="A678" i="1" s="1"/>
  <c r="C678" i="1"/>
  <c r="D678" i="1" s="1"/>
  <c r="B678" i="1"/>
  <c r="N677" i="1"/>
  <c r="E677" i="1"/>
  <c r="A677" i="1" s="1"/>
  <c r="C677" i="1"/>
  <c r="D677" i="1" s="1"/>
  <c r="B677" i="1"/>
  <c r="N676" i="1"/>
  <c r="E676" i="1"/>
  <c r="A676" i="1" s="1"/>
  <c r="C676" i="1"/>
  <c r="D676" i="1" s="1"/>
  <c r="B676" i="1"/>
  <c r="N675" i="1"/>
  <c r="E675" i="1"/>
  <c r="A675" i="1" s="1"/>
  <c r="C675" i="1"/>
  <c r="D675" i="1" s="1"/>
  <c r="B675" i="1"/>
  <c r="N674" i="1"/>
  <c r="E674" i="1"/>
  <c r="C674" i="1"/>
  <c r="D674" i="1" s="1"/>
  <c r="B674" i="1"/>
  <c r="A674" i="1"/>
  <c r="N673" i="1"/>
  <c r="E673" i="1"/>
  <c r="C673" i="1"/>
  <c r="D673" i="1" s="1"/>
  <c r="B673" i="1"/>
  <c r="A673" i="1"/>
  <c r="N672" i="1"/>
  <c r="E672" i="1"/>
  <c r="C672" i="1"/>
  <c r="D672" i="1" s="1"/>
  <c r="B672" i="1"/>
  <c r="A672" i="1"/>
  <c r="N671" i="1"/>
  <c r="E671" i="1"/>
  <c r="A671" i="1" s="1"/>
  <c r="C671" i="1"/>
  <c r="D671" i="1" s="1"/>
  <c r="B671" i="1"/>
  <c r="N670" i="1"/>
  <c r="E670" i="1"/>
  <c r="A670" i="1" s="1"/>
  <c r="C670" i="1"/>
  <c r="D670" i="1" s="1"/>
  <c r="B670" i="1"/>
  <c r="N669" i="1"/>
  <c r="E669" i="1"/>
  <c r="A669" i="1" s="1"/>
  <c r="C669" i="1"/>
  <c r="D669" i="1" s="1"/>
  <c r="B669" i="1"/>
  <c r="N668" i="1"/>
  <c r="E668" i="1"/>
  <c r="A668" i="1" s="1"/>
  <c r="C668" i="1"/>
  <c r="D668" i="1" s="1"/>
  <c r="B668" i="1"/>
  <c r="E667" i="1"/>
  <c r="C667" i="1"/>
  <c r="D667" i="1" s="1"/>
  <c r="B667" i="1"/>
  <c r="A667" i="1"/>
  <c r="N666" i="1"/>
  <c r="E666" i="1"/>
  <c r="A666" i="1" s="1"/>
  <c r="C666" i="1"/>
  <c r="D666" i="1" s="1"/>
  <c r="B666" i="1"/>
  <c r="N665" i="1"/>
  <c r="E665" i="1"/>
  <c r="A665" i="1" s="1"/>
  <c r="C665" i="1"/>
  <c r="D665" i="1" s="1"/>
  <c r="B665" i="1"/>
  <c r="N664" i="1"/>
  <c r="E664" i="1"/>
  <c r="A664" i="1" s="1"/>
  <c r="C664" i="1"/>
  <c r="D664" i="1" s="1"/>
  <c r="B664" i="1"/>
  <c r="E663" i="1"/>
  <c r="C663" i="1"/>
  <c r="D663" i="1" s="1"/>
  <c r="B663" i="1"/>
  <c r="A663" i="1"/>
  <c r="E662" i="1"/>
  <c r="C662" i="1"/>
  <c r="D662" i="1" s="1"/>
  <c r="B662" i="1"/>
  <c r="A662" i="1"/>
  <c r="E661" i="1"/>
  <c r="C661" i="1"/>
  <c r="D661" i="1" s="1"/>
  <c r="B661" i="1"/>
  <c r="A661" i="1"/>
  <c r="N660" i="1"/>
  <c r="E660" i="1"/>
  <c r="A660" i="1" s="1"/>
  <c r="C660" i="1"/>
  <c r="D660" i="1" s="1"/>
  <c r="B660" i="1"/>
  <c r="N659" i="1"/>
  <c r="E659" i="1"/>
  <c r="A659" i="1" s="1"/>
  <c r="C659" i="1"/>
  <c r="D659" i="1" s="1"/>
  <c r="B659" i="1"/>
  <c r="N658" i="1"/>
  <c r="E658" i="1"/>
  <c r="A658" i="1" s="1"/>
  <c r="C658" i="1"/>
  <c r="D658" i="1" s="1"/>
  <c r="B658" i="1"/>
  <c r="E657" i="1"/>
  <c r="C657" i="1"/>
  <c r="D657" i="1" s="1"/>
  <c r="B657" i="1"/>
  <c r="A657" i="1"/>
  <c r="E656" i="1"/>
  <c r="C656" i="1"/>
  <c r="D656" i="1" s="1"/>
  <c r="B656" i="1"/>
  <c r="A656" i="1"/>
  <c r="E655" i="1"/>
  <c r="A655" i="1" s="1"/>
  <c r="C655" i="1"/>
  <c r="D655" i="1" s="1"/>
  <c r="B655" i="1"/>
  <c r="N654" i="1"/>
  <c r="E654" i="1"/>
  <c r="A654" i="1" s="1"/>
  <c r="C654" i="1"/>
  <c r="D654" i="1" s="1"/>
  <c r="B654" i="1"/>
  <c r="E653" i="1"/>
  <c r="A653" i="1" s="1"/>
  <c r="C653" i="1"/>
  <c r="D653" i="1" s="1"/>
  <c r="B653" i="1"/>
  <c r="E652" i="1"/>
  <c r="C652" i="1"/>
  <c r="D652" i="1" s="1"/>
  <c r="B652" i="1"/>
  <c r="A652" i="1"/>
  <c r="N651" i="1"/>
  <c r="E651" i="1"/>
  <c r="A651" i="1" s="1"/>
  <c r="C651" i="1"/>
  <c r="D651" i="1" s="1"/>
  <c r="B651" i="1"/>
  <c r="N650" i="1"/>
  <c r="E650" i="1"/>
  <c r="A650" i="1" s="1"/>
  <c r="C650" i="1"/>
  <c r="D650" i="1" s="1"/>
  <c r="B650" i="1"/>
  <c r="N649" i="1"/>
  <c r="E649" i="1"/>
  <c r="A649" i="1" s="1"/>
  <c r="C649" i="1"/>
  <c r="D649" i="1" s="1"/>
  <c r="B649" i="1"/>
  <c r="E648" i="1"/>
  <c r="A648" i="1" s="1"/>
  <c r="C648" i="1"/>
  <c r="D648" i="1" s="1"/>
  <c r="B648" i="1"/>
  <c r="E647" i="1"/>
  <c r="C647" i="1"/>
  <c r="D647" i="1" s="1"/>
  <c r="B647" i="1"/>
  <c r="A647" i="1"/>
  <c r="N646" i="1"/>
  <c r="E646" i="1"/>
  <c r="A646" i="1" s="1"/>
  <c r="C646" i="1"/>
  <c r="D646" i="1" s="1"/>
  <c r="B646" i="1"/>
  <c r="E645" i="1"/>
  <c r="C645" i="1"/>
  <c r="D645" i="1" s="1"/>
  <c r="B645" i="1"/>
  <c r="A645" i="1"/>
  <c r="E644" i="1"/>
  <c r="A644" i="1" s="1"/>
  <c r="C644" i="1"/>
  <c r="D644" i="1" s="1"/>
  <c r="B644" i="1"/>
  <c r="E643" i="1"/>
  <c r="C643" i="1"/>
  <c r="D643" i="1" s="1"/>
  <c r="B643" i="1"/>
  <c r="A643" i="1"/>
  <c r="E642" i="1"/>
  <c r="C642" i="1"/>
  <c r="D642" i="1" s="1"/>
  <c r="B642" i="1"/>
  <c r="A642" i="1"/>
  <c r="E641" i="1"/>
  <c r="C641" i="1"/>
  <c r="D641" i="1" s="1"/>
  <c r="B641" i="1"/>
  <c r="A641" i="1"/>
  <c r="E640" i="1"/>
  <c r="C640" i="1"/>
  <c r="D640" i="1" s="1"/>
  <c r="B640" i="1"/>
  <c r="A640" i="1"/>
  <c r="E639" i="1"/>
  <c r="A639" i="1" s="1"/>
  <c r="C639" i="1"/>
  <c r="D639" i="1" s="1"/>
  <c r="B639" i="1"/>
  <c r="E638" i="1"/>
  <c r="C638" i="1"/>
  <c r="D638" i="1" s="1"/>
  <c r="B638" i="1"/>
  <c r="A638" i="1"/>
  <c r="E637" i="1"/>
  <c r="C637" i="1"/>
  <c r="D637" i="1" s="1"/>
  <c r="B637" i="1"/>
  <c r="A637" i="1"/>
  <c r="N636" i="1"/>
  <c r="E636" i="1"/>
  <c r="A636" i="1" s="1"/>
  <c r="C636" i="1"/>
  <c r="D636" i="1" s="1"/>
  <c r="B636" i="1"/>
  <c r="E635" i="1"/>
  <c r="C635" i="1"/>
  <c r="D635" i="1" s="1"/>
  <c r="B635" i="1"/>
  <c r="A635" i="1"/>
  <c r="E634" i="1"/>
  <c r="C634" i="1"/>
  <c r="D634" i="1" s="1"/>
  <c r="B634" i="1"/>
  <c r="A634" i="1"/>
  <c r="E633" i="1"/>
  <c r="C633" i="1"/>
  <c r="D633" i="1" s="1"/>
  <c r="B633" i="1"/>
  <c r="A633" i="1"/>
  <c r="E632" i="1"/>
  <c r="C632" i="1"/>
  <c r="D632" i="1" s="1"/>
  <c r="B632" i="1"/>
  <c r="A632" i="1"/>
  <c r="E631" i="1"/>
  <c r="C631" i="1"/>
  <c r="D631" i="1" s="1"/>
  <c r="B631" i="1"/>
  <c r="A631" i="1"/>
  <c r="N630" i="1"/>
  <c r="E630" i="1"/>
  <c r="A630" i="1" s="1"/>
  <c r="C630" i="1"/>
  <c r="D630" i="1" s="1"/>
  <c r="B630" i="1"/>
  <c r="N629" i="1"/>
  <c r="E629" i="1"/>
  <c r="A629" i="1" s="1"/>
  <c r="C629" i="1"/>
  <c r="D629" i="1" s="1"/>
  <c r="B629" i="1"/>
  <c r="E628" i="1"/>
  <c r="C628" i="1"/>
  <c r="D628" i="1" s="1"/>
  <c r="B628" i="1"/>
  <c r="A628" i="1"/>
  <c r="N627" i="1"/>
  <c r="E627" i="1"/>
  <c r="A627" i="1" s="1"/>
  <c r="C627" i="1"/>
  <c r="D627" i="1" s="1"/>
  <c r="B627" i="1"/>
  <c r="E626" i="1"/>
  <c r="C626" i="1"/>
  <c r="D626" i="1" s="1"/>
  <c r="B626" i="1"/>
  <c r="A626" i="1"/>
  <c r="E625" i="1"/>
  <c r="C625" i="1"/>
  <c r="D625" i="1" s="1"/>
  <c r="B625" i="1"/>
  <c r="A625" i="1"/>
  <c r="N624" i="1"/>
  <c r="E624" i="1"/>
  <c r="A624" i="1" s="1"/>
  <c r="C624" i="1"/>
  <c r="D624" i="1" s="1"/>
  <c r="B624" i="1"/>
  <c r="N623" i="1"/>
  <c r="E623" i="1"/>
  <c r="A623" i="1" s="1"/>
  <c r="C623" i="1"/>
  <c r="D623" i="1" s="1"/>
  <c r="B623" i="1"/>
  <c r="N622" i="1"/>
  <c r="E622" i="1"/>
  <c r="A622" i="1" s="1"/>
  <c r="C622" i="1"/>
  <c r="D622" i="1" s="1"/>
  <c r="B622" i="1"/>
  <c r="N621" i="1"/>
  <c r="E621" i="1"/>
  <c r="A621" i="1" s="1"/>
  <c r="C621" i="1"/>
  <c r="D621" i="1" s="1"/>
  <c r="B621" i="1"/>
  <c r="E620" i="1"/>
  <c r="A620" i="1" s="1"/>
  <c r="C620" i="1"/>
  <c r="D620" i="1" s="1"/>
  <c r="B620" i="1"/>
  <c r="N619" i="1"/>
  <c r="E619" i="1"/>
  <c r="A619" i="1" s="1"/>
  <c r="C619" i="1"/>
  <c r="D619" i="1" s="1"/>
  <c r="B619" i="1"/>
  <c r="N618" i="1"/>
  <c r="E618" i="1"/>
  <c r="C618" i="1"/>
  <c r="D618" i="1" s="1"/>
  <c r="B618" i="1"/>
  <c r="A618" i="1"/>
  <c r="E617" i="1"/>
  <c r="C617" i="1"/>
  <c r="D617" i="1" s="1"/>
  <c r="B617" i="1"/>
  <c r="A617" i="1"/>
  <c r="E616" i="1"/>
  <c r="C616" i="1"/>
  <c r="D616" i="1" s="1"/>
  <c r="B616" i="1"/>
  <c r="A616" i="1"/>
  <c r="E615" i="1"/>
  <c r="C615" i="1"/>
  <c r="D615" i="1" s="1"/>
  <c r="B615" i="1"/>
  <c r="A615" i="1"/>
  <c r="E614" i="1"/>
  <c r="C614" i="1"/>
  <c r="D614" i="1" s="1"/>
  <c r="B614" i="1"/>
  <c r="A614" i="1"/>
  <c r="E613" i="1"/>
  <c r="C613" i="1"/>
  <c r="D613" i="1" s="1"/>
  <c r="B613" i="1"/>
  <c r="A613" i="1"/>
  <c r="E612" i="1"/>
  <c r="C612" i="1"/>
  <c r="D612" i="1" s="1"/>
  <c r="B612" i="1"/>
  <c r="A612" i="1"/>
  <c r="E611" i="1"/>
  <c r="C611" i="1"/>
  <c r="D611" i="1" s="1"/>
  <c r="B611" i="1"/>
  <c r="A611" i="1"/>
  <c r="E610" i="1"/>
  <c r="C610" i="1"/>
  <c r="D610" i="1" s="1"/>
  <c r="B610" i="1"/>
  <c r="A610" i="1"/>
  <c r="E609" i="1"/>
  <c r="C609" i="1"/>
  <c r="D609" i="1" s="1"/>
  <c r="B609" i="1"/>
  <c r="A609" i="1"/>
  <c r="E608" i="1"/>
  <c r="C608" i="1"/>
  <c r="D608" i="1" s="1"/>
  <c r="B608" i="1"/>
  <c r="A608" i="1"/>
  <c r="N607" i="1"/>
  <c r="E607" i="1"/>
  <c r="A607" i="1" s="1"/>
  <c r="C607" i="1"/>
  <c r="D607" i="1" s="1"/>
  <c r="B607" i="1"/>
  <c r="E606" i="1"/>
  <c r="C606" i="1"/>
  <c r="D606" i="1" s="1"/>
  <c r="B606" i="1"/>
  <c r="A606" i="1"/>
  <c r="E605" i="1"/>
  <c r="C605" i="1"/>
  <c r="D605" i="1" s="1"/>
  <c r="B605" i="1"/>
  <c r="A605" i="1"/>
  <c r="E604" i="1"/>
  <c r="C604" i="1"/>
  <c r="D604" i="1" s="1"/>
  <c r="B604" i="1"/>
  <c r="A604" i="1"/>
  <c r="E603" i="1"/>
  <c r="C603" i="1"/>
  <c r="D603" i="1" s="1"/>
  <c r="B603" i="1"/>
  <c r="A603" i="1"/>
  <c r="E602" i="1"/>
  <c r="C602" i="1"/>
  <c r="D602" i="1" s="1"/>
  <c r="B602" i="1"/>
  <c r="A602" i="1"/>
  <c r="E601" i="1"/>
  <c r="C601" i="1"/>
  <c r="D601" i="1" s="1"/>
  <c r="B601" i="1"/>
  <c r="A601" i="1"/>
  <c r="E600" i="1"/>
  <c r="C600" i="1"/>
  <c r="D600" i="1" s="1"/>
  <c r="B600" i="1"/>
  <c r="A600" i="1"/>
  <c r="E599" i="1"/>
  <c r="C599" i="1"/>
  <c r="D599" i="1" s="1"/>
  <c r="B599" i="1"/>
  <c r="A599" i="1"/>
  <c r="E598" i="1"/>
  <c r="C598" i="1"/>
  <c r="D598" i="1" s="1"/>
  <c r="B598" i="1"/>
  <c r="A598" i="1"/>
  <c r="E597" i="1"/>
  <c r="C597" i="1"/>
  <c r="D597" i="1" s="1"/>
  <c r="B597" i="1"/>
  <c r="A597" i="1"/>
  <c r="E596" i="1"/>
  <c r="C596" i="1"/>
  <c r="D596" i="1" s="1"/>
  <c r="B596" i="1"/>
  <c r="A596" i="1"/>
  <c r="N595" i="1"/>
  <c r="E595" i="1"/>
  <c r="A595" i="1" s="1"/>
  <c r="C595" i="1"/>
  <c r="D595" i="1" s="1"/>
  <c r="B595" i="1"/>
  <c r="E594" i="1"/>
  <c r="C594" i="1"/>
  <c r="D594" i="1" s="1"/>
  <c r="B594" i="1"/>
  <c r="A594" i="1"/>
  <c r="E593" i="1"/>
  <c r="C593" i="1"/>
  <c r="D593" i="1" s="1"/>
  <c r="B593" i="1"/>
  <c r="A593" i="1"/>
  <c r="E592" i="1"/>
  <c r="C592" i="1"/>
  <c r="D592" i="1" s="1"/>
  <c r="B592" i="1"/>
  <c r="A592" i="1"/>
  <c r="N591" i="1"/>
  <c r="E591" i="1"/>
  <c r="A591" i="1" s="1"/>
  <c r="C591" i="1"/>
  <c r="D591" i="1" s="1"/>
  <c r="B591" i="1"/>
  <c r="E590" i="1"/>
  <c r="A590" i="1" s="1"/>
  <c r="C590" i="1"/>
  <c r="D590" i="1" s="1"/>
  <c r="B590" i="1"/>
  <c r="E589" i="1"/>
  <c r="C589" i="1"/>
  <c r="D589" i="1" s="1"/>
  <c r="B589" i="1"/>
  <c r="A589" i="1"/>
  <c r="N588" i="1"/>
  <c r="E588" i="1"/>
  <c r="A588" i="1" s="1"/>
  <c r="C588" i="1"/>
  <c r="D588" i="1" s="1"/>
  <c r="B588" i="1"/>
  <c r="E587" i="1"/>
  <c r="C587" i="1"/>
  <c r="D587" i="1" s="1"/>
  <c r="B587" i="1"/>
  <c r="A587" i="1"/>
  <c r="E586" i="1"/>
  <c r="C586" i="1"/>
  <c r="D586" i="1" s="1"/>
  <c r="B586" i="1"/>
  <c r="A586" i="1"/>
  <c r="E585" i="1"/>
  <c r="C585" i="1"/>
  <c r="D585" i="1" s="1"/>
  <c r="B585" i="1"/>
  <c r="A585" i="1"/>
  <c r="E584" i="1"/>
  <c r="C584" i="1"/>
  <c r="D584" i="1" s="1"/>
  <c r="B584" i="1"/>
  <c r="A584" i="1"/>
  <c r="E583" i="1"/>
  <c r="C583" i="1"/>
  <c r="D583" i="1" s="1"/>
  <c r="B583" i="1"/>
  <c r="A583" i="1"/>
  <c r="E582" i="1"/>
  <c r="C582" i="1"/>
  <c r="D582" i="1" s="1"/>
  <c r="B582" i="1"/>
  <c r="A582" i="1"/>
  <c r="E581" i="1"/>
  <c r="C581" i="1"/>
  <c r="D581" i="1" s="1"/>
  <c r="B581" i="1"/>
  <c r="A581" i="1"/>
  <c r="E580" i="1"/>
  <c r="A580" i="1" s="1"/>
  <c r="C580" i="1"/>
  <c r="D580" i="1" s="1"/>
  <c r="B580" i="1"/>
  <c r="E579" i="1"/>
  <c r="C579" i="1"/>
  <c r="D579" i="1" s="1"/>
  <c r="B579" i="1"/>
  <c r="A579" i="1"/>
  <c r="E578" i="1"/>
  <c r="A578" i="1" s="1"/>
  <c r="C578" i="1"/>
  <c r="D578" i="1" s="1"/>
  <c r="B578" i="1"/>
  <c r="E577" i="1"/>
  <c r="C577" i="1"/>
  <c r="D577" i="1" s="1"/>
  <c r="B577" i="1"/>
  <c r="A577" i="1"/>
  <c r="E576" i="1"/>
  <c r="A576" i="1" s="1"/>
  <c r="C576" i="1"/>
  <c r="D576" i="1" s="1"/>
  <c r="B576" i="1"/>
  <c r="E575" i="1"/>
  <c r="C575" i="1"/>
  <c r="D575" i="1" s="1"/>
  <c r="B575" i="1"/>
  <c r="A575" i="1"/>
  <c r="N574" i="1"/>
  <c r="E574" i="1"/>
  <c r="C574" i="1"/>
  <c r="D574" i="1" s="1"/>
  <c r="B574" i="1"/>
  <c r="A574" i="1"/>
  <c r="E573" i="1"/>
  <c r="A573" i="1" s="1"/>
  <c r="C573" i="1"/>
  <c r="D573" i="1" s="1"/>
  <c r="B573" i="1"/>
  <c r="N572" i="1"/>
  <c r="E572" i="1"/>
  <c r="A572" i="1" s="1"/>
  <c r="C572" i="1"/>
  <c r="D572" i="1" s="1"/>
  <c r="B572" i="1"/>
  <c r="E571" i="1"/>
  <c r="A571" i="1" s="1"/>
  <c r="C571" i="1"/>
  <c r="D571" i="1" s="1"/>
  <c r="B571" i="1"/>
  <c r="E570" i="1"/>
  <c r="C570" i="1"/>
  <c r="D570" i="1" s="1"/>
  <c r="B570" i="1"/>
  <c r="A570" i="1"/>
  <c r="E569" i="1"/>
  <c r="C569" i="1"/>
  <c r="D569" i="1" s="1"/>
  <c r="B569" i="1"/>
  <c r="A569" i="1"/>
  <c r="E568" i="1"/>
  <c r="C568" i="1"/>
  <c r="D568" i="1" s="1"/>
  <c r="B568" i="1"/>
  <c r="A568" i="1"/>
  <c r="E567" i="1"/>
  <c r="A567" i="1" s="1"/>
  <c r="C567" i="1"/>
  <c r="D567" i="1" s="1"/>
  <c r="B567" i="1"/>
  <c r="E566" i="1"/>
  <c r="C566" i="1"/>
  <c r="D566" i="1" s="1"/>
  <c r="B566" i="1"/>
  <c r="A566" i="1"/>
  <c r="E565" i="1"/>
  <c r="C565" i="1"/>
  <c r="D565" i="1" s="1"/>
  <c r="B565" i="1"/>
  <c r="A565" i="1"/>
  <c r="E564" i="1"/>
  <c r="A564" i="1" s="1"/>
  <c r="C564" i="1"/>
  <c r="D564" i="1" s="1"/>
  <c r="B564" i="1"/>
  <c r="E563" i="1"/>
  <c r="C563" i="1"/>
  <c r="D563" i="1" s="1"/>
  <c r="B563" i="1"/>
  <c r="A563" i="1"/>
  <c r="N562" i="1"/>
  <c r="E562" i="1"/>
  <c r="A562" i="1" s="1"/>
  <c r="C562" i="1"/>
  <c r="D562" i="1" s="1"/>
  <c r="B562" i="1"/>
  <c r="E561" i="1"/>
  <c r="C561" i="1"/>
  <c r="D561" i="1" s="1"/>
  <c r="B561" i="1"/>
  <c r="A561" i="1"/>
  <c r="E560" i="1"/>
  <c r="A560" i="1" s="1"/>
  <c r="C560" i="1"/>
  <c r="D560" i="1" s="1"/>
  <c r="B560" i="1"/>
  <c r="E559" i="1"/>
  <c r="A559" i="1" s="1"/>
  <c r="C559" i="1"/>
  <c r="D559" i="1" s="1"/>
  <c r="B559" i="1"/>
  <c r="E558" i="1"/>
  <c r="A558" i="1" s="1"/>
  <c r="C558" i="1"/>
  <c r="D558" i="1" s="1"/>
  <c r="B558" i="1"/>
  <c r="E557" i="1"/>
  <c r="A557" i="1" s="1"/>
  <c r="C557" i="1"/>
  <c r="D557" i="1" s="1"/>
  <c r="B557" i="1"/>
  <c r="E556" i="1"/>
  <c r="A556" i="1" s="1"/>
  <c r="C556" i="1"/>
  <c r="D556" i="1" s="1"/>
  <c r="B556" i="1"/>
  <c r="N555" i="1"/>
  <c r="E555" i="1"/>
  <c r="A555" i="1" s="1"/>
  <c r="C555" i="1"/>
  <c r="D555" i="1" s="1"/>
  <c r="B555" i="1"/>
  <c r="E554" i="1"/>
  <c r="C554" i="1"/>
  <c r="D554" i="1" s="1"/>
  <c r="B554" i="1"/>
  <c r="A554" i="1"/>
  <c r="E553" i="1"/>
  <c r="C553" i="1"/>
  <c r="D553" i="1" s="1"/>
  <c r="B553" i="1"/>
  <c r="A553" i="1"/>
  <c r="E552" i="1"/>
  <c r="A552" i="1" s="1"/>
  <c r="C552" i="1"/>
  <c r="D552" i="1" s="1"/>
  <c r="B552" i="1"/>
  <c r="N551" i="1"/>
  <c r="E551" i="1"/>
  <c r="A551" i="1" s="1"/>
  <c r="C551" i="1"/>
  <c r="D551" i="1" s="1"/>
  <c r="B551" i="1"/>
  <c r="N550" i="1"/>
  <c r="E550" i="1"/>
  <c r="A550" i="1" s="1"/>
  <c r="C550" i="1"/>
  <c r="D550" i="1" s="1"/>
  <c r="B550" i="1"/>
  <c r="E549" i="1"/>
  <c r="C549" i="1"/>
  <c r="D549" i="1" s="1"/>
  <c r="B549" i="1"/>
  <c r="A549" i="1"/>
  <c r="E548" i="1"/>
  <c r="A548" i="1" s="1"/>
  <c r="C548" i="1"/>
  <c r="D548" i="1" s="1"/>
  <c r="B548" i="1"/>
  <c r="N547" i="1"/>
  <c r="E547" i="1"/>
  <c r="A547" i="1" s="1"/>
  <c r="C547" i="1"/>
  <c r="D547" i="1" s="1"/>
  <c r="B547" i="1"/>
  <c r="E546" i="1"/>
  <c r="C546" i="1"/>
  <c r="D546" i="1" s="1"/>
  <c r="B546" i="1"/>
  <c r="A546" i="1"/>
  <c r="E545" i="1"/>
  <c r="C545" i="1"/>
  <c r="D545" i="1" s="1"/>
  <c r="B545" i="1"/>
  <c r="A545" i="1"/>
  <c r="E544" i="1"/>
  <c r="A544" i="1" s="1"/>
  <c r="C544" i="1"/>
  <c r="D544" i="1" s="1"/>
  <c r="B544" i="1"/>
  <c r="N543" i="1"/>
  <c r="E543" i="1"/>
  <c r="A543" i="1" s="1"/>
  <c r="C543" i="1"/>
  <c r="D543" i="1" s="1"/>
  <c r="B543" i="1"/>
  <c r="N542" i="1"/>
  <c r="E542" i="1"/>
  <c r="A542" i="1" s="1"/>
  <c r="C542" i="1"/>
  <c r="D542" i="1" s="1"/>
  <c r="B542" i="1"/>
  <c r="N541" i="1"/>
  <c r="E541" i="1"/>
  <c r="A541" i="1" s="1"/>
  <c r="C541" i="1"/>
  <c r="D541" i="1" s="1"/>
  <c r="B541" i="1"/>
  <c r="N540" i="1"/>
  <c r="E540" i="1"/>
  <c r="A540" i="1" s="1"/>
  <c r="C540" i="1"/>
  <c r="D540" i="1" s="1"/>
  <c r="B540" i="1"/>
  <c r="N539" i="1"/>
  <c r="E539" i="1"/>
  <c r="A539" i="1" s="1"/>
  <c r="C539" i="1"/>
  <c r="D539" i="1" s="1"/>
  <c r="B539" i="1"/>
  <c r="E538" i="1"/>
  <c r="C538" i="1"/>
  <c r="D538" i="1" s="1"/>
  <c r="B538" i="1"/>
  <c r="A538" i="1"/>
  <c r="N537" i="1"/>
  <c r="E537" i="1"/>
  <c r="A537" i="1" s="1"/>
  <c r="C537" i="1"/>
  <c r="D537" i="1" s="1"/>
  <c r="B537" i="1"/>
  <c r="N536" i="1"/>
  <c r="E536" i="1"/>
  <c r="A536" i="1" s="1"/>
  <c r="C536" i="1"/>
  <c r="D536" i="1" s="1"/>
  <c r="B536" i="1"/>
  <c r="E535" i="1"/>
  <c r="A535" i="1" s="1"/>
  <c r="C535" i="1"/>
  <c r="D535" i="1" s="1"/>
  <c r="B535" i="1"/>
  <c r="E534" i="1"/>
  <c r="A534" i="1" s="1"/>
  <c r="C534" i="1"/>
  <c r="D534" i="1" s="1"/>
  <c r="B534" i="1"/>
  <c r="N533" i="1"/>
  <c r="E533" i="1"/>
  <c r="A533" i="1" s="1"/>
  <c r="C533" i="1"/>
  <c r="D533" i="1" s="1"/>
  <c r="B533" i="1"/>
  <c r="N532" i="1"/>
  <c r="E532" i="1"/>
  <c r="A532" i="1" s="1"/>
  <c r="C532" i="1"/>
  <c r="D532" i="1" s="1"/>
  <c r="B532" i="1"/>
  <c r="E531" i="1"/>
  <c r="A531" i="1" s="1"/>
  <c r="C531" i="1"/>
  <c r="D531" i="1" s="1"/>
  <c r="B531" i="1"/>
  <c r="E530" i="1"/>
  <c r="A530" i="1" s="1"/>
  <c r="C530" i="1"/>
  <c r="D530" i="1" s="1"/>
  <c r="B530" i="1"/>
  <c r="E529" i="1"/>
  <c r="C529" i="1"/>
  <c r="D529" i="1" s="1"/>
  <c r="B529" i="1"/>
  <c r="A529" i="1"/>
  <c r="E528" i="1"/>
  <c r="A528" i="1" s="1"/>
  <c r="C528" i="1"/>
  <c r="D528" i="1" s="1"/>
  <c r="B528" i="1"/>
  <c r="E527" i="1"/>
  <c r="A527" i="1" s="1"/>
  <c r="C527" i="1"/>
  <c r="D527" i="1" s="1"/>
  <c r="B527" i="1"/>
  <c r="E526" i="1"/>
  <c r="A526" i="1" s="1"/>
  <c r="C526" i="1"/>
  <c r="D526" i="1" s="1"/>
  <c r="B526" i="1"/>
  <c r="E525" i="1"/>
  <c r="A525" i="1" s="1"/>
  <c r="C525" i="1"/>
  <c r="D525" i="1" s="1"/>
  <c r="B525" i="1"/>
  <c r="E524" i="1"/>
  <c r="A524" i="1" s="1"/>
  <c r="C524" i="1"/>
  <c r="D524" i="1" s="1"/>
  <c r="B524" i="1"/>
  <c r="E523" i="1"/>
  <c r="A523" i="1" s="1"/>
  <c r="C523" i="1"/>
  <c r="D523" i="1" s="1"/>
  <c r="B523" i="1"/>
  <c r="E522" i="1"/>
  <c r="A522" i="1" s="1"/>
  <c r="C522" i="1"/>
  <c r="D522" i="1" s="1"/>
  <c r="B522" i="1"/>
  <c r="E521" i="1"/>
  <c r="A521" i="1" s="1"/>
  <c r="C521" i="1"/>
  <c r="D521" i="1" s="1"/>
  <c r="B521" i="1"/>
  <c r="E520" i="1"/>
  <c r="A520" i="1" s="1"/>
  <c r="C520" i="1"/>
  <c r="D520" i="1" s="1"/>
  <c r="B520" i="1"/>
  <c r="E519" i="1"/>
  <c r="A519" i="1" s="1"/>
  <c r="C519" i="1"/>
  <c r="D519" i="1" s="1"/>
  <c r="B519" i="1"/>
  <c r="E518" i="1"/>
  <c r="C518" i="1"/>
  <c r="D518" i="1" s="1"/>
  <c r="B518" i="1"/>
  <c r="A518" i="1"/>
  <c r="E517" i="1"/>
  <c r="A517" i="1" s="1"/>
  <c r="C517" i="1"/>
  <c r="D517" i="1" s="1"/>
  <c r="B517" i="1"/>
  <c r="E516" i="1"/>
  <c r="A516" i="1" s="1"/>
  <c r="C516" i="1"/>
  <c r="D516" i="1" s="1"/>
  <c r="B516" i="1"/>
  <c r="E515" i="1"/>
  <c r="A515" i="1" s="1"/>
  <c r="C515" i="1"/>
  <c r="D515" i="1" s="1"/>
  <c r="B515" i="1"/>
  <c r="E514" i="1"/>
  <c r="C514" i="1"/>
  <c r="D514" i="1" s="1"/>
  <c r="B514" i="1"/>
  <c r="A514" i="1"/>
  <c r="E513" i="1"/>
  <c r="A513" i="1" s="1"/>
  <c r="C513" i="1"/>
  <c r="D513" i="1" s="1"/>
  <c r="B513" i="1"/>
  <c r="E512" i="1"/>
  <c r="A512" i="1" s="1"/>
  <c r="C512" i="1"/>
  <c r="D512" i="1" s="1"/>
  <c r="B512" i="1"/>
  <c r="E511" i="1"/>
  <c r="A511" i="1" s="1"/>
  <c r="C511" i="1"/>
  <c r="D511" i="1" s="1"/>
  <c r="B511" i="1"/>
  <c r="E510" i="1"/>
  <c r="A510" i="1" s="1"/>
  <c r="C510" i="1"/>
  <c r="D510" i="1" s="1"/>
  <c r="B510" i="1"/>
  <c r="E509" i="1"/>
  <c r="A509" i="1" s="1"/>
  <c r="C509" i="1"/>
  <c r="D509" i="1" s="1"/>
  <c r="B509" i="1"/>
  <c r="E508" i="1"/>
  <c r="A508" i="1" s="1"/>
  <c r="C508" i="1"/>
  <c r="D508" i="1" s="1"/>
  <c r="B508" i="1"/>
  <c r="E507" i="1"/>
  <c r="A507" i="1" s="1"/>
  <c r="C507" i="1"/>
  <c r="D507" i="1" s="1"/>
  <c r="B507" i="1"/>
  <c r="E506" i="1"/>
  <c r="A506" i="1" s="1"/>
  <c r="C506" i="1"/>
  <c r="D506" i="1" s="1"/>
  <c r="B506" i="1"/>
  <c r="E505" i="1"/>
  <c r="C505" i="1"/>
  <c r="D505" i="1" s="1"/>
  <c r="B505" i="1"/>
  <c r="A505" i="1"/>
  <c r="E504" i="1"/>
  <c r="A504" i="1" s="1"/>
  <c r="C504" i="1"/>
  <c r="D504" i="1" s="1"/>
  <c r="B504" i="1"/>
  <c r="E503" i="1"/>
  <c r="A503" i="1" s="1"/>
  <c r="C503" i="1"/>
  <c r="D503" i="1" s="1"/>
  <c r="B503" i="1"/>
  <c r="E502" i="1"/>
  <c r="A502" i="1" s="1"/>
  <c r="C502" i="1"/>
  <c r="D502" i="1" s="1"/>
  <c r="B502" i="1"/>
  <c r="E501" i="1"/>
  <c r="A501" i="1" s="1"/>
  <c r="C501" i="1"/>
  <c r="D501" i="1" s="1"/>
  <c r="B501" i="1"/>
  <c r="E500" i="1"/>
  <c r="C500" i="1"/>
  <c r="D500" i="1" s="1"/>
  <c r="B500" i="1"/>
  <c r="A500" i="1"/>
  <c r="E499" i="1"/>
  <c r="A499" i="1" s="1"/>
  <c r="C499" i="1"/>
  <c r="D499" i="1" s="1"/>
  <c r="B499" i="1"/>
  <c r="E498" i="1"/>
  <c r="C498" i="1"/>
  <c r="D498" i="1" s="1"/>
  <c r="B498" i="1"/>
  <c r="A498" i="1"/>
  <c r="E497" i="1"/>
  <c r="C497" i="1"/>
  <c r="D497" i="1" s="1"/>
  <c r="B497" i="1"/>
  <c r="A497" i="1"/>
  <c r="E496" i="1"/>
  <c r="C496" i="1"/>
  <c r="D496" i="1" s="1"/>
  <c r="B496" i="1"/>
  <c r="A496" i="1"/>
  <c r="E495" i="1"/>
  <c r="C495" i="1"/>
  <c r="D495" i="1" s="1"/>
  <c r="B495" i="1"/>
  <c r="A495" i="1"/>
  <c r="E494" i="1"/>
  <c r="C494" i="1"/>
  <c r="D494" i="1" s="1"/>
  <c r="B494" i="1"/>
  <c r="A494" i="1"/>
  <c r="E493" i="1"/>
  <c r="A493" i="1" s="1"/>
  <c r="C493" i="1"/>
  <c r="D493" i="1" s="1"/>
  <c r="B493" i="1"/>
  <c r="E492" i="1"/>
  <c r="C492" i="1"/>
  <c r="D492" i="1" s="1"/>
  <c r="B492" i="1"/>
  <c r="A492" i="1"/>
  <c r="E491" i="1"/>
  <c r="A491" i="1" s="1"/>
  <c r="C491" i="1"/>
  <c r="D491" i="1" s="1"/>
  <c r="B491" i="1"/>
  <c r="E490" i="1"/>
  <c r="C490" i="1"/>
  <c r="D490" i="1" s="1"/>
  <c r="B490" i="1"/>
  <c r="A490" i="1"/>
  <c r="E489" i="1"/>
  <c r="C489" i="1"/>
  <c r="D489" i="1" s="1"/>
  <c r="B489" i="1"/>
  <c r="A489" i="1"/>
  <c r="E488" i="1"/>
  <c r="C488" i="1"/>
  <c r="D488" i="1" s="1"/>
  <c r="B488" i="1"/>
  <c r="A488" i="1"/>
  <c r="E487" i="1"/>
  <c r="A487" i="1" s="1"/>
  <c r="C487" i="1"/>
  <c r="D487" i="1" s="1"/>
  <c r="B487" i="1"/>
  <c r="E486" i="1"/>
  <c r="A486" i="1" s="1"/>
  <c r="C486" i="1"/>
  <c r="D486" i="1" s="1"/>
  <c r="B486" i="1"/>
  <c r="E485" i="1"/>
  <c r="A485" i="1" s="1"/>
  <c r="C485" i="1"/>
  <c r="D485" i="1" s="1"/>
  <c r="B485" i="1"/>
  <c r="E484" i="1"/>
  <c r="A484" i="1" s="1"/>
  <c r="C484" i="1"/>
  <c r="D484" i="1" s="1"/>
  <c r="B484" i="1"/>
  <c r="E483" i="1"/>
  <c r="C483" i="1"/>
  <c r="D483" i="1" s="1"/>
  <c r="B483" i="1"/>
  <c r="A483" i="1"/>
  <c r="E482" i="1"/>
  <c r="C482" i="1"/>
  <c r="D482" i="1" s="1"/>
  <c r="B482" i="1"/>
  <c r="A482" i="1"/>
  <c r="E481" i="1"/>
  <c r="A481" i="1" s="1"/>
  <c r="C481" i="1"/>
  <c r="D481" i="1" s="1"/>
  <c r="B481" i="1"/>
  <c r="E480" i="1"/>
  <c r="C480" i="1"/>
  <c r="D480" i="1" s="1"/>
  <c r="B480" i="1"/>
  <c r="A480" i="1"/>
  <c r="E479" i="1"/>
  <c r="A479" i="1" s="1"/>
  <c r="C479" i="1"/>
  <c r="D479" i="1" s="1"/>
  <c r="B479" i="1"/>
  <c r="E478" i="1"/>
  <c r="A478" i="1" s="1"/>
  <c r="C478" i="1"/>
  <c r="D478" i="1" s="1"/>
  <c r="B478" i="1"/>
  <c r="E477" i="1"/>
  <c r="A477" i="1" s="1"/>
  <c r="C477" i="1"/>
  <c r="D477" i="1" s="1"/>
  <c r="B477" i="1"/>
  <c r="E476" i="1"/>
  <c r="A476" i="1" s="1"/>
  <c r="C476" i="1"/>
  <c r="D476" i="1" s="1"/>
  <c r="B476" i="1"/>
  <c r="E475" i="1"/>
  <c r="A475" i="1" s="1"/>
  <c r="C475" i="1"/>
  <c r="D475" i="1" s="1"/>
  <c r="B475" i="1"/>
  <c r="E474" i="1"/>
  <c r="C474" i="1"/>
  <c r="D474" i="1" s="1"/>
  <c r="B474" i="1"/>
  <c r="A474" i="1"/>
  <c r="E473" i="1"/>
  <c r="C473" i="1"/>
  <c r="D473" i="1" s="1"/>
  <c r="B473" i="1"/>
  <c r="A473" i="1"/>
  <c r="E472" i="1"/>
  <c r="A472" i="1" s="1"/>
  <c r="C472" i="1"/>
  <c r="D472" i="1" s="1"/>
  <c r="B472" i="1"/>
  <c r="E471" i="1"/>
  <c r="C471" i="1"/>
  <c r="D471" i="1" s="1"/>
  <c r="B471" i="1"/>
  <c r="A471" i="1"/>
  <c r="E470" i="1"/>
  <c r="A470" i="1" s="1"/>
  <c r="C470" i="1"/>
  <c r="D470" i="1" s="1"/>
  <c r="B470" i="1"/>
  <c r="E469" i="1"/>
  <c r="A469" i="1" s="1"/>
  <c r="C469" i="1"/>
  <c r="D469" i="1" s="1"/>
  <c r="B469" i="1"/>
  <c r="E468" i="1"/>
  <c r="C468" i="1"/>
  <c r="D468" i="1" s="1"/>
  <c r="B468" i="1"/>
  <c r="A468" i="1"/>
  <c r="E467" i="1"/>
  <c r="C467" i="1"/>
  <c r="D467" i="1" s="1"/>
  <c r="B467" i="1"/>
  <c r="A467" i="1"/>
  <c r="E466" i="1"/>
  <c r="C466" i="1"/>
  <c r="D466" i="1" s="1"/>
  <c r="B466" i="1"/>
  <c r="A466" i="1"/>
  <c r="E465" i="1"/>
  <c r="C465" i="1"/>
  <c r="D465" i="1" s="1"/>
  <c r="B465" i="1"/>
  <c r="A465" i="1"/>
  <c r="E464" i="1"/>
  <c r="C464" i="1"/>
  <c r="D464" i="1" s="1"/>
  <c r="B464" i="1"/>
  <c r="A464" i="1"/>
  <c r="E463" i="1"/>
  <c r="C463" i="1"/>
  <c r="D463" i="1" s="1"/>
  <c r="B463" i="1"/>
  <c r="A463" i="1"/>
  <c r="E462" i="1"/>
  <c r="A462" i="1" s="1"/>
  <c r="C462" i="1"/>
  <c r="D462" i="1" s="1"/>
  <c r="B462" i="1"/>
  <c r="E461" i="1"/>
  <c r="C461" i="1"/>
  <c r="D461" i="1" s="1"/>
  <c r="B461" i="1"/>
  <c r="A461" i="1"/>
  <c r="E460" i="1"/>
  <c r="A460" i="1" s="1"/>
  <c r="C460" i="1"/>
  <c r="D460" i="1" s="1"/>
  <c r="B460" i="1"/>
  <c r="E459" i="1"/>
  <c r="C459" i="1"/>
  <c r="D459" i="1" s="1"/>
  <c r="B459" i="1"/>
  <c r="A459" i="1"/>
  <c r="E458" i="1"/>
  <c r="A458" i="1" s="1"/>
  <c r="C458" i="1"/>
  <c r="D458" i="1" s="1"/>
  <c r="B458" i="1"/>
  <c r="E457" i="1"/>
  <c r="C457" i="1"/>
  <c r="D457" i="1" s="1"/>
  <c r="B457" i="1"/>
  <c r="A457" i="1"/>
  <c r="E456" i="1"/>
  <c r="C456" i="1"/>
  <c r="D456" i="1" s="1"/>
  <c r="B456" i="1"/>
  <c r="A456" i="1"/>
  <c r="E455" i="1"/>
  <c r="A455" i="1" s="1"/>
  <c r="C455" i="1"/>
  <c r="D455" i="1" s="1"/>
  <c r="B455" i="1"/>
  <c r="E454" i="1"/>
  <c r="A454" i="1" s="1"/>
  <c r="C454" i="1"/>
  <c r="D454" i="1" s="1"/>
  <c r="B454" i="1"/>
  <c r="E453" i="1"/>
  <c r="A453" i="1" s="1"/>
  <c r="C453" i="1"/>
  <c r="D453" i="1" s="1"/>
  <c r="B453" i="1"/>
  <c r="E452" i="1"/>
  <c r="A452" i="1" s="1"/>
  <c r="C452" i="1"/>
  <c r="D452" i="1" s="1"/>
  <c r="B452" i="1"/>
  <c r="E451" i="1"/>
  <c r="A451" i="1" s="1"/>
  <c r="C451" i="1"/>
  <c r="D451" i="1" s="1"/>
  <c r="B451" i="1"/>
  <c r="E450" i="1"/>
  <c r="C450" i="1"/>
  <c r="D450" i="1" s="1"/>
  <c r="B450" i="1"/>
  <c r="A450" i="1"/>
  <c r="E449" i="1"/>
  <c r="C449" i="1"/>
  <c r="D449" i="1" s="1"/>
  <c r="B449" i="1"/>
  <c r="A449" i="1"/>
  <c r="E448" i="1"/>
  <c r="A448" i="1" s="1"/>
  <c r="C448" i="1"/>
  <c r="D448" i="1" s="1"/>
  <c r="B448" i="1"/>
  <c r="E447" i="1"/>
  <c r="A447" i="1" s="1"/>
  <c r="C447" i="1"/>
  <c r="D447" i="1" s="1"/>
  <c r="B447" i="1"/>
  <c r="E446" i="1"/>
  <c r="C446" i="1"/>
  <c r="D446" i="1" s="1"/>
  <c r="B446" i="1"/>
  <c r="A446" i="1"/>
  <c r="E445" i="1"/>
  <c r="A445" i="1" s="1"/>
  <c r="C445" i="1"/>
  <c r="D445" i="1" s="1"/>
  <c r="B445" i="1"/>
  <c r="E444" i="1"/>
  <c r="A444" i="1" s="1"/>
  <c r="C444" i="1"/>
  <c r="D444" i="1" s="1"/>
  <c r="B444" i="1"/>
  <c r="E443" i="1"/>
  <c r="C443" i="1"/>
  <c r="D443" i="1" s="1"/>
  <c r="B443" i="1"/>
  <c r="A443" i="1"/>
  <c r="E442" i="1"/>
  <c r="C442" i="1"/>
  <c r="D442" i="1" s="1"/>
  <c r="B442" i="1"/>
  <c r="A442" i="1"/>
  <c r="E441" i="1"/>
  <c r="C441" i="1"/>
  <c r="D441" i="1" s="1"/>
  <c r="B441" i="1"/>
  <c r="A441" i="1"/>
  <c r="E440" i="1"/>
  <c r="C440" i="1"/>
  <c r="D440" i="1" s="1"/>
  <c r="B440" i="1"/>
  <c r="A440" i="1"/>
  <c r="E439" i="1"/>
  <c r="A439" i="1" s="1"/>
  <c r="C439" i="1"/>
  <c r="D439" i="1" s="1"/>
  <c r="B439" i="1"/>
  <c r="E438" i="1"/>
  <c r="A438" i="1" s="1"/>
  <c r="C438" i="1"/>
  <c r="D438" i="1" s="1"/>
  <c r="B438" i="1"/>
  <c r="E437" i="1"/>
  <c r="A437" i="1" s="1"/>
  <c r="C437" i="1"/>
  <c r="D437" i="1" s="1"/>
  <c r="B437" i="1"/>
  <c r="E436" i="1"/>
  <c r="A436" i="1" s="1"/>
  <c r="C436" i="1"/>
  <c r="D436" i="1" s="1"/>
  <c r="B436" i="1"/>
  <c r="E435" i="1"/>
  <c r="A435" i="1" s="1"/>
  <c r="C435" i="1"/>
  <c r="D435" i="1" s="1"/>
  <c r="B435" i="1"/>
  <c r="E434" i="1"/>
  <c r="C434" i="1"/>
  <c r="D434" i="1" s="1"/>
  <c r="B434" i="1"/>
  <c r="A434" i="1"/>
  <c r="E433" i="1"/>
  <c r="A433" i="1" s="1"/>
  <c r="C433" i="1"/>
  <c r="D433" i="1" s="1"/>
  <c r="B433" i="1"/>
  <c r="E432" i="1"/>
  <c r="C432" i="1"/>
  <c r="D432" i="1" s="1"/>
  <c r="B432" i="1"/>
  <c r="A432" i="1"/>
  <c r="E431" i="1"/>
  <c r="A431" i="1" s="1"/>
  <c r="C431" i="1"/>
  <c r="D431" i="1" s="1"/>
  <c r="B431" i="1"/>
  <c r="E430" i="1"/>
  <c r="A430" i="1" s="1"/>
  <c r="C430" i="1"/>
  <c r="D430" i="1" s="1"/>
  <c r="B430" i="1"/>
  <c r="E429" i="1"/>
  <c r="C429" i="1"/>
  <c r="D429" i="1" s="1"/>
  <c r="B429" i="1"/>
  <c r="A429" i="1"/>
  <c r="E428" i="1"/>
  <c r="A428" i="1" s="1"/>
  <c r="C428" i="1"/>
  <c r="D428" i="1" s="1"/>
  <c r="B428" i="1"/>
  <c r="E427" i="1"/>
  <c r="A427" i="1" s="1"/>
  <c r="C427" i="1"/>
  <c r="D427" i="1" s="1"/>
  <c r="B427" i="1"/>
  <c r="E426" i="1"/>
  <c r="C426" i="1"/>
  <c r="D426" i="1" s="1"/>
  <c r="B426" i="1"/>
  <c r="A426" i="1"/>
  <c r="E425" i="1"/>
  <c r="A425" i="1" s="1"/>
  <c r="C425" i="1"/>
  <c r="D425" i="1" s="1"/>
  <c r="B425" i="1"/>
  <c r="E424" i="1"/>
  <c r="A424" i="1" s="1"/>
  <c r="C424" i="1"/>
  <c r="D424" i="1" s="1"/>
  <c r="B424" i="1"/>
  <c r="E423" i="1"/>
  <c r="A423" i="1" s="1"/>
  <c r="C423" i="1"/>
  <c r="D423" i="1" s="1"/>
  <c r="B423" i="1"/>
  <c r="E422" i="1"/>
  <c r="A422" i="1" s="1"/>
  <c r="C422" i="1"/>
  <c r="D422" i="1" s="1"/>
  <c r="B422" i="1"/>
  <c r="E421" i="1"/>
  <c r="C421" i="1"/>
  <c r="D421" i="1" s="1"/>
  <c r="B421" i="1"/>
  <c r="A421" i="1"/>
  <c r="E420" i="1"/>
  <c r="A420" i="1" s="1"/>
  <c r="C420" i="1"/>
  <c r="D420" i="1" s="1"/>
  <c r="B420" i="1"/>
  <c r="E419" i="1"/>
  <c r="A419" i="1" s="1"/>
  <c r="C419" i="1"/>
  <c r="D419" i="1" s="1"/>
  <c r="B419" i="1"/>
  <c r="E418" i="1"/>
  <c r="C418" i="1"/>
  <c r="D418" i="1" s="1"/>
  <c r="B418" i="1"/>
  <c r="A418" i="1"/>
  <c r="E417" i="1"/>
  <c r="C417" i="1"/>
  <c r="D417" i="1" s="1"/>
  <c r="B417" i="1"/>
  <c r="A417" i="1"/>
  <c r="E416" i="1"/>
  <c r="A416" i="1" s="1"/>
  <c r="C416" i="1"/>
  <c r="D416" i="1" s="1"/>
  <c r="B416" i="1"/>
  <c r="E415" i="1"/>
  <c r="A415" i="1" s="1"/>
  <c r="C415" i="1"/>
  <c r="D415" i="1" s="1"/>
  <c r="B415" i="1"/>
  <c r="E414" i="1"/>
  <c r="A414" i="1" s="1"/>
  <c r="C414" i="1"/>
  <c r="D414" i="1" s="1"/>
  <c r="B414" i="1"/>
  <c r="E413" i="1"/>
  <c r="A413" i="1" s="1"/>
  <c r="C413" i="1"/>
  <c r="D413" i="1" s="1"/>
  <c r="B413" i="1"/>
  <c r="E412" i="1"/>
  <c r="A412" i="1" s="1"/>
  <c r="C412" i="1"/>
  <c r="D412" i="1" s="1"/>
  <c r="B412" i="1"/>
  <c r="E411" i="1"/>
  <c r="A411" i="1" s="1"/>
  <c r="C411" i="1"/>
  <c r="D411" i="1" s="1"/>
  <c r="B411" i="1"/>
  <c r="E410" i="1"/>
  <c r="A410" i="1" s="1"/>
  <c r="C410" i="1"/>
  <c r="D410" i="1" s="1"/>
  <c r="B410" i="1"/>
  <c r="E409" i="1"/>
  <c r="A409" i="1" s="1"/>
  <c r="C409" i="1"/>
  <c r="D409" i="1" s="1"/>
  <c r="B409" i="1"/>
  <c r="E408" i="1"/>
  <c r="A408" i="1" s="1"/>
  <c r="C408" i="1"/>
  <c r="D408" i="1" s="1"/>
  <c r="B408" i="1"/>
  <c r="E407" i="1"/>
  <c r="A407" i="1" s="1"/>
  <c r="C407" i="1"/>
  <c r="D407" i="1" s="1"/>
  <c r="B407" i="1"/>
  <c r="E406" i="1"/>
  <c r="A406" i="1" s="1"/>
  <c r="C406" i="1"/>
  <c r="D406" i="1" s="1"/>
  <c r="B406" i="1"/>
  <c r="E405" i="1"/>
  <c r="C405" i="1"/>
  <c r="D405" i="1" s="1"/>
  <c r="B405" i="1"/>
  <c r="A405" i="1"/>
  <c r="E404" i="1"/>
  <c r="A404" i="1" s="1"/>
  <c r="C404" i="1"/>
  <c r="D404" i="1" s="1"/>
  <c r="B404" i="1"/>
  <c r="E403" i="1"/>
  <c r="A403" i="1" s="1"/>
  <c r="C403" i="1"/>
  <c r="D403" i="1" s="1"/>
  <c r="B403" i="1"/>
  <c r="E402" i="1"/>
  <c r="A402" i="1" s="1"/>
  <c r="C402" i="1"/>
  <c r="D402" i="1" s="1"/>
  <c r="B402" i="1"/>
  <c r="E401" i="1"/>
  <c r="A401" i="1" s="1"/>
  <c r="C401" i="1"/>
  <c r="D401" i="1" s="1"/>
  <c r="B401" i="1"/>
  <c r="E400" i="1"/>
  <c r="A400" i="1" s="1"/>
  <c r="C400" i="1"/>
  <c r="D400" i="1" s="1"/>
  <c r="B400" i="1"/>
  <c r="E399" i="1"/>
  <c r="A399" i="1" s="1"/>
  <c r="C399" i="1"/>
  <c r="D399" i="1" s="1"/>
  <c r="B399" i="1"/>
  <c r="E398" i="1"/>
  <c r="A398" i="1" s="1"/>
  <c r="C398" i="1"/>
  <c r="D398" i="1" s="1"/>
  <c r="B398" i="1"/>
  <c r="E397" i="1"/>
  <c r="A397" i="1" s="1"/>
  <c r="C397" i="1"/>
  <c r="D397" i="1" s="1"/>
  <c r="B397" i="1"/>
  <c r="E396" i="1"/>
  <c r="A396" i="1" s="1"/>
  <c r="C396" i="1"/>
  <c r="D396" i="1" s="1"/>
  <c r="B396" i="1"/>
  <c r="E395" i="1"/>
  <c r="A395" i="1" s="1"/>
  <c r="C395" i="1"/>
  <c r="D395" i="1" s="1"/>
  <c r="B395" i="1"/>
  <c r="E394" i="1"/>
  <c r="A394" i="1" s="1"/>
  <c r="C394" i="1"/>
  <c r="D394" i="1" s="1"/>
  <c r="B394" i="1"/>
  <c r="E393" i="1"/>
  <c r="A393" i="1" s="1"/>
  <c r="C393" i="1"/>
  <c r="D393" i="1" s="1"/>
  <c r="B393" i="1"/>
  <c r="E392" i="1"/>
  <c r="C392" i="1"/>
  <c r="D392" i="1" s="1"/>
  <c r="B392" i="1"/>
  <c r="A392" i="1"/>
  <c r="E391" i="1"/>
  <c r="C391" i="1"/>
  <c r="D391" i="1" s="1"/>
  <c r="B391" i="1"/>
  <c r="A391" i="1"/>
  <c r="E390" i="1"/>
  <c r="A390" i="1" s="1"/>
  <c r="C390" i="1"/>
  <c r="D390" i="1" s="1"/>
  <c r="B390" i="1"/>
  <c r="E389" i="1"/>
  <c r="A389" i="1" s="1"/>
  <c r="C389" i="1"/>
  <c r="D389" i="1" s="1"/>
  <c r="B389" i="1"/>
  <c r="E388" i="1"/>
  <c r="A388" i="1" s="1"/>
  <c r="C388" i="1"/>
  <c r="D388" i="1" s="1"/>
  <c r="B388" i="1"/>
  <c r="E387" i="1"/>
  <c r="C387" i="1"/>
  <c r="D387" i="1" s="1"/>
  <c r="B387" i="1"/>
  <c r="A387" i="1"/>
  <c r="E386" i="1"/>
  <c r="A386" i="1" s="1"/>
  <c r="C386" i="1"/>
  <c r="D386" i="1" s="1"/>
  <c r="B386" i="1"/>
  <c r="E385" i="1"/>
  <c r="A385" i="1" s="1"/>
  <c r="C385" i="1"/>
  <c r="D385" i="1" s="1"/>
  <c r="B385" i="1"/>
  <c r="E384" i="1"/>
  <c r="A384" i="1" s="1"/>
  <c r="C384" i="1"/>
  <c r="D384" i="1" s="1"/>
  <c r="B384" i="1"/>
  <c r="E383" i="1"/>
  <c r="A383" i="1" s="1"/>
  <c r="C383" i="1"/>
  <c r="D383" i="1" s="1"/>
  <c r="B383" i="1"/>
  <c r="E382" i="1"/>
  <c r="C382" i="1"/>
  <c r="D382" i="1" s="1"/>
  <c r="B382" i="1"/>
  <c r="A382" i="1"/>
  <c r="E381" i="1"/>
  <c r="A381" i="1" s="1"/>
  <c r="C381" i="1"/>
  <c r="D381" i="1" s="1"/>
  <c r="B381" i="1"/>
  <c r="E380" i="1"/>
  <c r="C380" i="1"/>
  <c r="D380" i="1" s="1"/>
  <c r="B380" i="1"/>
  <c r="A380" i="1"/>
  <c r="E379" i="1"/>
  <c r="A379" i="1" s="1"/>
  <c r="C379" i="1"/>
  <c r="D379" i="1" s="1"/>
  <c r="B379" i="1"/>
  <c r="E378" i="1"/>
  <c r="A378" i="1" s="1"/>
  <c r="C378" i="1"/>
  <c r="D378" i="1" s="1"/>
  <c r="B378" i="1"/>
  <c r="E377" i="1"/>
  <c r="A377" i="1" s="1"/>
  <c r="C377" i="1"/>
  <c r="D377" i="1" s="1"/>
  <c r="B377" i="1"/>
  <c r="E376" i="1"/>
  <c r="C376" i="1"/>
  <c r="D376" i="1" s="1"/>
  <c r="B376" i="1"/>
  <c r="A376" i="1"/>
  <c r="E375" i="1"/>
  <c r="A375" i="1" s="1"/>
  <c r="C375" i="1"/>
  <c r="D375" i="1" s="1"/>
  <c r="B375" i="1"/>
  <c r="E374" i="1"/>
  <c r="A374" i="1" s="1"/>
  <c r="C374" i="1"/>
  <c r="D374" i="1" s="1"/>
  <c r="B374" i="1"/>
  <c r="E373" i="1"/>
  <c r="C373" i="1"/>
  <c r="D373" i="1" s="1"/>
  <c r="B373" i="1"/>
  <c r="A373" i="1"/>
  <c r="E372" i="1"/>
  <c r="C372" i="1"/>
  <c r="D372" i="1" s="1"/>
  <c r="B372" i="1"/>
  <c r="A372" i="1"/>
  <c r="E371" i="1"/>
  <c r="A371" i="1" s="1"/>
  <c r="C371" i="1"/>
  <c r="D371" i="1" s="1"/>
  <c r="B371" i="1"/>
  <c r="E370" i="1"/>
  <c r="A370" i="1" s="1"/>
  <c r="C370" i="1"/>
  <c r="D370" i="1" s="1"/>
  <c r="B370" i="1"/>
  <c r="E369" i="1"/>
  <c r="A369" i="1" s="1"/>
  <c r="C369" i="1"/>
  <c r="D369" i="1" s="1"/>
  <c r="B369" i="1"/>
  <c r="E368" i="1"/>
  <c r="A368" i="1" s="1"/>
  <c r="C368" i="1"/>
  <c r="D368" i="1" s="1"/>
  <c r="B368" i="1"/>
  <c r="E367" i="1"/>
  <c r="A367" i="1" s="1"/>
  <c r="C367" i="1"/>
  <c r="D367" i="1" s="1"/>
  <c r="B367" i="1"/>
  <c r="E366" i="1"/>
  <c r="A366" i="1" s="1"/>
  <c r="C366" i="1"/>
  <c r="D366" i="1" s="1"/>
  <c r="B366" i="1"/>
  <c r="E365" i="1"/>
  <c r="A365" i="1" s="1"/>
  <c r="C365" i="1"/>
  <c r="D365" i="1" s="1"/>
  <c r="B365" i="1"/>
  <c r="E364" i="1"/>
  <c r="A364" i="1" s="1"/>
  <c r="C364" i="1"/>
  <c r="D364" i="1" s="1"/>
  <c r="B364" i="1"/>
  <c r="E363" i="1"/>
  <c r="A363" i="1" s="1"/>
  <c r="C363" i="1"/>
  <c r="D363" i="1" s="1"/>
  <c r="B363" i="1"/>
  <c r="E362" i="1"/>
  <c r="A362" i="1" s="1"/>
  <c r="C362" i="1"/>
  <c r="D362" i="1" s="1"/>
  <c r="B362" i="1"/>
  <c r="E361" i="1"/>
  <c r="A361" i="1" s="1"/>
  <c r="C361" i="1"/>
  <c r="D361" i="1" s="1"/>
  <c r="B361" i="1"/>
  <c r="E360" i="1"/>
  <c r="A360" i="1" s="1"/>
  <c r="C360" i="1"/>
  <c r="D360" i="1" s="1"/>
  <c r="B360" i="1"/>
  <c r="E359" i="1"/>
  <c r="A359" i="1" s="1"/>
  <c r="C359" i="1"/>
  <c r="D359" i="1" s="1"/>
  <c r="B359" i="1"/>
  <c r="E358" i="1"/>
  <c r="C358" i="1"/>
  <c r="D358" i="1" s="1"/>
  <c r="B358" i="1"/>
  <c r="A358" i="1"/>
  <c r="E357" i="1"/>
  <c r="C357" i="1"/>
  <c r="D357" i="1" s="1"/>
  <c r="B357" i="1"/>
  <c r="A357" i="1"/>
  <c r="E356" i="1"/>
  <c r="C356" i="1"/>
  <c r="D356" i="1" s="1"/>
  <c r="B356" i="1"/>
  <c r="A356" i="1"/>
  <c r="E355" i="1"/>
  <c r="C355" i="1"/>
  <c r="D355" i="1" s="1"/>
  <c r="B355" i="1"/>
  <c r="A355" i="1"/>
  <c r="E354" i="1"/>
  <c r="C354" i="1"/>
  <c r="D354" i="1" s="1"/>
  <c r="B354" i="1"/>
  <c r="A354" i="1"/>
  <c r="E353" i="1"/>
  <c r="A353" i="1" s="1"/>
  <c r="C353" i="1"/>
  <c r="D353" i="1" s="1"/>
  <c r="B353" i="1"/>
  <c r="E352" i="1"/>
  <c r="A352" i="1" s="1"/>
  <c r="C352" i="1"/>
  <c r="D352" i="1" s="1"/>
  <c r="B352" i="1"/>
  <c r="E351" i="1"/>
  <c r="A351" i="1" s="1"/>
  <c r="C351" i="1"/>
  <c r="D351" i="1" s="1"/>
  <c r="B351" i="1"/>
  <c r="E350" i="1"/>
  <c r="A350" i="1" s="1"/>
  <c r="C350" i="1"/>
  <c r="D350" i="1" s="1"/>
  <c r="B350" i="1"/>
  <c r="E349" i="1"/>
  <c r="A349" i="1" s="1"/>
  <c r="C349" i="1"/>
  <c r="D349" i="1" s="1"/>
  <c r="B349" i="1"/>
  <c r="E348" i="1"/>
  <c r="A348" i="1" s="1"/>
  <c r="C348" i="1"/>
  <c r="D348" i="1" s="1"/>
  <c r="B348" i="1"/>
  <c r="E347" i="1"/>
  <c r="A347" i="1" s="1"/>
  <c r="C347" i="1"/>
  <c r="D347" i="1" s="1"/>
  <c r="B347" i="1"/>
  <c r="E346" i="1"/>
  <c r="A346" i="1" s="1"/>
  <c r="C346" i="1"/>
  <c r="D346" i="1" s="1"/>
  <c r="B346" i="1"/>
  <c r="E345" i="1"/>
  <c r="A345" i="1" s="1"/>
  <c r="C345" i="1"/>
  <c r="D345" i="1" s="1"/>
  <c r="B345" i="1"/>
  <c r="E344" i="1"/>
  <c r="A344" i="1" s="1"/>
  <c r="C344" i="1"/>
  <c r="D344" i="1" s="1"/>
  <c r="B344" i="1"/>
  <c r="E343" i="1"/>
  <c r="A343" i="1" s="1"/>
  <c r="C343" i="1"/>
  <c r="D343" i="1" s="1"/>
  <c r="B343" i="1"/>
  <c r="E342" i="1"/>
  <c r="A342" i="1" s="1"/>
  <c r="C342" i="1"/>
  <c r="D342" i="1" s="1"/>
  <c r="B342" i="1"/>
  <c r="E341" i="1"/>
  <c r="A341" i="1" s="1"/>
  <c r="C341" i="1"/>
  <c r="D341" i="1" s="1"/>
  <c r="B341" i="1"/>
  <c r="E340" i="1"/>
  <c r="A340" i="1" s="1"/>
  <c r="C340" i="1"/>
  <c r="D340" i="1" s="1"/>
  <c r="B340" i="1"/>
  <c r="E339" i="1"/>
  <c r="A339" i="1" s="1"/>
  <c r="C339" i="1"/>
  <c r="D339" i="1" s="1"/>
  <c r="B339" i="1"/>
  <c r="E338" i="1"/>
  <c r="A338" i="1" s="1"/>
  <c r="C338" i="1"/>
  <c r="D338" i="1" s="1"/>
  <c r="B338" i="1"/>
  <c r="E337" i="1"/>
  <c r="A337" i="1" s="1"/>
  <c r="C337" i="1"/>
  <c r="D337" i="1" s="1"/>
  <c r="B337" i="1"/>
  <c r="E336" i="1"/>
  <c r="A336" i="1" s="1"/>
  <c r="C336" i="1"/>
  <c r="D336" i="1" s="1"/>
  <c r="B336" i="1"/>
  <c r="E335" i="1"/>
  <c r="C335" i="1"/>
  <c r="D335" i="1" s="1"/>
  <c r="B335" i="1"/>
  <c r="A335" i="1"/>
  <c r="E334" i="1"/>
  <c r="A334" i="1" s="1"/>
  <c r="C334" i="1"/>
  <c r="D334" i="1" s="1"/>
  <c r="B334" i="1"/>
  <c r="E333" i="1"/>
  <c r="A333" i="1" s="1"/>
  <c r="C333" i="1"/>
  <c r="D333" i="1" s="1"/>
  <c r="B333" i="1"/>
  <c r="E332" i="1"/>
  <c r="A332" i="1" s="1"/>
  <c r="C332" i="1"/>
  <c r="D332" i="1" s="1"/>
  <c r="B332" i="1"/>
  <c r="E331" i="1"/>
  <c r="A331" i="1" s="1"/>
  <c r="C331" i="1"/>
  <c r="D331" i="1" s="1"/>
  <c r="B331" i="1"/>
  <c r="E330" i="1"/>
  <c r="A330" i="1" s="1"/>
  <c r="C330" i="1"/>
  <c r="D330" i="1" s="1"/>
  <c r="B330" i="1"/>
  <c r="E329" i="1"/>
  <c r="A329" i="1" s="1"/>
  <c r="C329" i="1"/>
  <c r="D329" i="1" s="1"/>
  <c r="B329" i="1"/>
  <c r="E328" i="1"/>
  <c r="A328" i="1" s="1"/>
  <c r="C328" i="1"/>
  <c r="D328" i="1" s="1"/>
  <c r="B328" i="1"/>
  <c r="E327" i="1"/>
  <c r="A327" i="1" s="1"/>
  <c r="C327" i="1"/>
  <c r="D327" i="1" s="1"/>
  <c r="B327" i="1"/>
  <c r="E326" i="1"/>
  <c r="A326" i="1" s="1"/>
  <c r="C326" i="1"/>
  <c r="D326" i="1" s="1"/>
  <c r="B326" i="1"/>
  <c r="E325" i="1"/>
  <c r="A325" i="1" s="1"/>
  <c r="C325" i="1"/>
  <c r="D325" i="1" s="1"/>
  <c r="B325" i="1"/>
  <c r="E324" i="1"/>
  <c r="C324" i="1"/>
  <c r="D324" i="1" s="1"/>
  <c r="B324" i="1"/>
  <c r="A324" i="1"/>
  <c r="E323" i="1"/>
  <c r="A323" i="1" s="1"/>
  <c r="C323" i="1"/>
  <c r="D323" i="1" s="1"/>
  <c r="B323" i="1"/>
  <c r="E322" i="1"/>
  <c r="A322" i="1" s="1"/>
  <c r="C322" i="1"/>
  <c r="D322" i="1" s="1"/>
  <c r="B322" i="1"/>
  <c r="E321" i="1"/>
  <c r="A321" i="1" s="1"/>
  <c r="C321" i="1"/>
  <c r="D321" i="1" s="1"/>
  <c r="B321" i="1"/>
  <c r="E320" i="1"/>
  <c r="A320" i="1" s="1"/>
  <c r="C320" i="1"/>
  <c r="D320" i="1" s="1"/>
  <c r="B320" i="1"/>
  <c r="E319" i="1"/>
  <c r="A319" i="1" s="1"/>
  <c r="C319" i="1"/>
  <c r="D319" i="1" s="1"/>
  <c r="B319" i="1"/>
  <c r="E318" i="1"/>
  <c r="A318" i="1" s="1"/>
  <c r="C318" i="1"/>
  <c r="D318" i="1" s="1"/>
  <c r="B318" i="1"/>
  <c r="E317" i="1"/>
  <c r="A317" i="1" s="1"/>
  <c r="C317" i="1"/>
  <c r="D317" i="1" s="1"/>
  <c r="B317" i="1"/>
  <c r="E316" i="1"/>
  <c r="A316" i="1" s="1"/>
  <c r="C316" i="1"/>
  <c r="D316" i="1" s="1"/>
  <c r="B316" i="1"/>
  <c r="E315" i="1"/>
  <c r="A315" i="1" s="1"/>
  <c r="C315" i="1"/>
  <c r="D315" i="1" s="1"/>
  <c r="B315" i="1"/>
  <c r="E314" i="1"/>
  <c r="A314" i="1" s="1"/>
  <c r="C314" i="1"/>
  <c r="D314" i="1" s="1"/>
  <c r="B314" i="1"/>
  <c r="E313" i="1"/>
  <c r="A313" i="1" s="1"/>
  <c r="C313" i="1"/>
  <c r="D313" i="1" s="1"/>
  <c r="B313" i="1"/>
  <c r="E312" i="1"/>
  <c r="A312" i="1" s="1"/>
  <c r="C312" i="1"/>
  <c r="D312" i="1" s="1"/>
  <c r="B312" i="1"/>
  <c r="E311" i="1"/>
  <c r="A311" i="1" s="1"/>
  <c r="C311" i="1"/>
  <c r="D311" i="1" s="1"/>
  <c r="B311" i="1"/>
  <c r="E310" i="1"/>
  <c r="A310" i="1" s="1"/>
  <c r="C310" i="1"/>
  <c r="D310" i="1" s="1"/>
  <c r="B310" i="1"/>
  <c r="N309" i="1"/>
  <c r="E309" i="1"/>
  <c r="A309" i="1" s="1"/>
  <c r="C309" i="1"/>
  <c r="D309" i="1" s="1"/>
  <c r="B309" i="1"/>
  <c r="E308" i="1"/>
  <c r="A308" i="1" s="1"/>
  <c r="C308" i="1"/>
  <c r="D308" i="1" s="1"/>
  <c r="B308" i="1"/>
  <c r="N307" i="1"/>
  <c r="E307" i="1"/>
  <c r="A307" i="1" s="1"/>
  <c r="C307" i="1"/>
  <c r="D307" i="1" s="1"/>
  <c r="B307" i="1"/>
  <c r="E306" i="1"/>
  <c r="A306" i="1" s="1"/>
  <c r="C306" i="1"/>
  <c r="D306" i="1" s="1"/>
  <c r="B306" i="1"/>
  <c r="E305" i="1"/>
  <c r="A305" i="1" s="1"/>
  <c r="C305" i="1"/>
  <c r="D305" i="1" s="1"/>
  <c r="B305" i="1"/>
  <c r="E304" i="1"/>
  <c r="A304" i="1" s="1"/>
  <c r="C304" i="1"/>
  <c r="D304" i="1" s="1"/>
  <c r="B304" i="1"/>
  <c r="E303" i="1"/>
  <c r="A303" i="1" s="1"/>
  <c r="C303" i="1"/>
  <c r="D303" i="1" s="1"/>
  <c r="B303" i="1"/>
  <c r="E302" i="1"/>
  <c r="A302" i="1" s="1"/>
  <c r="C302" i="1"/>
  <c r="D302" i="1" s="1"/>
  <c r="B302" i="1"/>
  <c r="N301" i="1"/>
  <c r="E301" i="1"/>
  <c r="A301" i="1" s="1"/>
  <c r="C301" i="1"/>
  <c r="D301" i="1" s="1"/>
  <c r="B301" i="1"/>
  <c r="E300" i="1"/>
  <c r="A300" i="1" s="1"/>
  <c r="C300" i="1"/>
  <c r="D300" i="1" s="1"/>
  <c r="B300" i="1"/>
  <c r="N299" i="1"/>
  <c r="E299" i="1"/>
  <c r="A299" i="1" s="1"/>
  <c r="C299" i="1"/>
  <c r="D299" i="1" s="1"/>
  <c r="B299" i="1"/>
  <c r="E298" i="1"/>
  <c r="A298" i="1" s="1"/>
  <c r="C298" i="1"/>
  <c r="D298" i="1" s="1"/>
  <c r="B298" i="1"/>
  <c r="E297" i="1"/>
  <c r="A297" i="1" s="1"/>
  <c r="C297" i="1"/>
  <c r="D297" i="1" s="1"/>
  <c r="B297" i="1"/>
  <c r="E296" i="1"/>
  <c r="A296" i="1" s="1"/>
  <c r="C296" i="1"/>
  <c r="D296" i="1" s="1"/>
  <c r="B296" i="1"/>
  <c r="E295" i="1"/>
  <c r="A295" i="1" s="1"/>
  <c r="C295" i="1"/>
  <c r="D295" i="1" s="1"/>
  <c r="B295" i="1"/>
  <c r="E294" i="1"/>
  <c r="A294" i="1" s="1"/>
  <c r="C294" i="1"/>
  <c r="D294" i="1" s="1"/>
  <c r="B294" i="1"/>
  <c r="E293" i="1"/>
  <c r="A293" i="1" s="1"/>
  <c r="C293" i="1"/>
  <c r="D293" i="1" s="1"/>
  <c r="B293" i="1"/>
  <c r="E292" i="1"/>
  <c r="A292" i="1" s="1"/>
  <c r="C292" i="1"/>
  <c r="D292" i="1" s="1"/>
  <c r="B292" i="1"/>
  <c r="E291" i="1"/>
  <c r="A291" i="1" s="1"/>
  <c r="C291" i="1"/>
  <c r="D291" i="1" s="1"/>
  <c r="B291" i="1"/>
  <c r="E290" i="1"/>
  <c r="A290" i="1" s="1"/>
  <c r="C290" i="1"/>
  <c r="D290" i="1" s="1"/>
  <c r="B290" i="1"/>
  <c r="E289" i="1"/>
  <c r="C289" i="1"/>
  <c r="D289" i="1" s="1"/>
  <c r="B289" i="1"/>
  <c r="A289" i="1"/>
  <c r="E288" i="1"/>
  <c r="A288" i="1" s="1"/>
  <c r="C288" i="1"/>
  <c r="D288" i="1" s="1"/>
  <c r="B288" i="1"/>
  <c r="E287" i="1"/>
  <c r="C287" i="1"/>
  <c r="D287" i="1" s="1"/>
  <c r="B287" i="1"/>
  <c r="A287" i="1"/>
  <c r="N286" i="1"/>
  <c r="E286" i="1"/>
  <c r="A286" i="1" s="1"/>
  <c r="C286" i="1"/>
  <c r="D286" i="1" s="1"/>
  <c r="B286" i="1"/>
  <c r="E285" i="1"/>
  <c r="C285" i="1"/>
  <c r="D285" i="1" s="1"/>
  <c r="B285" i="1"/>
  <c r="A285" i="1"/>
  <c r="N284" i="1"/>
  <c r="E284" i="1"/>
  <c r="C284" i="1"/>
  <c r="D284" i="1" s="1"/>
  <c r="B284" i="1"/>
  <c r="A284" i="1"/>
  <c r="E283" i="1"/>
  <c r="C283" i="1"/>
  <c r="D283" i="1" s="1"/>
  <c r="B283" i="1"/>
  <c r="A283" i="1"/>
  <c r="E282" i="1"/>
  <c r="C282" i="1"/>
  <c r="D282" i="1" s="1"/>
  <c r="B282" i="1"/>
  <c r="A282" i="1"/>
  <c r="E281" i="1"/>
  <c r="A281" i="1" s="1"/>
  <c r="C281" i="1"/>
  <c r="D281" i="1" s="1"/>
  <c r="B281" i="1"/>
  <c r="E280" i="1"/>
  <c r="C280" i="1"/>
  <c r="D280" i="1" s="1"/>
  <c r="B280" i="1"/>
  <c r="A280" i="1"/>
  <c r="E279" i="1"/>
  <c r="A279" i="1" s="1"/>
  <c r="C279" i="1"/>
  <c r="D279" i="1" s="1"/>
  <c r="B279" i="1"/>
  <c r="N278" i="1"/>
  <c r="E278" i="1"/>
  <c r="A278" i="1" s="1"/>
  <c r="C278" i="1"/>
  <c r="D278" i="1" s="1"/>
  <c r="B278" i="1"/>
  <c r="E277" i="1"/>
  <c r="A277" i="1" s="1"/>
  <c r="C277" i="1"/>
  <c r="D277" i="1" s="1"/>
  <c r="B277" i="1"/>
  <c r="E276" i="1"/>
  <c r="A276" i="1" s="1"/>
  <c r="C276" i="1"/>
  <c r="D276" i="1" s="1"/>
  <c r="B276" i="1"/>
  <c r="E275" i="1"/>
  <c r="A275" i="1" s="1"/>
  <c r="C275" i="1"/>
  <c r="D275" i="1" s="1"/>
  <c r="B275" i="1"/>
  <c r="E274" i="1"/>
  <c r="A274" i="1" s="1"/>
  <c r="C274" i="1"/>
  <c r="D274" i="1" s="1"/>
  <c r="B274" i="1"/>
  <c r="E273" i="1"/>
  <c r="C273" i="1"/>
  <c r="D273" i="1" s="1"/>
  <c r="B273" i="1"/>
  <c r="A273" i="1"/>
  <c r="N272" i="1"/>
  <c r="E272" i="1"/>
  <c r="C272" i="1"/>
  <c r="D272" i="1" s="1"/>
  <c r="B272" i="1"/>
  <c r="A272" i="1"/>
  <c r="E271" i="1"/>
  <c r="A271" i="1" s="1"/>
  <c r="C271" i="1"/>
  <c r="D271" i="1" s="1"/>
  <c r="B271" i="1"/>
  <c r="N270" i="1"/>
  <c r="E270" i="1"/>
  <c r="A270" i="1" s="1"/>
  <c r="C270" i="1"/>
  <c r="D270" i="1" s="1"/>
  <c r="B270" i="1"/>
  <c r="E269" i="1"/>
  <c r="C269" i="1"/>
  <c r="D269" i="1" s="1"/>
  <c r="B269" i="1"/>
  <c r="A269" i="1"/>
  <c r="N268" i="1"/>
  <c r="E268" i="1"/>
  <c r="A268" i="1" s="1"/>
  <c r="C268" i="1"/>
  <c r="D268" i="1" s="1"/>
  <c r="B268" i="1"/>
  <c r="E267" i="1"/>
  <c r="C267" i="1"/>
  <c r="D267" i="1" s="1"/>
  <c r="B267" i="1"/>
  <c r="A267" i="1"/>
  <c r="N266" i="1"/>
  <c r="E266" i="1"/>
  <c r="A266" i="1" s="1"/>
  <c r="C266" i="1"/>
  <c r="D266" i="1" s="1"/>
  <c r="B266" i="1"/>
  <c r="E265" i="1"/>
  <c r="A265" i="1" s="1"/>
  <c r="C265" i="1"/>
  <c r="D265" i="1" s="1"/>
  <c r="B265" i="1"/>
  <c r="E264" i="1"/>
  <c r="A264" i="1" s="1"/>
  <c r="C264" i="1"/>
  <c r="D264" i="1" s="1"/>
  <c r="B264" i="1"/>
  <c r="N263" i="1"/>
  <c r="E263" i="1"/>
  <c r="A263" i="1" s="1"/>
  <c r="C263" i="1"/>
  <c r="D263" i="1" s="1"/>
  <c r="B263" i="1"/>
  <c r="N262" i="1"/>
  <c r="E262" i="1"/>
  <c r="A262" i="1" s="1"/>
  <c r="C262" i="1"/>
  <c r="D262" i="1" s="1"/>
  <c r="B262" i="1"/>
  <c r="N261" i="1"/>
  <c r="E261" i="1"/>
  <c r="A261" i="1" s="1"/>
  <c r="C261" i="1"/>
  <c r="D261" i="1" s="1"/>
  <c r="B261" i="1"/>
  <c r="N260" i="1"/>
  <c r="E260" i="1"/>
  <c r="C260" i="1"/>
  <c r="D260" i="1" s="1"/>
  <c r="B260" i="1"/>
  <c r="A260" i="1"/>
  <c r="N259" i="1"/>
  <c r="E259" i="1"/>
  <c r="C259" i="1"/>
  <c r="D259" i="1" s="1"/>
  <c r="B259" i="1"/>
  <c r="A259" i="1"/>
  <c r="N258" i="1"/>
  <c r="E258" i="1"/>
  <c r="C258" i="1"/>
  <c r="D258" i="1" s="1"/>
  <c r="B258" i="1"/>
  <c r="A258" i="1"/>
  <c r="N257" i="1"/>
  <c r="E257" i="1"/>
  <c r="A257" i="1" s="1"/>
  <c r="C257" i="1"/>
  <c r="D257" i="1" s="1"/>
  <c r="B257" i="1"/>
  <c r="N256" i="1"/>
  <c r="E256" i="1"/>
  <c r="A256" i="1" s="1"/>
  <c r="C256" i="1"/>
  <c r="D256" i="1" s="1"/>
  <c r="B256" i="1"/>
  <c r="E255" i="1"/>
  <c r="A255" i="1" s="1"/>
  <c r="C255" i="1"/>
  <c r="D255" i="1" s="1"/>
  <c r="B255" i="1"/>
  <c r="N254" i="1"/>
  <c r="E254" i="1"/>
  <c r="A254" i="1" s="1"/>
  <c r="C254" i="1"/>
  <c r="D254" i="1" s="1"/>
  <c r="B254" i="1"/>
  <c r="E253" i="1"/>
  <c r="C253" i="1"/>
  <c r="D253" i="1" s="1"/>
  <c r="B253" i="1"/>
  <c r="A253" i="1"/>
  <c r="E252" i="1"/>
  <c r="C252" i="1"/>
  <c r="D252" i="1" s="1"/>
  <c r="B252" i="1"/>
  <c r="A252" i="1"/>
  <c r="E251" i="1"/>
  <c r="C251" i="1"/>
  <c r="D251" i="1" s="1"/>
  <c r="B251" i="1"/>
  <c r="A251" i="1"/>
  <c r="E250" i="1"/>
  <c r="A250" i="1" s="1"/>
  <c r="C250" i="1"/>
  <c r="D250" i="1" s="1"/>
  <c r="B250" i="1"/>
  <c r="E249" i="1"/>
  <c r="A249" i="1" s="1"/>
  <c r="C249" i="1"/>
  <c r="D249" i="1" s="1"/>
  <c r="B249" i="1"/>
  <c r="E248" i="1"/>
  <c r="C248" i="1"/>
  <c r="D248" i="1" s="1"/>
  <c r="B248" i="1"/>
  <c r="A248" i="1"/>
  <c r="E247" i="1"/>
  <c r="A247" i="1" s="1"/>
  <c r="C247" i="1"/>
  <c r="D247" i="1" s="1"/>
  <c r="B247" i="1"/>
  <c r="N246" i="1"/>
  <c r="E246" i="1"/>
  <c r="A246" i="1" s="1"/>
  <c r="C246" i="1"/>
  <c r="D246" i="1" s="1"/>
  <c r="B246" i="1"/>
  <c r="N245" i="1"/>
  <c r="E245" i="1"/>
  <c r="A245" i="1" s="1"/>
  <c r="C245" i="1"/>
  <c r="D245" i="1" s="1"/>
  <c r="B245" i="1"/>
  <c r="N244" i="1"/>
  <c r="E244" i="1"/>
  <c r="A244" i="1" s="1"/>
  <c r="C244" i="1"/>
  <c r="D244" i="1" s="1"/>
  <c r="B244" i="1"/>
  <c r="E243" i="1"/>
  <c r="A243" i="1" s="1"/>
  <c r="C243" i="1"/>
  <c r="D243" i="1" s="1"/>
  <c r="B243" i="1"/>
  <c r="E242" i="1"/>
  <c r="C242" i="1"/>
  <c r="D242" i="1" s="1"/>
  <c r="B242" i="1"/>
  <c r="A242" i="1"/>
  <c r="E241" i="1"/>
  <c r="A241" i="1" s="1"/>
  <c r="C241" i="1"/>
  <c r="D241" i="1" s="1"/>
  <c r="B241" i="1"/>
  <c r="E240" i="1"/>
  <c r="A240" i="1" s="1"/>
  <c r="C240" i="1"/>
  <c r="D240" i="1" s="1"/>
  <c r="B240" i="1"/>
  <c r="E239" i="1"/>
  <c r="C239" i="1"/>
  <c r="D239" i="1" s="1"/>
  <c r="B239" i="1"/>
  <c r="A239" i="1"/>
  <c r="E238" i="1"/>
  <c r="A238" i="1" s="1"/>
  <c r="C238" i="1"/>
  <c r="D238" i="1" s="1"/>
  <c r="B238" i="1"/>
  <c r="N237" i="1"/>
  <c r="E237" i="1"/>
  <c r="A237" i="1" s="1"/>
  <c r="C237" i="1"/>
  <c r="D237" i="1" s="1"/>
  <c r="B237" i="1"/>
  <c r="N236" i="1"/>
  <c r="E236" i="1"/>
  <c r="A236" i="1" s="1"/>
  <c r="C236" i="1"/>
  <c r="D236" i="1" s="1"/>
  <c r="B236" i="1"/>
  <c r="E235" i="1"/>
  <c r="C235" i="1"/>
  <c r="D235" i="1" s="1"/>
  <c r="B235" i="1"/>
  <c r="A235" i="1"/>
  <c r="E234" i="1"/>
  <c r="C234" i="1"/>
  <c r="D234" i="1" s="1"/>
  <c r="B234" i="1"/>
  <c r="A234" i="1"/>
  <c r="E233" i="1"/>
  <c r="A233" i="1" s="1"/>
  <c r="C233" i="1"/>
  <c r="D233" i="1" s="1"/>
  <c r="B233" i="1"/>
  <c r="E232" i="1"/>
  <c r="A232" i="1" s="1"/>
  <c r="C232" i="1"/>
  <c r="D232" i="1" s="1"/>
  <c r="B232" i="1"/>
  <c r="E231" i="1"/>
  <c r="A231" i="1" s="1"/>
  <c r="C231" i="1"/>
  <c r="D231" i="1" s="1"/>
  <c r="B231" i="1"/>
  <c r="E230" i="1"/>
  <c r="A230" i="1" s="1"/>
  <c r="C230" i="1"/>
  <c r="D230" i="1" s="1"/>
  <c r="B230" i="1"/>
  <c r="N229" i="1"/>
  <c r="E229" i="1"/>
  <c r="A229" i="1" s="1"/>
  <c r="C229" i="1"/>
  <c r="D229" i="1" s="1"/>
  <c r="B229" i="1"/>
  <c r="E228" i="1"/>
  <c r="C228" i="1"/>
  <c r="D228" i="1" s="1"/>
  <c r="B228" i="1"/>
  <c r="A228" i="1"/>
  <c r="N227" i="1"/>
  <c r="E227" i="1"/>
  <c r="A227" i="1" s="1"/>
  <c r="C227" i="1"/>
  <c r="D227" i="1" s="1"/>
  <c r="B227" i="1"/>
  <c r="E226" i="1"/>
  <c r="C226" i="1"/>
  <c r="D226" i="1" s="1"/>
  <c r="B226" i="1"/>
  <c r="A226" i="1"/>
  <c r="E225" i="1"/>
  <c r="C225" i="1"/>
  <c r="D225" i="1" s="1"/>
  <c r="B225" i="1"/>
  <c r="A225" i="1"/>
  <c r="E224" i="1"/>
  <c r="C224" i="1"/>
  <c r="D224" i="1" s="1"/>
  <c r="B224" i="1"/>
  <c r="A224" i="1"/>
  <c r="E223" i="1"/>
  <c r="C223" i="1"/>
  <c r="D223" i="1" s="1"/>
  <c r="B223" i="1"/>
  <c r="A223" i="1"/>
  <c r="N222" i="1"/>
  <c r="E222" i="1"/>
  <c r="A222" i="1" s="1"/>
  <c r="C222" i="1"/>
  <c r="D222" i="1" s="1"/>
  <c r="B222" i="1"/>
  <c r="N221" i="1"/>
  <c r="E221" i="1"/>
  <c r="A221" i="1" s="1"/>
  <c r="C221" i="1"/>
  <c r="D221" i="1" s="1"/>
  <c r="B221" i="1"/>
  <c r="E220" i="1"/>
  <c r="C220" i="1"/>
  <c r="D220" i="1" s="1"/>
  <c r="B220" i="1"/>
  <c r="A220" i="1"/>
  <c r="E219" i="1"/>
  <c r="C219" i="1"/>
  <c r="D219" i="1" s="1"/>
  <c r="B219" i="1"/>
  <c r="A219" i="1"/>
  <c r="N218" i="1"/>
  <c r="E218" i="1"/>
  <c r="A218" i="1" s="1"/>
  <c r="C218" i="1"/>
  <c r="D218" i="1" s="1"/>
  <c r="B218" i="1"/>
  <c r="E217" i="1"/>
  <c r="C217" i="1"/>
  <c r="D217" i="1" s="1"/>
  <c r="B217" i="1"/>
  <c r="A217" i="1"/>
  <c r="E216" i="1"/>
  <c r="A216" i="1" s="1"/>
  <c r="C216" i="1"/>
  <c r="D216" i="1" s="1"/>
  <c r="B216" i="1"/>
  <c r="N215" i="1"/>
  <c r="E215" i="1"/>
  <c r="A215" i="1" s="1"/>
  <c r="C215" i="1"/>
  <c r="D215" i="1" s="1"/>
  <c r="B215" i="1"/>
  <c r="E214" i="1"/>
  <c r="C214" i="1"/>
  <c r="D214" i="1" s="1"/>
  <c r="B214" i="1"/>
  <c r="A214" i="1"/>
  <c r="E213" i="1"/>
  <c r="C213" i="1"/>
  <c r="D213" i="1" s="1"/>
  <c r="B213" i="1"/>
  <c r="A213" i="1"/>
  <c r="E212" i="1"/>
  <c r="A212" i="1" s="1"/>
  <c r="C212" i="1"/>
  <c r="D212" i="1" s="1"/>
  <c r="B212" i="1"/>
  <c r="E211" i="1"/>
  <c r="C211" i="1"/>
  <c r="D211" i="1" s="1"/>
  <c r="B211" i="1"/>
  <c r="A211" i="1"/>
  <c r="E210" i="1"/>
  <c r="A210" i="1" s="1"/>
  <c r="C210" i="1"/>
  <c r="D210" i="1" s="1"/>
  <c r="B210" i="1"/>
  <c r="E209" i="1"/>
  <c r="C209" i="1"/>
  <c r="D209" i="1" s="1"/>
  <c r="B209" i="1"/>
  <c r="A209" i="1"/>
  <c r="N208" i="1"/>
  <c r="E208" i="1"/>
  <c r="A208" i="1" s="1"/>
  <c r="C208" i="1"/>
  <c r="D208" i="1" s="1"/>
  <c r="B208" i="1"/>
  <c r="N207" i="1"/>
  <c r="E207" i="1"/>
  <c r="A207" i="1" s="1"/>
  <c r="C207" i="1"/>
  <c r="D207" i="1" s="1"/>
  <c r="B207" i="1"/>
  <c r="E206" i="1"/>
  <c r="C206" i="1"/>
  <c r="D206" i="1" s="1"/>
  <c r="B206" i="1"/>
  <c r="A206" i="1"/>
  <c r="N205" i="1"/>
  <c r="E205" i="1"/>
  <c r="A205" i="1" s="1"/>
  <c r="C205" i="1"/>
  <c r="D205" i="1" s="1"/>
  <c r="B205" i="1"/>
  <c r="N204" i="1"/>
  <c r="E204" i="1"/>
  <c r="A204" i="1" s="1"/>
  <c r="C204" i="1"/>
  <c r="D204" i="1" s="1"/>
  <c r="B204" i="1"/>
  <c r="E203" i="1"/>
  <c r="A203" i="1" s="1"/>
  <c r="C203" i="1"/>
  <c r="D203" i="1" s="1"/>
  <c r="B203" i="1"/>
  <c r="E202" i="1"/>
  <c r="A202" i="1" s="1"/>
  <c r="C202" i="1"/>
  <c r="D202" i="1" s="1"/>
  <c r="B202" i="1"/>
  <c r="E201" i="1"/>
  <c r="C201" i="1"/>
  <c r="D201" i="1" s="1"/>
  <c r="B201" i="1"/>
  <c r="A201" i="1"/>
  <c r="E200" i="1"/>
  <c r="C200" i="1"/>
  <c r="D200" i="1" s="1"/>
  <c r="B200" i="1"/>
  <c r="A200" i="1"/>
  <c r="E199" i="1"/>
  <c r="C199" i="1"/>
  <c r="D199" i="1" s="1"/>
  <c r="B199" i="1"/>
  <c r="A199" i="1"/>
  <c r="N198" i="1"/>
  <c r="E198" i="1"/>
  <c r="A198" i="1" s="1"/>
  <c r="C198" i="1"/>
  <c r="D198" i="1" s="1"/>
  <c r="B198" i="1"/>
  <c r="E197" i="1"/>
  <c r="C197" i="1"/>
  <c r="D197" i="1" s="1"/>
  <c r="B197" i="1"/>
  <c r="A197" i="1"/>
  <c r="E196" i="1"/>
  <c r="A196" i="1" s="1"/>
  <c r="C196" i="1"/>
  <c r="D196" i="1" s="1"/>
  <c r="B196" i="1"/>
  <c r="E195" i="1"/>
  <c r="A195" i="1" s="1"/>
  <c r="C195" i="1"/>
  <c r="D195" i="1" s="1"/>
  <c r="B195" i="1"/>
  <c r="E194" i="1"/>
  <c r="A194" i="1" s="1"/>
  <c r="C194" i="1"/>
  <c r="D194" i="1" s="1"/>
  <c r="B194" i="1"/>
  <c r="E193" i="1"/>
  <c r="C193" i="1"/>
  <c r="D193" i="1" s="1"/>
  <c r="B193" i="1"/>
  <c r="A193" i="1"/>
  <c r="E192" i="1"/>
  <c r="C192" i="1"/>
  <c r="D192" i="1" s="1"/>
  <c r="B192" i="1"/>
  <c r="A192" i="1"/>
  <c r="E191" i="1"/>
  <c r="A191" i="1" s="1"/>
  <c r="C191" i="1"/>
  <c r="D191" i="1" s="1"/>
  <c r="B191" i="1"/>
  <c r="E190" i="1"/>
  <c r="A190" i="1" s="1"/>
  <c r="C190" i="1"/>
  <c r="D190" i="1" s="1"/>
  <c r="B190" i="1"/>
  <c r="E189" i="1"/>
  <c r="A189" i="1" s="1"/>
  <c r="C189" i="1"/>
  <c r="D189" i="1" s="1"/>
  <c r="B189" i="1"/>
  <c r="E188" i="1"/>
  <c r="A188" i="1" s="1"/>
  <c r="C188" i="1"/>
  <c r="D188" i="1" s="1"/>
  <c r="B188" i="1"/>
  <c r="E187" i="1"/>
  <c r="C187" i="1"/>
  <c r="D187" i="1" s="1"/>
  <c r="B187" i="1"/>
  <c r="A187" i="1"/>
  <c r="E186" i="1"/>
  <c r="C186" i="1"/>
  <c r="D186" i="1" s="1"/>
  <c r="B186" i="1"/>
  <c r="A186" i="1"/>
  <c r="E185" i="1"/>
  <c r="A185" i="1" s="1"/>
  <c r="C185" i="1"/>
  <c r="D185" i="1" s="1"/>
  <c r="B185" i="1"/>
  <c r="N184" i="1"/>
  <c r="E184" i="1"/>
  <c r="A184" i="1" s="1"/>
  <c r="C184" i="1"/>
  <c r="D184" i="1" s="1"/>
  <c r="B184" i="1"/>
  <c r="E183" i="1"/>
  <c r="C183" i="1"/>
  <c r="D183" i="1" s="1"/>
  <c r="B183" i="1"/>
  <c r="A183" i="1"/>
  <c r="N182" i="1"/>
  <c r="E182" i="1"/>
  <c r="A182" i="1" s="1"/>
  <c r="C182" i="1"/>
  <c r="D182" i="1" s="1"/>
  <c r="B182" i="1"/>
  <c r="E181" i="1"/>
  <c r="A181" i="1" s="1"/>
  <c r="C181" i="1"/>
  <c r="D181" i="1" s="1"/>
  <c r="B181" i="1"/>
  <c r="E180" i="1"/>
  <c r="A180" i="1" s="1"/>
  <c r="C180" i="1"/>
  <c r="D180" i="1" s="1"/>
  <c r="B180" i="1"/>
  <c r="E179" i="1"/>
  <c r="C179" i="1"/>
  <c r="D179" i="1" s="1"/>
  <c r="B179" i="1"/>
  <c r="A179" i="1"/>
  <c r="N178" i="1"/>
  <c r="E178" i="1"/>
  <c r="A178" i="1" s="1"/>
  <c r="C178" i="1"/>
  <c r="D178" i="1" s="1"/>
  <c r="B178" i="1"/>
  <c r="N177" i="1"/>
  <c r="E177" i="1"/>
  <c r="A177" i="1" s="1"/>
  <c r="C177" i="1"/>
  <c r="D177" i="1" s="1"/>
  <c r="B177" i="1"/>
  <c r="E176" i="1"/>
  <c r="A176" i="1" s="1"/>
  <c r="C176" i="1"/>
  <c r="D176" i="1" s="1"/>
  <c r="B176" i="1"/>
  <c r="N175" i="1"/>
  <c r="E175" i="1"/>
  <c r="C175" i="1"/>
  <c r="D175" i="1" s="1"/>
  <c r="B175" i="1"/>
  <c r="A175" i="1"/>
  <c r="E174" i="1"/>
  <c r="A174" i="1" s="1"/>
  <c r="C174" i="1"/>
  <c r="D174" i="1" s="1"/>
  <c r="B174" i="1"/>
  <c r="N173" i="1"/>
  <c r="E173" i="1"/>
  <c r="A173" i="1" s="1"/>
  <c r="C173" i="1"/>
  <c r="D173" i="1" s="1"/>
  <c r="B173" i="1"/>
  <c r="N172" i="1"/>
  <c r="E172" i="1"/>
  <c r="A172" i="1" s="1"/>
  <c r="C172" i="1"/>
  <c r="D172" i="1" s="1"/>
  <c r="B172" i="1"/>
  <c r="N171" i="1"/>
  <c r="E171" i="1"/>
  <c r="A171" i="1" s="1"/>
  <c r="C171" i="1"/>
  <c r="D171" i="1" s="1"/>
  <c r="B171" i="1"/>
  <c r="E170" i="1"/>
  <c r="C170" i="1"/>
  <c r="D170" i="1" s="1"/>
  <c r="B170" i="1"/>
  <c r="A170" i="1"/>
  <c r="N169" i="1"/>
  <c r="E169" i="1"/>
  <c r="A169" i="1" s="1"/>
  <c r="C169" i="1"/>
  <c r="D169" i="1" s="1"/>
  <c r="B169" i="1"/>
  <c r="E168" i="1"/>
  <c r="A168" i="1" s="1"/>
  <c r="C168" i="1"/>
  <c r="D168" i="1" s="1"/>
  <c r="B168" i="1"/>
  <c r="E167" i="1"/>
  <c r="A167" i="1" s="1"/>
  <c r="C167" i="1"/>
  <c r="D167" i="1" s="1"/>
  <c r="B167" i="1"/>
  <c r="E166" i="1"/>
  <c r="A166" i="1" s="1"/>
  <c r="C166" i="1"/>
  <c r="D166" i="1" s="1"/>
  <c r="B166" i="1"/>
  <c r="N165" i="1"/>
  <c r="E165" i="1"/>
  <c r="A165" i="1" s="1"/>
  <c r="C165" i="1"/>
  <c r="D165" i="1" s="1"/>
  <c r="B165" i="1"/>
  <c r="N164" i="1"/>
  <c r="E164" i="1"/>
  <c r="A164" i="1" s="1"/>
  <c r="C164" i="1"/>
  <c r="D164" i="1" s="1"/>
  <c r="B164" i="1"/>
  <c r="E163" i="1"/>
  <c r="A163" i="1" s="1"/>
  <c r="C163" i="1"/>
  <c r="D163" i="1" s="1"/>
  <c r="B163" i="1"/>
  <c r="N162" i="1"/>
  <c r="E162" i="1"/>
  <c r="A162" i="1" s="1"/>
  <c r="C162" i="1"/>
  <c r="D162" i="1" s="1"/>
  <c r="B162" i="1"/>
  <c r="E161" i="1"/>
  <c r="A161" i="1" s="1"/>
  <c r="C161" i="1"/>
  <c r="D161" i="1" s="1"/>
  <c r="B161" i="1"/>
  <c r="N160" i="1"/>
  <c r="E160" i="1"/>
  <c r="A160" i="1" s="1"/>
  <c r="C160" i="1"/>
  <c r="D160" i="1" s="1"/>
  <c r="B160" i="1"/>
  <c r="E159" i="1"/>
  <c r="C159" i="1"/>
  <c r="D159" i="1" s="1"/>
  <c r="B159" i="1"/>
  <c r="A159" i="1"/>
  <c r="E158" i="1"/>
  <c r="C158" i="1"/>
  <c r="D158" i="1" s="1"/>
  <c r="B158" i="1"/>
  <c r="A158" i="1"/>
  <c r="E157" i="1"/>
  <c r="C157" i="1"/>
  <c r="D157" i="1" s="1"/>
  <c r="B157" i="1"/>
  <c r="A157" i="1"/>
  <c r="E156" i="1"/>
  <c r="C156" i="1"/>
  <c r="D156" i="1" s="1"/>
  <c r="B156" i="1"/>
  <c r="A156" i="1"/>
  <c r="E155" i="1"/>
  <c r="C155" i="1"/>
  <c r="D155" i="1" s="1"/>
  <c r="B155" i="1"/>
  <c r="A155" i="1"/>
  <c r="E154" i="1"/>
  <c r="C154" i="1"/>
  <c r="D154" i="1" s="1"/>
  <c r="B154" i="1"/>
  <c r="A154" i="1"/>
  <c r="E153" i="1"/>
  <c r="C153" i="1"/>
  <c r="D153" i="1" s="1"/>
  <c r="B153" i="1"/>
  <c r="A153" i="1"/>
  <c r="N152" i="1"/>
  <c r="E152" i="1"/>
  <c r="A152" i="1" s="1"/>
  <c r="C152" i="1"/>
  <c r="D152" i="1" s="1"/>
  <c r="B152" i="1"/>
  <c r="N151" i="1"/>
  <c r="E151" i="1"/>
  <c r="A151" i="1" s="1"/>
  <c r="C151" i="1"/>
  <c r="D151" i="1" s="1"/>
  <c r="B151" i="1"/>
  <c r="E150" i="1"/>
  <c r="A150" i="1" s="1"/>
  <c r="C150" i="1"/>
  <c r="D150" i="1" s="1"/>
  <c r="B150" i="1"/>
  <c r="N149" i="1"/>
  <c r="E149" i="1"/>
  <c r="A149" i="1" s="1"/>
  <c r="C149" i="1"/>
  <c r="D149" i="1" s="1"/>
  <c r="B149" i="1"/>
  <c r="N148" i="1"/>
  <c r="E148" i="1"/>
  <c r="A148" i="1" s="1"/>
  <c r="C148" i="1"/>
  <c r="D148" i="1" s="1"/>
  <c r="B148" i="1"/>
  <c r="E147" i="1"/>
  <c r="A147" i="1" s="1"/>
  <c r="C147" i="1"/>
  <c r="D147" i="1" s="1"/>
  <c r="B147" i="1"/>
  <c r="N146" i="1"/>
  <c r="E146" i="1"/>
  <c r="A146" i="1" s="1"/>
  <c r="C146" i="1"/>
  <c r="D146" i="1" s="1"/>
  <c r="B146" i="1"/>
  <c r="E145" i="1"/>
  <c r="C145" i="1"/>
  <c r="D145" i="1" s="1"/>
  <c r="B145" i="1"/>
  <c r="A145" i="1"/>
  <c r="N144" i="1"/>
  <c r="E144" i="1"/>
  <c r="A144" i="1" s="1"/>
  <c r="C144" i="1"/>
  <c r="D144" i="1" s="1"/>
  <c r="B144" i="1"/>
  <c r="N143" i="1"/>
  <c r="E143" i="1"/>
  <c r="A143" i="1" s="1"/>
  <c r="C143" i="1"/>
  <c r="D143" i="1" s="1"/>
  <c r="B143" i="1"/>
  <c r="N142" i="1"/>
  <c r="E142" i="1"/>
  <c r="A142" i="1" s="1"/>
  <c r="C142" i="1"/>
  <c r="D142" i="1" s="1"/>
  <c r="B142" i="1"/>
  <c r="N141" i="1"/>
  <c r="E141" i="1"/>
  <c r="A141" i="1" s="1"/>
  <c r="C141" i="1"/>
  <c r="D141" i="1" s="1"/>
  <c r="B141" i="1"/>
  <c r="E140" i="1"/>
  <c r="A140" i="1" s="1"/>
  <c r="C140" i="1"/>
  <c r="D140" i="1" s="1"/>
  <c r="B140" i="1"/>
  <c r="N139" i="1"/>
  <c r="E139" i="1"/>
  <c r="A139" i="1" s="1"/>
  <c r="C139" i="1"/>
  <c r="D139" i="1" s="1"/>
  <c r="B139" i="1"/>
  <c r="E138" i="1"/>
  <c r="A138" i="1" s="1"/>
  <c r="C138" i="1"/>
  <c r="D138" i="1" s="1"/>
  <c r="B138" i="1"/>
  <c r="N137" i="1"/>
  <c r="E137" i="1"/>
  <c r="A137" i="1" s="1"/>
  <c r="C137" i="1"/>
  <c r="D137" i="1" s="1"/>
  <c r="B137" i="1"/>
  <c r="E136" i="1"/>
  <c r="A136" i="1" s="1"/>
  <c r="C136" i="1"/>
  <c r="D136" i="1" s="1"/>
  <c r="B136" i="1"/>
  <c r="N135" i="1"/>
  <c r="E135" i="1"/>
  <c r="A135" i="1" s="1"/>
  <c r="C135" i="1"/>
  <c r="D135" i="1" s="1"/>
  <c r="B135" i="1"/>
  <c r="E134" i="1"/>
  <c r="A134" i="1" s="1"/>
  <c r="C134" i="1"/>
  <c r="D134" i="1" s="1"/>
  <c r="B134" i="1"/>
  <c r="N133" i="1"/>
  <c r="E133" i="1"/>
  <c r="A133" i="1" s="1"/>
  <c r="C133" i="1"/>
  <c r="D133" i="1" s="1"/>
  <c r="B133" i="1"/>
  <c r="N132" i="1"/>
  <c r="E132" i="1"/>
  <c r="A132" i="1" s="1"/>
  <c r="C132" i="1"/>
  <c r="D132" i="1" s="1"/>
  <c r="B132" i="1"/>
  <c r="N131" i="1"/>
  <c r="E131" i="1"/>
  <c r="A131" i="1" s="1"/>
  <c r="C131" i="1"/>
  <c r="D131" i="1" s="1"/>
  <c r="B131" i="1"/>
  <c r="N130" i="1"/>
  <c r="E130" i="1"/>
  <c r="A130" i="1" s="1"/>
  <c r="C130" i="1"/>
  <c r="D130" i="1" s="1"/>
  <c r="B130" i="1"/>
  <c r="N129" i="1"/>
  <c r="E129" i="1"/>
  <c r="A129" i="1" s="1"/>
  <c r="C129" i="1"/>
  <c r="D129" i="1" s="1"/>
  <c r="B129" i="1"/>
  <c r="E128" i="1"/>
  <c r="A128" i="1" s="1"/>
  <c r="C128" i="1"/>
  <c r="D128" i="1" s="1"/>
  <c r="B128" i="1"/>
  <c r="N127" i="1"/>
  <c r="E127" i="1"/>
  <c r="A127" i="1" s="1"/>
  <c r="C127" i="1"/>
  <c r="D127" i="1" s="1"/>
  <c r="B127" i="1"/>
  <c r="N126" i="1"/>
  <c r="E126" i="1"/>
  <c r="A126" i="1" s="1"/>
  <c r="C126" i="1"/>
  <c r="D126" i="1" s="1"/>
  <c r="B126" i="1"/>
  <c r="E125" i="1"/>
  <c r="C125" i="1"/>
  <c r="D125" i="1" s="1"/>
  <c r="B125" i="1"/>
  <c r="A125" i="1"/>
  <c r="N124" i="1"/>
  <c r="E124" i="1"/>
  <c r="A124" i="1" s="1"/>
  <c r="C124" i="1"/>
  <c r="D124" i="1" s="1"/>
  <c r="B124" i="1"/>
  <c r="N123" i="1"/>
  <c r="E123" i="1"/>
  <c r="A123" i="1" s="1"/>
  <c r="C123" i="1"/>
  <c r="D123" i="1" s="1"/>
  <c r="B123" i="1"/>
  <c r="N122" i="1"/>
  <c r="E122" i="1"/>
  <c r="A122" i="1" s="1"/>
  <c r="C122" i="1"/>
  <c r="D122" i="1" s="1"/>
  <c r="B122" i="1"/>
  <c r="N121" i="1"/>
  <c r="E121" i="1"/>
  <c r="A121" i="1" s="1"/>
  <c r="C121" i="1"/>
  <c r="D121" i="1" s="1"/>
  <c r="B121" i="1"/>
  <c r="N120" i="1"/>
  <c r="E120" i="1"/>
  <c r="A120" i="1" s="1"/>
  <c r="C120" i="1"/>
  <c r="D120" i="1" s="1"/>
  <c r="B120" i="1"/>
  <c r="E119" i="1"/>
  <c r="A119" i="1" s="1"/>
  <c r="C119" i="1"/>
  <c r="D119" i="1" s="1"/>
  <c r="B119" i="1"/>
  <c r="E118" i="1"/>
  <c r="C118" i="1"/>
  <c r="D118" i="1" s="1"/>
  <c r="B118" i="1"/>
  <c r="A118" i="1"/>
  <c r="N117" i="1"/>
  <c r="E117" i="1"/>
  <c r="A117" i="1" s="1"/>
  <c r="C117" i="1"/>
  <c r="D117" i="1" s="1"/>
  <c r="B117" i="1"/>
  <c r="N116" i="1"/>
  <c r="E116" i="1"/>
  <c r="A116" i="1" s="1"/>
  <c r="C116" i="1"/>
  <c r="D116" i="1" s="1"/>
  <c r="B116" i="1"/>
  <c r="N115" i="1"/>
  <c r="E115" i="1"/>
  <c r="A115" i="1" s="1"/>
  <c r="C115" i="1"/>
  <c r="D115" i="1" s="1"/>
  <c r="B115" i="1"/>
  <c r="N114" i="1"/>
  <c r="E114" i="1"/>
  <c r="A114" i="1" s="1"/>
  <c r="C114" i="1"/>
  <c r="D114" i="1" s="1"/>
  <c r="B114" i="1"/>
  <c r="N113" i="1"/>
  <c r="E113" i="1"/>
  <c r="A113" i="1" s="1"/>
  <c r="C113" i="1"/>
  <c r="D113" i="1" s="1"/>
  <c r="B113" i="1"/>
  <c r="N112" i="1"/>
  <c r="E112" i="1"/>
  <c r="A112" i="1" s="1"/>
  <c r="C112" i="1"/>
  <c r="D112" i="1" s="1"/>
  <c r="B112" i="1"/>
  <c r="N111" i="1"/>
  <c r="E111" i="1"/>
  <c r="A111" i="1" s="1"/>
  <c r="C111" i="1"/>
  <c r="D111" i="1" s="1"/>
  <c r="B111" i="1"/>
  <c r="N110" i="1"/>
  <c r="E110" i="1"/>
  <c r="A110" i="1" s="1"/>
  <c r="C110" i="1"/>
  <c r="D110" i="1" s="1"/>
  <c r="B110" i="1"/>
  <c r="E109" i="1"/>
  <c r="A109" i="1" s="1"/>
  <c r="C109" i="1"/>
  <c r="D109" i="1" s="1"/>
  <c r="B109" i="1"/>
  <c r="E108" i="1"/>
  <c r="A108" i="1" s="1"/>
  <c r="C108" i="1"/>
  <c r="D108" i="1" s="1"/>
  <c r="B108" i="1"/>
  <c r="E107" i="1"/>
  <c r="A107" i="1" s="1"/>
  <c r="C107" i="1"/>
  <c r="D107" i="1" s="1"/>
  <c r="B107" i="1"/>
  <c r="E106" i="1"/>
  <c r="A106" i="1" s="1"/>
  <c r="C106" i="1"/>
  <c r="D106" i="1" s="1"/>
  <c r="B106" i="1"/>
  <c r="N105" i="1"/>
  <c r="E105" i="1"/>
  <c r="A105" i="1" s="1"/>
  <c r="C105" i="1"/>
  <c r="D105" i="1" s="1"/>
  <c r="B105" i="1"/>
  <c r="N104" i="1"/>
  <c r="E104" i="1"/>
  <c r="A104" i="1" s="1"/>
  <c r="C104" i="1"/>
  <c r="D104" i="1" s="1"/>
  <c r="B104" i="1"/>
  <c r="E103" i="1"/>
  <c r="A103" i="1" s="1"/>
  <c r="C103" i="1"/>
  <c r="D103" i="1" s="1"/>
  <c r="B103" i="1"/>
  <c r="E102" i="1"/>
  <c r="A102" i="1" s="1"/>
  <c r="C102" i="1"/>
  <c r="D102" i="1" s="1"/>
  <c r="B102" i="1"/>
  <c r="N101" i="1"/>
  <c r="E101" i="1"/>
  <c r="A101" i="1" s="1"/>
  <c r="C101" i="1"/>
  <c r="D101" i="1" s="1"/>
  <c r="B101" i="1"/>
  <c r="E100" i="1"/>
  <c r="A100" i="1" s="1"/>
  <c r="C100" i="1"/>
  <c r="D100" i="1" s="1"/>
  <c r="B100" i="1"/>
  <c r="E99" i="1"/>
  <c r="A99" i="1" s="1"/>
  <c r="C99" i="1"/>
  <c r="D99" i="1" s="1"/>
  <c r="B99" i="1"/>
  <c r="E98" i="1"/>
  <c r="A98" i="1" s="1"/>
  <c r="C98" i="1"/>
  <c r="D98" i="1" s="1"/>
  <c r="B98" i="1"/>
  <c r="E97" i="1"/>
  <c r="A97" i="1" s="1"/>
  <c r="C97" i="1"/>
  <c r="D97" i="1" s="1"/>
  <c r="B97" i="1"/>
  <c r="E96" i="1"/>
  <c r="A96" i="1" s="1"/>
  <c r="C96" i="1"/>
  <c r="D96" i="1" s="1"/>
  <c r="B96" i="1"/>
  <c r="E95" i="1"/>
  <c r="A95" i="1" s="1"/>
  <c r="C95" i="1"/>
  <c r="D95" i="1" s="1"/>
  <c r="B95" i="1"/>
  <c r="N94" i="1"/>
  <c r="E94" i="1"/>
  <c r="A94" i="1" s="1"/>
  <c r="C94" i="1"/>
  <c r="D94" i="1" s="1"/>
  <c r="B94" i="1"/>
  <c r="E93" i="1"/>
  <c r="A93" i="1" s="1"/>
  <c r="C93" i="1"/>
  <c r="D93" i="1" s="1"/>
  <c r="B93" i="1"/>
  <c r="N92" i="1"/>
  <c r="E92" i="1"/>
  <c r="A92" i="1" s="1"/>
  <c r="C92" i="1"/>
  <c r="D92" i="1" s="1"/>
  <c r="B92" i="1"/>
  <c r="N91" i="1"/>
  <c r="E91" i="1"/>
  <c r="A91" i="1" s="1"/>
  <c r="C91" i="1"/>
  <c r="D91" i="1" s="1"/>
  <c r="B91" i="1"/>
  <c r="E90" i="1"/>
  <c r="A90" i="1" s="1"/>
  <c r="C90" i="1"/>
  <c r="D90" i="1" s="1"/>
  <c r="B90" i="1"/>
  <c r="N89" i="1"/>
  <c r="E89" i="1"/>
  <c r="A89" i="1" s="1"/>
  <c r="C89" i="1"/>
  <c r="D89" i="1" s="1"/>
  <c r="B89" i="1"/>
  <c r="N88" i="1"/>
  <c r="E88" i="1"/>
  <c r="A88" i="1" s="1"/>
  <c r="C88" i="1"/>
  <c r="D88" i="1" s="1"/>
  <c r="B88" i="1"/>
  <c r="E87" i="1"/>
  <c r="A87" i="1" s="1"/>
  <c r="C87" i="1"/>
  <c r="D87" i="1" s="1"/>
  <c r="B87" i="1"/>
  <c r="N86" i="1"/>
  <c r="E86" i="1"/>
  <c r="A86" i="1" s="1"/>
  <c r="C86" i="1"/>
  <c r="D86" i="1" s="1"/>
  <c r="B86" i="1"/>
  <c r="E85" i="1"/>
  <c r="A85" i="1" s="1"/>
  <c r="C85" i="1"/>
  <c r="D85" i="1" s="1"/>
  <c r="B85" i="1"/>
  <c r="N84" i="1"/>
  <c r="E84" i="1"/>
  <c r="A84" i="1" s="1"/>
  <c r="C84" i="1"/>
  <c r="D84" i="1" s="1"/>
  <c r="B84" i="1"/>
  <c r="E83" i="1"/>
  <c r="A83" i="1" s="1"/>
  <c r="C83" i="1"/>
  <c r="D83" i="1" s="1"/>
  <c r="B83" i="1"/>
  <c r="E82" i="1"/>
  <c r="A82" i="1" s="1"/>
  <c r="C82" i="1"/>
  <c r="D82" i="1" s="1"/>
  <c r="B82" i="1"/>
  <c r="N81" i="1"/>
  <c r="E81" i="1"/>
  <c r="A81" i="1" s="1"/>
  <c r="C81" i="1"/>
  <c r="D81" i="1" s="1"/>
  <c r="B81" i="1"/>
  <c r="E80" i="1"/>
  <c r="A80" i="1" s="1"/>
  <c r="C80" i="1"/>
  <c r="D80" i="1" s="1"/>
  <c r="B80" i="1"/>
  <c r="N79" i="1"/>
  <c r="E79" i="1"/>
  <c r="A79" i="1" s="1"/>
  <c r="C79" i="1"/>
  <c r="D79" i="1" s="1"/>
  <c r="B79" i="1"/>
  <c r="E78" i="1"/>
  <c r="C78" i="1"/>
  <c r="D78" i="1" s="1"/>
  <c r="B78" i="1"/>
  <c r="A78" i="1"/>
  <c r="E77" i="1"/>
  <c r="C77" i="1"/>
  <c r="D77" i="1" s="1"/>
  <c r="B77" i="1"/>
  <c r="A77" i="1"/>
  <c r="E76" i="1"/>
  <c r="C76" i="1"/>
  <c r="D76" i="1" s="1"/>
  <c r="B76" i="1"/>
  <c r="A76" i="1"/>
  <c r="E75" i="1"/>
  <c r="C75" i="1"/>
  <c r="D75" i="1" s="1"/>
  <c r="B75" i="1"/>
  <c r="A75" i="1"/>
  <c r="E74" i="1"/>
  <c r="C74" i="1"/>
  <c r="D74" i="1" s="1"/>
  <c r="B74" i="1"/>
  <c r="A74" i="1"/>
  <c r="E73" i="1"/>
  <c r="C73" i="1"/>
  <c r="D73" i="1" s="1"/>
  <c r="B73" i="1"/>
  <c r="A73" i="1"/>
  <c r="E72" i="1"/>
  <c r="C72" i="1"/>
  <c r="D72" i="1" s="1"/>
  <c r="B72" i="1"/>
  <c r="A72" i="1"/>
  <c r="N71" i="1"/>
  <c r="E71" i="1"/>
  <c r="A71" i="1" s="1"/>
  <c r="C71" i="1"/>
  <c r="D71" i="1" s="1"/>
  <c r="B71" i="1"/>
  <c r="N70" i="1"/>
  <c r="E70" i="1"/>
  <c r="A70" i="1" s="1"/>
  <c r="C70" i="1"/>
  <c r="D70" i="1" s="1"/>
  <c r="B70" i="1"/>
  <c r="N69" i="1"/>
  <c r="E69" i="1"/>
  <c r="A69" i="1" s="1"/>
  <c r="C69" i="1"/>
  <c r="D69" i="1" s="1"/>
  <c r="B69" i="1"/>
  <c r="N68" i="1"/>
  <c r="E68" i="1"/>
  <c r="A68" i="1" s="1"/>
  <c r="C68" i="1"/>
  <c r="D68" i="1" s="1"/>
  <c r="B68" i="1"/>
  <c r="N67" i="1"/>
  <c r="E67" i="1"/>
  <c r="A67" i="1" s="1"/>
  <c r="C67" i="1"/>
  <c r="D67" i="1" s="1"/>
  <c r="B67" i="1"/>
  <c r="N66" i="1"/>
  <c r="E66" i="1"/>
  <c r="A66" i="1" s="1"/>
  <c r="C66" i="1"/>
  <c r="D66" i="1" s="1"/>
  <c r="B66" i="1"/>
  <c r="E65" i="1"/>
  <c r="A65" i="1" s="1"/>
  <c r="C65" i="1"/>
  <c r="D65" i="1" s="1"/>
  <c r="B65" i="1"/>
  <c r="N64" i="1"/>
  <c r="E64" i="1"/>
  <c r="A64" i="1" s="1"/>
  <c r="C64" i="1"/>
  <c r="D64" i="1" s="1"/>
  <c r="B64" i="1"/>
  <c r="N63" i="1"/>
  <c r="E63" i="1"/>
  <c r="A63" i="1" s="1"/>
  <c r="C63" i="1"/>
  <c r="D63" i="1" s="1"/>
  <c r="B63" i="1"/>
  <c r="N62" i="1"/>
  <c r="E62" i="1"/>
  <c r="A62" i="1" s="1"/>
  <c r="C62" i="1"/>
  <c r="D62" i="1" s="1"/>
  <c r="B62" i="1"/>
  <c r="N61" i="1"/>
  <c r="E61" i="1"/>
  <c r="A61" i="1" s="1"/>
  <c r="C61" i="1"/>
  <c r="D61" i="1" s="1"/>
  <c r="B61" i="1"/>
  <c r="N60" i="1"/>
  <c r="E60" i="1"/>
  <c r="A60" i="1" s="1"/>
  <c r="C60" i="1"/>
  <c r="D60" i="1" s="1"/>
  <c r="B60" i="1"/>
  <c r="E59" i="1"/>
  <c r="A59" i="1" s="1"/>
  <c r="C59" i="1"/>
  <c r="D59" i="1" s="1"/>
  <c r="B59" i="1"/>
  <c r="E58" i="1"/>
  <c r="A58" i="1" s="1"/>
  <c r="C58" i="1"/>
  <c r="D58" i="1" s="1"/>
  <c r="B58" i="1"/>
  <c r="N57" i="1"/>
  <c r="E57" i="1"/>
  <c r="A57" i="1" s="1"/>
  <c r="C57" i="1"/>
  <c r="D57" i="1" s="1"/>
  <c r="B57" i="1"/>
  <c r="N56" i="1"/>
  <c r="E56" i="1"/>
  <c r="A56" i="1" s="1"/>
  <c r="C56" i="1"/>
  <c r="D56" i="1" s="1"/>
  <c r="B56" i="1"/>
  <c r="N55" i="1"/>
  <c r="E55" i="1"/>
  <c r="A55" i="1" s="1"/>
  <c r="C55" i="1"/>
  <c r="D55" i="1" s="1"/>
  <c r="B55" i="1"/>
  <c r="N54" i="1"/>
  <c r="E54" i="1"/>
  <c r="A54" i="1" s="1"/>
  <c r="C54" i="1"/>
  <c r="D54" i="1" s="1"/>
  <c r="B54" i="1"/>
  <c r="N53" i="1"/>
  <c r="E53" i="1"/>
  <c r="A53" i="1" s="1"/>
  <c r="C53" i="1"/>
  <c r="D53" i="1" s="1"/>
  <c r="B53" i="1"/>
  <c r="N52" i="1"/>
  <c r="E52" i="1"/>
  <c r="A52" i="1" s="1"/>
  <c r="C52" i="1"/>
  <c r="D52" i="1" s="1"/>
  <c r="B52" i="1"/>
  <c r="E51" i="1"/>
  <c r="A51" i="1" s="1"/>
  <c r="C51" i="1"/>
  <c r="D51" i="1" s="1"/>
  <c r="B51" i="1"/>
  <c r="N50" i="1"/>
  <c r="E50" i="1"/>
  <c r="A50" i="1" s="1"/>
  <c r="C50" i="1"/>
  <c r="D50" i="1" s="1"/>
  <c r="B50" i="1"/>
  <c r="E49" i="1"/>
  <c r="A49" i="1" s="1"/>
  <c r="C49" i="1"/>
  <c r="D49" i="1" s="1"/>
  <c r="B49" i="1"/>
  <c r="N48" i="1"/>
  <c r="E48" i="1"/>
  <c r="A48" i="1" s="1"/>
  <c r="C48" i="1"/>
  <c r="D48" i="1" s="1"/>
  <c r="B48" i="1"/>
  <c r="N47" i="1"/>
  <c r="E47" i="1"/>
  <c r="A47" i="1" s="1"/>
  <c r="C47" i="1"/>
  <c r="D47" i="1" s="1"/>
  <c r="B47" i="1"/>
  <c r="E46" i="1"/>
  <c r="A46" i="1" s="1"/>
  <c r="C46" i="1"/>
  <c r="D46" i="1" s="1"/>
  <c r="B46" i="1"/>
  <c r="E45" i="1"/>
  <c r="A45" i="1" s="1"/>
  <c r="C45" i="1"/>
  <c r="D45" i="1" s="1"/>
  <c r="B45" i="1"/>
  <c r="N44" i="1"/>
  <c r="E44" i="1"/>
  <c r="A44" i="1" s="1"/>
  <c r="C44" i="1"/>
  <c r="D44" i="1" s="1"/>
  <c r="B44" i="1"/>
  <c r="N43" i="1"/>
  <c r="E43" i="1"/>
  <c r="A43" i="1" s="1"/>
  <c r="C43" i="1"/>
  <c r="D43" i="1" s="1"/>
  <c r="B43" i="1"/>
  <c r="E42" i="1"/>
  <c r="A42" i="1" s="1"/>
  <c r="C42" i="1"/>
  <c r="D42" i="1" s="1"/>
  <c r="B42" i="1"/>
  <c r="N41" i="1"/>
  <c r="E41" i="1"/>
  <c r="A41" i="1" s="1"/>
  <c r="C41" i="1"/>
  <c r="D41" i="1" s="1"/>
  <c r="B41" i="1"/>
  <c r="E40" i="1"/>
  <c r="A40" i="1" s="1"/>
  <c r="C40" i="1"/>
  <c r="D40" i="1" s="1"/>
  <c r="B40" i="1"/>
  <c r="E39" i="1"/>
  <c r="A39" i="1" s="1"/>
  <c r="C39" i="1"/>
  <c r="D39" i="1" s="1"/>
  <c r="B39" i="1"/>
  <c r="E38" i="1"/>
  <c r="A38" i="1" s="1"/>
  <c r="C38" i="1"/>
  <c r="D38" i="1" s="1"/>
  <c r="B38" i="1"/>
  <c r="E37" i="1"/>
  <c r="A37" i="1" s="1"/>
  <c r="C37" i="1"/>
  <c r="D37" i="1" s="1"/>
  <c r="B37" i="1"/>
  <c r="E36" i="1"/>
  <c r="A36" i="1" s="1"/>
  <c r="C36" i="1"/>
  <c r="D36" i="1" s="1"/>
  <c r="B36" i="1"/>
  <c r="E35" i="1"/>
  <c r="A35" i="1" s="1"/>
  <c r="C35" i="1"/>
  <c r="D35" i="1" s="1"/>
  <c r="B35" i="1"/>
  <c r="N34" i="1"/>
  <c r="E34" i="1"/>
  <c r="A34" i="1" s="1"/>
  <c r="C34" i="1"/>
  <c r="D34" i="1" s="1"/>
  <c r="B34" i="1"/>
  <c r="N33" i="1"/>
  <c r="E33" i="1"/>
  <c r="A33" i="1" s="1"/>
  <c r="C33" i="1"/>
  <c r="D33" i="1" s="1"/>
  <c r="B33" i="1"/>
  <c r="E32" i="1"/>
  <c r="A32" i="1" s="1"/>
  <c r="C32" i="1"/>
  <c r="D32" i="1" s="1"/>
  <c r="B32" i="1"/>
  <c r="N31" i="1"/>
  <c r="E31" i="1"/>
  <c r="A31" i="1" s="1"/>
  <c r="C31" i="1"/>
  <c r="D31" i="1" s="1"/>
  <c r="B31" i="1"/>
  <c r="E30" i="1"/>
  <c r="A30" i="1" s="1"/>
  <c r="C30" i="1"/>
  <c r="D30" i="1" s="1"/>
  <c r="B30" i="1"/>
  <c r="E29" i="1"/>
  <c r="A29" i="1" s="1"/>
  <c r="C29" i="1"/>
  <c r="D29" i="1" s="1"/>
  <c r="B29" i="1"/>
  <c r="N28" i="1"/>
  <c r="E28" i="1"/>
  <c r="A28" i="1" s="1"/>
  <c r="C28" i="1"/>
  <c r="D28" i="1" s="1"/>
  <c r="B28" i="1"/>
  <c r="N27" i="1"/>
  <c r="E27" i="1"/>
  <c r="A27" i="1" s="1"/>
  <c r="C27" i="1"/>
  <c r="D27" i="1" s="1"/>
  <c r="B27" i="1"/>
  <c r="N26" i="1"/>
  <c r="E26" i="1"/>
  <c r="A26" i="1" s="1"/>
  <c r="C26" i="1"/>
  <c r="D26" i="1" s="1"/>
  <c r="B26" i="1"/>
  <c r="N25" i="1"/>
  <c r="E25" i="1"/>
  <c r="A25" i="1" s="1"/>
  <c r="C25" i="1"/>
  <c r="D25" i="1" s="1"/>
  <c r="B25" i="1"/>
  <c r="N24" i="1"/>
  <c r="E24" i="1"/>
  <c r="A24" i="1" s="1"/>
  <c r="C24" i="1"/>
  <c r="D24" i="1" s="1"/>
  <c r="B24" i="1"/>
  <c r="E23" i="1"/>
  <c r="A23" i="1" s="1"/>
  <c r="C23" i="1"/>
  <c r="D23" i="1" s="1"/>
  <c r="B23" i="1"/>
  <c r="N22" i="1"/>
  <c r="E22" i="1"/>
  <c r="A22" i="1" s="1"/>
  <c r="C22" i="1"/>
  <c r="D22" i="1" s="1"/>
  <c r="B22" i="1"/>
  <c r="N21" i="1"/>
  <c r="E21" i="1"/>
  <c r="C21" i="1"/>
  <c r="D21" i="1" s="1"/>
  <c r="B21" i="1"/>
  <c r="A21" i="1"/>
  <c r="E20" i="1"/>
  <c r="A20" i="1" s="1"/>
  <c r="C20" i="1"/>
  <c r="D20" i="1" s="1"/>
  <c r="B20" i="1"/>
  <c r="E19" i="1"/>
  <c r="A19" i="1" s="1"/>
  <c r="C19" i="1"/>
  <c r="D19" i="1" s="1"/>
  <c r="B19" i="1"/>
  <c r="E18" i="1"/>
  <c r="A18" i="1" s="1"/>
  <c r="C18" i="1"/>
  <c r="D18" i="1" s="1"/>
  <c r="B18" i="1"/>
  <c r="N17" i="1"/>
  <c r="E17" i="1"/>
  <c r="A17" i="1" s="1"/>
  <c r="C17" i="1"/>
  <c r="D17" i="1" s="1"/>
  <c r="B17" i="1"/>
  <c r="N16" i="1"/>
  <c r="E16" i="1"/>
  <c r="A16" i="1" s="1"/>
  <c r="C16" i="1"/>
  <c r="D16" i="1" s="1"/>
  <c r="B16" i="1"/>
  <c r="N15" i="1"/>
  <c r="E15" i="1"/>
  <c r="A15" i="1" s="1"/>
  <c r="C15" i="1"/>
  <c r="D15" i="1" s="1"/>
  <c r="B15" i="1"/>
  <c r="E14" i="1"/>
  <c r="A14" i="1" s="1"/>
  <c r="C14" i="1"/>
  <c r="D14" i="1" s="1"/>
  <c r="B14" i="1"/>
  <c r="N13" i="1"/>
  <c r="E13" i="1"/>
  <c r="A13" i="1" s="1"/>
  <c r="C13" i="1"/>
  <c r="D13" i="1" s="1"/>
  <c r="B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L3312" i="1" l="1"/>
  <c r="L3054" i="1"/>
  <c r="N3054" i="1" s="1"/>
  <c r="L3142" i="1"/>
  <c r="N3142" i="1" s="1"/>
  <c r="L3236" i="1"/>
  <c r="L3334" i="1"/>
  <c r="L2975" i="1"/>
  <c r="N2975" i="1" s="1"/>
  <c r="L2983" i="1"/>
  <c r="N2983" i="1" s="1"/>
  <c r="L2991" i="1"/>
  <c r="N2991" i="1" s="1"/>
  <c r="L2999" i="1"/>
  <c r="N2999" i="1" s="1"/>
  <c r="L3023" i="1"/>
  <c r="N3023" i="1" s="1"/>
  <c r="L3033" i="1"/>
  <c r="N3033" i="1" s="1"/>
  <c r="L3051" i="1"/>
  <c r="N3051" i="1" s="1"/>
  <c r="L3087" i="1"/>
  <c r="N3087" i="1" s="1"/>
  <c r="L3103" i="1"/>
  <c r="N3103" i="1" s="1"/>
  <c r="L3115" i="1"/>
  <c r="N3115" i="1" s="1"/>
  <c r="L3125" i="1"/>
  <c r="L3141" i="1"/>
  <c r="L3153" i="1"/>
  <c r="N3153" i="1" s="1"/>
  <c r="L3165" i="1"/>
  <c r="N3165" i="1" s="1"/>
  <c r="L3209" i="1"/>
  <c r="N3209" i="1" s="1"/>
  <c r="L3275" i="1"/>
  <c r="L3287" i="1"/>
  <c r="N3287" i="1" s="1"/>
  <c r="L3299" i="1"/>
  <c r="N3299" i="1" s="1"/>
  <c r="L3317" i="1"/>
  <c r="N3317" i="1" s="1"/>
  <c r="L3343" i="1"/>
  <c r="N3343" i="1" s="1"/>
  <c r="L3355" i="1"/>
  <c r="L3407" i="1"/>
  <c r="N3407" i="1" s="1"/>
  <c r="B1" i="1"/>
  <c r="M1" i="1" s="1"/>
  <c r="A1" i="1"/>
  <c r="L29" i="1" l="1"/>
  <c r="N29" i="1" s="1"/>
  <c r="L45" i="1"/>
  <c r="L65" i="1"/>
  <c r="L93" i="1"/>
  <c r="N93" i="1" s="1"/>
  <c r="L103" i="1"/>
  <c r="N103" i="1" s="1"/>
  <c r="L125" i="1"/>
  <c r="L161" i="1"/>
  <c r="N161" i="1" s="1"/>
  <c r="L181" i="1"/>
  <c r="N181" i="1" s="1"/>
  <c r="L189" i="1"/>
  <c r="L199" i="1"/>
  <c r="L211" i="1"/>
  <c r="L223" i="1"/>
  <c r="L235" i="1"/>
  <c r="L249" i="1"/>
  <c r="L267" i="1"/>
  <c r="N267" i="1" s="1"/>
  <c r="L275" i="1"/>
  <c r="N275" i="1" s="1"/>
  <c r="L283" i="1"/>
  <c r="L293" i="1"/>
  <c r="N293" i="1" s="1"/>
  <c r="L305" i="1"/>
  <c r="N305" i="1" s="1"/>
  <c r="L317" i="1"/>
  <c r="N317" i="1" s="1"/>
  <c r="L325" i="1"/>
  <c r="L8" i="1"/>
  <c r="L30" i="1"/>
  <c r="N30" i="1" s="1"/>
  <c r="L40" i="1"/>
  <c r="L72" i="1"/>
  <c r="L90" i="1"/>
  <c r="N90" i="1" s="1"/>
  <c r="L102" i="1"/>
  <c r="L128" i="1"/>
  <c r="L140" i="1"/>
  <c r="L168" i="1"/>
  <c r="L180" i="1"/>
  <c r="N180" i="1" s="1"/>
  <c r="L192" i="1"/>
  <c r="L202" i="1"/>
  <c r="L216" i="1"/>
  <c r="L228" i="1"/>
  <c r="N228" i="1" s="1"/>
  <c r="L238" i="1"/>
  <c r="L23" i="1"/>
  <c r="L49" i="1"/>
  <c r="L85" i="1"/>
  <c r="N85" i="1" s="1"/>
  <c r="L99" i="1"/>
  <c r="L145" i="1"/>
  <c r="L167" i="1"/>
  <c r="L187" i="1"/>
  <c r="L201" i="1"/>
  <c r="N201" i="1" s="1"/>
  <c r="L217" i="1"/>
  <c r="L233" i="1"/>
  <c r="L251" i="1"/>
  <c r="L271" i="1"/>
  <c r="L281" i="1"/>
  <c r="N281" i="1" s="1"/>
  <c r="L295" i="1"/>
  <c r="N295" i="1" s="1"/>
  <c r="L313" i="1"/>
  <c r="N313" i="1" s="1"/>
  <c r="L323" i="1"/>
  <c r="L14" i="1"/>
  <c r="L36" i="1"/>
  <c r="L58" i="1"/>
  <c r="N58" i="1" s="1"/>
  <c r="L96" i="1"/>
  <c r="L108" i="1"/>
  <c r="L138" i="1"/>
  <c r="L170" i="1"/>
  <c r="N170" i="1" s="1"/>
  <c r="L188" i="1"/>
  <c r="L200" i="1"/>
  <c r="L220" i="1"/>
  <c r="L232" i="1"/>
  <c r="L250" i="1"/>
  <c r="L276" i="1"/>
  <c r="N276" i="1" s="1"/>
  <c r="L290" i="1"/>
  <c r="N290" i="1" s="1"/>
  <c r="L298" i="1"/>
  <c r="N298" i="1" s="1"/>
  <c r="L306" i="1"/>
  <c r="N306" i="1" s="1"/>
  <c r="L314" i="1"/>
  <c r="N314" i="1" s="1"/>
  <c r="L322" i="1"/>
  <c r="L330" i="1"/>
  <c r="L338" i="1"/>
  <c r="L346" i="1"/>
  <c r="L354" i="1"/>
  <c r="L362" i="1"/>
  <c r="L370" i="1"/>
  <c r="L378" i="1"/>
  <c r="L386" i="1"/>
  <c r="L394" i="1"/>
  <c r="L402" i="1"/>
  <c r="L410" i="1"/>
  <c r="L418" i="1"/>
  <c r="L426" i="1"/>
  <c r="L434" i="1"/>
  <c r="L442" i="1"/>
  <c r="L450" i="1"/>
  <c r="L458" i="1"/>
  <c r="L466" i="1"/>
  <c r="L474" i="1"/>
  <c r="L482" i="1"/>
  <c r="L490" i="1"/>
  <c r="L498" i="1"/>
  <c r="L506" i="1"/>
  <c r="L514" i="1"/>
  <c r="L522" i="1"/>
  <c r="L530" i="1"/>
  <c r="L552" i="1"/>
  <c r="L560" i="1"/>
  <c r="N560" i="1" s="1"/>
  <c r="L570" i="1"/>
  <c r="L582" i="1"/>
  <c r="L592" i="1"/>
  <c r="L600" i="1"/>
  <c r="L608" i="1"/>
  <c r="L616" i="1"/>
  <c r="L632" i="1"/>
  <c r="L642" i="1"/>
  <c r="L662" i="1"/>
  <c r="L694" i="1"/>
  <c r="L702" i="1"/>
  <c r="L714" i="1"/>
  <c r="L746" i="1"/>
  <c r="L754" i="1"/>
  <c r="L770" i="1"/>
  <c r="N770" i="1" s="1"/>
  <c r="L784" i="1"/>
  <c r="L796" i="1"/>
  <c r="L35" i="1"/>
  <c r="L59" i="1"/>
  <c r="N59" i="1" s="1"/>
  <c r="L97" i="1"/>
  <c r="L147" i="1"/>
  <c r="N147" i="1" s="1"/>
  <c r="L183" i="1"/>
  <c r="L197" i="1"/>
  <c r="L219" i="1"/>
  <c r="L241" i="1"/>
  <c r="L269" i="1"/>
  <c r="N269" i="1" s="1"/>
  <c r="L285" i="1"/>
  <c r="L303" i="1"/>
  <c r="N303" i="1" s="1"/>
  <c r="L321" i="1"/>
  <c r="L18" i="1"/>
  <c r="N18" i="1" s="1"/>
  <c r="L42" i="1"/>
  <c r="N42" i="1" s="1"/>
  <c r="L82" i="1"/>
  <c r="L118" i="1"/>
  <c r="L154" i="1"/>
  <c r="L186" i="1"/>
  <c r="L206" i="1"/>
  <c r="N206" i="1" s="1"/>
  <c r="L226" i="1"/>
  <c r="N226" i="1" s="1"/>
  <c r="L248" i="1"/>
  <c r="L280" i="1"/>
  <c r="L294" i="1"/>
  <c r="N294" i="1" s="1"/>
  <c r="L304" i="1"/>
  <c r="N304" i="1" s="1"/>
  <c r="L316" i="1"/>
  <c r="N316" i="1" s="1"/>
  <c r="L326" i="1"/>
  <c r="L336" i="1"/>
  <c r="L348" i="1"/>
  <c r="L358" i="1"/>
  <c r="L368" i="1"/>
  <c r="L380" i="1"/>
  <c r="L390" i="1"/>
  <c r="L400" i="1"/>
  <c r="L412" i="1"/>
  <c r="L422" i="1"/>
  <c r="L432" i="1"/>
  <c r="L444" i="1"/>
  <c r="L454" i="1"/>
  <c r="L464" i="1"/>
  <c r="L476" i="1"/>
  <c r="L486" i="1"/>
  <c r="L496" i="1"/>
  <c r="L508" i="1"/>
  <c r="L518" i="1"/>
  <c r="L528" i="1"/>
  <c r="L554" i="1"/>
  <c r="L566" i="1"/>
  <c r="L580" i="1"/>
  <c r="L594" i="1"/>
  <c r="L604" i="1"/>
  <c r="L614" i="1"/>
  <c r="L634" i="1"/>
  <c r="L652" i="1"/>
  <c r="N652" i="1" s="1"/>
  <c r="L692" i="1"/>
  <c r="L708" i="1"/>
  <c r="L734" i="1"/>
  <c r="L752" i="1"/>
  <c r="L772" i="1"/>
  <c r="L792" i="1"/>
  <c r="L804" i="1"/>
  <c r="L812" i="1"/>
  <c r="L339" i="1"/>
  <c r="L347" i="1"/>
  <c r="L355" i="1"/>
  <c r="L363" i="1"/>
  <c r="L371" i="1"/>
  <c r="L379" i="1"/>
  <c r="L387" i="1"/>
  <c r="L395" i="1"/>
  <c r="L403" i="1"/>
  <c r="L411" i="1"/>
  <c r="L419" i="1"/>
  <c r="L427" i="1"/>
  <c r="L435" i="1"/>
  <c r="L443" i="1"/>
  <c r="L451" i="1"/>
  <c r="L459" i="1"/>
  <c r="L467" i="1"/>
  <c r="L475" i="1"/>
  <c r="L483" i="1"/>
  <c r="L491" i="1"/>
  <c r="L499" i="1"/>
  <c r="L507" i="1"/>
  <c r="L515" i="1"/>
  <c r="L523" i="1"/>
  <c r="L531" i="1"/>
  <c r="N531" i="1" s="1"/>
  <c r="L557" i="1"/>
  <c r="L565" i="1"/>
  <c r="L575" i="1"/>
  <c r="L583" i="1"/>
  <c r="L593" i="1"/>
  <c r="L603" i="1"/>
  <c r="L613" i="1"/>
  <c r="L631" i="1"/>
  <c r="L639" i="1"/>
  <c r="L647" i="1"/>
  <c r="L661" i="1"/>
  <c r="L693" i="1"/>
  <c r="L701" i="1"/>
  <c r="L709" i="1"/>
  <c r="L725" i="1"/>
  <c r="L747" i="1"/>
  <c r="N747" i="1" s="1"/>
  <c r="L755" i="1"/>
  <c r="N755" i="1" s="1"/>
  <c r="L771" i="1"/>
  <c r="L787" i="1"/>
  <c r="L801" i="1"/>
  <c r="L809" i="1"/>
  <c r="L817" i="1"/>
  <c r="L825" i="1"/>
  <c r="L833" i="1"/>
  <c r="L841" i="1"/>
  <c r="L851" i="1"/>
  <c r="L861" i="1"/>
  <c r="L869" i="1"/>
  <c r="L877" i="1"/>
  <c r="L887" i="1"/>
  <c r="L895" i="1"/>
  <c r="L903" i="1"/>
  <c r="L911" i="1"/>
  <c r="L919" i="1"/>
  <c r="L933" i="1"/>
  <c r="L943" i="1"/>
  <c r="L953" i="1"/>
  <c r="L961" i="1"/>
  <c r="L983" i="1"/>
  <c r="N983" i="1" s="1"/>
  <c r="L999" i="1"/>
  <c r="L1013" i="1"/>
  <c r="L1021" i="1"/>
  <c r="N1021" i="1" s="1"/>
  <c r="L1043" i="1"/>
  <c r="L1051" i="1"/>
  <c r="L1073" i="1"/>
  <c r="L1103" i="1"/>
  <c r="L1111" i="1"/>
  <c r="L1129" i="1"/>
  <c r="L1141" i="1"/>
  <c r="L1161" i="1"/>
  <c r="L1207" i="1"/>
  <c r="N1207" i="1" s="1"/>
  <c r="L1221" i="1"/>
  <c r="L1237" i="1"/>
  <c r="L1253" i="1"/>
  <c r="L1277" i="1"/>
  <c r="N1277" i="1" s="1"/>
  <c r="L1309" i="1"/>
  <c r="N1309" i="1" s="1"/>
  <c r="L1319" i="1"/>
  <c r="L1333" i="1"/>
  <c r="L1345" i="1"/>
  <c r="L1353" i="1"/>
  <c r="L818" i="1"/>
  <c r="L826" i="1"/>
  <c r="L840" i="1"/>
  <c r="L852" i="1"/>
  <c r="L862" i="1"/>
  <c r="L870" i="1"/>
  <c r="L880" i="1"/>
  <c r="L892" i="1"/>
  <c r="L900" i="1"/>
  <c r="L908" i="1"/>
  <c r="L916" i="1"/>
  <c r="N916" i="1" s="1"/>
  <c r="L928" i="1"/>
  <c r="L940" i="1"/>
  <c r="L952" i="1"/>
  <c r="L960" i="1"/>
  <c r="L986" i="1"/>
  <c r="L1002" i="1"/>
  <c r="N1002" i="1" s="1"/>
  <c r="L1010" i="1"/>
  <c r="L1030" i="1"/>
  <c r="N1030" i="1" s="1"/>
  <c r="L1048" i="1"/>
  <c r="N1048" i="1" s="1"/>
  <c r="L1064" i="1"/>
  <c r="L1074" i="1"/>
  <c r="L1084" i="1"/>
  <c r="L1102" i="1"/>
  <c r="N1102" i="1" s="1"/>
  <c r="L2874" i="1"/>
  <c r="N2874" i="1" s="1"/>
  <c r="L1389" i="1"/>
  <c r="N1389" i="1" s="1"/>
  <c r="L1405" i="1"/>
  <c r="L1415" i="1"/>
  <c r="L1429" i="1"/>
  <c r="L1457" i="1"/>
  <c r="L1465" i="1"/>
  <c r="N1465" i="1" s="1"/>
  <c r="L1473" i="1"/>
  <c r="N1473" i="1" s="1"/>
  <c r="L1481" i="1"/>
  <c r="N1481" i="1" s="1"/>
  <c r="L1489" i="1"/>
  <c r="N1489" i="1" s="1"/>
  <c r="L1499" i="1"/>
  <c r="N1499" i="1" s="1"/>
  <c r="L1509" i="1"/>
  <c r="N1509" i="1" s="1"/>
  <c r="L1517" i="1"/>
  <c r="N1517" i="1" s="1"/>
  <c r="L1529" i="1"/>
  <c r="N1529" i="1" s="1"/>
  <c r="L1541" i="1"/>
  <c r="L1561" i="1"/>
  <c r="L1573" i="1"/>
  <c r="L1585" i="1"/>
  <c r="L1605" i="1"/>
  <c r="L1613" i="1"/>
  <c r="L1627" i="1"/>
  <c r="L1637" i="1"/>
  <c r="L1647" i="1"/>
  <c r="L1657" i="1"/>
  <c r="L1665" i="1"/>
  <c r="L1675" i="1"/>
  <c r="L1685" i="1"/>
  <c r="L1705" i="1"/>
  <c r="L1723" i="1"/>
  <c r="L1745" i="1"/>
  <c r="L1759" i="1"/>
  <c r="N1759" i="1" s="1"/>
  <c r="L1793" i="1"/>
  <c r="L1801" i="1"/>
  <c r="L1809" i="1"/>
  <c r="L1817" i="1"/>
  <c r="L1825" i="1"/>
  <c r="L1833" i="1"/>
  <c r="L1841" i="1"/>
  <c r="L1849" i="1"/>
  <c r="L1857" i="1"/>
  <c r="L1865" i="1"/>
  <c r="L1873" i="1"/>
  <c r="L1881" i="1"/>
  <c r="L1889" i="1"/>
  <c r="L1897" i="1"/>
  <c r="L1905" i="1"/>
  <c r="L1913" i="1"/>
  <c r="L1921" i="1"/>
  <c r="L1929" i="1"/>
  <c r="L1937" i="1"/>
  <c r="L1945" i="1"/>
  <c r="L1953" i="1"/>
  <c r="L1961" i="1"/>
  <c r="L1969" i="1"/>
  <c r="L1977" i="1"/>
  <c r="L1985" i="1"/>
  <c r="L1993" i="1"/>
  <c r="L2001" i="1"/>
  <c r="L2009" i="1"/>
  <c r="N2009" i="1" s="1"/>
  <c r="L2021" i="1"/>
  <c r="N2021" i="1" s="1"/>
  <c r="L2037" i="1"/>
  <c r="N2037" i="1" s="1"/>
  <c r="L2045" i="1"/>
  <c r="N2045" i="1" s="1"/>
  <c r="L2057" i="1"/>
  <c r="N2057" i="1" s="1"/>
  <c r="L2077" i="1"/>
  <c r="N2077" i="1" s="1"/>
  <c r="L2101" i="1"/>
  <c r="N2101" i="1" s="1"/>
  <c r="L2111" i="1"/>
  <c r="N2111" i="1" s="1"/>
  <c r="L2119" i="1"/>
  <c r="N2119" i="1" s="1"/>
  <c r="L2127" i="1"/>
  <c r="L2141" i="1"/>
  <c r="N2141" i="1" s="1"/>
  <c r="L2149" i="1"/>
  <c r="L2177" i="1"/>
  <c r="L2313" i="1"/>
  <c r="N2313" i="1" s="1"/>
  <c r="L2383" i="1"/>
  <c r="N2383" i="1" s="1"/>
  <c r="L2395" i="1"/>
  <c r="N2395" i="1" s="1"/>
  <c r="L2407" i="1"/>
  <c r="N2407" i="1" s="1"/>
  <c r="L2613" i="1"/>
  <c r="N2613" i="1" s="1"/>
  <c r="L2621" i="1"/>
  <c r="N2621" i="1" s="1"/>
  <c r="L2629" i="1"/>
  <c r="N2629" i="1" s="1"/>
  <c r="L2637" i="1"/>
  <c r="N2637" i="1" s="1"/>
  <c r="L2645" i="1"/>
  <c r="N2645" i="1" s="1"/>
  <c r="L2653" i="1"/>
  <c r="N2653" i="1" s="1"/>
  <c r="L2661" i="1"/>
  <c r="N2661" i="1" s="1"/>
  <c r="L2669" i="1"/>
  <c r="N2669" i="1" s="1"/>
  <c r="L2677" i="1"/>
  <c r="N2677" i="1" s="1"/>
  <c r="L2864" i="1"/>
  <c r="N2864" i="1" s="1"/>
  <c r="L1120" i="1"/>
  <c r="L1130" i="1"/>
  <c r="L1140" i="1"/>
  <c r="L1158" i="1"/>
  <c r="L1172" i="1"/>
  <c r="L1208" i="1"/>
  <c r="L1216" i="1"/>
  <c r="L1224" i="1"/>
  <c r="L1238" i="1"/>
  <c r="L1256" i="1"/>
  <c r="L1300" i="1"/>
  <c r="N1300" i="1" s="1"/>
  <c r="L1316" i="1"/>
  <c r="L1334" i="1"/>
  <c r="L1352" i="1"/>
  <c r="L1366" i="1"/>
  <c r="N1366" i="1" s="1"/>
  <c r="L1390" i="1"/>
  <c r="N1390" i="1" s="1"/>
  <c r="L1400" i="1"/>
  <c r="L1416" i="1"/>
  <c r="L1426" i="1"/>
  <c r="L1440" i="1"/>
  <c r="L1448" i="1"/>
  <c r="N1448" i="1" s="1"/>
  <c r="L37" i="1"/>
  <c r="L83" i="1"/>
  <c r="L107" i="1"/>
  <c r="L153" i="1"/>
  <c r="L185" i="1"/>
  <c r="L203" i="1"/>
  <c r="L225" i="1"/>
  <c r="L247" i="1"/>
  <c r="N247" i="1" s="1"/>
  <c r="L273" i="1"/>
  <c r="N273" i="1" s="1"/>
  <c r="L289" i="1"/>
  <c r="L311" i="1"/>
  <c r="N311" i="1" s="1"/>
  <c r="L327" i="1"/>
  <c r="L20" i="1"/>
  <c r="L46" i="1"/>
  <c r="N46" i="1" s="1"/>
  <c r="L98" i="1"/>
  <c r="N98" i="1" s="1"/>
  <c r="L134" i="1"/>
  <c r="L166" i="1"/>
  <c r="L190" i="1"/>
  <c r="L210" i="1"/>
  <c r="L230" i="1"/>
  <c r="L252" i="1"/>
  <c r="L282" i="1"/>
  <c r="L296" i="1"/>
  <c r="N296" i="1" s="1"/>
  <c r="L308" i="1"/>
  <c r="N308" i="1" s="1"/>
  <c r="L318" i="1"/>
  <c r="N318" i="1" s="1"/>
  <c r="L328" i="1"/>
  <c r="L340" i="1"/>
  <c r="L350" i="1"/>
  <c r="L360" i="1"/>
  <c r="L372" i="1"/>
  <c r="L382" i="1"/>
  <c r="L392" i="1"/>
  <c r="L404" i="1"/>
  <c r="L414" i="1"/>
  <c r="L424" i="1"/>
  <c r="L436" i="1"/>
  <c r="L446" i="1"/>
  <c r="L456" i="1"/>
  <c r="L468" i="1"/>
  <c r="L478" i="1"/>
  <c r="L488" i="1"/>
  <c r="L500" i="1"/>
  <c r="L510" i="1"/>
  <c r="L520" i="1"/>
  <c r="L544" i="1"/>
  <c r="L556" i="1"/>
  <c r="L568" i="1"/>
  <c r="L584" i="1"/>
  <c r="L596" i="1"/>
  <c r="L606" i="1"/>
  <c r="L620" i="1"/>
  <c r="L638" i="1"/>
  <c r="L656" i="1"/>
  <c r="L696" i="1"/>
  <c r="L710" i="1"/>
  <c r="L738" i="1"/>
  <c r="L756" i="1"/>
  <c r="L776" i="1"/>
  <c r="L794" i="1"/>
  <c r="N794" i="1" s="1"/>
  <c r="L806" i="1"/>
  <c r="L333" i="1"/>
  <c r="L341" i="1"/>
  <c r="L349" i="1"/>
  <c r="L357" i="1"/>
  <c r="L365" i="1"/>
  <c r="L373" i="1"/>
  <c r="L381" i="1"/>
  <c r="L389" i="1"/>
  <c r="L397" i="1"/>
  <c r="L405" i="1"/>
  <c r="L413" i="1"/>
  <c r="L421" i="1"/>
  <c r="L429" i="1"/>
  <c r="L437" i="1"/>
  <c r="L445" i="1"/>
  <c r="L453" i="1"/>
  <c r="L461" i="1"/>
  <c r="L469" i="1"/>
  <c r="L477" i="1"/>
  <c r="L485" i="1"/>
  <c r="L493" i="1"/>
  <c r="L501" i="1"/>
  <c r="L509" i="1"/>
  <c r="L517" i="1"/>
  <c r="L525" i="1"/>
  <c r="L545" i="1"/>
  <c r="L559" i="1"/>
  <c r="N559" i="1" s="1"/>
  <c r="L569" i="1"/>
  <c r="L577" i="1"/>
  <c r="L585" i="1"/>
  <c r="L597" i="1"/>
  <c r="L605" i="1"/>
  <c r="L615" i="1"/>
  <c r="L633" i="1"/>
  <c r="L641" i="1"/>
  <c r="L653" i="1"/>
  <c r="L663" i="1"/>
  <c r="L695" i="1"/>
  <c r="L703" i="1"/>
  <c r="L711" i="1"/>
  <c r="L733" i="1"/>
  <c r="L749" i="1"/>
  <c r="N749" i="1" s="1"/>
  <c r="L763" i="1"/>
  <c r="L773" i="1"/>
  <c r="N773" i="1" s="1"/>
  <c r="L791" i="1"/>
  <c r="L803" i="1"/>
  <c r="L811" i="1"/>
  <c r="L819" i="1"/>
  <c r="L827" i="1"/>
  <c r="L835" i="1"/>
  <c r="N835" i="1" s="1"/>
  <c r="L843" i="1"/>
  <c r="L853" i="1"/>
  <c r="L863" i="1"/>
  <c r="L871" i="1"/>
  <c r="L879" i="1"/>
  <c r="L889" i="1"/>
  <c r="L897" i="1"/>
  <c r="L905" i="1"/>
  <c r="L913" i="1"/>
  <c r="L927" i="1"/>
  <c r="L935" i="1"/>
  <c r="L947" i="1"/>
  <c r="L955" i="1"/>
  <c r="L963" i="1"/>
  <c r="N963" i="1" s="1"/>
  <c r="L985" i="1"/>
  <c r="N985" i="1" s="1"/>
  <c r="L1003" i="1"/>
  <c r="N1003" i="1" s="1"/>
  <c r="L1015" i="1"/>
  <c r="L1025" i="1"/>
  <c r="L1045" i="1"/>
  <c r="N1045" i="1" s="1"/>
  <c r="L1055" i="1"/>
  <c r="N1055" i="1" s="1"/>
  <c r="L1079" i="1"/>
  <c r="L1105" i="1"/>
  <c r="L1121" i="1"/>
  <c r="L1131" i="1"/>
  <c r="L1155" i="1"/>
  <c r="L1163" i="1"/>
  <c r="L1209" i="1"/>
  <c r="L1223" i="1"/>
  <c r="L1239" i="1"/>
  <c r="N1239" i="1" s="1"/>
  <c r="L1255" i="1"/>
  <c r="L1291" i="1"/>
  <c r="L1311" i="1"/>
  <c r="N1311" i="1" s="1"/>
  <c r="L1321" i="1"/>
  <c r="L1335" i="1"/>
  <c r="L1347" i="1"/>
  <c r="L1355" i="1"/>
  <c r="L820" i="1"/>
  <c r="L828" i="1"/>
  <c r="L842" i="1"/>
  <c r="L854" i="1"/>
  <c r="L864" i="1"/>
  <c r="L872" i="1"/>
  <c r="L886" i="1"/>
  <c r="L894" i="1"/>
  <c r="L902" i="1"/>
  <c r="L910" i="1"/>
  <c r="L918" i="1"/>
  <c r="L930" i="1"/>
  <c r="L944" i="1"/>
  <c r="L954" i="1"/>
  <c r="L964" i="1"/>
  <c r="N964" i="1" s="1"/>
  <c r="L988" i="1"/>
  <c r="N988" i="1" s="1"/>
  <c r="L1004" i="1"/>
  <c r="L1012" i="1"/>
  <c r="L1032" i="1"/>
  <c r="L1050" i="1"/>
  <c r="L1066" i="1"/>
  <c r="L1076" i="1"/>
  <c r="L1090" i="1"/>
  <c r="L1104" i="1"/>
  <c r="L2886" i="1"/>
  <c r="N2886" i="1" s="1"/>
  <c r="L1393" i="1"/>
  <c r="L1407" i="1"/>
  <c r="N1407" i="1" s="1"/>
  <c r="L1423" i="1"/>
  <c r="N1423" i="1" s="1"/>
  <c r="L1435" i="1"/>
  <c r="N1435" i="1" s="1"/>
  <c r="L1459" i="1"/>
  <c r="N1459" i="1" s="1"/>
  <c r="L1467" i="1"/>
  <c r="N1467" i="1" s="1"/>
  <c r="L1475" i="1"/>
  <c r="N1475" i="1" s="1"/>
  <c r="L1483" i="1"/>
  <c r="N1483" i="1" s="1"/>
  <c r="L1491" i="1"/>
  <c r="N1491" i="1" s="1"/>
  <c r="L1501" i="1"/>
  <c r="N1501" i="1" s="1"/>
  <c r="L1511" i="1"/>
  <c r="N1511" i="1" s="1"/>
  <c r="L1519" i="1"/>
  <c r="N1519" i="1" s="1"/>
  <c r="L1531" i="1"/>
  <c r="L1543" i="1"/>
  <c r="L1563" i="1"/>
  <c r="L1575" i="1"/>
  <c r="L1587" i="1"/>
  <c r="L1607" i="1"/>
  <c r="L1617" i="1"/>
  <c r="L1629" i="1"/>
  <c r="L1639" i="1"/>
  <c r="L1649" i="1"/>
  <c r="N1649" i="1" s="1"/>
  <c r="L1659" i="1"/>
  <c r="L1669" i="1"/>
  <c r="L1677" i="1"/>
  <c r="L1687" i="1"/>
  <c r="L1707" i="1"/>
  <c r="L1733" i="1"/>
  <c r="L1749" i="1"/>
  <c r="L1765" i="1"/>
  <c r="N1765" i="1" s="1"/>
  <c r="L1795" i="1"/>
  <c r="L1803" i="1"/>
  <c r="L1811" i="1"/>
  <c r="L1819" i="1"/>
  <c r="L1827" i="1"/>
  <c r="L1835" i="1"/>
  <c r="L1843" i="1"/>
  <c r="L1851" i="1"/>
  <c r="L1859" i="1"/>
  <c r="L1867" i="1"/>
  <c r="L1875" i="1"/>
  <c r="L1883" i="1"/>
  <c r="L1891" i="1"/>
  <c r="L1899" i="1"/>
  <c r="L1907" i="1"/>
  <c r="L1915" i="1"/>
  <c r="L1923" i="1"/>
  <c r="L1931" i="1"/>
  <c r="L1939" i="1"/>
  <c r="L1947" i="1"/>
  <c r="L1955" i="1"/>
  <c r="L1963" i="1"/>
  <c r="L1971" i="1"/>
  <c r="L1979" i="1"/>
  <c r="L1987" i="1"/>
  <c r="L1995" i="1"/>
  <c r="L2003" i="1"/>
  <c r="L39" i="1"/>
  <c r="L87" i="1"/>
  <c r="N87" i="1" s="1"/>
  <c r="L109" i="1"/>
  <c r="L163" i="1"/>
  <c r="N163" i="1" s="1"/>
  <c r="L193" i="1"/>
  <c r="L209" i="1"/>
  <c r="L231" i="1"/>
  <c r="L255" i="1"/>
  <c r="N255" i="1" s="1"/>
  <c r="L277" i="1"/>
  <c r="N277" i="1" s="1"/>
  <c r="L291" i="1"/>
  <c r="N291" i="1" s="1"/>
  <c r="L315" i="1"/>
  <c r="N315" i="1" s="1"/>
  <c r="L329" i="1"/>
  <c r="L32" i="1"/>
  <c r="N32" i="1" s="1"/>
  <c r="L74" i="1"/>
  <c r="L100" i="1"/>
  <c r="L136" i="1"/>
  <c r="L174" i="1"/>
  <c r="N174" i="1" s="1"/>
  <c r="L194" i="1"/>
  <c r="L214" i="1"/>
  <c r="L234" i="1"/>
  <c r="L264" i="1"/>
  <c r="N264" i="1" s="1"/>
  <c r="L288" i="1"/>
  <c r="N288" i="1" s="1"/>
  <c r="L300" i="1"/>
  <c r="N300" i="1" s="1"/>
  <c r="L310" i="1"/>
  <c r="N310" i="1" s="1"/>
  <c r="L320" i="1"/>
  <c r="N320" i="1" s="1"/>
  <c r="L332" i="1"/>
  <c r="L342" i="1"/>
  <c r="L352" i="1"/>
  <c r="L364" i="1"/>
  <c r="L374" i="1"/>
  <c r="L384" i="1"/>
  <c r="L396" i="1"/>
  <c r="L406" i="1"/>
  <c r="L416" i="1"/>
  <c r="L428" i="1"/>
  <c r="L438" i="1"/>
  <c r="L448" i="1"/>
  <c r="L460" i="1"/>
  <c r="L470" i="1"/>
  <c r="L480" i="1"/>
  <c r="L492" i="1"/>
  <c r="L502" i="1"/>
  <c r="L512" i="1"/>
  <c r="L524" i="1"/>
  <c r="L546" i="1"/>
  <c r="L558" i="1"/>
  <c r="N558" i="1" s="1"/>
  <c r="L576" i="1"/>
  <c r="L586" i="1"/>
  <c r="L598" i="1"/>
  <c r="L610" i="1"/>
  <c r="L626" i="1"/>
  <c r="N626" i="1" s="1"/>
  <c r="L640" i="1"/>
  <c r="L688" i="1"/>
  <c r="L698" i="1"/>
  <c r="L712" i="1"/>
  <c r="L748" i="1"/>
  <c r="N748" i="1" s="1"/>
  <c r="L762" i="1"/>
  <c r="L778" i="1"/>
  <c r="L798" i="1"/>
  <c r="L808" i="1"/>
  <c r="L335" i="1"/>
  <c r="L343" i="1"/>
  <c r="L351" i="1"/>
  <c r="L359" i="1"/>
  <c r="L367" i="1"/>
  <c r="L375" i="1"/>
  <c r="L383" i="1"/>
  <c r="L391" i="1"/>
  <c r="L399" i="1"/>
  <c r="L407" i="1"/>
  <c r="L415" i="1"/>
  <c r="L423" i="1"/>
  <c r="L431" i="1"/>
  <c r="L439" i="1"/>
  <c r="L447" i="1"/>
  <c r="L455" i="1"/>
  <c r="L463" i="1"/>
  <c r="L471" i="1"/>
  <c r="L479" i="1"/>
  <c r="L487" i="1"/>
  <c r="L495" i="1"/>
  <c r="L503" i="1"/>
  <c r="L511" i="1"/>
  <c r="L519" i="1"/>
  <c r="L527" i="1"/>
  <c r="L549" i="1"/>
  <c r="L561" i="1"/>
  <c r="N561" i="1" s="1"/>
  <c r="L571" i="1"/>
  <c r="L579" i="1"/>
  <c r="L587" i="1"/>
  <c r="L599" i="1"/>
  <c r="L609" i="1"/>
  <c r="L617" i="1"/>
  <c r="L635" i="1"/>
  <c r="L643" i="1"/>
  <c r="L655" i="1"/>
  <c r="L667" i="1"/>
  <c r="L697" i="1"/>
  <c r="L705" i="1"/>
  <c r="L713" i="1"/>
  <c r="L737" i="1"/>
  <c r="L751" i="1"/>
  <c r="L765" i="1"/>
  <c r="L779" i="1"/>
  <c r="L793" i="1"/>
  <c r="N793" i="1" s="1"/>
  <c r="L805" i="1"/>
  <c r="L813" i="1"/>
  <c r="L821" i="1"/>
  <c r="L829" i="1"/>
  <c r="L837" i="1"/>
  <c r="L845" i="1"/>
  <c r="L855" i="1"/>
  <c r="L865" i="1"/>
  <c r="L873" i="1"/>
  <c r="L881" i="1"/>
  <c r="L891" i="1"/>
  <c r="L899" i="1"/>
  <c r="L907" i="1"/>
  <c r="L915" i="1"/>
  <c r="N915" i="1" s="1"/>
  <c r="L929" i="1"/>
  <c r="L937" i="1"/>
  <c r="L949" i="1"/>
  <c r="L957" i="1"/>
  <c r="L965" i="1"/>
  <c r="L991" i="1"/>
  <c r="N991" i="1" s="1"/>
  <c r="L1007" i="1"/>
  <c r="L1017" i="1"/>
  <c r="L1033" i="1"/>
  <c r="L1047" i="1"/>
  <c r="N1047" i="1" s="1"/>
  <c r="L1057" i="1"/>
  <c r="N1057" i="1" s="1"/>
  <c r="L1087" i="1"/>
  <c r="L1107" i="1"/>
  <c r="L1123" i="1"/>
  <c r="N1123" i="1" s="1"/>
  <c r="L1133" i="1"/>
  <c r="L1157" i="1"/>
  <c r="L1173" i="1"/>
  <c r="L1211" i="1"/>
  <c r="L1225" i="1"/>
  <c r="L1241" i="1"/>
  <c r="L1257" i="1"/>
  <c r="L1305" i="1"/>
  <c r="L1315" i="1"/>
  <c r="L1323" i="1"/>
  <c r="L1337" i="1"/>
  <c r="L1349" i="1"/>
  <c r="L814" i="1"/>
  <c r="L822" i="1"/>
  <c r="L830" i="1"/>
  <c r="L844" i="1"/>
  <c r="L856" i="1"/>
  <c r="L866" i="1"/>
  <c r="L876" i="1"/>
  <c r="L888" i="1"/>
  <c r="L896" i="1"/>
  <c r="L904" i="1"/>
  <c r="L912" i="1"/>
  <c r="L920" i="1"/>
  <c r="L934" i="1"/>
  <c r="L948" i="1"/>
  <c r="L956" i="1"/>
  <c r="L976" i="1"/>
  <c r="L992" i="1"/>
  <c r="L1006" i="1"/>
  <c r="L1018" i="1"/>
  <c r="N1018" i="1" s="1"/>
  <c r="L1034" i="1"/>
  <c r="L1052" i="1"/>
  <c r="L1068" i="1"/>
  <c r="L1078" i="1"/>
  <c r="L1092" i="1"/>
  <c r="L1106" i="1"/>
  <c r="L1377" i="1"/>
  <c r="N1377" i="1" s="1"/>
  <c r="L1397" i="1"/>
  <c r="N1397" i="1" s="1"/>
  <c r="L1411" i="1"/>
  <c r="N1411" i="1" s="1"/>
  <c r="L1425" i="1"/>
  <c r="L1437" i="1"/>
  <c r="N1437" i="1" s="1"/>
  <c r="L1461" i="1"/>
  <c r="N1461" i="1" s="1"/>
  <c r="L1469" i="1"/>
  <c r="N1469" i="1" s="1"/>
  <c r="L1477" i="1"/>
  <c r="N1477" i="1" s="1"/>
  <c r="L1485" i="1"/>
  <c r="L1495" i="1"/>
  <c r="N1495" i="1" s="1"/>
  <c r="L1505" i="1"/>
  <c r="L1513" i="1"/>
  <c r="N1513" i="1" s="1"/>
  <c r="L1521" i="1"/>
  <c r="N1521" i="1" s="1"/>
  <c r="L1537" i="1"/>
  <c r="L1545" i="1"/>
  <c r="N1545" i="1" s="1"/>
  <c r="L1569" i="1"/>
  <c r="L1579" i="1"/>
  <c r="L1597" i="1"/>
  <c r="L1609" i="1"/>
  <c r="L1623" i="1"/>
  <c r="L1631" i="1"/>
  <c r="N1631" i="1" s="1"/>
  <c r="L1643" i="1"/>
  <c r="L1651" i="1"/>
  <c r="L1661" i="1"/>
  <c r="L1671" i="1"/>
  <c r="L1679" i="1"/>
  <c r="L1693" i="1"/>
  <c r="L1713" i="1"/>
  <c r="L1735" i="1"/>
  <c r="L1751" i="1"/>
  <c r="L1767" i="1"/>
  <c r="L1797" i="1"/>
  <c r="L1805" i="1"/>
  <c r="L1813" i="1"/>
  <c r="L1821" i="1"/>
  <c r="L1829" i="1"/>
  <c r="L1837" i="1"/>
  <c r="L1845" i="1"/>
  <c r="L1853" i="1"/>
  <c r="L1861" i="1"/>
  <c r="L1869" i="1"/>
  <c r="L1877" i="1"/>
  <c r="L1885" i="1"/>
  <c r="L1893" i="1"/>
  <c r="L1901" i="1"/>
  <c r="L1909" i="1"/>
  <c r="L1917" i="1"/>
  <c r="L1925" i="1"/>
  <c r="L1933" i="1"/>
  <c r="L1941" i="1"/>
  <c r="L1949" i="1"/>
  <c r="L1957" i="1"/>
  <c r="L1965" i="1"/>
  <c r="L1973" i="1"/>
  <c r="L1981" i="1"/>
  <c r="L1989" i="1"/>
  <c r="L1997" i="1"/>
  <c r="L2005" i="1"/>
  <c r="L2013" i="1"/>
  <c r="N2013" i="1" s="1"/>
  <c r="L2025" i="1"/>
  <c r="N2025" i="1" s="1"/>
  <c r="L2041" i="1"/>
  <c r="N2041" i="1" s="1"/>
  <c r="L2053" i="1"/>
  <c r="N2053" i="1" s="1"/>
  <c r="L2069" i="1"/>
  <c r="N2069" i="1" s="1"/>
  <c r="L2083" i="1"/>
  <c r="N2083" i="1" s="1"/>
  <c r="L2105" i="1"/>
  <c r="N2105" i="1" s="1"/>
  <c r="L2115" i="1"/>
  <c r="N2115" i="1" s="1"/>
  <c r="L2123" i="1"/>
  <c r="L2131" i="1"/>
  <c r="L2145" i="1"/>
  <c r="L2153" i="1"/>
  <c r="N2153" i="1" s="1"/>
  <c r="L2191" i="1"/>
  <c r="N2191" i="1" s="1"/>
  <c r="L2341" i="1"/>
  <c r="N2341" i="1" s="1"/>
  <c r="L2389" i="1"/>
  <c r="N2389" i="1" s="1"/>
  <c r="L2401" i="1"/>
  <c r="N2401" i="1" s="1"/>
  <c r="L2435" i="1"/>
  <c r="N2435" i="1" s="1"/>
  <c r="L2617" i="1"/>
  <c r="N2617" i="1" s="1"/>
  <c r="L2625" i="1"/>
  <c r="N2625" i="1" s="1"/>
  <c r="L2633" i="1"/>
  <c r="N2633" i="1" s="1"/>
  <c r="L2641" i="1"/>
  <c r="N2641" i="1" s="1"/>
  <c r="L2649" i="1"/>
  <c r="N2649" i="1" s="1"/>
  <c r="L2657" i="1"/>
  <c r="N2657" i="1" s="1"/>
  <c r="L2665" i="1"/>
  <c r="N2665" i="1" s="1"/>
  <c r="L2673" i="1"/>
  <c r="N2673" i="1" s="1"/>
  <c r="L2830" i="1"/>
  <c r="L2851" i="1"/>
  <c r="N2851" i="1" s="1"/>
  <c r="L1124" i="1"/>
  <c r="L1134" i="1"/>
  <c r="L1152" i="1"/>
  <c r="L1162" i="1"/>
  <c r="L1188" i="1"/>
  <c r="L1212" i="1"/>
  <c r="L1220" i="1"/>
  <c r="L1228" i="1"/>
  <c r="L1252" i="1"/>
  <c r="L1260" i="1"/>
  <c r="L1310" i="1"/>
  <c r="L1330" i="1"/>
  <c r="L1340" i="1"/>
  <c r="L1356" i="1"/>
  <c r="L1380" i="1"/>
  <c r="L1394" i="1"/>
  <c r="L1412" i="1"/>
  <c r="N1412" i="1" s="1"/>
  <c r="L1422" i="1"/>
  <c r="N1422" i="1" s="1"/>
  <c r="L1430" i="1"/>
  <c r="L1444" i="1"/>
  <c r="L19" i="1"/>
  <c r="N19" i="1" s="1"/>
  <c r="L179" i="1"/>
  <c r="L265" i="1"/>
  <c r="L331" i="1"/>
  <c r="L150" i="1"/>
  <c r="L242" i="1"/>
  <c r="L312" i="1"/>
  <c r="N312" i="1" s="1"/>
  <c r="L356" i="1"/>
  <c r="L398" i="1"/>
  <c r="L440" i="1"/>
  <c r="L484" i="1"/>
  <c r="L526" i="1"/>
  <c r="L590" i="1"/>
  <c r="L644" i="1"/>
  <c r="L750" i="1"/>
  <c r="L810" i="1"/>
  <c r="L361" i="1"/>
  <c r="L393" i="1"/>
  <c r="L425" i="1"/>
  <c r="L457" i="1"/>
  <c r="L489" i="1"/>
  <c r="L521" i="1"/>
  <c r="L573" i="1"/>
  <c r="L611" i="1"/>
  <c r="L657" i="1"/>
  <c r="L715" i="1"/>
  <c r="L781" i="1"/>
  <c r="L823" i="1"/>
  <c r="L859" i="1"/>
  <c r="L893" i="1"/>
  <c r="L931" i="1"/>
  <c r="N931" i="1" s="1"/>
  <c r="L981" i="1"/>
  <c r="L1039" i="1"/>
  <c r="L1109" i="1"/>
  <c r="L1205" i="1"/>
  <c r="L1263" i="1"/>
  <c r="L1339" i="1"/>
  <c r="L832" i="1"/>
  <c r="L878" i="1"/>
  <c r="L914" i="1"/>
  <c r="L958" i="1"/>
  <c r="L1028" i="1"/>
  <c r="L1082" i="1"/>
  <c r="L1401" i="1"/>
  <c r="L1463" i="1"/>
  <c r="N1463" i="1" s="1"/>
  <c r="L1497" i="1"/>
  <c r="L1539" i="1"/>
  <c r="L1601" i="1"/>
  <c r="L1645" i="1"/>
  <c r="L1681" i="1"/>
  <c r="L1753" i="1"/>
  <c r="L1815" i="1"/>
  <c r="L1847" i="1"/>
  <c r="L1879" i="1"/>
  <c r="L1911" i="1"/>
  <c r="L1943" i="1"/>
  <c r="L1975" i="1"/>
  <c r="L2007" i="1"/>
  <c r="N2007" i="1" s="1"/>
  <c r="L2027" i="1"/>
  <c r="N2027" i="1" s="1"/>
  <c r="L2055" i="1"/>
  <c r="N2055" i="1" s="1"/>
  <c r="L2093" i="1"/>
  <c r="N2093" i="1" s="1"/>
  <c r="L2117" i="1"/>
  <c r="L2139" i="1"/>
  <c r="L2167" i="1"/>
  <c r="N2167" i="1" s="1"/>
  <c r="L2369" i="1"/>
  <c r="N2369" i="1" s="1"/>
  <c r="L2403" i="1"/>
  <c r="N2403" i="1" s="1"/>
  <c r="L2619" i="1"/>
  <c r="N2619" i="1" s="1"/>
  <c r="L2635" i="1"/>
  <c r="N2635" i="1" s="1"/>
  <c r="L2651" i="1"/>
  <c r="N2651" i="1" s="1"/>
  <c r="L2667" i="1"/>
  <c r="N2667" i="1" s="1"/>
  <c r="L2831" i="1"/>
  <c r="N2831" i="1" s="1"/>
  <c r="L51" i="1"/>
  <c r="L195" i="1"/>
  <c r="N195" i="1" s="1"/>
  <c r="L279" i="1"/>
  <c r="N279" i="1" s="1"/>
  <c r="L38" i="1"/>
  <c r="N38" i="1" s="1"/>
  <c r="L176" i="1"/>
  <c r="N176" i="1" s="1"/>
  <c r="L274" i="1"/>
  <c r="N274" i="1" s="1"/>
  <c r="L324" i="1"/>
  <c r="L366" i="1"/>
  <c r="L408" i="1"/>
  <c r="L452" i="1"/>
  <c r="L494" i="1"/>
  <c r="L548" i="1"/>
  <c r="L602" i="1"/>
  <c r="L690" i="1"/>
  <c r="L768" i="1"/>
  <c r="N768" i="1" s="1"/>
  <c r="L337" i="1"/>
  <c r="L369" i="1"/>
  <c r="L401" i="1"/>
  <c r="L433" i="1"/>
  <c r="L465" i="1"/>
  <c r="L497" i="1"/>
  <c r="L529" i="1"/>
  <c r="L581" i="1"/>
  <c r="L625" i="1"/>
  <c r="L691" i="1"/>
  <c r="L739" i="1"/>
  <c r="L797" i="1"/>
  <c r="N797" i="1" s="1"/>
  <c r="L831" i="1"/>
  <c r="L867" i="1"/>
  <c r="L901" i="1"/>
  <c r="L939" i="1"/>
  <c r="L995" i="1"/>
  <c r="L1049" i="1"/>
  <c r="L1127" i="1"/>
  <c r="L1217" i="1"/>
  <c r="N1217" i="1" s="1"/>
  <c r="L1307" i="1"/>
  <c r="L1351" i="1"/>
  <c r="L850" i="1"/>
  <c r="L890" i="1"/>
  <c r="L924" i="1"/>
  <c r="L984" i="1"/>
  <c r="L1038" i="1"/>
  <c r="N1038" i="1" s="1"/>
  <c r="L1100" i="1"/>
  <c r="L1413" i="1"/>
  <c r="L1471" i="1"/>
  <c r="N1471" i="1" s="1"/>
  <c r="L1507" i="1"/>
  <c r="N1507" i="1" s="1"/>
  <c r="L1547" i="1"/>
  <c r="L1611" i="1"/>
  <c r="L1653" i="1"/>
  <c r="N1653" i="1" s="1"/>
  <c r="L1695" i="1"/>
  <c r="L1777" i="1"/>
  <c r="N1777" i="1" s="1"/>
  <c r="L1823" i="1"/>
  <c r="L1855" i="1"/>
  <c r="L1887" i="1"/>
  <c r="L1919" i="1"/>
  <c r="L1951" i="1"/>
  <c r="L1983" i="1"/>
  <c r="L2011" i="1"/>
  <c r="N2011" i="1" s="1"/>
  <c r="L2039" i="1"/>
  <c r="N2039" i="1" s="1"/>
  <c r="L2059" i="1"/>
  <c r="N2059" i="1" s="1"/>
  <c r="L2103" i="1"/>
  <c r="N2103" i="1" s="1"/>
  <c r="L2121" i="1"/>
  <c r="N2121" i="1" s="1"/>
  <c r="L2143" i="1"/>
  <c r="L2189" i="1"/>
  <c r="N2189" i="1" s="1"/>
  <c r="L2387" i="1"/>
  <c r="N2387" i="1" s="1"/>
  <c r="L2411" i="1"/>
  <c r="N2411" i="1" s="1"/>
  <c r="L2623" i="1"/>
  <c r="N2623" i="1" s="1"/>
  <c r="L2639" i="1"/>
  <c r="N2639" i="1" s="1"/>
  <c r="L2655" i="1"/>
  <c r="N2655" i="1" s="1"/>
  <c r="L2671" i="1"/>
  <c r="N2671" i="1" s="1"/>
  <c r="L2834" i="1"/>
  <c r="N2834" i="1" s="1"/>
  <c r="L1132" i="1"/>
  <c r="L1160" i="1"/>
  <c r="L1210" i="1"/>
  <c r="L95" i="1"/>
  <c r="L213" i="1"/>
  <c r="L297" i="1"/>
  <c r="N297" i="1" s="1"/>
  <c r="L80" i="1"/>
  <c r="N80" i="1" s="1"/>
  <c r="L196" i="1"/>
  <c r="L292" i="1"/>
  <c r="N292" i="1" s="1"/>
  <c r="L334" i="1"/>
  <c r="L376" i="1"/>
  <c r="L420" i="1"/>
  <c r="L462" i="1"/>
  <c r="L504" i="1"/>
  <c r="L564" i="1"/>
  <c r="L612" i="1"/>
  <c r="L700" i="1"/>
  <c r="L790" i="1"/>
  <c r="L345" i="1"/>
  <c r="L377" i="1"/>
  <c r="L409" i="1"/>
  <c r="L441" i="1"/>
  <c r="L473" i="1"/>
  <c r="L505" i="1"/>
  <c r="L553" i="1"/>
  <c r="L589" i="1"/>
  <c r="L637" i="1"/>
  <c r="L699" i="1"/>
  <c r="L753" i="1"/>
  <c r="L807" i="1"/>
  <c r="L839" i="1"/>
  <c r="L875" i="1"/>
  <c r="L909" i="1"/>
  <c r="L951" i="1"/>
  <c r="L1011" i="1"/>
  <c r="L1067" i="1"/>
  <c r="L1135" i="1"/>
  <c r="L1227" i="1"/>
  <c r="L1317" i="1"/>
  <c r="L816" i="1"/>
  <c r="L860" i="1"/>
  <c r="L898" i="1"/>
  <c r="L938" i="1"/>
  <c r="L998" i="1"/>
  <c r="L1062" i="1"/>
  <c r="L1110" i="1"/>
  <c r="L1427" i="1"/>
  <c r="N1427" i="1" s="1"/>
  <c r="L1479" i="1"/>
  <c r="L1515" i="1"/>
  <c r="N1515" i="1" s="1"/>
  <c r="L1571" i="1"/>
  <c r="L1625" i="1"/>
  <c r="L1663" i="1"/>
  <c r="L1721" i="1"/>
  <c r="L1799" i="1"/>
  <c r="L1831" i="1"/>
  <c r="L1863" i="1"/>
  <c r="L1895" i="1"/>
  <c r="L1927" i="1"/>
  <c r="L1959" i="1"/>
  <c r="L1991" i="1"/>
  <c r="L2015" i="1"/>
  <c r="N2015" i="1" s="1"/>
  <c r="L2043" i="1"/>
  <c r="N2043" i="1" s="1"/>
  <c r="L2075" i="1"/>
  <c r="N2075" i="1" s="1"/>
  <c r="L2109" i="1"/>
  <c r="N2109" i="1" s="1"/>
  <c r="L2125" i="1"/>
  <c r="L2147" i="1"/>
  <c r="L2211" i="1"/>
  <c r="L2391" i="1"/>
  <c r="N2391" i="1" s="1"/>
  <c r="L2455" i="1"/>
  <c r="N2455" i="1" s="1"/>
  <c r="L2627" i="1"/>
  <c r="N2627" i="1" s="1"/>
  <c r="L2643" i="1"/>
  <c r="L2659" i="1"/>
  <c r="N2659" i="1" s="1"/>
  <c r="L2675" i="1"/>
  <c r="N2675" i="1" s="1"/>
  <c r="L1118" i="1"/>
  <c r="N1118" i="1" s="1"/>
  <c r="L1138" i="1"/>
  <c r="L1164" i="1"/>
  <c r="L1214" i="1"/>
  <c r="L1236" i="1"/>
  <c r="L1290" i="1"/>
  <c r="L1332" i="1"/>
  <c r="N1332" i="1" s="1"/>
  <c r="L1358" i="1"/>
  <c r="N1358" i="1" s="1"/>
  <c r="L1396" i="1"/>
  <c r="N1396" i="1" s="1"/>
  <c r="L119" i="1"/>
  <c r="L239" i="1"/>
  <c r="L319" i="1"/>
  <c r="N319" i="1" s="1"/>
  <c r="L106" i="1"/>
  <c r="L224" i="1"/>
  <c r="L302" i="1"/>
  <c r="N302" i="1" s="1"/>
  <c r="L344" i="1"/>
  <c r="L388" i="1"/>
  <c r="L430" i="1"/>
  <c r="L472" i="1"/>
  <c r="L516" i="1"/>
  <c r="L578" i="1"/>
  <c r="L628" i="1"/>
  <c r="L720" i="1"/>
  <c r="L802" i="1"/>
  <c r="L353" i="1"/>
  <c r="L385" i="1"/>
  <c r="L417" i="1"/>
  <c r="L449" i="1"/>
  <c r="L481" i="1"/>
  <c r="L513" i="1"/>
  <c r="L563" i="1"/>
  <c r="L601" i="1"/>
  <c r="L645" i="1"/>
  <c r="L707" i="1"/>
  <c r="L767" i="1"/>
  <c r="L815" i="1"/>
  <c r="L847" i="1"/>
  <c r="L885" i="1"/>
  <c r="L917" i="1"/>
  <c r="L959" i="1"/>
  <c r="L1019" i="1"/>
  <c r="L1099" i="1"/>
  <c r="L1159" i="1"/>
  <c r="L1251" i="1"/>
  <c r="N1251" i="1" s="1"/>
  <c r="L1325" i="1"/>
  <c r="L824" i="1"/>
  <c r="L868" i="1"/>
  <c r="L906" i="1"/>
  <c r="L950" i="1"/>
  <c r="L1008" i="1"/>
  <c r="L1072" i="1"/>
  <c r="L1383" i="1"/>
  <c r="N1383" i="1" s="1"/>
  <c r="L1443" i="1"/>
  <c r="N1443" i="1" s="1"/>
  <c r="L1487" i="1"/>
  <c r="N1487" i="1" s="1"/>
  <c r="L1523" i="1"/>
  <c r="N1523" i="1" s="1"/>
  <c r="L1583" i="1"/>
  <c r="L1635" i="1"/>
  <c r="L1673" i="1"/>
  <c r="L1741" i="1"/>
  <c r="L1807" i="1"/>
  <c r="L1839" i="1"/>
  <c r="L1871" i="1"/>
  <c r="L3353" i="1"/>
  <c r="N3353" i="1" s="1"/>
  <c r="L3363" i="1"/>
  <c r="N3363" i="1" s="1"/>
  <c r="L3347" i="1"/>
  <c r="N3347" i="1" s="1"/>
  <c r="L3319" i="1"/>
  <c r="N3319" i="1" s="1"/>
  <c r="L3303" i="1"/>
  <c r="L3289" i="1"/>
  <c r="L3277" i="1"/>
  <c r="N3277" i="1" s="1"/>
  <c r="L3219" i="1"/>
  <c r="N3219" i="1" s="1"/>
  <c r="L3169" i="1"/>
  <c r="N3169" i="1" s="1"/>
  <c r="L3157" i="1"/>
  <c r="L3147" i="1"/>
  <c r="N3147" i="1" s="1"/>
  <c r="L3127" i="1"/>
  <c r="L3117" i="1"/>
  <c r="N3117" i="1" s="1"/>
  <c r="L3109" i="1"/>
  <c r="L3089" i="1"/>
  <c r="N3089" i="1" s="1"/>
  <c r="L3055" i="1"/>
  <c r="N3055" i="1" s="1"/>
  <c r="L3043" i="1"/>
  <c r="N3043" i="1" s="1"/>
  <c r="L3025" i="1"/>
  <c r="L3005" i="1"/>
  <c r="N3005" i="1" s="1"/>
  <c r="L2993" i="1"/>
  <c r="N2993" i="1" s="1"/>
  <c r="L2985" i="1"/>
  <c r="N2985" i="1" s="1"/>
  <c r="L2977" i="1"/>
  <c r="N2977" i="1" s="1"/>
  <c r="L3388" i="1"/>
  <c r="N3388" i="1" s="1"/>
  <c r="L3268" i="1"/>
  <c r="N3268" i="1" s="1"/>
  <c r="L3156" i="1"/>
  <c r="L3126" i="1"/>
  <c r="L3316" i="1"/>
  <c r="N3316" i="1" s="1"/>
  <c r="L3282" i="1"/>
  <c r="L3226" i="1"/>
  <c r="N3226" i="1" s="1"/>
  <c r="L3090" i="1"/>
  <c r="N3090" i="1" s="1"/>
  <c r="L3050" i="1"/>
  <c r="N3050" i="1" s="1"/>
  <c r="L3000" i="1"/>
  <c r="L2984" i="1"/>
  <c r="N2984" i="1" s="1"/>
  <c r="L2872" i="1"/>
  <c r="N2872" i="1" s="1"/>
  <c r="L2839" i="1"/>
  <c r="N2839" i="1" s="1"/>
  <c r="L2817" i="1"/>
  <c r="L2809" i="1"/>
  <c r="L2801" i="1"/>
  <c r="L2793" i="1"/>
  <c r="L2785" i="1"/>
  <c r="L2777" i="1"/>
  <c r="L2769" i="1"/>
  <c r="L2761" i="1"/>
  <c r="L2753" i="1"/>
  <c r="L2745" i="1"/>
  <c r="L2737" i="1"/>
  <c r="L2707" i="1"/>
  <c r="L2697" i="1"/>
  <c r="N2697" i="1" s="1"/>
  <c r="L2687" i="1"/>
  <c r="N2687" i="1" s="1"/>
  <c r="L2679" i="1"/>
  <c r="N2679" i="1" s="1"/>
  <c r="L3342" i="1"/>
  <c r="N3342" i="1" s="1"/>
  <c r="L3124" i="1"/>
  <c r="L2879" i="1"/>
  <c r="N2879" i="1" s="1"/>
  <c r="L3392" i="1"/>
  <c r="N3392" i="1" s="1"/>
  <c r="L3322" i="1"/>
  <c r="N3322" i="1" s="1"/>
  <c r="L3272" i="1"/>
  <c r="N3272" i="1" s="1"/>
  <c r="L3106" i="1"/>
  <c r="N3106" i="1" s="1"/>
  <c r="L3088" i="1"/>
  <c r="N3088" i="1" s="1"/>
  <c r="L3028" i="1"/>
  <c r="N3028" i="1" s="1"/>
  <c r="L2998" i="1"/>
  <c r="N2998" i="1" s="1"/>
  <c r="L2982" i="1"/>
  <c r="N2982" i="1" s="1"/>
  <c r="L2870" i="1"/>
  <c r="N2870" i="1" s="1"/>
  <c r="L2818" i="1"/>
  <c r="L2810" i="1"/>
  <c r="L2802" i="1"/>
  <c r="L2794" i="1"/>
  <c r="L2786" i="1"/>
  <c r="L2778" i="1"/>
  <c r="L2770" i="1"/>
  <c r="L2762" i="1"/>
  <c r="L2754" i="1"/>
  <c r="L2746" i="1"/>
  <c r="L2738" i="1"/>
  <c r="L2708" i="1"/>
  <c r="L2698" i="1"/>
  <c r="N2698" i="1" s="1"/>
  <c r="L2690" i="1"/>
  <c r="N2690" i="1" s="1"/>
  <c r="L2682" i="1"/>
  <c r="N2682" i="1" s="1"/>
  <c r="L2674" i="1"/>
  <c r="N2674" i="1" s="1"/>
  <c r="L2666" i="1"/>
  <c r="N2666" i="1" s="1"/>
  <c r="L2658" i="1"/>
  <c r="N2658" i="1" s="1"/>
  <c r="L2650" i="1"/>
  <c r="N2650" i="1" s="1"/>
  <c r="L2642" i="1"/>
  <c r="L2634" i="1"/>
  <c r="N2634" i="1" s="1"/>
  <c r="L2626" i="1"/>
  <c r="N2626" i="1" s="1"/>
  <c r="L2618" i="1"/>
  <c r="N2618" i="1" s="1"/>
  <c r="L2434" i="1"/>
  <c r="N2434" i="1" s="1"/>
  <c r="L2390" i="1"/>
  <c r="N2390" i="1" s="1"/>
  <c r="L2344" i="1"/>
  <c r="L2188" i="1"/>
  <c r="N2188" i="1" s="1"/>
  <c r="L2150" i="1"/>
  <c r="L2142" i="1"/>
  <c r="L2130" i="1"/>
  <c r="L2122" i="1"/>
  <c r="N2122" i="1" s="1"/>
  <c r="L2090" i="1"/>
  <c r="N2090" i="1" s="1"/>
  <c r="L2064" i="1"/>
  <c r="N2064" i="1" s="1"/>
  <c r="L2038" i="1"/>
  <c r="N2038" i="1" s="1"/>
  <c r="L2022" i="1"/>
  <c r="N2022" i="1" s="1"/>
  <c r="L2014" i="1"/>
  <c r="N2014" i="1" s="1"/>
  <c r="L2004" i="1"/>
  <c r="L1996" i="1"/>
  <c r="L1988" i="1"/>
  <c r="L1980" i="1"/>
  <c r="L1972" i="1"/>
  <c r="L1964" i="1"/>
  <c r="L1956" i="1"/>
  <c r="L1948" i="1"/>
  <c r="L1940" i="1"/>
  <c r="L1932" i="1"/>
  <c r="L1924" i="1"/>
  <c r="L1916" i="1"/>
  <c r="L1908" i="1"/>
  <c r="L1900" i="1"/>
  <c r="L1892" i="1"/>
  <c r="L1884" i="1"/>
  <c r="L1876" i="1"/>
  <c r="L1868" i="1"/>
  <c r="L1860" i="1"/>
  <c r="L1852" i="1"/>
  <c r="L1844" i="1"/>
  <c r="L1836" i="1"/>
  <c r="L1828" i="1"/>
  <c r="L1820" i="1"/>
  <c r="L1812" i="1"/>
  <c r="L1804" i="1"/>
  <c r="L1794" i="1"/>
  <c r="N1794" i="1" s="1"/>
  <c r="L1772" i="1"/>
  <c r="N1772" i="1" s="1"/>
  <c r="L1760" i="1"/>
  <c r="N1760" i="1" s="1"/>
  <c r="L1744" i="1"/>
  <c r="L1726" i="1"/>
  <c r="L1698" i="1"/>
  <c r="L1688" i="1"/>
  <c r="N1688" i="1" s="1"/>
  <c r="L1676" i="1"/>
  <c r="L1668" i="1"/>
  <c r="L1660" i="1"/>
  <c r="L1652" i="1"/>
  <c r="L1644" i="1"/>
  <c r="L1636" i="1"/>
  <c r="L1628" i="1"/>
  <c r="L1616" i="1"/>
  <c r="L1604" i="1"/>
  <c r="L1586" i="1"/>
  <c r="L1572" i="1"/>
  <c r="N1572" i="1" s="1"/>
  <c r="L1560" i="1"/>
  <c r="N1560" i="1" s="1"/>
  <c r="L1530" i="1"/>
  <c r="L1518" i="1"/>
  <c r="N1518" i="1" s="1"/>
  <c r="L1510" i="1"/>
  <c r="N1510" i="1" s="1"/>
  <c r="L1502" i="1"/>
  <c r="L1494" i="1"/>
  <c r="N1494" i="1" s="1"/>
  <c r="L1486" i="1"/>
  <c r="N1486" i="1" s="1"/>
  <c r="L1478" i="1"/>
  <c r="N1478" i="1" s="1"/>
  <c r="L1470" i="1"/>
  <c r="N1470" i="1" s="1"/>
  <c r="L1462" i="1"/>
  <c r="N1462" i="1" s="1"/>
  <c r="L1438" i="1"/>
  <c r="L1414" i="1"/>
  <c r="N1414" i="1" s="1"/>
  <c r="L1376" i="1"/>
  <c r="L1324" i="1"/>
  <c r="L1254" i="1"/>
  <c r="L1218" i="1"/>
  <c r="L1146" i="1"/>
  <c r="L2663" i="1"/>
  <c r="N2663" i="1" s="1"/>
  <c r="L2397" i="1"/>
  <c r="N2397" i="1" s="1"/>
  <c r="L2113" i="1"/>
  <c r="L1999" i="1"/>
  <c r="L3086" i="1"/>
  <c r="N3086" i="1" s="1"/>
  <c r="L2980" i="1"/>
  <c r="N2980" i="1" s="1"/>
  <c r="L2838" i="1"/>
  <c r="L2808" i="1"/>
  <c r="L2800" i="1"/>
  <c r="L2784" i="1"/>
  <c r="L2775" i="1"/>
  <c r="L2767" i="1"/>
  <c r="L2759" i="1"/>
  <c r="L2751" i="1"/>
  <c r="L2743" i="1"/>
  <c r="L2735" i="1"/>
  <c r="L2703" i="1"/>
  <c r="N2703" i="1" s="1"/>
  <c r="L2695" i="1"/>
  <c r="N2695" i="1" s="1"/>
  <c r="L2685" i="1"/>
  <c r="N2685" i="1" s="1"/>
  <c r="L3374" i="1"/>
  <c r="N3374" i="1" s="1"/>
  <c r="L3288" i="1"/>
  <c r="L3110" i="1"/>
  <c r="L2878" i="1"/>
  <c r="N2878" i="1" s="1"/>
  <c r="L3370" i="1"/>
  <c r="L3298" i="1"/>
  <c r="L3224" i="1"/>
  <c r="N3224" i="1" s="1"/>
  <c r="L3102" i="1"/>
  <c r="N3102" i="1" s="1"/>
  <c r="L3058" i="1"/>
  <c r="N3058" i="1" s="1"/>
  <c r="L3024" i="1"/>
  <c r="L2994" i="1"/>
  <c r="N2994" i="1" s="1"/>
  <c r="L2978" i="1"/>
  <c r="N2978" i="1" s="1"/>
  <c r="L2861" i="1"/>
  <c r="N2861" i="1" s="1"/>
  <c r="L2815" i="1"/>
  <c r="L2807" i="1"/>
  <c r="L2799" i="1"/>
  <c r="L2791" i="1"/>
  <c r="L2783" i="1"/>
  <c r="L2776" i="1"/>
  <c r="L2768" i="1"/>
  <c r="L2760" i="1"/>
  <c r="L2752" i="1"/>
  <c r="L2744" i="1"/>
  <c r="L2736" i="1"/>
  <c r="L2706" i="1"/>
  <c r="L2696" i="1"/>
  <c r="N2696" i="1" s="1"/>
  <c r="L2688" i="1"/>
  <c r="N2688" i="1" s="1"/>
  <c r="L2680" i="1"/>
  <c r="N2680" i="1" s="1"/>
  <c r="L2672" i="1"/>
  <c r="N2672" i="1" s="1"/>
  <c r="L2664" i="1"/>
  <c r="N2664" i="1" s="1"/>
  <c r="L2656" i="1"/>
  <c r="N2656" i="1" s="1"/>
  <c r="L2648" i="1"/>
  <c r="N2648" i="1" s="1"/>
  <c r="L2640" i="1"/>
  <c r="N2640" i="1" s="1"/>
  <c r="L2632" i="1"/>
  <c r="N2632" i="1" s="1"/>
  <c r="L2624" i="1"/>
  <c r="N2624" i="1" s="1"/>
  <c r="L2616" i="1"/>
  <c r="N2616" i="1" s="1"/>
  <c r="L2414" i="1"/>
  <c r="N2414" i="1" s="1"/>
  <c r="L2388" i="1"/>
  <c r="N2388" i="1" s="1"/>
  <c r="L2208" i="1"/>
  <c r="N2208" i="1" s="1"/>
  <c r="L2186" i="1"/>
  <c r="N2186" i="1" s="1"/>
  <c r="L2148" i="1"/>
  <c r="L2140" i="1"/>
  <c r="L2128" i="1"/>
  <c r="L2116" i="1"/>
  <c r="L2084" i="1"/>
  <c r="N2084" i="1" s="1"/>
  <c r="L2056" i="1"/>
  <c r="N2056" i="1" s="1"/>
  <c r="L2028" i="1"/>
  <c r="N2028" i="1" s="1"/>
  <c r="L2020" i="1"/>
  <c r="N2020" i="1" s="1"/>
  <c r="L2012" i="1"/>
  <c r="N2012" i="1" s="1"/>
  <c r="L2002" i="1"/>
  <c r="L1994" i="1"/>
  <c r="L1986" i="1"/>
  <c r="L1978" i="1"/>
  <c r="L1970" i="1"/>
  <c r="L1962" i="1"/>
  <c r="L1954" i="1"/>
  <c r="L1946" i="1"/>
  <c r="L1938" i="1"/>
  <c r="L1930" i="1"/>
  <c r="L1922" i="1"/>
  <c r="L1914" i="1"/>
  <c r="L1906" i="1"/>
  <c r="L1898" i="1"/>
  <c r="L1890" i="1"/>
  <c r="L1882" i="1"/>
  <c r="L1874" i="1"/>
  <c r="L1866" i="1"/>
  <c r="L1858" i="1"/>
  <c r="L1850" i="1"/>
  <c r="L1842" i="1"/>
  <c r="L1834" i="1"/>
  <c r="L1826" i="1"/>
  <c r="L1818" i="1"/>
  <c r="L1810" i="1"/>
  <c r="L1802" i="1"/>
  <c r="L1784" i="1"/>
  <c r="N1784" i="1" s="1"/>
  <c r="L1768" i="1"/>
  <c r="L1756" i="1"/>
  <c r="L1738" i="1"/>
  <c r="L1724" i="1"/>
  <c r="N1724" i="1" s="1"/>
  <c r="L1694" i="1"/>
  <c r="L1682" i="1"/>
  <c r="L1674" i="1"/>
  <c r="L1666" i="1"/>
  <c r="L1658" i="1"/>
  <c r="L1650" i="1"/>
  <c r="L1642" i="1"/>
  <c r="L1634" i="1"/>
  <c r="L1626" i="1"/>
  <c r="L1610" i="1"/>
  <c r="L1602" i="1"/>
  <c r="L1582" i="1"/>
  <c r="L1570" i="1"/>
  <c r="L1554" i="1"/>
  <c r="L1528" i="1"/>
  <c r="N1528" i="1" s="1"/>
  <c r="L1516" i="1"/>
  <c r="N1516" i="1" s="1"/>
  <c r="L1508" i="1"/>
  <c r="N1508" i="1" s="1"/>
  <c r="L1500" i="1"/>
  <c r="N1500" i="1" s="1"/>
  <c r="L1492" i="1"/>
  <c r="N1492" i="1" s="1"/>
  <c r="L1484" i="1"/>
  <c r="N1484" i="1" s="1"/>
  <c r="L1476" i="1"/>
  <c r="N1476" i="1" s="1"/>
  <c r="L1468" i="1"/>
  <c r="N1468" i="1" s="1"/>
  <c r="L1460" i="1"/>
  <c r="N1460" i="1" s="1"/>
  <c r="L1428" i="1"/>
  <c r="N1428" i="1" s="1"/>
  <c r="L1406" i="1"/>
  <c r="L1354" i="1"/>
  <c r="L1314" i="1"/>
  <c r="L1240" i="1"/>
  <c r="L1206" i="1"/>
  <c r="L1126" i="1"/>
  <c r="L2647" i="1"/>
  <c r="N2647" i="1" s="1"/>
  <c r="L2329" i="1"/>
  <c r="L2079" i="1"/>
  <c r="N2079" i="1" s="1"/>
  <c r="L1967" i="1"/>
  <c r="L3278" i="1"/>
  <c r="N3278" i="1" s="1"/>
  <c r="L3118" i="1"/>
  <c r="N3118" i="1" s="1"/>
  <c r="L3026" i="1"/>
  <c r="L2996" i="1"/>
  <c r="N2996" i="1" s="1"/>
  <c r="L2869" i="1"/>
  <c r="N2869" i="1" s="1"/>
  <c r="L2816" i="1"/>
  <c r="L2792" i="1"/>
  <c r="L3385" i="1"/>
  <c r="N3385" i="1" s="1"/>
  <c r="L3331" i="1"/>
  <c r="L3315" i="1"/>
  <c r="N3315" i="1" s="1"/>
  <c r="L3297" i="1"/>
  <c r="L3285" i="1"/>
  <c r="L3251" i="1"/>
  <c r="N3251" i="1" s="1"/>
  <c r="L3207" i="1"/>
  <c r="N3207" i="1" s="1"/>
  <c r="L3161" i="1"/>
  <c r="L3151" i="1"/>
  <c r="N3151" i="1" s="1"/>
  <c r="L3139" i="1"/>
  <c r="N3139" i="1" s="1"/>
  <c r="L3121" i="1"/>
  <c r="N3121" i="1" s="1"/>
  <c r="L3113" i="1"/>
  <c r="N3113" i="1" s="1"/>
  <c r="L3101" i="1"/>
  <c r="N3101" i="1" s="1"/>
  <c r="L3067" i="1"/>
  <c r="N3067" i="1" s="1"/>
  <c r="L3047" i="1"/>
  <c r="N3047" i="1" s="1"/>
  <c r="L3031" i="1"/>
  <c r="N3031" i="1" s="1"/>
  <c r="L3021" i="1"/>
  <c r="L2997" i="1"/>
  <c r="N2997" i="1" s="1"/>
  <c r="L2989" i="1"/>
  <c r="N2989" i="1" s="1"/>
  <c r="L2981" i="1"/>
  <c r="N2981" i="1" s="1"/>
  <c r="L2889" i="1"/>
  <c r="N2889" i="1" s="1"/>
  <c r="L3308" i="1"/>
  <c r="L3174" i="1"/>
  <c r="N3174" i="1" s="1"/>
  <c r="L3136" i="1"/>
  <c r="N3136" i="1" s="1"/>
  <c r="L3004" i="1"/>
  <c r="L3304" i="1"/>
  <c r="N3304" i="1" s="1"/>
  <c r="L3242" i="1"/>
  <c r="N3242" i="1" s="1"/>
  <c r="L3114" i="1"/>
  <c r="N3114" i="1" s="1"/>
  <c r="L3080" i="1"/>
  <c r="N3080" i="1" s="1"/>
  <c r="L3022" i="1"/>
  <c r="N3022" i="1" s="1"/>
  <c r="L2992" i="1"/>
  <c r="N2992" i="1" s="1"/>
  <c r="L2976" i="1"/>
  <c r="N2976" i="1" s="1"/>
  <c r="L2862" i="1"/>
  <c r="N2862" i="1" s="1"/>
  <c r="L2829" i="1"/>
  <c r="L2813" i="1"/>
  <c r="L2805" i="1"/>
  <c r="L2797" i="1"/>
  <c r="L2789" i="1"/>
  <c r="L2781" i="1"/>
  <c r="L2773" i="1"/>
  <c r="L2765" i="1"/>
  <c r="L2757" i="1"/>
  <c r="L2749" i="1"/>
  <c r="L2741" i="1"/>
  <c r="L2733" i="1"/>
  <c r="L2701" i="1"/>
  <c r="N2701" i="1" s="1"/>
  <c r="L2691" i="1"/>
  <c r="N2691" i="1" s="1"/>
  <c r="L2683" i="1"/>
  <c r="N2683" i="1" s="1"/>
  <c r="L3356" i="1"/>
  <c r="L3216" i="1"/>
  <c r="L2926" i="1"/>
  <c r="N2926" i="1" s="1"/>
  <c r="L2855" i="1"/>
  <c r="N2855" i="1" s="1"/>
  <c r="L3354" i="1"/>
  <c r="N3354" i="1" s="1"/>
  <c r="L3292" i="1"/>
  <c r="N3292" i="1" s="1"/>
  <c r="L3120" i="1"/>
  <c r="N3120" i="1" s="1"/>
  <c r="L3098" i="1"/>
  <c r="N3098" i="1" s="1"/>
  <c r="L3048" i="1"/>
  <c r="N3048" i="1" s="1"/>
  <c r="L3020" i="1"/>
  <c r="N3020" i="1" s="1"/>
  <c r="L2990" i="1"/>
  <c r="N2990" i="1" s="1"/>
  <c r="L2974" i="1"/>
  <c r="N2974" i="1" s="1"/>
  <c r="L2860" i="1"/>
  <c r="N2860" i="1" s="1"/>
  <c r="L2814" i="1"/>
  <c r="L2806" i="1"/>
  <c r="L2798" i="1"/>
  <c r="L2790" i="1"/>
  <c r="L2782" i="1"/>
  <c r="L2774" i="1"/>
  <c r="L2766" i="1"/>
  <c r="L2758" i="1"/>
  <c r="L2750" i="1"/>
  <c r="L2742" i="1"/>
  <c r="L2734" i="1"/>
  <c r="L2704" i="1"/>
  <c r="N2704" i="1" s="1"/>
  <c r="L2694" i="1"/>
  <c r="N2694" i="1" s="1"/>
  <c r="L2686" i="1"/>
  <c r="N2686" i="1" s="1"/>
  <c r="L2678" i="1"/>
  <c r="N2678" i="1" s="1"/>
  <c r="L2670" i="1"/>
  <c r="N2670" i="1" s="1"/>
  <c r="L2662" i="1"/>
  <c r="N2662" i="1" s="1"/>
  <c r="L2654" i="1"/>
  <c r="N2654" i="1" s="1"/>
  <c r="L2646" i="1"/>
  <c r="N2646" i="1" s="1"/>
  <c r="L2638" i="1"/>
  <c r="N2638" i="1" s="1"/>
  <c r="L2630" i="1"/>
  <c r="N2630" i="1" s="1"/>
  <c r="L2622" i="1"/>
  <c r="N2622" i="1" s="1"/>
  <c r="L2614" i="1"/>
  <c r="N2614" i="1" s="1"/>
  <c r="L2398" i="1"/>
  <c r="N2398" i="1" s="1"/>
  <c r="L2380" i="1"/>
  <c r="N2380" i="1" s="1"/>
  <c r="L2194" i="1"/>
  <c r="N2194" i="1" s="1"/>
  <c r="L2180" i="1"/>
  <c r="N2180" i="1" s="1"/>
  <c r="L2146" i="1"/>
  <c r="L2138" i="1"/>
  <c r="L2126" i="1"/>
  <c r="L2114" i="1"/>
  <c r="N2114" i="1" s="1"/>
  <c r="L2080" i="1"/>
  <c r="N2080" i="1" s="1"/>
  <c r="L2044" i="1"/>
  <c r="N2044" i="1" s="1"/>
  <c r="L2026" i="1"/>
  <c r="N2026" i="1" s="1"/>
  <c r="L2018" i="1"/>
  <c r="N2018" i="1" s="1"/>
  <c r="L2010" i="1"/>
  <c r="N2010" i="1" s="1"/>
  <c r="L2000" i="1"/>
  <c r="L1992" i="1"/>
  <c r="L1984" i="1"/>
  <c r="L1976" i="1"/>
  <c r="L1968" i="1"/>
  <c r="L1960" i="1"/>
  <c r="L1952" i="1"/>
  <c r="L1944" i="1"/>
  <c r="L1936" i="1"/>
  <c r="L1928" i="1"/>
  <c r="L1920" i="1"/>
  <c r="L1912" i="1"/>
  <c r="L1904" i="1"/>
  <c r="L1896" i="1"/>
  <c r="L1888" i="1"/>
  <c r="L1880" i="1"/>
  <c r="L1872" i="1"/>
  <c r="L1864" i="1"/>
  <c r="L1856" i="1"/>
  <c r="L1848" i="1"/>
  <c r="L1840" i="1"/>
  <c r="L1832" i="1"/>
  <c r="L1824" i="1"/>
  <c r="L1816" i="1"/>
  <c r="L1808" i="1"/>
  <c r="L1800" i="1"/>
  <c r="L1776" i="1"/>
  <c r="L1766" i="1"/>
  <c r="N1766" i="1" s="1"/>
  <c r="L1754" i="1"/>
  <c r="L1730" i="1"/>
  <c r="L1722" i="1"/>
  <c r="L1692" i="1"/>
  <c r="N1692" i="1" s="1"/>
  <c r="L1680" i="1"/>
  <c r="L1672" i="1"/>
  <c r="L1664" i="1"/>
  <c r="L1656" i="1"/>
  <c r="L1648" i="1"/>
  <c r="L1640" i="1"/>
  <c r="L1632" i="1"/>
  <c r="L1624" i="1"/>
  <c r="N1624" i="1" s="1"/>
  <c r="L1608" i="1"/>
  <c r="N1608" i="1" s="1"/>
  <c r="L1600" i="1"/>
  <c r="N1600" i="1" s="1"/>
  <c r="L1580" i="1"/>
  <c r="L1564" i="1"/>
  <c r="L1536" i="1"/>
  <c r="L1524" i="1"/>
  <c r="N1524" i="1" s="1"/>
  <c r="L1514" i="1"/>
  <c r="N1514" i="1" s="1"/>
  <c r="L1506" i="1"/>
  <c r="N1506" i="1" s="1"/>
  <c r="L1498" i="1"/>
  <c r="N1498" i="1" s="1"/>
  <c r="L1490" i="1"/>
  <c r="N1490" i="1" s="1"/>
  <c r="L1482" i="1"/>
  <c r="N1482" i="1" s="1"/>
  <c r="L1474" i="1"/>
  <c r="N1474" i="1" s="1"/>
  <c r="L1466" i="1"/>
  <c r="N1466" i="1" s="1"/>
  <c r="L1446" i="1"/>
  <c r="L1424" i="1"/>
  <c r="L1392" i="1"/>
  <c r="L1350" i="1"/>
  <c r="L1308" i="1"/>
  <c r="L1226" i="1"/>
  <c r="L1174" i="1"/>
  <c r="L1122" i="1"/>
  <c r="L2631" i="1"/>
  <c r="N2631" i="1" s="1"/>
  <c r="L2151" i="1"/>
  <c r="L2049" i="1"/>
  <c r="N2049" i="1" s="1"/>
  <c r="L1935" i="1"/>
  <c r="M3107" i="1"/>
  <c r="N3107" i="1" s="1"/>
  <c r="M3303" i="1"/>
  <c r="M3288" i="1"/>
  <c r="M2138" i="1"/>
  <c r="M2125" i="1"/>
  <c r="M3072" i="1"/>
  <c r="N3072" i="1" s="1"/>
  <c r="M3312" i="1"/>
  <c r="N3312" i="1" s="1"/>
  <c r="M3239" i="1"/>
  <c r="N3239" i="1" s="1"/>
  <c r="M3156" i="1"/>
  <c r="M3024" i="1"/>
  <c r="M2789" i="1"/>
  <c r="M2785" i="1"/>
  <c r="M2781" i="1"/>
  <c r="M2777" i="1"/>
  <c r="M2803" i="1"/>
  <c r="M2799" i="1"/>
  <c r="M2757" i="1"/>
  <c r="M3355" i="1"/>
  <c r="N3355" i="1" s="1"/>
  <c r="M2149" i="1"/>
  <c r="M3275" i="1"/>
  <c r="N3275" i="1" s="1"/>
  <c r="M3161" i="1"/>
  <c r="M3127" i="1"/>
  <c r="M210" i="1"/>
  <c r="M2901" i="1"/>
  <c r="N2901" i="1" s="1"/>
  <c r="M2150" i="1"/>
  <c r="M2130" i="1"/>
  <c r="M3021" i="1"/>
  <c r="M2816" i="1"/>
  <c r="M804" i="1"/>
  <c r="M3159" i="1"/>
  <c r="M2906" i="1"/>
  <c r="N2906" i="1" s="1"/>
  <c r="M2813" i="1"/>
  <c r="M2768" i="1"/>
  <c r="M2790" i="1"/>
  <c r="M3240" i="1"/>
  <c r="N3240" i="1" s="1"/>
  <c r="M3158" i="1"/>
  <c r="M2177" i="1"/>
  <c r="M2828" i="1"/>
  <c r="M2140" i="1"/>
  <c r="M3077" i="1"/>
  <c r="N3077" i="1" s="1"/>
  <c r="M2709" i="1"/>
  <c r="M2811" i="1"/>
  <c r="M2796" i="1"/>
  <c r="M2739" i="1"/>
  <c r="M2735" i="1"/>
  <c r="M2814" i="1"/>
  <c r="M2769" i="1"/>
  <c r="M2754" i="1"/>
  <c r="M3109" i="1"/>
  <c r="M3293" i="1"/>
  <c r="M3283" i="1"/>
  <c r="M3236" i="1"/>
  <c r="N3236" i="1" s="1"/>
  <c r="M2124" i="1"/>
  <c r="M3027" i="1"/>
  <c r="M3295" i="1"/>
  <c r="N3295" i="1" s="1"/>
  <c r="M2132" i="1"/>
  <c r="M2838" i="1"/>
  <c r="M2900" i="1"/>
  <c r="N2900" i="1" s="1"/>
  <c r="M2788" i="1"/>
  <c r="M2784" i="1"/>
  <c r="M2780" i="1"/>
  <c r="M2776" i="1"/>
  <c r="M2802" i="1"/>
  <c r="M2798" i="1"/>
  <c r="M3193" i="1"/>
  <c r="N3193" i="1" s="1"/>
  <c r="M3004" i="1"/>
  <c r="M3296" i="1"/>
  <c r="N3296" i="1" s="1"/>
  <c r="M2116" i="1"/>
  <c r="M2129" i="1"/>
  <c r="M2642" i="1"/>
  <c r="M2113" i="1"/>
  <c r="M3404" i="1"/>
  <c r="N3404" i="1" s="1"/>
  <c r="M2148" i="1"/>
  <c r="M3110" i="1"/>
  <c r="M2907" i="1"/>
  <c r="N2907" i="1" s="1"/>
  <c r="M2812" i="1"/>
  <c r="M3298" i="1"/>
  <c r="M2127" i="1"/>
  <c r="M2853" i="1"/>
  <c r="N2853" i="1" s="1"/>
  <c r="M2809" i="1"/>
  <c r="M2765" i="1"/>
  <c r="M2743" i="1"/>
  <c r="M2151" i="1"/>
  <c r="M3124" i="1"/>
  <c r="M2904" i="1"/>
  <c r="N2904" i="1" s="1"/>
  <c r="M2818" i="1"/>
  <c r="M3128" i="1"/>
  <c r="N3128" i="1" s="1"/>
  <c r="M3026" i="1"/>
  <c r="M2829" i="1"/>
  <c r="M2807" i="1"/>
  <c r="M2763" i="1"/>
  <c r="M2738" i="1"/>
  <c r="M2734" i="1"/>
  <c r="M2797" i="1"/>
  <c r="M2766" i="1"/>
  <c r="M2804" i="1"/>
  <c r="M2759" i="1"/>
  <c r="M2748" i="1"/>
  <c r="M2360" i="1"/>
  <c r="N2360" i="1" s="1"/>
  <c r="M2340" i="1"/>
  <c r="N2340" i="1" s="1"/>
  <c r="M2322" i="1"/>
  <c r="N2322" i="1" s="1"/>
  <c r="M2304" i="1"/>
  <c r="N2304" i="1" s="1"/>
  <c r="M2288" i="1"/>
  <c r="N2288" i="1" s="1"/>
  <c r="M2376" i="1"/>
  <c r="N2376" i="1" s="1"/>
  <c r="M2346" i="1"/>
  <c r="N2346" i="1" s="1"/>
  <c r="M2319" i="1"/>
  <c r="N2319" i="1" s="1"/>
  <c r="M2290" i="1"/>
  <c r="N2290" i="1" s="1"/>
  <c r="M2273" i="1"/>
  <c r="N2273" i="1" s="1"/>
  <c r="M2256" i="1"/>
  <c r="N2256" i="1" s="1"/>
  <c r="M2240" i="1"/>
  <c r="N2240" i="1" s="1"/>
  <c r="M2220" i="1"/>
  <c r="N2220" i="1" s="1"/>
  <c r="M2207" i="1"/>
  <c r="N2207" i="1" s="1"/>
  <c r="M2179" i="1"/>
  <c r="N2179" i="1" s="1"/>
  <c r="M2006" i="1"/>
  <c r="M510" i="1"/>
  <c r="M506" i="1"/>
  <c r="M502" i="1"/>
  <c r="M1974" i="1"/>
  <c r="M1964" i="1"/>
  <c r="M479" i="1"/>
  <c r="M455" i="1"/>
  <c r="M2756" i="1"/>
  <c r="M2367" i="1"/>
  <c r="N2367" i="1" s="1"/>
  <c r="M2345" i="1"/>
  <c r="N2345" i="1" s="1"/>
  <c r="M2317" i="1"/>
  <c r="N2317" i="1" s="1"/>
  <c r="M2294" i="1"/>
  <c r="N2294" i="1" s="1"/>
  <c r="M2276" i="1"/>
  <c r="N2276" i="1" s="1"/>
  <c r="M2259" i="1"/>
  <c r="N2259" i="1" s="1"/>
  <c r="M2243" i="1"/>
  <c r="N2243" i="1" s="1"/>
  <c r="M2223" i="1"/>
  <c r="N2223" i="1" s="1"/>
  <c r="M2209" i="1"/>
  <c r="N2209" i="1" s="1"/>
  <c r="M2182" i="1"/>
  <c r="N2182" i="1" s="1"/>
  <c r="M2155" i="1"/>
  <c r="N2155" i="1" s="1"/>
  <c r="M3092" i="1"/>
  <c r="M3290" i="1"/>
  <c r="M3282" i="1"/>
  <c r="M2329" i="1"/>
  <c r="M2123" i="1"/>
  <c r="M3336" i="1"/>
  <c r="N3336" i="1" s="1"/>
  <c r="M2146" i="1"/>
  <c r="M3160" i="1"/>
  <c r="M3126" i="1"/>
  <c r="M2905" i="1"/>
  <c r="N2905" i="1" s="1"/>
  <c r="M2787" i="1"/>
  <c r="M2783" i="1"/>
  <c r="M2779" i="1"/>
  <c r="M2775" i="1"/>
  <c r="M2801" i="1"/>
  <c r="M2745" i="1"/>
  <c r="M3397" i="1"/>
  <c r="N3397" i="1" s="1"/>
  <c r="M3331" i="1"/>
  <c r="M2147" i="1"/>
  <c r="M2885" i="1"/>
  <c r="M3157" i="1"/>
  <c r="M3070" i="1"/>
  <c r="N3070" i="1" s="1"/>
  <c r="M2908" i="1"/>
  <c r="N2908" i="1" s="1"/>
  <c r="M3356" i="1"/>
  <c r="M2142" i="1"/>
  <c r="M3073" i="1"/>
  <c r="N3073" i="1" s="1"/>
  <c r="M2830" i="1"/>
  <c r="M2808" i="1"/>
  <c r="M2145" i="1"/>
  <c r="M3125" i="1"/>
  <c r="N3125" i="1" s="1"/>
  <c r="M2707" i="1"/>
  <c r="M2805" i="1"/>
  <c r="M2794" i="1"/>
  <c r="M3370" i="1"/>
  <c r="M3297" i="1"/>
  <c r="M2643" i="1"/>
  <c r="M2706" i="1"/>
  <c r="M3310" i="1"/>
  <c r="N3310" i="1" s="1"/>
  <c r="M2131" i="1"/>
  <c r="M2903" i="1"/>
  <c r="N2903" i="1" s="1"/>
  <c r="M2819" i="1"/>
  <c r="M2770" i="1"/>
  <c r="M2792" i="1"/>
  <c r="M2737" i="1"/>
  <c r="M2733" i="1"/>
  <c r="M2764" i="1"/>
  <c r="M2791" i="1"/>
  <c r="M2771" i="1"/>
  <c r="M2742" i="1"/>
  <c r="M2378" i="1"/>
  <c r="N2378" i="1" s="1"/>
  <c r="M2356" i="1"/>
  <c r="N2356" i="1" s="1"/>
  <c r="M2336" i="1"/>
  <c r="N2336" i="1" s="1"/>
  <c r="M2318" i="1"/>
  <c r="N2318" i="1" s="1"/>
  <c r="M2300" i="1"/>
  <c r="N2300" i="1" s="1"/>
  <c r="M2810" i="1"/>
  <c r="M2363" i="1"/>
  <c r="N2363" i="1" s="1"/>
  <c r="M2337" i="1"/>
  <c r="N2337" i="1" s="1"/>
  <c r="M2309" i="1"/>
  <c r="N2309" i="1" s="1"/>
  <c r="M2285" i="1"/>
  <c r="N2285" i="1" s="1"/>
  <c r="M2268" i="1"/>
  <c r="N2268" i="1" s="1"/>
  <c r="M2252" i="1"/>
  <c r="N2252" i="1" s="1"/>
  <c r="M2236" i="1"/>
  <c r="N2236" i="1" s="1"/>
  <c r="M2216" i="1"/>
  <c r="N2216" i="1" s="1"/>
  <c r="M2203" i="1"/>
  <c r="N2203" i="1" s="1"/>
  <c r="M2171" i="1"/>
  <c r="N2171" i="1" s="1"/>
  <c r="M526" i="1"/>
  <c r="M509" i="1"/>
  <c r="M505" i="1"/>
  <c r="M501" i="1"/>
  <c r="M491" i="1"/>
  <c r="M2117" i="1"/>
  <c r="M3289" i="1"/>
  <c r="M3279" i="1"/>
  <c r="N3279" i="1" s="1"/>
  <c r="M2126" i="1"/>
  <c r="M3076" i="1"/>
  <c r="N3076" i="1" s="1"/>
  <c r="M3000" i="1"/>
  <c r="M3286" i="1"/>
  <c r="M2128" i="1"/>
  <c r="M3075" i="1"/>
  <c r="N3075" i="1" s="1"/>
  <c r="M2902" i="1"/>
  <c r="N2902" i="1" s="1"/>
  <c r="M2786" i="1"/>
  <c r="M2782" i="1"/>
  <c r="M2778" i="1"/>
  <c r="M2774" i="1"/>
  <c r="M2800" i="1"/>
  <c r="M2744" i="1"/>
  <c r="M3216" i="1"/>
  <c r="M2374" i="1"/>
  <c r="M3104" i="1"/>
  <c r="N3104" i="1" s="1"/>
  <c r="M3231" i="1"/>
  <c r="M3141" i="1"/>
  <c r="N3141" i="1" s="1"/>
  <c r="M3074" i="1"/>
  <c r="N3074" i="1" s="1"/>
  <c r="M2899" i="1"/>
  <c r="N2899" i="1" s="1"/>
  <c r="M3308" i="1"/>
  <c r="M2139" i="1"/>
  <c r="M3025" i="1"/>
  <c r="M2827" i="1"/>
  <c r="M3401" i="1"/>
  <c r="N3401" i="1" s="1"/>
  <c r="M3285" i="1"/>
  <c r="M3071" i="1"/>
  <c r="N3071" i="1" s="1"/>
  <c r="M2817" i="1"/>
  <c r="M2772" i="1"/>
  <c r="M2761" i="1"/>
  <c r="M3334" i="1"/>
  <c r="N3334" i="1" s="1"/>
  <c r="M3256" i="1"/>
  <c r="N3256" i="1" s="1"/>
  <c r="M3078" i="1"/>
  <c r="N3078" i="1" s="1"/>
  <c r="M2708" i="1"/>
  <c r="M2143" i="1"/>
  <c r="M3111" i="1"/>
  <c r="M2857" i="1"/>
  <c r="N2857" i="1" s="1"/>
  <c r="M2815" i="1"/>
  <c r="M2767" i="1"/>
  <c r="M2758" i="1"/>
  <c r="M2736" i="1"/>
  <c r="M2732" i="1"/>
  <c r="M2740" i="1"/>
  <c r="M2741" i="1"/>
  <c r="M2793" i="1"/>
  <c r="M2755" i="1"/>
  <c r="M2368" i="1"/>
  <c r="N2368" i="1" s="1"/>
  <c r="M2353" i="1"/>
  <c r="N2353" i="1" s="1"/>
  <c r="M2332" i="1"/>
  <c r="N2332" i="1" s="1"/>
  <c r="M2314" i="1"/>
  <c r="N2314" i="1" s="1"/>
  <c r="M2296" i="1"/>
  <c r="N2296" i="1" s="1"/>
  <c r="M2751" i="1"/>
  <c r="M2358" i="1"/>
  <c r="N2358" i="1" s="1"/>
  <c r="M2331" i="1"/>
  <c r="N2331" i="1" s="1"/>
  <c r="M2301" i="1"/>
  <c r="N2301" i="1" s="1"/>
  <c r="M2281" i="1"/>
  <c r="N2281" i="1" s="1"/>
  <c r="M2264" i="1"/>
  <c r="N2264" i="1" s="1"/>
  <c r="M2248" i="1"/>
  <c r="N2248" i="1" s="1"/>
  <c r="M2232" i="1"/>
  <c r="N2232" i="1" s="1"/>
  <c r="M2212" i="1"/>
  <c r="N2212" i="1" s="1"/>
  <c r="M2199" i="1"/>
  <c r="N2199" i="1" s="1"/>
  <c r="M2166" i="1"/>
  <c r="N2166" i="1" s="1"/>
  <c r="M2001" i="1"/>
  <c r="M508" i="1"/>
  <c r="M504" i="1"/>
  <c r="M500" i="1"/>
  <c r="M2760" i="1"/>
  <c r="M2328" i="1"/>
  <c r="N2328" i="1" s="1"/>
  <c r="M2344" i="1"/>
  <c r="M2260" i="1"/>
  <c r="N2260" i="1" s="1"/>
  <c r="M2183" i="1"/>
  <c r="N2183" i="1" s="1"/>
  <c r="M503" i="1"/>
  <c r="M482" i="1"/>
  <c r="M457" i="1"/>
  <c r="M2795" i="1"/>
  <c r="M2362" i="1"/>
  <c r="N2362" i="1" s="1"/>
  <c r="M2330" i="1"/>
  <c r="N2330" i="1" s="1"/>
  <c r="M2299" i="1"/>
  <c r="N2299" i="1" s="1"/>
  <c r="M2271" i="1"/>
  <c r="N2271" i="1" s="1"/>
  <c r="M2251" i="1"/>
  <c r="N2251" i="1" s="1"/>
  <c r="M2231" i="1"/>
  <c r="N2231" i="1" s="1"/>
  <c r="M2206" i="1"/>
  <c r="N2206" i="1" s="1"/>
  <c r="M2170" i="1"/>
  <c r="N2170" i="1" s="1"/>
  <c r="M516" i="1"/>
  <c r="M512" i="1"/>
  <c r="M2762" i="1"/>
  <c r="M2366" i="1"/>
  <c r="N2366" i="1" s="1"/>
  <c r="M2339" i="1"/>
  <c r="N2339" i="1" s="1"/>
  <c r="M2311" i="1"/>
  <c r="N2311" i="1" s="1"/>
  <c r="M2287" i="1"/>
  <c r="N2287" i="1" s="1"/>
  <c r="M2270" i="1"/>
  <c r="N2270" i="1" s="1"/>
  <c r="M2254" i="1"/>
  <c r="N2254" i="1" s="1"/>
  <c r="M2238" i="1"/>
  <c r="N2238" i="1" s="1"/>
  <c r="M2218" i="1"/>
  <c r="N2218" i="1" s="1"/>
  <c r="M2197" i="1"/>
  <c r="N2197" i="1" s="1"/>
  <c r="M2169" i="1"/>
  <c r="N2169" i="1" s="1"/>
  <c r="M2003" i="1"/>
  <c r="M521" i="1"/>
  <c r="M517" i="1"/>
  <c r="M1989" i="1"/>
  <c r="M495" i="1"/>
  <c r="M487" i="1"/>
  <c r="M1959" i="1"/>
  <c r="M2746" i="1"/>
  <c r="M2359" i="1"/>
  <c r="N2359" i="1" s="1"/>
  <c r="M2338" i="1"/>
  <c r="N2338" i="1" s="1"/>
  <c r="M2315" i="1"/>
  <c r="N2315" i="1" s="1"/>
  <c r="M2291" i="1"/>
  <c r="N2291" i="1" s="1"/>
  <c r="M2274" i="1"/>
  <c r="N2274" i="1" s="1"/>
  <c r="M2257" i="1"/>
  <c r="N2257" i="1" s="1"/>
  <c r="M2241" i="1"/>
  <c r="N2241" i="1" s="1"/>
  <c r="M2221" i="1"/>
  <c r="N2221" i="1" s="1"/>
  <c r="M2200" i="1"/>
  <c r="N2200" i="1" s="1"/>
  <c r="M2160" i="1"/>
  <c r="N2160" i="1" s="1"/>
  <c r="M525" i="1"/>
  <c r="M1997" i="1"/>
  <c r="M1993" i="1"/>
  <c r="M1971" i="1"/>
  <c r="M489" i="1"/>
  <c r="M478" i="1"/>
  <c r="M1950" i="1"/>
  <c r="M492" i="1"/>
  <c r="M473" i="1"/>
  <c r="M466" i="1"/>
  <c r="M458" i="1"/>
  <c r="M1927" i="1"/>
  <c r="M441" i="1"/>
  <c r="M1913" i="1"/>
  <c r="M1909" i="1"/>
  <c r="M1903" i="1"/>
  <c r="M404" i="1"/>
  <c r="M1876" i="1"/>
  <c r="M387" i="1"/>
  <c r="M381" i="1"/>
  <c r="M375" i="1"/>
  <c r="M371" i="1"/>
  <c r="M1843" i="1"/>
  <c r="M1835" i="1"/>
  <c r="M1976" i="1"/>
  <c r="M1946" i="1"/>
  <c r="M1938" i="1"/>
  <c r="M448" i="1"/>
  <c r="M444" i="1"/>
  <c r="M1916" i="1"/>
  <c r="M1905" i="1"/>
  <c r="M2752" i="1"/>
  <c r="M2310" i="1"/>
  <c r="N2310" i="1" s="1"/>
  <c r="M2326" i="1"/>
  <c r="N2326" i="1" s="1"/>
  <c r="M2244" i="1"/>
  <c r="N2244" i="1" s="1"/>
  <c r="M2156" i="1"/>
  <c r="N2156" i="1" s="1"/>
  <c r="M499" i="1"/>
  <c r="M481" i="1"/>
  <c r="M456" i="1"/>
  <c r="M2747" i="1"/>
  <c r="M2357" i="1"/>
  <c r="N2357" i="1" s="1"/>
  <c r="M2324" i="1"/>
  <c r="N2324" i="1" s="1"/>
  <c r="M2289" i="1"/>
  <c r="N2289" i="1" s="1"/>
  <c r="M2267" i="1"/>
  <c r="N2267" i="1" s="1"/>
  <c r="M2247" i="1"/>
  <c r="N2247" i="1" s="1"/>
  <c r="M2219" i="1"/>
  <c r="N2219" i="1" s="1"/>
  <c r="M2202" i="1"/>
  <c r="N2202" i="1" s="1"/>
  <c r="M2163" i="1"/>
  <c r="N2163" i="1" s="1"/>
  <c r="M515" i="1"/>
  <c r="M1987" i="1"/>
  <c r="M2750" i="1"/>
  <c r="M2361" i="1"/>
  <c r="N2361" i="1" s="1"/>
  <c r="M2334" i="1"/>
  <c r="N2334" i="1" s="1"/>
  <c r="M2303" i="1"/>
  <c r="N2303" i="1" s="1"/>
  <c r="M2283" i="1"/>
  <c r="N2283" i="1" s="1"/>
  <c r="M2266" i="1"/>
  <c r="N2266" i="1" s="1"/>
  <c r="M2250" i="1"/>
  <c r="N2250" i="1" s="1"/>
  <c r="M2234" i="1"/>
  <c r="N2234" i="1" s="1"/>
  <c r="M2214" i="1"/>
  <c r="N2214" i="1" s="1"/>
  <c r="M2192" i="1"/>
  <c r="N2192" i="1" s="1"/>
  <c r="M2162" i="1"/>
  <c r="N2162" i="1" s="1"/>
  <c r="M524" i="1"/>
  <c r="M520" i="1"/>
  <c r="M1992" i="1"/>
  <c r="M1988" i="1"/>
  <c r="M494" i="1"/>
  <c r="M486" i="1"/>
  <c r="M477" i="1"/>
  <c r="M2377" i="1"/>
  <c r="N2377" i="1" s="1"/>
  <c r="M2354" i="1"/>
  <c r="N2354" i="1" s="1"/>
  <c r="M2333" i="1"/>
  <c r="N2333" i="1" s="1"/>
  <c r="M2174" i="1"/>
  <c r="N2174" i="1" s="1"/>
  <c r="M2286" i="1"/>
  <c r="N2286" i="1" s="1"/>
  <c r="M2269" i="1"/>
  <c r="N2269" i="1" s="1"/>
  <c r="M2253" i="1"/>
  <c r="N2253" i="1" s="1"/>
  <c r="M2237" i="1"/>
  <c r="N2237" i="1" s="1"/>
  <c r="M2217" i="1"/>
  <c r="N2217" i="1" s="1"/>
  <c r="M2196" i="1"/>
  <c r="N2196" i="1" s="1"/>
  <c r="M530" i="1"/>
  <c r="M2000" i="1"/>
  <c r="M1996" i="1"/>
  <c r="M498" i="1"/>
  <c r="M1970" i="1"/>
  <c r="M488" i="1"/>
  <c r="M1953" i="1"/>
  <c r="M1985" i="1"/>
  <c r="M483" i="1"/>
  <c r="M1948" i="1"/>
  <c r="M1941" i="1"/>
  <c r="M1930" i="1"/>
  <c r="M1926" i="1"/>
  <c r="M440" i="1"/>
  <c r="M1912" i="1"/>
  <c r="M430" i="1"/>
  <c r="M1902" i="1"/>
  <c r="M403" i="1"/>
  <c r="M391" i="1"/>
  <c r="M1862" i="1"/>
  <c r="M1856" i="1"/>
  <c r="M374" i="1"/>
  <c r="M370" i="1"/>
  <c r="M362" i="1"/>
  <c r="M1834" i="1"/>
  <c r="M1967" i="1"/>
  <c r="M467" i="1"/>
  <c r="M459" i="1"/>
  <c r="M447" i="1"/>
  <c r="M1919" i="1"/>
  <c r="M1915" i="1"/>
  <c r="M1904" i="1"/>
  <c r="M408" i="1"/>
  <c r="M1880" i="1"/>
  <c r="M397" i="1"/>
  <c r="M393" i="1"/>
  <c r="M2364" i="1"/>
  <c r="N2364" i="1" s="1"/>
  <c r="M2292" i="1"/>
  <c r="N2292" i="1" s="1"/>
  <c r="M2295" i="1"/>
  <c r="N2295" i="1" s="1"/>
  <c r="M2224" i="1"/>
  <c r="N2224" i="1" s="1"/>
  <c r="M511" i="1"/>
  <c r="M1966" i="1"/>
  <c r="M480" i="1"/>
  <c r="M454" i="1"/>
  <c r="M2154" i="1"/>
  <c r="N2154" i="1" s="1"/>
  <c r="M2352" i="1"/>
  <c r="N2352" i="1" s="1"/>
  <c r="M2312" i="1"/>
  <c r="N2312" i="1" s="1"/>
  <c r="M2284" i="1"/>
  <c r="N2284" i="1" s="1"/>
  <c r="M2263" i="1"/>
  <c r="N2263" i="1" s="1"/>
  <c r="M2239" i="1"/>
  <c r="N2239" i="1" s="1"/>
  <c r="M2215" i="1"/>
  <c r="N2215" i="1" s="1"/>
  <c r="M2198" i="1"/>
  <c r="N2198" i="1" s="1"/>
  <c r="M527" i="1"/>
  <c r="M514" i="1"/>
  <c r="M1986" i="1"/>
  <c r="M2379" i="1"/>
  <c r="N2379" i="1" s="1"/>
  <c r="M2355" i="1"/>
  <c r="N2355" i="1" s="1"/>
  <c r="M2321" i="1"/>
  <c r="N2321" i="1" s="1"/>
  <c r="M2298" i="1"/>
  <c r="N2298" i="1" s="1"/>
  <c r="M2279" i="1"/>
  <c r="N2279" i="1" s="1"/>
  <c r="M2262" i="1"/>
  <c r="N2262" i="1" s="1"/>
  <c r="M2246" i="1"/>
  <c r="N2246" i="1" s="1"/>
  <c r="M2226" i="1"/>
  <c r="N2226" i="1" s="1"/>
  <c r="M2205" i="1"/>
  <c r="N2205" i="1" s="1"/>
  <c r="M2181" i="1"/>
  <c r="N2181" i="1" s="1"/>
  <c r="M529" i="1"/>
  <c r="M523" i="1"/>
  <c r="M519" i="1"/>
  <c r="M1991" i="1"/>
  <c r="M497" i="1"/>
  <c r="M493" i="1"/>
  <c r="M1961" i="1"/>
  <c r="M476" i="1"/>
  <c r="M2370" i="1"/>
  <c r="N2370" i="1" s="1"/>
  <c r="M2350" i="1"/>
  <c r="N2350" i="1" s="1"/>
  <c r="M2327" i="1"/>
  <c r="N2327" i="1" s="1"/>
  <c r="M2302" i="1"/>
  <c r="N2302" i="1" s="1"/>
  <c r="M2282" i="1"/>
  <c r="N2282" i="1" s="1"/>
  <c r="M2265" i="1"/>
  <c r="N2265" i="1" s="1"/>
  <c r="M2249" i="1"/>
  <c r="N2249" i="1" s="1"/>
  <c r="M2233" i="1"/>
  <c r="N2233" i="1" s="1"/>
  <c r="M2213" i="1"/>
  <c r="N2213" i="1" s="1"/>
  <c r="M2187" i="1"/>
  <c r="N2187" i="1" s="1"/>
  <c r="M2005" i="1"/>
  <c r="M1999" i="1"/>
  <c r="M1995" i="1"/>
  <c r="M1973" i="1"/>
  <c r="M1969" i="1"/>
  <c r="M1963" i="1"/>
  <c r="M1952" i="1"/>
  <c r="M1981" i="1"/>
  <c r="M1955" i="1"/>
  <c r="M470" i="1"/>
  <c r="M462" i="1"/>
  <c r="M1929" i="1"/>
  <c r="M443" i="1"/>
  <c r="M439" i="1"/>
  <c r="M1911" i="1"/>
  <c r="M429" i="1"/>
  <c r="M1901" i="1"/>
  <c r="M402" i="1"/>
  <c r="M1867" i="1"/>
  <c r="M383" i="1"/>
  <c r="M377" i="1"/>
  <c r="M373" i="1"/>
  <c r="M369" i="1"/>
  <c r="M2349" i="1"/>
  <c r="N2349" i="1" s="1"/>
  <c r="M2749" i="1"/>
  <c r="M2277" i="1"/>
  <c r="N2277" i="1" s="1"/>
  <c r="M2210" i="1"/>
  <c r="N2210" i="1" s="1"/>
  <c r="M507" i="1"/>
  <c r="M1965" i="1"/>
  <c r="M1954" i="1"/>
  <c r="M2806" i="1"/>
  <c r="M2375" i="1"/>
  <c r="N2375" i="1" s="1"/>
  <c r="M2335" i="1"/>
  <c r="N2335" i="1" s="1"/>
  <c r="M2306" i="1"/>
  <c r="N2306" i="1" s="1"/>
  <c r="M2280" i="1"/>
  <c r="N2280" i="1" s="1"/>
  <c r="M2255" i="1"/>
  <c r="N2255" i="1" s="1"/>
  <c r="M2235" i="1"/>
  <c r="N2235" i="1" s="1"/>
  <c r="M2211" i="1"/>
  <c r="M2178" i="1"/>
  <c r="N2178" i="1" s="1"/>
  <c r="M2002" i="1"/>
  <c r="M513" i="1"/>
  <c r="M2773" i="1"/>
  <c r="M2373" i="1"/>
  <c r="N2373" i="1" s="1"/>
  <c r="M2351" i="1"/>
  <c r="N2351" i="1" s="1"/>
  <c r="M2316" i="1"/>
  <c r="N2316" i="1" s="1"/>
  <c r="M2293" i="1"/>
  <c r="N2293" i="1" s="1"/>
  <c r="M2275" i="1"/>
  <c r="N2275" i="1" s="1"/>
  <c r="M2258" i="1"/>
  <c r="N2258" i="1" s="1"/>
  <c r="M2242" i="1"/>
  <c r="N2242" i="1" s="1"/>
  <c r="M2222" i="1"/>
  <c r="N2222" i="1" s="1"/>
  <c r="M2201" i="1"/>
  <c r="N2201" i="1" s="1"/>
  <c r="M2176" i="1"/>
  <c r="N2176" i="1" s="1"/>
  <c r="M528" i="1"/>
  <c r="M522" i="1"/>
  <c r="M518" i="1"/>
  <c r="M1990" i="1"/>
  <c r="M496" i="1"/>
  <c r="M1968" i="1"/>
  <c r="M1960" i="1"/>
  <c r="M2753" i="1"/>
  <c r="M2365" i="1"/>
  <c r="N2365" i="1" s="1"/>
  <c r="M2342" i="1"/>
  <c r="N2342" i="1" s="1"/>
  <c r="M2320" i="1"/>
  <c r="N2320" i="1" s="1"/>
  <c r="M2297" i="1"/>
  <c r="N2297" i="1" s="1"/>
  <c r="M2278" i="1"/>
  <c r="N2278" i="1" s="1"/>
  <c r="M2261" i="1"/>
  <c r="N2261" i="1" s="1"/>
  <c r="M2245" i="1"/>
  <c r="N2245" i="1" s="1"/>
  <c r="M2225" i="1"/>
  <c r="N2225" i="1" s="1"/>
  <c r="M2204" i="1"/>
  <c r="N2204" i="1" s="1"/>
  <c r="M2175" i="1"/>
  <c r="N2175" i="1" s="1"/>
  <c r="M2004" i="1"/>
  <c r="M1998" i="1"/>
  <c r="M1994" i="1"/>
  <c r="M1972" i="1"/>
  <c r="M490" i="1"/>
  <c r="M1962" i="1"/>
  <c r="M1951" i="1"/>
  <c r="M1977" i="1"/>
  <c r="M475" i="1"/>
  <c r="M1945" i="1"/>
  <c r="M1937" i="1"/>
  <c r="M1928" i="1"/>
  <c r="M442" i="1"/>
  <c r="M1914" i="1"/>
  <c r="M1910" i="1"/>
  <c r="M428" i="1"/>
  <c r="M1900" i="1"/>
  <c r="M1877" i="1"/>
  <c r="M1866" i="1"/>
  <c r="M382" i="1"/>
  <c r="M376" i="1"/>
  <c r="M372" i="1"/>
  <c r="M368" i="1"/>
  <c r="M1836" i="1"/>
  <c r="M1980" i="1"/>
  <c r="M1949" i="1"/>
  <c r="M463" i="1"/>
  <c r="M1931" i="1"/>
  <c r="M445" i="1"/>
  <c r="M1917" i="1"/>
  <c r="M1906" i="1"/>
  <c r="M410" i="1"/>
  <c r="M406" i="1"/>
  <c r="M1878" i="1"/>
  <c r="M395" i="1"/>
  <c r="M388" i="1"/>
  <c r="M1858" i="1"/>
  <c r="M1852" i="1"/>
  <c r="M1837" i="1"/>
  <c r="M1934" i="1"/>
  <c r="M411" i="1"/>
  <c r="M1879" i="1"/>
  <c r="M1868" i="1"/>
  <c r="M1857" i="1"/>
  <c r="M1850" i="1"/>
  <c r="M1846" i="1"/>
  <c r="M1838" i="1"/>
  <c r="M1821" i="1"/>
  <c r="M1975" i="1"/>
  <c r="M471" i="1"/>
  <c r="M1939" i="1"/>
  <c r="M449" i="1"/>
  <c r="M1921" i="1"/>
  <c r="M423" i="1"/>
  <c r="M419" i="1"/>
  <c r="M415" i="1"/>
  <c r="M1887" i="1"/>
  <c r="M1883" i="1"/>
  <c r="M1874" i="1"/>
  <c r="M1870" i="1"/>
  <c r="M385" i="1"/>
  <c r="M366" i="1"/>
  <c r="M352" i="1"/>
  <c r="M1824" i="1"/>
  <c r="M333" i="1"/>
  <c r="M329" i="1"/>
  <c r="M325" i="1"/>
  <c r="M1651" i="1"/>
  <c r="M106" i="1"/>
  <c r="M1735" i="1"/>
  <c r="M1982" i="1"/>
  <c r="M472" i="1"/>
  <c r="M465" i="1"/>
  <c r="M1933" i="1"/>
  <c r="M450" i="1"/>
  <c r="M436" i="1"/>
  <c r="M1984" i="1"/>
  <c r="M446" i="1"/>
  <c r="M409" i="1"/>
  <c r="M398" i="1"/>
  <c r="M1863" i="1"/>
  <c r="M378" i="1"/>
  <c r="M1849" i="1"/>
  <c r="M1845" i="1"/>
  <c r="M348" i="1"/>
  <c r="M1820" i="1"/>
  <c r="M485" i="1"/>
  <c r="M468" i="1"/>
  <c r="M460" i="1"/>
  <c r="M1924" i="1"/>
  <c r="M1920" i="1"/>
  <c r="M422" i="1"/>
  <c r="M418" i="1"/>
  <c r="M414" i="1"/>
  <c r="M1886" i="1"/>
  <c r="M1882" i="1"/>
  <c r="M1873" i="1"/>
  <c r="M1869" i="1"/>
  <c r="M1860" i="1"/>
  <c r="M365" i="1"/>
  <c r="M351" i="1"/>
  <c r="M336" i="1"/>
  <c r="M332" i="1"/>
  <c r="M328" i="1"/>
  <c r="M1800" i="1"/>
  <c r="M1666" i="1"/>
  <c r="M1660" i="1"/>
  <c r="M1733" i="1"/>
  <c r="M1978" i="1"/>
  <c r="M1947" i="1"/>
  <c r="M1940" i="1"/>
  <c r="M1958" i="1"/>
  <c r="M1918" i="1"/>
  <c r="M407" i="1"/>
  <c r="M396" i="1"/>
  <c r="M384" i="1"/>
  <c r="M1853" i="1"/>
  <c r="M1848" i="1"/>
  <c r="M1844" i="1"/>
  <c r="M1823" i="1"/>
  <c r="M1983" i="1"/>
  <c r="M1957" i="1"/>
  <c r="M1943" i="1"/>
  <c r="M1935" i="1"/>
  <c r="M1923" i="1"/>
  <c r="M432" i="1"/>
  <c r="M421" i="1"/>
  <c r="M417" i="1"/>
  <c r="M413" i="1"/>
  <c r="M1885" i="1"/>
  <c r="M1881" i="1"/>
  <c r="M1872" i="1"/>
  <c r="M389" i="1"/>
  <c r="M379" i="1"/>
  <c r="M364" i="1"/>
  <c r="M350" i="1"/>
  <c r="M335" i="1"/>
  <c r="M331" i="1"/>
  <c r="M327" i="1"/>
  <c r="M1793" i="1"/>
  <c r="M1754" i="1"/>
  <c r="M125" i="1"/>
  <c r="M1730" i="1"/>
  <c r="M484" i="1"/>
  <c r="M469" i="1"/>
  <c r="M461" i="1"/>
  <c r="M452" i="1"/>
  <c r="M438" i="1"/>
  <c r="M434" i="1"/>
  <c r="M426" i="1"/>
  <c r="M1898" i="1"/>
  <c r="M1894" i="1"/>
  <c r="M1890" i="1"/>
  <c r="M400" i="1"/>
  <c r="M386" i="1"/>
  <c r="M367" i="1"/>
  <c r="M361" i="1"/>
  <c r="M357" i="1"/>
  <c r="M353" i="1"/>
  <c r="M1825" i="1"/>
  <c r="M338" i="1"/>
  <c r="M1829" i="1"/>
  <c r="M1806" i="1"/>
  <c r="M14" i="1"/>
  <c r="M1744" i="1"/>
  <c r="M1714" i="1"/>
  <c r="M1682" i="1"/>
  <c r="M1674" i="1"/>
  <c r="M1662" i="1"/>
  <c r="M1644" i="1"/>
  <c r="M1632" i="1"/>
  <c r="M1605" i="1"/>
  <c r="M1591" i="1"/>
  <c r="N1591" i="1" s="1"/>
  <c r="M1007" i="1"/>
  <c r="M99" i="1"/>
  <c r="M1530" i="1"/>
  <c r="M1425" i="1"/>
  <c r="M108" i="1"/>
  <c r="M1324" i="1"/>
  <c r="M1291" i="1"/>
  <c r="M1163" i="1"/>
  <c r="M1252" i="1"/>
  <c r="M1214" i="1"/>
  <c r="M1211" i="1"/>
  <c r="M1212" i="1"/>
  <c r="M1124" i="1"/>
  <c r="M231" i="1"/>
  <c r="M1034" i="1"/>
  <c r="M982" i="1"/>
  <c r="N982" i="1" s="1"/>
  <c r="M970" i="1"/>
  <c r="N970" i="1" s="1"/>
  <c r="M950" i="1"/>
  <c r="M119" i="1"/>
  <c r="M901" i="1"/>
  <c r="M879" i="1"/>
  <c r="M875" i="1"/>
  <c r="M850" i="1"/>
  <c r="M1942" i="1"/>
  <c r="M431" i="1"/>
  <c r="M405" i="1"/>
  <c r="M394" i="1"/>
  <c r="M1859" i="1"/>
  <c r="M1851" i="1"/>
  <c r="M1847" i="1"/>
  <c r="M363" i="1"/>
  <c r="M1822" i="1"/>
  <c r="M1979" i="1"/>
  <c r="M474" i="1"/>
  <c r="M464" i="1"/>
  <c r="M1932" i="1"/>
  <c r="M1922" i="1"/>
  <c r="M1907" i="1"/>
  <c r="M420" i="1"/>
  <c r="M416" i="1"/>
  <c r="M412" i="1"/>
  <c r="M1884" i="1"/>
  <c r="M399" i="1"/>
  <c r="M1871" i="1"/>
  <c r="M1864" i="1"/>
  <c r="M1854" i="1"/>
  <c r="M1839" i="1"/>
  <c r="M349" i="1"/>
  <c r="M334" i="1"/>
  <c r="M330" i="1"/>
  <c r="M326" i="1"/>
  <c r="M1776" i="1"/>
  <c r="M590" i="1"/>
  <c r="M586" i="1"/>
  <c r="M1728" i="1"/>
  <c r="M1956" i="1"/>
  <c r="M1944" i="1"/>
  <c r="M1936" i="1"/>
  <c r="M451" i="1"/>
  <c r="M437" i="1"/>
  <c r="M453" i="1"/>
  <c r="M1908" i="1"/>
  <c r="M1899" i="1"/>
  <c r="M1893" i="1"/>
  <c r="M1888" i="1"/>
  <c r="M1865" i="1"/>
  <c r="M1842" i="1"/>
  <c r="M359" i="1"/>
  <c r="M354" i="1"/>
  <c r="M341" i="1"/>
  <c r="M1812" i="1"/>
  <c r="M1810" i="1"/>
  <c r="M179" i="1"/>
  <c r="M1726" i="1"/>
  <c r="M1380" i="1"/>
  <c r="M1671" i="1"/>
  <c r="M1654" i="1"/>
  <c r="M1634" i="1"/>
  <c r="M1602" i="1"/>
  <c r="M1583" i="1"/>
  <c r="M1564" i="1"/>
  <c r="N1564" i="1" s="1"/>
  <c r="M1485" i="1"/>
  <c r="M571" i="1"/>
  <c r="M1126" i="1"/>
  <c r="M1279" i="1"/>
  <c r="N1279" i="1" s="1"/>
  <c r="M1159" i="1"/>
  <c r="M1216" i="1"/>
  <c r="N1216" i="1" s="1"/>
  <c r="M1210" i="1"/>
  <c r="M1146" i="1"/>
  <c r="M233" i="1"/>
  <c r="M230" i="1"/>
  <c r="M976" i="1"/>
  <c r="M820" i="1"/>
  <c r="M910" i="1"/>
  <c r="M897" i="1"/>
  <c r="M876" i="1"/>
  <c r="M844" i="1"/>
  <c r="M829" i="1"/>
  <c r="M825" i="1"/>
  <c r="N825" i="1" s="1"/>
  <c r="M806" i="1"/>
  <c r="M752" i="1"/>
  <c r="N752" i="1" s="1"/>
  <c r="M716" i="1"/>
  <c r="N716" i="1" s="1"/>
  <c r="M688" i="1"/>
  <c r="M343" i="1"/>
  <c r="M1811" i="1"/>
  <c r="M1808" i="1"/>
  <c r="M345" i="1"/>
  <c r="M1925" i="1"/>
  <c r="M427" i="1"/>
  <c r="M1897" i="1"/>
  <c r="M1892" i="1"/>
  <c r="M401" i="1"/>
  <c r="M1861" i="1"/>
  <c r="M1841" i="1"/>
  <c r="N1841" i="1" s="1"/>
  <c r="M358" i="1"/>
  <c r="M1828" i="1"/>
  <c r="M340" i="1"/>
  <c r="M1833" i="1"/>
  <c r="N1833" i="1" s="1"/>
  <c r="M1802" i="1"/>
  <c r="M435" i="1"/>
  <c r="M425" i="1"/>
  <c r="M1896" i="1"/>
  <c r="M1891" i="1"/>
  <c r="M1875" i="1"/>
  <c r="M380" i="1"/>
  <c r="M1840" i="1"/>
  <c r="M356" i="1"/>
  <c r="M1827" i="1"/>
  <c r="M339" i="1"/>
  <c r="N339" i="1" s="1"/>
  <c r="M344" i="1"/>
  <c r="N344" i="1" s="1"/>
  <c r="M433" i="1"/>
  <c r="M424" i="1"/>
  <c r="M1895" i="1"/>
  <c r="M1889" i="1"/>
  <c r="M390" i="1"/>
  <c r="M1855" i="1"/>
  <c r="M360" i="1"/>
  <c r="N360" i="1" s="1"/>
  <c r="M355" i="1"/>
  <c r="N355" i="1" s="1"/>
  <c r="M1826" i="1"/>
  <c r="M337" i="1"/>
  <c r="M1818" i="1"/>
  <c r="M193" i="1"/>
  <c r="M1657" i="1"/>
  <c r="N1657" i="1" s="1"/>
  <c r="M568" i="1"/>
  <c r="M1676" i="1"/>
  <c r="M1659" i="1"/>
  <c r="M1639" i="1"/>
  <c r="M1611" i="1"/>
  <c r="M1587" i="1"/>
  <c r="M1570" i="1"/>
  <c r="M1531" i="1"/>
  <c r="M1410" i="1"/>
  <c r="N1410" i="1" s="1"/>
  <c r="M1337" i="1"/>
  <c r="M1316" i="1"/>
  <c r="N1316" i="1" s="1"/>
  <c r="M1257" i="1"/>
  <c r="M1240" i="1"/>
  <c r="M1228" i="1"/>
  <c r="M1054" i="1"/>
  <c r="N1054" i="1" s="1"/>
  <c r="M1105" i="1"/>
  <c r="M1064" i="1"/>
  <c r="M980" i="1"/>
  <c r="N980" i="1" s="1"/>
  <c r="M944" i="1"/>
  <c r="M937" i="1"/>
  <c r="M899" i="1"/>
  <c r="M877" i="1"/>
  <c r="N877" i="1" s="1"/>
  <c r="M852" i="1"/>
  <c r="N852" i="1" s="1"/>
  <c r="M830" i="1"/>
  <c r="M826" i="1"/>
  <c r="M23" i="1"/>
  <c r="M697" i="1"/>
  <c r="M720" i="1"/>
  <c r="M695" i="1"/>
  <c r="M347" i="1"/>
  <c r="M1813" i="1"/>
  <c r="M1819" i="1"/>
  <c r="M1830" i="1"/>
  <c r="M1814" i="1"/>
  <c r="M323" i="1"/>
  <c r="M1756" i="1"/>
  <c r="M1722" i="1"/>
  <c r="M1687" i="1"/>
  <c r="M1661" i="1"/>
  <c r="M1106" i="1"/>
  <c r="M1627" i="1"/>
  <c r="M544" i="1"/>
  <c r="M1586" i="1"/>
  <c r="M1534" i="1"/>
  <c r="M1392" i="1"/>
  <c r="M1321" i="1"/>
  <c r="M1278" i="1"/>
  <c r="N1278" i="1" s="1"/>
  <c r="M1230" i="1"/>
  <c r="N1230" i="1" s="1"/>
  <c r="M1049" i="1"/>
  <c r="M1004" i="1"/>
  <c r="M1127" i="1"/>
  <c r="M1079" i="1"/>
  <c r="M1032" i="1"/>
  <c r="M324" i="1"/>
  <c r="M653" i="1"/>
  <c r="M1707" i="1"/>
  <c r="M1650" i="1"/>
  <c r="M564" i="1"/>
  <c r="M1592" i="1"/>
  <c r="N1592" i="1" s="1"/>
  <c r="M1209" i="1"/>
  <c r="M940" i="1"/>
  <c r="M1416" i="1"/>
  <c r="M1349" i="1"/>
  <c r="M1323" i="1"/>
  <c r="M1307" i="1"/>
  <c r="M1256" i="1"/>
  <c r="M1224" i="1"/>
  <c r="M1066" i="1"/>
  <c r="M891" i="1"/>
  <c r="M1012" i="1"/>
  <c r="M1082" i="1"/>
  <c r="M979" i="1"/>
  <c r="N979" i="1" s="1"/>
  <c r="M1757" i="1"/>
  <c r="N1757" i="1" s="1"/>
  <c r="M186" i="1"/>
  <c r="M1640" i="1"/>
  <c r="M1554" i="1"/>
  <c r="M1430" i="1"/>
  <c r="M1400" i="1"/>
  <c r="M100" i="1"/>
  <c r="M1305" i="1"/>
  <c r="M1164" i="1"/>
  <c r="M1121" i="1"/>
  <c r="M969" i="1"/>
  <c r="N969" i="1" s="1"/>
  <c r="M886" i="1"/>
  <c r="M902" i="1"/>
  <c r="M868" i="1"/>
  <c r="M842" i="1"/>
  <c r="M821" i="1"/>
  <c r="M97" i="1"/>
  <c r="M737" i="1"/>
  <c r="M707" i="1"/>
  <c r="M645" i="1"/>
  <c r="M633" i="1"/>
  <c r="M603" i="1"/>
  <c r="M594" i="1"/>
  <c r="M566" i="1"/>
  <c r="M287" i="1"/>
  <c r="N287" i="1" s="1"/>
  <c r="M239" i="1"/>
  <c r="M212" i="1"/>
  <c r="N212" i="1" s="1"/>
  <c r="M153" i="1"/>
  <c r="M1798" i="1"/>
  <c r="M1675" i="1"/>
  <c r="M1635" i="1"/>
  <c r="M8" i="1"/>
  <c r="M1536" i="1"/>
  <c r="M1405" i="1"/>
  <c r="M1333" i="1"/>
  <c r="M1094" i="1"/>
  <c r="N1094" i="1" s="1"/>
  <c r="M1157" i="1"/>
  <c r="M192" i="1"/>
  <c r="M973" i="1"/>
  <c r="N973" i="1" s="1"/>
  <c r="M951" i="1"/>
  <c r="M890" i="1"/>
  <c r="M898" i="1"/>
  <c r="M864" i="1"/>
  <c r="M841" i="1"/>
  <c r="M822" i="1"/>
  <c r="M771" i="1"/>
  <c r="M693" i="1"/>
  <c r="M711" i="1"/>
  <c r="M640" i="1"/>
  <c r="M628" i="1"/>
  <c r="M602" i="1"/>
  <c r="M593" i="1"/>
  <c r="M563" i="1"/>
  <c r="M392" i="1"/>
  <c r="M235" i="1"/>
  <c r="M12" i="1"/>
  <c r="N12" i="1" s="1"/>
  <c r="M1705" i="1"/>
  <c r="M1663" i="1"/>
  <c r="M196" i="1"/>
  <c r="M1593" i="1"/>
  <c r="N1593" i="1" s="1"/>
  <c r="M1522" i="1"/>
  <c r="M1401" i="1"/>
  <c r="M1314" i="1"/>
  <c r="M1161" i="1"/>
  <c r="M1172" i="1"/>
  <c r="M1122" i="1"/>
  <c r="M1062" i="1"/>
  <c r="M972" i="1"/>
  <c r="N972" i="1" s="1"/>
  <c r="M939" i="1"/>
  <c r="M920" i="1"/>
  <c r="M37" i="1"/>
  <c r="M855" i="1"/>
  <c r="M839" i="1"/>
  <c r="M808" i="1"/>
  <c r="M776" i="1"/>
  <c r="M717" i="1"/>
  <c r="N717" i="1" s="1"/>
  <c r="M655" i="1"/>
  <c r="M612" i="1"/>
  <c r="M583" i="1"/>
  <c r="M240" i="1"/>
  <c r="N240" i="1" s="1"/>
  <c r="M188" i="1"/>
  <c r="M158" i="1"/>
  <c r="N158" i="1" s="1"/>
  <c r="M11" i="1"/>
  <c r="N11" i="1" s="1"/>
  <c r="M1334" i="1"/>
  <c r="M949" i="1"/>
  <c r="M1799" i="1"/>
  <c r="M150" i="1"/>
  <c r="M1680" i="1"/>
  <c r="N1680" i="1" s="1"/>
  <c r="M1652" i="1"/>
  <c r="M1597" i="1"/>
  <c r="M1541" i="1"/>
  <c r="N1541" i="1" s="1"/>
  <c r="M1356" i="1"/>
  <c r="M1263" i="1"/>
  <c r="M1236" i="1"/>
  <c r="M1132" i="1"/>
  <c r="M1011" i="1"/>
  <c r="M948" i="1"/>
  <c r="M892" i="1"/>
  <c r="N892" i="1" s="1"/>
  <c r="M832" i="1"/>
  <c r="M824" i="1"/>
  <c r="M694" i="1"/>
  <c r="M647" i="1"/>
  <c r="N647" i="1" s="1"/>
  <c r="M1831" i="1"/>
  <c r="M342" i="1"/>
  <c r="M1801" i="1"/>
  <c r="M1753" i="1"/>
  <c r="M213" i="1"/>
  <c r="M1669" i="1"/>
  <c r="N1669" i="1" s="1"/>
  <c r="M51" i="1"/>
  <c r="M955" i="1"/>
  <c r="M1589" i="1"/>
  <c r="N1589" i="1" s="1"/>
  <c r="M1505" i="1"/>
  <c r="N1505" i="1" s="1"/>
  <c r="M1350" i="1"/>
  <c r="M1290" i="1"/>
  <c r="M1226" i="1"/>
  <c r="M1039" i="1"/>
  <c r="M889" i="1"/>
  <c r="M1072" i="1"/>
  <c r="M746" i="1"/>
  <c r="M1738" i="1"/>
  <c r="N1738" i="1" s="1"/>
  <c r="M1695" i="1"/>
  <c r="M1656" i="1"/>
  <c r="N1656" i="1" s="1"/>
  <c r="M1607" i="1"/>
  <c r="N1607" i="1" s="1"/>
  <c r="M995" i="1"/>
  <c r="M1092" i="1"/>
  <c r="M241" i="1"/>
  <c r="N241" i="1" s="1"/>
  <c r="M1319" i="1"/>
  <c r="N1319" i="1" s="1"/>
  <c r="M109" i="1"/>
  <c r="N109" i="1" s="1"/>
  <c r="M1227" i="1"/>
  <c r="M644" i="1"/>
  <c r="N644" i="1" s="1"/>
  <c r="M1129" i="1"/>
  <c r="N1129" i="1" s="1"/>
  <c r="M1103" i="1"/>
  <c r="N1103" i="1" s="1"/>
  <c r="M971" i="1"/>
  <c r="N971" i="1" s="1"/>
  <c r="M1723" i="1"/>
  <c r="N1723" i="1" s="1"/>
  <c r="M1646" i="1"/>
  <c r="M1539" i="1"/>
  <c r="M271" i="1"/>
  <c r="M1347" i="1"/>
  <c r="N1347" i="1" s="1"/>
  <c r="M1280" i="1"/>
  <c r="N1280" i="1" s="1"/>
  <c r="M1141" i="1"/>
  <c r="N1141" i="1" s="1"/>
  <c r="M981" i="1"/>
  <c r="M913" i="1"/>
  <c r="M856" i="1"/>
  <c r="M840" i="1"/>
  <c r="N840" i="1" s="1"/>
  <c r="M807" i="1"/>
  <c r="M756" i="1"/>
  <c r="M710" i="1"/>
  <c r="M641" i="1"/>
  <c r="M608" i="1"/>
  <c r="M597" i="1"/>
  <c r="N597" i="1" s="1"/>
  <c r="M549" i="1"/>
  <c r="N549" i="1" s="1"/>
  <c r="M251" i="1"/>
  <c r="M214" i="1"/>
  <c r="M77" i="1"/>
  <c r="N77" i="1" s="1"/>
  <c r="M1665" i="1"/>
  <c r="N1665" i="1" s="1"/>
  <c r="M565" i="1"/>
  <c r="N565" i="1" s="1"/>
  <c r="M1043" i="1"/>
  <c r="M1444" i="1"/>
  <c r="M1351" i="1"/>
  <c r="M1225" i="1"/>
  <c r="N1225" i="1" s="1"/>
  <c r="M1130" i="1"/>
  <c r="M978" i="1"/>
  <c r="N978" i="1" s="1"/>
  <c r="M935" i="1"/>
  <c r="M909" i="1"/>
  <c r="M867" i="1"/>
  <c r="M833" i="1"/>
  <c r="N833" i="1" s="1"/>
  <c r="M791" i="1"/>
  <c r="M750" i="1"/>
  <c r="M706" i="1"/>
  <c r="N706" i="1" s="1"/>
  <c r="M634" i="1"/>
  <c r="M604" i="1"/>
  <c r="M589" i="1"/>
  <c r="M546" i="1"/>
  <c r="M248" i="1"/>
  <c r="N248" i="1" s="1"/>
  <c r="M1795" i="1"/>
  <c r="M1679" i="1"/>
  <c r="M1630" i="1"/>
  <c r="M1585" i="1"/>
  <c r="N1585" i="1" s="1"/>
  <c r="M1335" i="1"/>
  <c r="M1317" i="1"/>
  <c r="M1253" i="1"/>
  <c r="M1138" i="1"/>
  <c r="M190" i="1"/>
  <c r="N190" i="1" s="1"/>
  <c r="M961" i="1"/>
  <c r="N961" i="1" s="1"/>
  <c r="M930" i="1"/>
  <c r="M912" i="1"/>
  <c r="N912" i="1" s="1"/>
  <c r="M869" i="1"/>
  <c r="N869" i="1" s="1"/>
  <c r="M814" i="1"/>
  <c r="M796" i="1"/>
  <c r="M713" i="1"/>
  <c r="N713" i="1" s="1"/>
  <c r="M616" i="1"/>
  <c r="M585" i="1"/>
  <c r="N585" i="1" s="1"/>
  <c r="M224" i="1"/>
  <c r="M197" i="1"/>
  <c r="M74" i="1"/>
  <c r="M1158" i="1"/>
  <c r="N1158" i="1" s="1"/>
  <c r="M917" i="1"/>
  <c r="M812" i="1"/>
  <c r="N812" i="1" s="1"/>
  <c r="M661" i="1"/>
  <c r="N661" i="1" s="1"/>
  <c r="M242" i="1"/>
  <c r="M1767" i="1"/>
  <c r="M138" i="1"/>
  <c r="M1025" i="1"/>
  <c r="M914" i="1"/>
  <c r="M787" i="1"/>
  <c r="M613" i="1"/>
  <c r="N613" i="1" s="1"/>
  <c r="M1636" i="1"/>
  <c r="M1497" i="1"/>
  <c r="M1006" i="1"/>
  <c r="M954" i="1"/>
  <c r="M870" i="1"/>
  <c r="N870" i="1" s="1"/>
  <c r="M709" i="1"/>
  <c r="N709" i="1" s="1"/>
  <c r="M611" i="1"/>
  <c r="M1648" i="1"/>
  <c r="N1648" i="1" s="1"/>
  <c r="M1394" i="1"/>
  <c r="M1234" i="1"/>
  <c r="N1234" i="1" s="1"/>
  <c r="M947" i="1"/>
  <c r="M904" i="1"/>
  <c r="M578" i="1"/>
  <c r="M225" i="1"/>
  <c r="M1749" i="1"/>
  <c r="M1678" i="1"/>
  <c r="M1596" i="1"/>
  <c r="M1595" i="1"/>
  <c r="N1595" i="1" s="1"/>
  <c r="M1537" i="1"/>
  <c r="M1339" i="1"/>
  <c r="M1262" i="1"/>
  <c r="N1262" i="1" s="1"/>
  <c r="M1096" i="1"/>
  <c r="N1096" i="1" s="1"/>
  <c r="M1107" i="1"/>
  <c r="M998" i="1"/>
  <c r="M738" i="1"/>
  <c r="N738" i="1" s="1"/>
  <c r="M878" i="1"/>
  <c r="M831" i="1"/>
  <c r="M823" i="1"/>
  <c r="M725" i="1"/>
  <c r="N725" i="1" s="1"/>
  <c r="M1832" i="1"/>
  <c r="N1832" i="1" s="1"/>
  <c r="M346" i="1"/>
  <c r="M1721" i="1"/>
  <c r="M1670" i="1"/>
  <c r="M1629" i="1"/>
  <c r="M1580" i="1"/>
  <c r="M1050" i="1"/>
  <c r="M576" i="1"/>
  <c r="M999" i="1"/>
  <c r="N999" i="1" s="1"/>
  <c r="M1078" i="1"/>
  <c r="M1074" i="1"/>
  <c r="N1074" i="1" s="1"/>
  <c r="M974" i="1"/>
  <c r="N974" i="1" s="1"/>
  <c r="M905" i="1"/>
  <c r="M873" i="1"/>
  <c r="M828" i="1"/>
  <c r="M803" i="1"/>
  <c r="M705" i="1"/>
  <c r="M1817" i="1"/>
  <c r="M1804" i="1"/>
  <c r="M1809" i="1"/>
  <c r="N1809" i="1" s="1"/>
  <c r="M140" i="1"/>
  <c r="M1438" i="1"/>
  <c r="M1068" i="1"/>
  <c r="M827" i="1"/>
  <c r="M322" i="1"/>
  <c r="N322" i="1" s="1"/>
  <c r="M1664" i="1"/>
  <c r="M168" i="1"/>
  <c r="M966" i="1"/>
  <c r="N966" i="1" s="1"/>
  <c r="M702" i="1"/>
  <c r="M1816" i="1"/>
  <c r="M1623" i="1"/>
  <c r="M1218" i="1"/>
  <c r="M903" i="1"/>
  <c r="N903" i="1" s="1"/>
  <c r="M703" i="1"/>
  <c r="M1805" i="1"/>
  <c r="M1741" i="1"/>
  <c r="M1677" i="1"/>
  <c r="M1638" i="1"/>
  <c r="M1609" i="1"/>
  <c r="N1609" i="1" s="1"/>
  <c r="M1563" i="1"/>
  <c r="M1354" i="1"/>
  <c r="M1255" i="1"/>
  <c r="M1205" i="1"/>
  <c r="M1133" i="1"/>
  <c r="M250" i="1"/>
  <c r="M321" i="1"/>
  <c r="M639" i="1"/>
  <c r="N639" i="1" s="1"/>
  <c r="M620" i="1"/>
  <c r="N620" i="1" s="1"/>
  <c r="M1571" i="1"/>
  <c r="M1442" i="1"/>
  <c r="M1340" i="1"/>
  <c r="N1340" i="1" s="1"/>
  <c r="M1111" i="1"/>
  <c r="N1111" i="1" s="1"/>
  <c r="M1233" i="1"/>
  <c r="N1233" i="1" s="1"/>
  <c r="M1140" i="1"/>
  <c r="M1110" i="1"/>
  <c r="M992" i="1"/>
  <c r="N992" i="1" s="1"/>
  <c r="M573" i="1"/>
  <c r="M1590" i="1"/>
  <c r="N1590" i="1" s="1"/>
  <c r="M1424" i="1"/>
  <c r="M1330" i="1"/>
  <c r="N1330" i="1" s="1"/>
  <c r="M1160" i="1"/>
  <c r="N1160" i="1" s="1"/>
  <c r="M1015" i="1"/>
  <c r="M894" i="1"/>
  <c r="M863" i="1"/>
  <c r="M811" i="1"/>
  <c r="N811" i="1" s="1"/>
  <c r="M751" i="1"/>
  <c r="M662" i="1"/>
  <c r="M631" i="1"/>
  <c r="N631" i="1" s="1"/>
  <c r="M592" i="1"/>
  <c r="M534" i="1"/>
  <c r="N534" i="1" s="1"/>
  <c r="M217" i="1"/>
  <c r="N217" i="1" s="1"/>
  <c r="M73" i="1"/>
  <c r="N73" i="1" s="1"/>
  <c r="M65" i="1"/>
  <c r="N65" i="1" s="1"/>
  <c r="M548" i="1"/>
  <c r="M1420" i="1"/>
  <c r="N1420" i="1" s="1"/>
  <c r="M1162" i="1"/>
  <c r="M648" i="1"/>
  <c r="N648" i="1" s="1"/>
  <c r="M967" i="1"/>
  <c r="N967" i="1" s="1"/>
  <c r="M924" i="1"/>
  <c r="M854" i="1"/>
  <c r="M817" i="1"/>
  <c r="N817" i="1" s="1"/>
  <c r="M766" i="1"/>
  <c r="N766" i="1" s="1"/>
  <c r="M714" i="1"/>
  <c r="N714" i="1" s="1"/>
  <c r="M632" i="1"/>
  <c r="N632" i="1" s="1"/>
  <c r="M598" i="1"/>
  <c r="N598" i="1" s="1"/>
  <c r="M553" i="1"/>
  <c r="M159" i="1"/>
  <c r="N159" i="1" s="1"/>
  <c r="M575" i="1"/>
  <c r="M557" i="1"/>
  <c r="N557" i="1" s="1"/>
  <c r="M1569" i="1"/>
  <c r="M1376" i="1"/>
  <c r="M107" i="1"/>
  <c r="M887" i="1"/>
  <c r="N887" i="1" s="1"/>
  <c r="M1010" i="1"/>
  <c r="M934" i="1"/>
  <c r="N934" i="1" s="1"/>
  <c r="M893" i="1"/>
  <c r="M843" i="1"/>
  <c r="N843" i="1" s="1"/>
  <c r="M802" i="1"/>
  <c r="M708" i="1"/>
  <c r="M610" i="1"/>
  <c r="N610" i="1" s="1"/>
  <c r="M252" i="1"/>
  <c r="N252" i="1" s="1"/>
  <c r="M191" i="1"/>
  <c r="N191" i="1" s="1"/>
  <c r="M1604" i="1"/>
  <c r="M933" i="1"/>
  <c r="N933" i="1" s="1"/>
  <c r="M701" i="1"/>
  <c r="N701" i="1" s="1"/>
  <c r="M615" i="1"/>
  <c r="M118" i="1"/>
  <c r="M203" i="1"/>
  <c r="N203" i="1" s="1"/>
  <c r="M943" i="1"/>
  <c r="M816" i="1"/>
  <c r="M584" i="1"/>
  <c r="N584" i="1" s="1"/>
  <c r="M1588" i="1"/>
  <c r="N1588" i="1" s="1"/>
  <c r="M1238" i="1"/>
  <c r="N1238" i="1" s="1"/>
  <c r="M938" i="1"/>
  <c r="M779" i="1"/>
  <c r="M185" i="1"/>
  <c r="N185" i="1" s="1"/>
  <c r="M1610" i="1"/>
  <c r="N1610" i="1" s="1"/>
  <c r="M265" i="1"/>
  <c r="M1051" i="1"/>
  <c r="N1051" i="1" s="1"/>
  <c r="M847" i="1"/>
  <c r="M609" i="1"/>
  <c r="M1573" i="1"/>
  <c r="M1223" i="1"/>
  <c r="M872" i="1"/>
  <c r="M1815" i="1"/>
  <c r="M1803" i="1"/>
  <c r="M1713" i="1"/>
  <c r="N1713" i="1" s="1"/>
  <c r="M1155" i="1"/>
  <c r="M202" i="1"/>
  <c r="N202" i="1" s="1"/>
  <c r="M1440" i="1"/>
  <c r="M1310" i="1"/>
  <c r="M984" i="1"/>
  <c r="M1109" i="1"/>
  <c r="M1807" i="1"/>
  <c r="M1426" i="1"/>
  <c r="N1426" i="1" s="1"/>
  <c r="M1698" i="1"/>
  <c r="N1698" i="1" s="1"/>
  <c r="M556" i="1"/>
  <c r="M1594" i="1"/>
  <c r="N1594" i="1" s="1"/>
  <c r="M1415" i="1"/>
  <c r="N1415" i="1" s="1"/>
  <c r="M1237" i="1"/>
  <c r="N1237" i="1" s="1"/>
  <c r="M1147" i="1"/>
  <c r="N1147" i="1" s="1"/>
  <c r="M1099" i="1"/>
  <c r="M1751" i="1"/>
  <c r="M1681" i="1"/>
  <c r="M1575" i="1"/>
  <c r="M762" i="1"/>
  <c r="M1325" i="1"/>
  <c r="M1254" i="1"/>
  <c r="M1134" i="1"/>
  <c r="N1134" i="1" s="1"/>
  <c r="M1073" i="1"/>
  <c r="M199" i="1"/>
  <c r="N199" i="1" s="1"/>
  <c r="M49" i="1"/>
  <c r="M792" i="1"/>
  <c r="M1260" i="1"/>
  <c r="M958" i="1"/>
  <c r="M881" i="1"/>
  <c r="N881" i="1" s="1"/>
  <c r="M134" i="1"/>
  <c r="M20" i="1"/>
  <c r="M638" i="1"/>
  <c r="M599" i="1"/>
  <c r="M282" i="1"/>
  <c r="M187" i="1"/>
  <c r="M1745" i="1"/>
  <c r="N1745" i="1" s="1"/>
  <c r="M1561" i="1"/>
  <c r="N1561" i="1" s="1"/>
  <c r="M1104" i="1"/>
  <c r="M1173" i="1"/>
  <c r="M957" i="1"/>
  <c r="M906" i="1"/>
  <c r="M845" i="1"/>
  <c r="N845" i="1" s="1"/>
  <c r="M763" i="1"/>
  <c r="M643" i="1"/>
  <c r="N643" i="1" s="1"/>
  <c r="M600" i="1"/>
  <c r="M538" i="1"/>
  <c r="N538" i="1" s="1"/>
  <c r="M75" i="1"/>
  <c r="N75" i="1" s="1"/>
  <c r="M1642" i="1"/>
  <c r="M194" i="1"/>
  <c r="M82" i="1"/>
  <c r="M1156" i="1"/>
  <c r="M977" i="1"/>
  <c r="N977" i="1" s="1"/>
  <c r="M918" i="1"/>
  <c r="M866" i="1"/>
  <c r="M698" i="1"/>
  <c r="M577" i="1"/>
  <c r="M535" i="1"/>
  <c r="N535" i="1" s="1"/>
  <c r="M154" i="1"/>
  <c r="N154" i="1" s="1"/>
  <c r="M1131" i="1"/>
  <c r="M865" i="1"/>
  <c r="N865" i="1" s="1"/>
  <c r="M285" i="1"/>
  <c r="M1625" i="1"/>
  <c r="M975" i="1"/>
  <c r="N975" i="1" s="1"/>
  <c r="M712" i="1"/>
  <c r="N712" i="1" s="1"/>
  <c r="M76" i="1"/>
  <c r="N76" i="1" s="1"/>
  <c r="M1352" i="1"/>
  <c r="M896" i="1"/>
  <c r="M691" i="1"/>
  <c r="M1748" i="1"/>
  <c r="M1258" i="1"/>
  <c r="M919" i="1"/>
  <c r="M617" i="1"/>
  <c r="N617" i="1" s="1"/>
  <c r="M1768" i="1"/>
  <c r="M1672" i="1"/>
  <c r="N1672" i="1" s="1"/>
  <c r="M238" i="1"/>
  <c r="M1579" i="1"/>
  <c r="N1579" i="1" s="1"/>
  <c r="M1084" i="1"/>
  <c r="N1084" i="1" s="1"/>
  <c r="M1097" i="1"/>
  <c r="N1097" i="1" s="1"/>
  <c r="M1135" i="1"/>
  <c r="M280" i="1"/>
  <c r="N280" i="1" s="1"/>
  <c r="M581" i="1"/>
  <c r="M1647" i="1"/>
  <c r="N1647" i="1" s="1"/>
  <c r="M1338" i="1"/>
  <c r="M83" i="1"/>
  <c r="M1315" i="1"/>
  <c r="M1208" i="1"/>
  <c r="N1208" i="1" s="1"/>
  <c r="M888" i="1"/>
  <c r="M1033" i="1"/>
  <c r="M1693" i="1"/>
  <c r="N1693" i="1" s="1"/>
  <c r="M1457" i="1"/>
  <c r="N1457" i="1" s="1"/>
  <c r="M1353" i="1"/>
  <c r="M1153" i="1"/>
  <c r="N1153" i="1" s="1"/>
  <c r="M952" i="1"/>
  <c r="N952" i="1" s="1"/>
  <c r="M871" i="1"/>
  <c r="N871" i="1" s="1"/>
  <c r="M805" i="1"/>
  <c r="M715" i="1"/>
  <c r="M635" i="1"/>
  <c r="N635" i="1" s="1"/>
  <c r="M587" i="1"/>
  <c r="M243" i="1"/>
  <c r="N243" i="1" s="1"/>
  <c r="M157" i="1"/>
  <c r="N157" i="1" s="1"/>
  <c r="M1643" i="1"/>
  <c r="M1543" i="1"/>
  <c r="N1543" i="1" s="1"/>
  <c r="M1308" i="1"/>
  <c r="M1090" i="1"/>
  <c r="N1090" i="1" s="1"/>
  <c r="M953" i="1"/>
  <c r="N953" i="1" s="1"/>
  <c r="M860" i="1"/>
  <c r="M813" i="1"/>
  <c r="M734" i="1"/>
  <c r="M637" i="1"/>
  <c r="M596" i="1"/>
  <c r="M289" i="1"/>
  <c r="M145" i="1"/>
  <c r="M45" i="1"/>
  <c r="N45" i="1" s="1"/>
  <c r="M1433" i="1"/>
  <c r="N1433" i="1" s="1"/>
  <c r="M1282" i="1"/>
  <c r="N1282" i="1" s="1"/>
  <c r="M1100" i="1"/>
  <c r="M959" i="1"/>
  <c r="M885" i="1"/>
  <c r="M818" i="1"/>
  <c r="M739" i="1"/>
  <c r="M614" i="1"/>
  <c r="N614" i="1" s="1"/>
  <c r="M220" i="1"/>
  <c r="M78" i="1"/>
  <c r="N78" i="1" s="1"/>
  <c r="M960" i="1"/>
  <c r="N960" i="1" s="1"/>
  <c r="M767" i="1"/>
  <c r="M223" i="1"/>
  <c r="N223" i="1" s="1"/>
  <c r="M1446" i="1"/>
  <c r="M929" i="1"/>
  <c r="N929" i="1" s="1"/>
  <c r="M699" i="1"/>
  <c r="M1617" i="1"/>
  <c r="N1617" i="1" s="1"/>
  <c r="M167" i="1"/>
  <c r="M859" i="1"/>
  <c r="M95" i="1"/>
  <c r="M1582" i="1"/>
  <c r="M1174" i="1"/>
  <c r="M911" i="1"/>
  <c r="N911" i="1" s="1"/>
  <c r="M249" i="1"/>
  <c r="N249" i="1" s="1"/>
  <c r="M96" i="1"/>
  <c r="M1658" i="1"/>
  <c r="M232" i="1"/>
  <c r="N232" i="1" s="1"/>
  <c r="M778" i="1"/>
  <c r="M216" i="1"/>
  <c r="N216" i="1" s="1"/>
  <c r="M1220" i="1"/>
  <c r="M39" i="1"/>
  <c r="M696" i="1"/>
  <c r="N696" i="1" s="1"/>
  <c r="M1120" i="1"/>
  <c r="N1120" i="1" s="1"/>
  <c r="M1626" i="1"/>
  <c r="M1502" i="1"/>
  <c r="M1355" i="1"/>
  <c r="M1281" i="1"/>
  <c r="N1281" i="1" s="1"/>
  <c r="M1221" i="1"/>
  <c r="M40" i="1"/>
  <c r="N40" i="1" s="1"/>
  <c r="M965" i="1"/>
  <c r="M1673" i="1"/>
  <c r="M790" i="1"/>
  <c r="M36" i="1"/>
  <c r="N36" i="1" s="1"/>
  <c r="M183" i="1"/>
  <c r="M927" i="1"/>
  <c r="N927" i="1" s="1"/>
  <c r="M851" i="1"/>
  <c r="M781" i="1"/>
  <c r="M700" i="1"/>
  <c r="N700" i="1" s="1"/>
  <c r="M605" i="1"/>
  <c r="N605" i="1" s="1"/>
  <c r="M569" i="1"/>
  <c r="M234" i="1"/>
  <c r="M10" i="1"/>
  <c r="N10" i="1" s="1"/>
  <c r="M554" i="1"/>
  <c r="N554" i="1" s="1"/>
  <c r="M1479" i="1"/>
  <c r="M1241" i="1"/>
  <c r="N1241" i="1" s="1"/>
  <c r="M1067" i="1"/>
  <c r="M754" i="1"/>
  <c r="M862" i="1"/>
  <c r="M809" i="1"/>
  <c r="N809" i="1" s="1"/>
  <c r="M718" i="1"/>
  <c r="N718" i="1" s="1"/>
  <c r="M625" i="1"/>
  <c r="M579" i="1"/>
  <c r="M253" i="1"/>
  <c r="N253" i="1" s="1"/>
  <c r="M1694" i="1"/>
  <c r="M1613" i="1"/>
  <c r="N1613" i="1" s="1"/>
  <c r="M753" i="1"/>
  <c r="M1206" i="1"/>
  <c r="M1087" i="1"/>
  <c r="M956" i="1"/>
  <c r="N956" i="1" s="1"/>
  <c r="M900" i="1"/>
  <c r="M810" i="1"/>
  <c r="M733" i="1"/>
  <c r="N733" i="1" s="1"/>
  <c r="M582" i="1"/>
  <c r="M189" i="1"/>
  <c r="M1628" i="1"/>
  <c r="M895" i="1"/>
  <c r="N895" i="1" s="1"/>
  <c r="M704" i="1"/>
  <c r="N704" i="1" s="1"/>
  <c r="M211" i="1"/>
  <c r="M1152" i="1"/>
  <c r="M908" i="1"/>
  <c r="N908" i="1" s="1"/>
  <c r="M656" i="1"/>
  <c r="N656" i="1" s="1"/>
  <c r="M1547" i="1"/>
  <c r="M1013" i="1"/>
  <c r="M837" i="1"/>
  <c r="N837" i="1" s="1"/>
  <c r="M156" i="1"/>
  <c r="N156" i="1" s="1"/>
  <c r="M1429" i="1"/>
  <c r="M986" i="1"/>
  <c r="M798" i="1"/>
  <c r="M9" i="1"/>
  <c r="N9" i="1" s="1"/>
  <c r="M1685" i="1"/>
  <c r="M772" i="1"/>
  <c r="N772" i="1" s="1"/>
  <c r="M1637" i="1"/>
  <c r="N1637" i="1" s="1"/>
  <c r="M907" i="1"/>
  <c r="N907" i="1" s="1"/>
  <c r="M601" i="1"/>
  <c r="M1616" i="1"/>
  <c r="M580" i="1"/>
  <c r="N580" i="1" s="1"/>
  <c r="M606" i="1"/>
  <c r="N606" i="1" s="1"/>
  <c r="M1601" i="1"/>
  <c r="M928" i="1"/>
  <c r="N928" i="1" s="1"/>
  <c r="M567" i="1"/>
  <c r="N567" i="1" s="1"/>
  <c r="M642" i="1"/>
  <c r="N642" i="1" s="1"/>
  <c r="M219" i="1"/>
  <c r="M72" i="1"/>
  <c r="M552" i="1"/>
  <c r="M1188" i="1"/>
  <c r="N1188" i="1" s="1"/>
  <c r="M1008" i="1"/>
  <c r="M819" i="1"/>
  <c r="M545" i="1"/>
  <c r="M1393" i="1"/>
  <c r="M35" i="1"/>
  <c r="M570" i="1"/>
  <c r="N570" i="1" s="1"/>
  <c r="M136" i="1"/>
  <c r="N136" i="1" s="1"/>
  <c r="M861" i="1"/>
  <c r="N861" i="1" s="1"/>
  <c r="M209" i="1"/>
  <c r="M1668" i="1"/>
  <c r="N1668" i="1" s="1"/>
  <c r="M1406" i="1"/>
  <c r="N1406" i="1" s="1"/>
  <c r="M1345" i="1"/>
  <c r="N1345" i="1" s="1"/>
  <c r="M1458" i="1"/>
  <c r="N1458" i="1" s="1"/>
  <c r="M1052" i="1"/>
  <c r="M692" i="1"/>
  <c r="N692" i="1" s="1"/>
  <c r="M765" i="1"/>
  <c r="N765" i="1" s="1"/>
  <c r="M200" i="1"/>
  <c r="M1222" i="1"/>
  <c r="M784" i="1"/>
  <c r="N784" i="1" s="1"/>
  <c r="M155" i="1"/>
  <c r="N155" i="1" s="1"/>
  <c r="M801" i="1"/>
  <c r="M815" i="1"/>
  <c r="M166" i="1"/>
  <c r="N166" i="1" s="1"/>
  <c r="M1076" i="1"/>
  <c r="M968" i="1"/>
  <c r="N968" i="1" s="1"/>
  <c r="M128" i="1"/>
  <c r="N128" i="1" s="1"/>
  <c r="M283" i="1"/>
  <c r="M1413" i="1"/>
  <c r="M1028" i="1"/>
  <c r="M102" i="1"/>
  <c r="N102" i="1" s="1"/>
  <c r="M1797" i="1"/>
  <c r="N1797" i="1" s="1"/>
  <c r="M1019" i="1"/>
  <c r="M663" i="1"/>
  <c r="M1645" i="1"/>
  <c r="M1017" i="1"/>
  <c r="M657" i="1"/>
  <c r="M880" i="1"/>
  <c r="M853" i="1"/>
  <c r="M690" i="1"/>
  <c r="M667" i="1"/>
  <c r="N667" i="1" s="1"/>
  <c r="L3377" i="1"/>
  <c r="N3377" i="1" s="1"/>
  <c r="L3349" i="1"/>
  <c r="N3349" i="1" s="1"/>
  <c r="L3327" i="1"/>
  <c r="N3327" i="1" s="1"/>
  <c r="L3309" i="1"/>
  <c r="N3309" i="1" s="1"/>
  <c r="L3293" i="1"/>
  <c r="N3293" i="1" s="1"/>
  <c r="L3283" i="1"/>
  <c r="N3283" i="1" s="1"/>
  <c r="L3231" i="1"/>
  <c r="N3231" i="1" s="1"/>
  <c r="L3181" i="1"/>
  <c r="N3181" i="1" s="1"/>
  <c r="L3159" i="1"/>
  <c r="N3159" i="1" s="1"/>
  <c r="L3149" i="1"/>
  <c r="N3149" i="1" s="1"/>
  <c r="L3129" i="1"/>
  <c r="N3129" i="1" s="1"/>
  <c r="L3119" i="1"/>
  <c r="N3119" i="1" s="1"/>
  <c r="L3111" i="1"/>
  <c r="N3111" i="1" s="1"/>
  <c r="L3099" i="1"/>
  <c r="N3099" i="1" s="1"/>
  <c r="L3057" i="1"/>
  <c r="N3057" i="1" s="1"/>
  <c r="L3045" i="1"/>
  <c r="N3045" i="1" s="1"/>
  <c r="L3027" i="1"/>
  <c r="N3027" i="1" s="1"/>
  <c r="L3019" i="1"/>
  <c r="N3019" i="1" s="1"/>
  <c r="L2995" i="1"/>
  <c r="N2995" i="1" s="1"/>
  <c r="L2987" i="1"/>
  <c r="N2987" i="1" s="1"/>
  <c r="L2979" i="1"/>
  <c r="N2979" i="1" s="1"/>
  <c r="L2885" i="1"/>
  <c r="N2885" i="1" s="1"/>
  <c r="L3284" i="1"/>
  <c r="N3284" i="1" s="1"/>
  <c r="L3160" i="1"/>
  <c r="N3160" i="1" s="1"/>
  <c r="L3130" i="1"/>
  <c r="N3130" i="1" s="1"/>
  <c r="L2877" i="1"/>
  <c r="N2877" i="1" s="1"/>
  <c r="L3290" i="1"/>
  <c r="N3290" i="1" s="1"/>
  <c r="L3232" i="1"/>
  <c r="N3232" i="1" s="1"/>
  <c r="L3100" i="1"/>
  <c r="N3100" i="1" s="1"/>
  <c r="L3060" i="1"/>
  <c r="N3060" i="1" s="1"/>
  <c r="L3012" i="1"/>
  <c r="N3012" i="1" s="1"/>
  <c r="L2988" i="1"/>
  <c r="N2988" i="1" s="1"/>
  <c r="L2873" i="1"/>
  <c r="N2873" i="1" s="1"/>
  <c r="L2858" i="1"/>
  <c r="N2858" i="1" s="1"/>
  <c r="L2828" i="1"/>
  <c r="N2828" i="1" s="1"/>
  <c r="L2812" i="1"/>
  <c r="N2812" i="1" s="1"/>
  <c r="L2804" i="1"/>
  <c r="N2804" i="1" s="1"/>
  <c r="L2796" i="1"/>
  <c r="N2796" i="1" s="1"/>
  <c r="L2788" i="1"/>
  <c r="N2788" i="1" s="1"/>
  <c r="L2780" i="1"/>
  <c r="N2780" i="1" s="1"/>
  <c r="L2771" i="1"/>
  <c r="N2771" i="1" s="1"/>
  <c r="L2763" i="1"/>
  <c r="N2763" i="1" s="1"/>
  <c r="L2755" i="1"/>
  <c r="N2755" i="1" s="1"/>
  <c r="L2747" i="1"/>
  <c r="N2747" i="1" s="1"/>
  <c r="L2739" i="1"/>
  <c r="N2739" i="1" s="1"/>
  <c r="L2709" i="1"/>
  <c r="N2709" i="1" s="1"/>
  <c r="L2699" i="1"/>
  <c r="N2699" i="1" s="1"/>
  <c r="L2689" i="1"/>
  <c r="N2689" i="1" s="1"/>
  <c r="L2681" i="1"/>
  <c r="N2681" i="1" s="1"/>
  <c r="L3346" i="1"/>
  <c r="N3346" i="1" s="1"/>
  <c r="L3158" i="1"/>
  <c r="N3158" i="1" s="1"/>
  <c r="L2890" i="1"/>
  <c r="N2890" i="1" s="1"/>
  <c r="L2846" i="1"/>
  <c r="N2846" i="1" s="1"/>
  <c r="L3350" i="1"/>
  <c r="N3350" i="1" s="1"/>
  <c r="L3286" i="1"/>
  <c r="N3286" i="1" s="1"/>
  <c r="L3116" i="1"/>
  <c r="N3116" i="1" s="1"/>
  <c r="L3092" i="1"/>
  <c r="N3092" i="1" s="1"/>
  <c r="L3042" i="1"/>
  <c r="N3042" i="1" s="1"/>
  <c r="L3014" i="1"/>
  <c r="N3014" i="1" s="1"/>
  <c r="L2986" i="1"/>
  <c r="N2986" i="1" s="1"/>
  <c r="L2871" i="1"/>
  <c r="N2871" i="1" s="1"/>
  <c r="L2819" i="1"/>
  <c r="N2819" i="1" s="1"/>
  <c r="L2811" i="1"/>
  <c r="N2811" i="1" s="1"/>
  <c r="L2803" i="1"/>
  <c r="N2803" i="1" s="1"/>
  <c r="L2795" i="1"/>
  <c r="N2795" i="1" s="1"/>
  <c r="L2787" i="1"/>
  <c r="N2787" i="1" s="1"/>
  <c r="L2779" i="1"/>
  <c r="N2779" i="1" s="1"/>
  <c r="L2772" i="1"/>
  <c r="N2772" i="1" s="1"/>
  <c r="L2764" i="1"/>
  <c r="N2764" i="1" s="1"/>
  <c r="L2756" i="1"/>
  <c r="N2756" i="1" s="1"/>
  <c r="L2748" i="1"/>
  <c r="N2748" i="1" s="1"/>
  <c r="L2740" i="1"/>
  <c r="N2740" i="1" s="1"/>
  <c r="L2732" i="1"/>
  <c r="N2732" i="1" s="1"/>
  <c r="L2700" i="1"/>
  <c r="N2700" i="1" s="1"/>
  <c r="L2692" i="1"/>
  <c r="N2692" i="1" s="1"/>
  <c r="L2684" i="1"/>
  <c r="N2684" i="1" s="1"/>
  <c r="L2676" i="1"/>
  <c r="N2676" i="1" s="1"/>
  <c r="L2668" i="1"/>
  <c r="N2668" i="1" s="1"/>
  <c r="L2660" i="1"/>
  <c r="N2660" i="1" s="1"/>
  <c r="L2652" i="1"/>
  <c r="N2652" i="1" s="1"/>
  <c r="L2644" i="1"/>
  <c r="N2644" i="1" s="1"/>
  <c r="L2636" i="1"/>
  <c r="N2636" i="1" s="1"/>
  <c r="L2628" i="1"/>
  <c r="N2628" i="1" s="1"/>
  <c r="L2620" i="1"/>
  <c r="N2620" i="1" s="1"/>
  <c r="L2612" i="1"/>
  <c r="N2612" i="1" s="1"/>
  <c r="L2396" i="1"/>
  <c r="N2396" i="1" s="1"/>
  <c r="L2374" i="1"/>
  <c r="N2374" i="1" s="1"/>
  <c r="L2190" i="1"/>
  <c r="N2190" i="1" s="1"/>
  <c r="L2152" i="1"/>
  <c r="N2152" i="1" s="1"/>
  <c r="L2144" i="1"/>
  <c r="N2144" i="1" s="1"/>
  <c r="L2132" i="1"/>
  <c r="N2132" i="1" s="1"/>
  <c r="L2124" i="1"/>
  <c r="N2124" i="1" s="1"/>
  <c r="L2112" i="1"/>
  <c r="N2112" i="1" s="1"/>
  <c r="L2066" i="1"/>
  <c r="N2066" i="1" s="1"/>
  <c r="L2042" i="1"/>
  <c r="N2042" i="1" s="1"/>
  <c r="L2024" i="1"/>
  <c r="N2024" i="1" s="1"/>
  <c r="L2016" i="1"/>
  <c r="N2016" i="1" s="1"/>
  <c r="L2006" i="1"/>
  <c r="N2006" i="1" s="1"/>
  <c r="L1998" i="1"/>
  <c r="N1998" i="1" s="1"/>
  <c r="L1990" i="1"/>
  <c r="N1990" i="1" s="1"/>
  <c r="L1982" i="1"/>
  <c r="N1982" i="1" s="1"/>
  <c r="L1974" i="1"/>
  <c r="N1974" i="1" s="1"/>
  <c r="L1966" i="1"/>
  <c r="N1966" i="1" s="1"/>
  <c r="L1958" i="1"/>
  <c r="N1958" i="1" s="1"/>
  <c r="L1950" i="1"/>
  <c r="N1950" i="1" s="1"/>
  <c r="L1942" i="1"/>
  <c r="N1942" i="1" s="1"/>
  <c r="L1934" i="1"/>
  <c r="N1934" i="1" s="1"/>
  <c r="L1926" i="1"/>
  <c r="N1926" i="1" s="1"/>
  <c r="L1918" i="1"/>
  <c r="N1918" i="1" s="1"/>
  <c r="L1910" i="1"/>
  <c r="N1910" i="1" s="1"/>
  <c r="L1902" i="1"/>
  <c r="N1902" i="1" s="1"/>
  <c r="L1894" i="1"/>
  <c r="N1894" i="1" s="1"/>
  <c r="L1886" i="1"/>
  <c r="N1886" i="1" s="1"/>
  <c r="L1878" i="1"/>
  <c r="N1878" i="1" s="1"/>
  <c r="L1870" i="1"/>
  <c r="N1870" i="1" s="1"/>
  <c r="L1862" i="1"/>
  <c r="N1862" i="1" s="1"/>
  <c r="L1854" i="1"/>
  <c r="N1854" i="1" s="1"/>
  <c r="L1846" i="1"/>
  <c r="N1846" i="1" s="1"/>
  <c r="L1838" i="1"/>
  <c r="N1838" i="1" s="1"/>
  <c r="L1830" i="1"/>
  <c r="N1830" i="1" s="1"/>
  <c r="L1822" i="1"/>
  <c r="N1822" i="1" s="1"/>
  <c r="L1814" i="1"/>
  <c r="N1814" i="1" s="1"/>
  <c r="L1806" i="1"/>
  <c r="N1806" i="1" s="1"/>
  <c r="L1798" i="1"/>
  <c r="N1798" i="1" s="1"/>
  <c r="L1774" i="1"/>
  <c r="N1774" i="1" s="1"/>
  <c r="L1764" i="1"/>
  <c r="N1764" i="1" s="1"/>
  <c r="L1748" i="1"/>
  <c r="N1748" i="1" s="1"/>
  <c r="L1728" i="1"/>
  <c r="N1728" i="1" s="1"/>
  <c r="L1714" i="1"/>
  <c r="L1690" i="1"/>
  <c r="N1690" i="1" s="1"/>
  <c r="L1678" i="1"/>
  <c r="L1670" i="1"/>
  <c r="N1670" i="1" s="1"/>
  <c r="L1662" i="1"/>
  <c r="N1662" i="1" s="1"/>
  <c r="L1654" i="1"/>
  <c r="N1654" i="1" s="1"/>
  <c r="L1646" i="1"/>
  <c r="N1646" i="1" s="1"/>
  <c r="L1638" i="1"/>
  <c r="N1638" i="1" s="1"/>
  <c r="L1630" i="1"/>
  <c r="N1630" i="1" s="1"/>
  <c r="L1618" i="1"/>
  <c r="N1618" i="1" s="1"/>
  <c r="L1606" i="1"/>
  <c r="N1606" i="1" s="1"/>
  <c r="L1596" i="1"/>
  <c r="N1596" i="1" s="1"/>
  <c r="L1574" i="1"/>
  <c r="N1574" i="1" s="1"/>
  <c r="L1562" i="1"/>
  <c r="N1562" i="1" s="1"/>
  <c r="L1534" i="1"/>
  <c r="L1522" i="1"/>
  <c r="N1522" i="1" s="1"/>
  <c r="L1512" i="1"/>
  <c r="N1512" i="1" s="1"/>
  <c r="L1504" i="1"/>
  <c r="N1504" i="1" s="1"/>
  <c r="L1496" i="1"/>
  <c r="N1496" i="1" s="1"/>
  <c r="L1488" i="1"/>
  <c r="N1488" i="1" s="1"/>
  <c r="L1480" i="1"/>
  <c r="N1480" i="1" s="1"/>
  <c r="L1472" i="1"/>
  <c r="N1472" i="1" s="1"/>
  <c r="L1464" i="1"/>
  <c r="N1464" i="1" s="1"/>
  <c r="L1442" i="1"/>
  <c r="N1442" i="1" s="1"/>
  <c r="L1420" i="1"/>
  <c r="L1384" i="1"/>
  <c r="N1384" i="1" s="1"/>
  <c r="L1338" i="1"/>
  <c r="N1338" i="1" s="1"/>
  <c r="L1258" i="1"/>
  <c r="N1258" i="1" s="1"/>
  <c r="L1222" i="1"/>
  <c r="L1156" i="1"/>
  <c r="N1156" i="1" s="1"/>
  <c r="L2827" i="1"/>
  <c r="N2827" i="1" s="1"/>
  <c r="L2615" i="1"/>
  <c r="N2615" i="1" s="1"/>
  <c r="L2129" i="1"/>
  <c r="N2129" i="1" s="1"/>
  <c r="L2023" i="1"/>
  <c r="N2023" i="1" s="1"/>
  <c r="L1903" i="1"/>
  <c r="N1903" i="1" s="1"/>
  <c r="N1628" i="1"/>
  <c r="N888" i="1"/>
  <c r="N1017" i="1"/>
  <c r="N346" i="1"/>
  <c r="N1768" i="1"/>
  <c r="N1174" i="1"/>
  <c r="N889" i="1"/>
  <c r="N569" i="1"/>
  <c r="N796" i="1"/>
  <c r="N214" i="1"/>
  <c r="N1816" i="1"/>
  <c r="N1808" i="1"/>
  <c r="N1664" i="1"/>
  <c r="N1580" i="1"/>
  <c r="N1440" i="1"/>
  <c r="N1140" i="1"/>
  <c r="N1130" i="1"/>
  <c r="N1817" i="1"/>
  <c r="N1801" i="1"/>
  <c r="N1685" i="1"/>
  <c r="N1573" i="1"/>
  <c r="N1429" i="1"/>
  <c r="N1064" i="1"/>
  <c r="N1010" i="1"/>
  <c r="N900" i="1"/>
  <c r="N862" i="1"/>
  <c r="N818" i="1"/>
  <c r="N1353" i="1"/>
  <c r="N1253" i="1"/>
  <c r="N1221" i="1"/>
  <c r="N1073" i="1"/>
  <c r="N1043" i="1"/>
  <c r="N851" i="1"/>
  <c r="N801" i="1"/>
  <c r="N787" i="1"/>
  <c r="N575" i="1"/>
  <c r="N778" i="1"/>
  <c r="N568" i="1"/>
  <c r="N548" i="1"/>
  <c r="N224" i="1"/>
  <c r="N321" i="1"/>
  <c r="N289" i="1"/>
  <c r="N271" i="1"/>
  <c r="N167" i="1"/>
  <c r="N51" i="1"/>
  <c r="N1807" i="1"/>
  <c r="N1173" i="1"/>
  <c r="N813" i="1"/>
  <c r="N751" i="1"/>
  <c r="N790" i="1"/>
  <c r="N238" i="1"/>
  <c r="N189" i="1"/>
  <c r="M2" i="1"/>
  <c r="N3288" i="1" l="1"/>
  <c r="N1935" i="1"/>
  <c r="N1122" i="1"/>
  <c r="N1350" i="1"/>
  <c r="N1536" i="1"/>
  <c r="N1754" i="1"/>
  <c r="N1840" i="1"/>
  <c r="N1872" i="1"/>
  <c r="N1904" i="1"/>
  <c r="N1936" i="1"/>
  <c r="N1968" i="1"/>
  <c r="N2000" i="1"/>
  <c r="N2138" i="1"/>
  <c r="N2750" i="1"/>
  <c r="N2782" i="1"/>
  <c r="N2814" i="1"/>
  <c r="N3216" i="1"/>
  <c r="N2757" i="1"/>
  <c r="N2789" i="1"/>
  <c r="N2829" i="1"/>
  <c r="N3308" i="1"/>
  <c r="N3331" i="1"/>
  <c r="N1206" i="1"/>
  <c r="N1570" i="1"/>
  <c r="N1626" i="1"/>
  <c r="N1658" i="1"/>
  <c r="N1694" i="1"/>
  <c r="N1818" i="1"/>
  <c r="N1850" i="1"/>
  <c r="N1882" i="1"/>
  <c r="N1914" i="1"/>
  <c r="N1946" i="1"/>
  <c r="N1978" i="1"/>
  <c r="N2148" i="1"/>
  <c r="N2706" i="1"/>
  <c r="N2760" i="1"/>
  <c r="N2791" i="1"/>
  <c r="N3370" i="1"/>
  <c r="N2735" i="1"/>
  <c r="N2767" i="1"/>
  <c r="N2808" i="1"/>
  <c r="N1254" i="1"/>
  <c r="N1438" i="1"/>
  <c r="N1586" i="1"/>
  <c r="N1636" i="1"/>
  <c r="N1726" i="1"/>
  <c r="N1828" i="1"/>
  <c r="N1860" i="1"/>
  <c r="N1892" i="1"/>
  <c r="N1924" i="1"/>
  <c r="N1956" i="1"/>
  <c r="N1988" i="1"/>
  <c r="N2738" i="1"/>
  <c r="N2770" i="1"/>
  <c r="N2802" i="1"/>
  <c r="N2745" i="1"/>
  <c r="N2777" i="1"/>
  <c r="N2809" i="1"/>
  <c r="N3156" i="1"/>
  <c r="N3303" i="1"/>
  <c r="N1741" i="1"/>
  <c r="N1072" i="1"/>
  <c r="N868" i="1"/>
  <c r="N1159" i="1"/>
  <c r="N917" i="1"/>
  <c r="N767" i="1"/>
  <c r="N563" i="1"/>
  <c r="N417" i="1"/>
  <c r="N720" i="1"/>
  <c r="N472" i="1"/>
  <c r="N239" i="1"/>
  <c r="N1164" i="1"/>
  <c r="N1991" i="1"/>
  <c r="N1863" i="1"/>
  <c r="N1663" i="1"/>
  <c r="N1479" i="1"/>
  <c r="N998" i="1"/>
  <c r="N816" i="1"/>
  <c r="N1067" i="1"/>
  <c r="N875" i="1"/>
  <c r="N699" i="1"/>
  <c r="N505" i="1"/>
  <c r="N377" i="1"/>
  <c r="N612" i="1"/>
  <c r="N420" i="1"/>
  <c r="N196" i="1"/>
  <c r="N95" i="1"/>
  <c r="N2143" i="1"/>
  <c r="N1919" i="1"/>
  <c r="N1547" i="1"/>
  <c r="N1100" i="1"/>
  <c r="N890" i="1"/>
  <c r="N939" i="1"/>
  <c r="N581" i="1"/>
  <c r="N433" i="1"/>
  <c r="N494" i="1"/>
  <c r="N324" i="1"/>
  <c r="N2117" i="1"/>
  <c r="N1879" i="1"/>
  <c r="N1681" i="1"/>
  <c r="N1497" i="1"/>
  <c r="N1028" i="1"/>
  <c r="N832" i="1"/>
  <c r="N1109" i="1"/>
  <c r="N893" i="1"/>
  <c r="N715" i="1"/>
  <c r="N521" i="1"/>
  <c r="N393" i="1"/>
  <c r="N440" i="1"/>
  <c r="N242" i="1"/>
  <c r="N179" i="1"/>
  <c r="N1356" i="1"/>
  <c r="N1260" i="1"/>
  <c r="N1212" i="1"/>
  <c r="N2123" i="1"/>
  <c r="N1981" i="1"/>
  <c r="N1949" i="1"/>
  <c r="N1917" i="1"/>
  <c r="N1885" i="1"/>
  <c r="N1853" i="1"/>
  <c r="N1821" i="1"/>
  <c r="N1767" i="1"/>
  <c r="N1651" i="1"/>
  <c r="N1092" i="1"/>
  <c r="N1034" i="1"/>
  <c r="N976" i="1"/>
  <c r="N920" i="1"/>
  <c r="N844" i="1"/>
  <c r="N1349" i="1"/>
  <c r="N1305" i="1"/>
  <c r="N1211" i="1"/>
  <c r="N937" i="1"/>
  <c r="N1534" i="1"/>
  <c r="N1678" i="1"/>
  <c r="N1392" i="1"/>
  <c r="N1848" i="1"/>
  <c r="N1880" i="1"/>
  <c r="N1912" i="1"/>
  <c r="N1944" i="1"/>
  <c r="N1976" i="1"/>
  <c r="N2146" i="1"/>
  <c r="N2758" i="1"/>
  <c r="N2790" i="1"/>
  <c r="N3356" i="1"/>
  <c r="N2733" i="1"/>
  <c r="N2765" i="1"/>
  <c r="N2797" i="1"/>
  <c r="N3004" i="1"/>
  <c r="N3021" i="1"/>
  <c r="N3285" i="1"/>
  <c r="N2329" i="1"/>
  <c r="N1240" i="1"/>
  <c r="N1582" i="1"/>
  <c r="N1634" i="1"/>
  <c r="N1666" i="1"/>
  <c r="N1826" i="1"/>
  <c r="N1858" i="1"/>
  <c r="N1890" i="1"/>
  <c r="N1922" i="1"/>
  <c r="N1954" i="1"/>
  <c r="N1986" i="1"/>
  <c r="N2116" i="1"/>
  <c r="N2736" i="1"/>
  <c r="N2768" i="1"/>
  <c r="N2799" i="1"/>
  <c r="N2743" i="1"/>
  <c r="N2775" i="1"/>
  <c r="N2838" i="1"/>
  <c r="N1324" i="1"/>
  <c r="N1530" i="1"/>
  <c r="N1604" i="1"/>
  <c r="N1644" i="1"/>
  <c r="N1676" i="1"/>
  <c r="N1744" i="1"/>
  <c r="N1804" i="1"/>
  <c r="N1836" i="1"/>
  <c r="N1868" i="1"/>
  <c r="N1900" i="1"/>
  <c r="N1932" i="1"/>
  <c r="N1964" i="1"/>
  <c r="N1996" i="1"/>
  <c r="N2130" i="1"/>
  <c r="N2344" i="1"/>
  <c r="N2746" i="1"/>
  <c r="N2778" i="1"/>
  <c r="N2810" i="1"/>
  <c r="N3124" i="1"/>
  <c r="N2753" i="1"/>
  <c r="N2785" i="1"/>
  <c r="N2817" i="1"/>
  <c r="N3000" i="1"/>
  <c r="N3282" i="1"/>
  <c r="N3127" i="1"/>
  <c r="N1871" i="1"/>
  <c r="N1673" i="1"/>
  <c r="N1008" i="1"/>
  <c r="N824" i="1"/>
  <c r="N1099" i="1"/>
  <c r="N885" i="1"/>
  <c r="N707" i="1"/>
  <c r="N513" i="1"/>
  <c r="N385" i="1"/>
  <c r="N628" i="1"/>
  <c r="N430" i="1"/>
  <c r="N119" i="1"/>
  <c r="N1290" i="1"/>
  <c r="N1138" i="1"/>
  <c r="N2643" i="1"/>
  <c r="N2211" i="1"/>
  <c r="N2151" i="1"/>
  <c r="N1226" i="1"/>
  <c r="N1424" i="1"/>
  <c r="N1632" i="1"/>
  <c r="N1722" i="1"/>
  <c r="N1776" i="1"/>
  <c r="N1824" i="1"/>
  <c r="N1856" i="1"/>
  <c r="N1888" i="1"/>
  <c r="N1920" i="1"/>
  <c r="N1952" i="1"/>
  <c r="N1984" i="1"/>
  <c r="N2734" i="1"/>
  <c r="N2766" i="1"/>
  <c r="N2798" i="1"/>
  <c r="N2741" i="1"/>
  <c r="N2773" i="1"/>
  <c r="N2805" i="1"/>
  <c r="N3161" i="1"/>
  <c r="N3297" i="1"/>
  <c r="N2792" i="1"/>
  <c r="N3026" i="1"/>
  <c r="N1314" i="1"/>
  <c r="N1602" i="1"/>
  <c r="N1642" i="1"/>
  <c r="N1674" i="1"/>
  <c r="N1802" i="1"/>
  <c r="N1834" i="1"/>
  <c r="N1866" i="1"/>
  <c r="N1898" i="1"/>
  <c r="N1930" i="1"/>
  <c r="N1962" i="1"/>
  <c r="N1994" i="1"/>
  <c r="N2128" i="1"/>
  <c r="N2744" i="1"/>
  <c r="N2776" i="1"/>
  <c r="N2807" i="1"/>
  <c r="N3110" i="1"/>
  <c r="N2751" i="1"/>
  <c r="N2784" i="1"/>
  <c r="N1999" i="1"/>
  <c r="N1146" i="1"/>
  <c r="N1376" i="1"/>
  <c r="N1502" i="1"/>
  <c r="N1616" i="1"/>
  <c r="N1652" i="1"/>
  <c r="N1812" i="1"/>
  <c r="N1844" i="1"/>
  <c r="N1876" i="1"/>
  <c r="N1908" i="1"/>
  <c r="N1940" i="1"/>
  <c r="N1972" i="1"/>
  <c r="N2004" i="1"/>
  <c r="N2142" i="1"/>
  <c r="N2754" i="1"/>
  <c r="N2786" i="1"/>
  <c r="N2818" i="1"/>
  <c r="N2707" i="1"/>
  <c r="N2761" i="1"/>
  <c r="N2793" i="1"/>
  <c r="N1839" i="1"/>
  <c r="N1635" i="1"/>
  <c r="N950" i="1"/>
  <c r="N1325" i="1"/>
  <c r="N1019" i="1"/>
  <c r="N847" i="1"/>
  <c r="N645" i="1"/>
  <c r="N481" i="1"/>
  <c r="N353" i="1"/>
  <c r="N578" i="1"/>
  <c r="N388" i="1"/>
  <c r="N106" i="1"/>
  <c r="N1236" i="1"/>
  <c r="N2147" i="1"/>
  <c r="N1927" i="1"/>
  <c r="N1799" i="1"/>
  <c r="N1571" i="1"/>
  <c r="N1110" i="1"/>
  <c r="N898" i="1"/>
  <c r="N1227" i="1"/>
  <c r="N951" i="1"/>
  <c r="N807" i="1"/>
  <c r="N589" i="1"/>
  <c r="N441" i="1"/>
  <c r="N504" i="1"/>
  <c r="N334" i="1"/>
  <c r="N1983" i="1"/>
  <c r="N1855" i="1"/>
  <c r="N984" i="1"/>
  <c r="N1351" i="1"/>
  <c r="N1049" i="1"/>
  <c r="N867" i="1"/>
  <c r="N691" i="1"/>
  <c r="N497" i="1"/>
  <c r="N369" i="1"/>
  <c r="N602" i="1"/>
  <c r="N408" i="1"/>
  <c r="N1943" i="1"/>
  <c r="N1815" i="1"/>
  <c r="N1601" i="1"/>
  <c r="N1401" i="1"/>
  <c r="N914" i="1"/>
  <c r="N1263" i="1"/>
  <c r="N981" i="1"/>
  <c r="N823" i="1"/>
  <c r="N611" i="1"/>
  <c r="N457" i="1"/>
  <c r="N810" i="1"/>
  <c r="N526" i="1"/>
  <c r="N356" i="1"/>
  <c r="N331" i="1"/>
  <c r="N1444" i="1"/>
  <c r="N1394" i="1"/>
  <c r="N1228" i="1"/>
  <c r="N1162" i="1"/>
  <c r="N2145" i="1"/>
  <c r="N1997" i="1"/>
  <c r="N1965" i="1"/>
  <c r="N1933" i="1"/>
  <c r="N1901" i="1"/>
  <c r="N1869" i="1"/>
  <c r="N1837" i="1"/>
  <c r="N1805" i="1"/>
  <c r="N1735" i="1"/>
  <c r="N1671" i="1"/>
  <c r="N1485" i="1"/>
  <c r="N1068" i="1"/>
  <c r="N1006" i="1"/>
  <c r="N948" i="1"/>
  <c r="N904" i="1"/>
  <c r="N866" i="1"/>
  <c r="N822" i="1"/>
  <c r="N1323" i="1"/>
  <c r="N1157" i="1"/>
  <c r="N1087" i="1"/>
  <c r="N957" i="1"/>
  <c r="N705" i="1"/>
  <c r="N599" i="1"/>
  <c r="N511" i="1"/>
  <c r="N479" i="1"/>
  <c r="N447" i="1"/>
  <c r="N415" i="1"/>
  <c r="N383" i="1"/>
  <c r="N351" i="1"/>
  <c r="N798" i="1"/>
  <c r="N576" i="1"/>
  <c r="N512" i="1"/>
  <c r="N470" i="1"/>
  <c r="N428" i="1"/>
  <c r="N384" i="1"/>
  <c r="N342" i="1"/>
  <c r="N100" i="1"/>
  <c r="N231" i="1"/>
  <c r="N1995" i="1"/>
  <c r="N1963" i="1"/>
  <c r="N1931" i="1"/>
  <c r="N1899" i="1"/>
  <c r="N1867" i="1"/>
  <c r="N1835" i="1"/>
  <c r="N1803" i="1"/>
  <c r="N1733" i="1"/>
  <c r="N1629" i="1"/>
  <c r="N1575" i="1"/>
  <c r="N1066" i="1"/>
  <c r="N1004" i="1"/>
  <c r="N944" i="1"/>
  <c r="N902" i="1"/>
  <c r="N864" i="1"/>
  <c r="N820" i="1"/>
  <c r="N1321" i="1"/>
  <c r="N1155" i="1"/>
  <c r="N1079" i="1"/>
  <c r="N1015" i="1"/>
  <c r="N955" i="1"/>
  <c r="N913" i="1"/>
  <c r="N879" i="1"/>
  <c r="N763" i="1"/>
  <c r="N703" i="1"/>
  <c r="N641" i="1"/>
  <c r="N509" i="1"/>
  <c r="N477" i="1"/>
  <c r="N445" i="1"/>
  <c r="N413" i="1"/>
  <c r="N381" i="1"/>
  <c r="N349" i="1"/>
  <c r="N710" i="1"/>
  <c r="N510" i="1"/>
  <c r="N468" i="1"/>
  <c r="N424" i="1"/>
  <c r="N382" i="1"/>
  <c r="N340" i="1"/>
  <c r="N210" i="1"/>
  <c r="N225" i="1"/>
  <c r="N107" i="1"/>
  <c r="N1224" i="1"/>
  <c r="N1993" i="1"/>
  <c r="N1961" i="1"/>
  <c r="N1929" i="1"/>
  <c r="N1897" i="1"/>
  <c r="N1865" i="1"/>
  <c r="N1627" i="1"/>
  <c r="N940" i="1"/>
  <c r="N1013" i="1"/>
  <c r="N841" i="1"/>
  <c r="N593" i="1"/>
  <c r="N507" i="1"/>
  <c r="N475" i="1"/>
  <c r="N443" i="1"/>
  <c r="N411" i="1"/>
  <c r="N379" i="1"/>
  <c r="N347" i="1"/>
  <c r="N792" i="1"/>
  <c r="N708" i="1"/>
  <c r="N566" i="1"/>
  <c r="N508" i="1"/>
  <c r="N464" i="1"/>
  <c r="N422" i="1"/>
  <c r="N380" i="1"/>
  <c r="N336" i="1"/>
  <c r="N82" i="1"/>
  <c r="N219" i="1"/>
  <c r="N97" i="1"/>
  <c r="N600" i="1"/>
  <c r="N514" i="1"/>
  <c r="N482" i="1"/>
  <c r="N450" i="1"/>
  <c r="N418" i="1"/>
  <c r="N386" i="1"/>
  <c r="N354" i="1"/>
  <c r="N220" i="1"/>
  <c r="N138" i="1"/>
  <c r="N233" i="1"/>
  <c r="N1222" i="1"/>
  <c r="N1714" i="1"/>
  <c r="N1308" i="1"/>
  <c r="N1446" i="1"/>
  <c r="N1640" i="1"/>
  <c r="N1730" i="1"/>
  <c r="N1800" i="1"/>
  <c r="N1864" i="1"/>
  <c r="N1896" i="1"/>
  <c r="N1928" i="1"/>
  <c r="N1960" i="1"/>
  <c r="N1992" i="1"/>
  <c r="N2126" i="1"/>
  <c r="N2742" i="1"/>
  <c r="N2774" i="1"/>
  <c r="N2806" i="1"/>
  <c r="N2749" i="1"/>
  <c r="N2781" i="1"/>
  <c r="N2813" i="1"/>
  <c r="N2816" i="1"/>
  <c r="N1967" i="1"/>
  <c r="N1126" i="1"/>
  <c r="N1354" i="1"/>
  <c r="N1554" i="1"/>
  <c r="N1650" i="1"/>
  <c r="N1682" i="1"/>
  <c r="N1756" i="1"/>
  <c r="N1810" i="1"/>
  <c r="N1842" i="1"/>
  <c r="N1874" i="1"/>
  <c r="N1906" i="1"/>
  <c r="N1938" i="1"/>
  <c r="N1970" i="1"/>
  <c r="N2002" i="1"/>
  <c r="N2140" i="1"/>
  <c r="N2752" i="1"/>
  <c r="N2783" i="1"/>
  <c r="N2815" i="1"/>
  <c r="N3024" i="1"/>
  <c r="N3298" i="1"/>
  <c r="N2759" i="1"/>
  <c r="N2800" i="1"/>
  <c r="N2113" i="1"/>
  <c r="N1218" i="1"/>
  <c r="N1660" i="1"/>
  <c r="N1820" i="1"/>
  <c r="N1852" i="1"/>
  <c r="N1884" i="1"/>
  <c r="N1916" i="1"/>
  <c r="N1948" i="1"/>
  <c r="N1980" i="1"/>
  <c r="N2150" i="1"/>
  <c r="N2642" i="1"/>
  <c r="N2708" i="1"/>
  <c r="N2762" i="1"/>
  <c r="N2794" i="1"/>
  <c r="N2737" i="1"/>
  <c r="N2769" i="1"/>
  <c r="N2801" i="1"/>
  <c r="N3126" i="1"/>
  <c r="N3025" i="1"/>
  <c r="N3109" i="1"/>
  <c r="N3157" i="1"/>
  <c r="N3289" i="1"/>
  <c r="N1583" i="1"/>
  <c r="N906" i="1"/>
  <c r="N959" i="1"/>
  <c r="N815" i="1"/>
  <c r="N601" i="1"/>
  <c r="N449" i="1"/>
  <c r="N802" i="1"/>
  <c r="N516" i="1"/>
  <c r="N1214" i="1"/>
  <c r="N2125" i="1"/>
  <c r="N1895" i="1"/>
  <c r="N1721" i="1"/>
  <c r="N1062" i="1"/>
  <c r="N860" i="1"/>
  <c r="N1135" i="1"/>
  <c r="N909" i="1"/>
  <c r="N753" i="1"/>
  <c r="N553" i="1"/>
  <c r="N409" i="1"/>
  <c r="N462" i="1"/>
  <c r="N213" i="1"/>
  <c r="N1132" i="1"/>
  <c r="N1951" i="1"/>
  <c r="N1823" i="1"/>
  <c r="N1611" i="1"/>
  <c r="N1413" i="1"/>
  <c r="N924" i="1"/>
  <c r="N1307" i="1"/>
  <c r="N995" i="1"/>
  <c r="N831" i="1"/>
  <c r="N625" i="1"/>
  <c r="N465" i="1"/>
  <c r="N337" i="1"/>
  <c r="N366" i="1"/>
  <c r="N2139" i="1"/>
  <c r="N1911" i="1"/>
  <c r="N1753" i="1"/>
  <c r="N1539" i="1"/>
  <c r="N1082" i="1"/>
  <c r="N878" i="1"/>
  <c r="N1205" i="1"/>
  <c r="N781" i="1"/>
  <c r="N573" i="1"/>
  <c r="N425" i="1"/>
  <c r="N750" i="1"/>
  <c r="N484" i="1"/>
  <c r="N265" i="1"/>
  <c r="N1430" i="1"/>
  <c r="N1380" i="1"/>
  <c r="N1310" i="1"/>
  <c r="N1220" i="1"/>
  <c r="N1152" i="1"/>
  <c r="N2830" i="1"/>
  <c r="N2131" i="1"/>
  <c r="N1989" i="1"/>
  <c r="N1957" i="1"/>
  <c r="N1925" i="1"/>
  <c r="N1893" i="1"/>
  <c r="N1861" i="1"/>
  <c r="N1829" i="1"/>
  <c r="N1661" i="1"/>
  <c r="N1623" i="1"/>
  <c r="N1569" i="1"/>
  <c r="N1425" i="1"/>
  <c r="N1106" i="1"/>
  <c r="N1052" i="1"/>
  <c r="N896" i="1"/>
  <c r="N856" i="1"/>
  <c r="N814" i="1"/>
  <c r="N1315" i="1"/>
  <c r="N1133" i="1"/>
  <c r="N1007" i="1"/>
  <c r="N949" i="1"/>
  <c r="N873" i="1"/>
  <c r="N805" i="1"/>
  <c r="N697" i="1"/>
  <c r="N587" i="1"/>
  <c r="N503" i="1"/>
  <c r="N471" i="1"/>
  <c r="N439" i="1"/>
  <c r="N407" i="1"/>
  <c r="N375" i="1"/>
  <c r="N343" i="1"/>
  <c r="N698" i="1"/>
  <c r="N502" i="1"/>
  <c r="N460" i="1"/>
  <c r="N416" i="1"/>
  <c r="N374" i="1"/>
  <c r="N332" i="1"/>
  <c r="N194" i="1"/>
  <c r="N74" i="1"/>
  <c r="N209" i="1"/>
  <c r="N1987" i="1"/>
  <c r="N1955" i="1"/>
  <c r="N1923" i="1"/>
  <c r="N1891" i="1"/>
  <c r="N1859" i="1"/>
  <c r="N1827" i="1"/>
  <c r="N1795" i="1"/>
  <c r="N1707" i="1"/>
  <c r="N1659" i="1"/>
  <c r="N1563" i="1"/>
  <c r="N1104" i="1"/>
  <c r="N1050" i="1"/>
  <c r="N930" i="1"/>
  <c r="N894" i="1"/>
  <c r="N854" i="1"/>
  <c r="N1355" i="1"/>
  <c r="N1223" i="1"/>
  <c r="N1131" i="1"/>
  <c r="N947" i="1"/>
  <c r="N905" i="1"/>
  <c r="N803" i="1"/>
  <c r="N695" i="1"/>
  <c r="N633" i="1"/>
  <c r="N545" i="1"/>
  <c r="N501" i="1"/>
  <c r="N469" i="1"/>
  <c r="N437" i="1"/>
  <c r="N405" i="1"/>
  <c r="N373" i="1"/>
  <c r="N341" i="1"/>
  <c r="N776" i="1"/>
  <c r="N556" i="1"/>
  <c r="N500" i="1"/>
  <c r="N456" i="1"/>
  <c r="N414" i="1"/>
  <c r="N372" i="1"/>
  <c r="N328" i="1"/>
  <c r="N282" i="1"/>
  <c r="N83" i="1"/>
  <c r="N2127" i="1"/>
  <c r="N1985" i="1"/>
  <c r="N1953" i="1"/>
  <c r="N1921" i="1"/>
  <c r="N1889" i="1"/>
  <c r="N1857" i="1"/>
  <c r="N1825" i="1"/>
  <c r="N1793" i="1"/>
  <c r="N1705" i="1"/>
  <c r="N986" i="1"/>
  <c r="N943" i="1"/>
  <c r="N693" i="1"/>
  <c r="N583" i="1"/>
  <c r="N499" i="1"/>
  <c r="N467" i="1"/>
  <c r="N435" i="1"/>
  <c r="N403" i="1"/>
  <c r="N371" i="1"/>
  <c r="N604" i="1"/>
  <c r="N496" i="1"/>
  <c r="N454" i="1"/>
  <c r="N412" i="1"/>
  <c r="N368" i="1"/>
  <c r="N326" i="1"/>
  <c r="N186" i="1"/>
  <c r="N285" i="1"/>
  <c r="N197" i="1"/>
  <c r="N702" i="1"/>
  <c r="N592" i="1"/>
  <c r="N552" i="1"/>
  <c r="N506" i="1"/>
  <c r="N474" i="1"/>
  <c r="N442" i="1"/>
  <c r="N410" i="1"/>
  <c r="N378" i="1"/>
  <c r="N200" i="1"/>
  <c r="N108" i="1"/>
  <c r="N14" i="1"/>
  <c r="N145" i="1"/>
  <c r="N23" i="1"/>
  <c r="N49" i="1"/>
  <c r="N168" i="1"/>
  <c r="N8" i="1"/>
  <c r="N125" i="1"/>
  <c r="N140" i="1"/>
  <c r="N72" i="1"/>
  <c r="N325" i="1"/>
  <c r="N283" i="1"/>
  <c r="N235" i="1"/>
  <c r="N899" i="1"/>
  <c r="N829" i="1"/>
  <c r="N737" i="1"/>
  <c r="N579" i="1"/>
  <c r="N527" i="1"/>
  <c r="N495" i="1"/>
  <c r="N463" i="1"/>
  <c r="N431" i="1"/>
  <c r="N399" i="1"/>
  <c r="N367" i="1"/>
  <c r="N335" i="1"/>
  <c r="N762" i="1"/>
  <c r="N688" i="1"/>
  <c r="N546" i="1"/>
  <c r="N492" i="1"/>
  <c r="N448" i="1"/>
  <c r="N406" i="1"/>
  <c r="N364" i="1"/>
  <c r="N193" i="1"/>
  <c r="N39" i="1"/>
  <c r="N1979" i="1"/>
  <c r="N1947" i="1"/>
  <c r="N1915" i="1"/>
  <c r="N1883" i="1"/>
  <c r="N1851" i="1"/>
  <c r="N1819" i="1"/>
  <c r="N1687" i="1"/>
  <c r="N1032" i="1"/>
  <c r="N918" i="1"/>
  <c r="N886" i="1"/>
  <c r="N842" i="1"/>
  <c r="N1291" i="1"/>
  <c r="N1209" i="1"/>
  <c r="N1121" i="1"/>
  <c r="N935" i="1"/>
  <c r="N897" i="1"/>
  <c r="N863" i="1"/>
  <c r="N827" i="1"/>
  <c r="N791" i="1"/>
  <c r="N663" i="1"/>
  <c r="N615" i="1"/>
  <c r="N577" i="1"/>
  <c r="N525" i="1"/>
  <c r="N493" i="1"/>
  <c r="N461" i="1"/>
  <c r="N429" i="1"/>
  <c r="N397" i="1"/>
  <c r="N365" i="1"/>
  <c r="N333" i="1"/>
  <c r="N756" i="1"/>
  <c r="N596" i="1"/>
  <c r="N544" i="1"/>
  <c r="N488" i="1"/>
  <c r="N446" i="1"/>
  <c r="N404" i="1"/>
  <c r="N20" i="1"/>
  <c r="N37" i="1"/>
  <c r="N1416" i="1"/>
  <c r="N1352" i="1"/>
  <c r="N1256" i="1"/>
  <c r="N2177" i="1"/>
  <c r="N1977" i="1"/>
  <c r="N1945" i="1"/>
  <c r="N1913" i="1"/>
  <c r="N1881" i="1"/>
  <c r="N1849" i="1"/>
  <c r="N1605" i="1"/>
  <c r="N1405" i="1"/>
  <c r="N880" i="1"/>
  <c r="N523" i="1"/>
  <c r="N491" i="1"/>
  <c r="N459" i="1"/>
  <c r="N427" i="1"/>
  <c r="N395" i="1"/>
  <c r="N363" i="1"/>
  <c r="N594" i="1"/>
  <c r="N528" i="1"/>
  <c r="N486" i="1"/>
  <c r="N444" i="1"/>
  <c r="N400" i="1"/>
  <c r="N358" i="1"/>
  <c r="N183" i="1"/>
  <c r="N35" i="1"/>
  <c r="N754" i="1"/>
  <c r="N694" i="1"/>
  <c r="N616" i="1"/>
  <c r="N582" i="1"/>
  <c r="N530" i="1"/>
  <c r="N498" i="1"/>
  <c r="N466" i="1"/>
  <c r="N434" i="1"/>
  <c r="N402" i="1"/>
  <c r="N370" i="1"/>
  <c r="N338" i="1"/>
  <c r="N250" i="1"/>
  <c r="N188" i="1"/>
  <c r="N96" i="1"/>
  <c r="N323" i="1"/>
  <c r="N99" i="1"/>
  <c r="N192" i="1"/>
  <c r="N1959" i="1"/>
  <c r="N1831" i="1"/>
  <c r="N1625" i="1"/>
  <c r="N938" i="1"/>
  <c r="N1317" i="1"/>
  <c r="N1011" i="1"/>
  <c r="N839" i="1"/>
  <c r="N637" i="1"/>
  <c r="N473" i="1"/>
  <c r="N345" i="1"/>
  <c r="N564" i="1"/>
  <c r="N376" i="1"/>
  <c r="N1210" i="1"/>
  <c r="N1887" i="1"/>
  <c r="N1695" i="1"/>
  <c r="N850" i="1"/>
  <c r="N1127" i="1"/>
  <c r="N901" i="1"/>
  <c r="N739" i="1"/>
  <c r="N529" i="1"/>
  <c r="N401" i="1"/>
  <c r="N690" i="1"/>
  <c r="N452" i="1"/>
  <c r="N1975" i="1"/>
  <c r="N1847" i="1"/>
  <c r="N1645" i="1"/>
  <c r="N958" i="1"/>
  <c r="N1339" i="1"/>
  <c r="N1039" i="1"/>
  <c r="N859" i="1"/>
  <c r="N657" i="1"/>
  <c r="N489" i="1"/>
  <c r="N361" i="1"/>
  <c r="N590" i="1"/>
  <c r="N398" i="1"/>
  <c r="N150" i="1"/>
  <c r="N1252" i="1"/>
  <c r="N1124" i="1"/>
  <c r="N2005" i="1"/>
  <c r="N1973" i="1"/>
  <c r="N1941" i="1"/>
  <c r="N1909" i="1"/>
  <c r="N1877" i="1"/>
  <c r="N1845" i="1"/>
  <c r="N1813" i="1"/>
  <c r="N1751" i="1"/>
  <c r="N1679" i="1"/>
  <c r="N1643" i="1"/>
  <c r="N1597" i="1"/>
  <c r="N1537" i="1"/>
  <c r="N1078" i="1"/>
  <c r="N876" i="1"/>
  <c r="N830" i="1"/>
  <c r="N1337" i="1"/>
  <c r="N1257" i="1"/>
  <c r="N1107" i="1"/>
  <c r="N1033" i="1"/>
  <c r="N965" i="1"/>
  <c r="N891" i="1"/>
  <c r="N855" i="1"/>
  <c r="N821" i="1"/>
  <c r="N779" i="1"/>
  <c r="N655" i="1"/>
  <c r="N609" i="1"/>
  <c r="N571" i="1"/>
  <c r="N519" i="1"/>
  <c r="N487" i="1"/>
  <c r="N455" i="1"/>
  <c r="N423" i="1"/>
  <c r="N391" i="1"/>
  <c r="N359" i="1"/>
  <c r="N808" i="1"/>
  <c r="N640" i="1"/>
  <c r="N586" i="1"/>
  <c r="N524" i="1"/>
  <c r="N480" i="1"/>
  <c r="N438" i="1"/>
  <c r="N396" i="1"/>
  <c r="N352" i="1"/>
  <c r="N234" i="1"/>
  <c r="N329" i="1"/>
  <c r="N2003" i="1"/>
  <c r="N1971" i="1"/>
  <c r="N1939" i="1"/>
  <c r="N1907" i="1"/>
  <c r="N1875" i="1"/>
  <c r="N1843" i="1"/>
  <c r="N1811" i="1"/>
  <c r="N1749" i="1"/>
  <c r="N1677" i="1"/>
  <c r="N1639" i="1"/>
  <c r="N1587" i="1"/>
  <c r="N1531" i="1"/>
  <c r="N1393" i="1"/>
  <c r="N1076" i="1"/>
  <c r="N1012" i="1"/>
  <c r="N954" i="1"/>
  <c r="N910" i="1"/>
  <c r="N872" i="1"/>
  <c r="N828" i="1"/>
  <c r="N1335" i="1"/>
  <c r="N1255" i="1"/>
  <c r="N1163" i="1"/>
  <c r="N1105" i="1"/>
  <c r="N1025" i="1"/>
  <c r="N853" i="1"/>
  <c r="N819" i="1"/>
  <c r="N711" i="1"/>
  <c r="N653" i="1"/>
  <c r="N517" i="1"/>
  <c r="N485" i="1"/>
  <c r="N453" i="1"/>
  <c r="N421" i="1"/>
  <c r="N389" i="1"/>
  <c r="N357" i="1"/>
  <c r="N806" i="1"/>
  <c r="N638" i="1"/>
  <c r="N520" i="1"/>
  <c r="N478" i="1"/>
  <c r="N436" i="1"/>
  <c r="N392" i="1"/>
  <c r="N350" i="1"/>
  <c r="N230" i="1"/>
  <c r="N134" i="1"/>
  <c r="N327" i="1"/>
  <c r="N153" i="1"/>
  <c r="N1400" i="1"/>
  <c r="N1334" i="1"/>
  <c r="N1172" i="1"/>
  <c r="N2149" i="1"/>
  <c r="N2001" i="1"/>
  <c r="N1969" i="1"/>
  <c r="N1937" i="1"/>
  <c r="N1905" i="1"/>
  <c r="N1873" i="1"/>
  <c r="N1675" i="1"/>
  <c r="N826" i="1"/>
  <c r="N1333" i="1"/>
  <c r="N1161" i="1"/>
  <c r="N919" i="1"/>
  <c r="N771" i="1"/>
  <c r="N603" i="1"/>
  <c r="N515" i="1"/>
  <c r="N483" i="1"/>
  <c r="N451" i="1"/>
  <c r="N419" i="1"/>
  <c r="N387" i="1"/>
  <c r="N804" i="1"/>
  <c r="N734" i="1"/>
  <c r="N634" i="1"/>
  <c r="N518" i="1"/>
  <c r="N476" i="1"/>
  <c r="N432" i="1"/>
  <c r="N390" i="1"/>
  <c r="N348" i="1"/>
  <c r="N118" i="1"/>
  <c r="N746" i="1"/>
  <c r="N662" i="1"/>
  <c r="N608" i="1"/>
  <c r="N522" i="1"/>
  <c r="N490" i="1"/>
  <c r="N458" i="1"/>
  <c r="N426" i="1"/>
  <c r="N394" i="1"/>
  <c r="N362" i="1"/>
  <c r="N330" i="1"/>
  <c r="N251" i="1"/>
  <c r="N187" i="1"/>
  <c r="N211" i="1"/>
  <c r="E1" i="1"/>
  <c r="L1" i="1" s="1"/>
  <c r="C1" i="1"/>
  <c r="D1" i="1" s="1"/>
  <c r="N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F287" authorId="0" shapeId="0" xr:uid="{00000000-0006-0000-0200-000001000000}">
      <text>
        <r>
          <rPr>
            <b/>
            <sz val="9"/>
            <color indexed="81"/>
            <rFont val="Tahoma"/>
            <charset val="1"/>
          </rPr>
          <t>description does not fit to suffix</t>
        </r>
      </text>
    </comment>
    <comment ref="I567" authorId="0" shapeId="0" xr:uid="{00000000-0006-0000-0200-000002000000}">
      <text>
        <r>
          <rPr>
            <sz val="9"/>
            <color indexed="81"/>
            <rFont val="Tahoma"/>
            <family val="2"/>
          </rPr>
          <t xml:space="preserve">Stern am Ende, um es eindeutig zu machen; es gibt ein anderes Tag ohne Leerzeichen zwischen Color und Temperature
</t>
        </r>
      </text>
    </comment>
    <comment ref="F1298" authorId="0" shapeId="0" xr:uid="{00000000-0006-0000-0200-000003000000}">
      <text>
        <r>
          <rPr>
            <b/>
            <sz val="9"/>
            <color indexed="81"/>
            <rFont val="Tahoma"/>
            <charset val="1"/>
          </rPr>
          <t xml:space="preserve">burst speed? See description
</t>
        </r>
      </text>
    </comment>
  </commentList>
</comments>
</file>

<file path=xl/sharedStrings.xml><?xml version="1.0" encoding="utf-8"?>
<sst xmlns="http://schemas.openxmlformats.org/spreadsheetml/2006/main" count="20163" uniqueCount="9729">
  <si>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</si>
  <si>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</si>
  <si>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</si>
  <si>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</si>
  <si>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</si>
  <si>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</si>
  <si>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</si>
  <si>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</si>
  <si>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</si>
  <si>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</si>
  <si>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</si>
  <si>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</si>
  <si>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</si>
  <si>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</si>
  <si>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</si>
  <si>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</si>
  <si>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</si>
  <si>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</si>
  <si>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</si>
  <si>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</si>
  <si>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</si>
  <si>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</si>
  <si>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</si>
  <si>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</si>
  <si>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</si>
  <si>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</si>
  <si>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</si>
  <si>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</si>
  <si>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</si>
  <si>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</si>
  <si>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</si>
  <si>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</si>
  <si>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</si>
  <si>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</si>
  <si>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</si>
  <si>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</si>
  <si>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</si>
  <si>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</si>
  <si>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</si>
  <si>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</si>
  <si>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</si>
  <si>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</si>
  <si>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</si>
  <si>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</si>
  <si>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</si>
  <si>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</si>
  <si>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</si>
  <si>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</si>
  <si>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</si>
  <si>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</si>
  <si>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</si>
  <si>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</si>
  <si>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</si>
  <si>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</si>
  <si>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Exif.CanonCs.0x0009</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</si>
  <si>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</si>
  <si>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</si>
  <si>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</si>
  <si>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</si>
  <si>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</si>
  <si>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</si>
  <si>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</si>
  <si>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</si>
  <si>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</si>
  <si>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</si>
  <si>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</si>
  <si>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</si>
  <si>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</si>
  <si>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</si>
  <si>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</si>
  <si>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</si>
  <si>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</si>
  <si>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</si>
  <si>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</si>
  <si>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</si>
  <si>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</si>
  <si>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</si>
  <si>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</si>
  <si>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</si>
  <si>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</si>
  <si>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</si>
  <si>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</si>
  <si>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</si>
  <si>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</si>
  <si>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</si>
  <si>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</si>
  <si>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</si>
  <si>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</si>
  <si>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</si>
  <si>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</si>
  <si>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</si>
  <si>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</si>
  <si>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</si>
  <si>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</si>
  <si>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</si>
  <si>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</si>
  <si>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</si>
  <si>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</si>
  <si>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</si>
  <si>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</si>
  <si>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</si>
  <si>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</si>
  <si>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</si>
  <si>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</si>
  <si>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</si>
  <si>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</si>
  <si>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</si>
  <si>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</si>
  <si>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</si>
  <si>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</si>
  <si>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</si>
  <si>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</si>
  <si>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</si>
  <si>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</si>
  <si>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</si>
  <si>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</si>
  <si>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</si>
  <si>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</si>
  <si>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</si>
  <si>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</si>
  <si>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</si>
  <si>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</si>
  <si>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</si>
  <si>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</si>
  <si>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</si>
  <si>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</si>
  <si>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</si>
  <si>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</si>
  <si>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</si>
  <si>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</si>
  <si>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</si>
  <si>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</si>
  <si>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</si>
  <si>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</si>
  <si>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</si>
  <si>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</si>
  <si>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</si>
  <si>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</si>
  <si>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</si>
  <si>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</si>
  <si>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</si>
  <si>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</si>
  <si>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</si>
  <si>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</si>
  <si>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</si>
  <si>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</si>
  <si>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</si>
  <si>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</si>
  <si>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</si>
  <si>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</si>
  <si>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</si>
  <si>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</si>
  <si>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</si>
  <si>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</si>
  <si>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</si>
  <si>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</si>
  <si>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</si>
  <si>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</si>
  <si>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</si>
  <si>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</si>
  <si>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</si>
  <si>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</si>
  <si>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</si>
  <si>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</si>
  <si>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</si>
  <si>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</si>
  <si>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</si>
  <si>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</si>
  <si>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</si>
  <si>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</si>
  <si>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</si>
  <si>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</si>
  <si>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</si>
  <si>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</si>
  <si>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</si>
  <si>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</si>
  <si>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</si>
  <si>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</si>
  <si>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</si>
  <si>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</si>
  <si>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</si>
  <si>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</si>
  <si>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</si>
  <si>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</si>
  <si>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</si>
  <si>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</si>
  <si>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</si>
  <si>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</si>
  <si>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</si>
  <si>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</si>
  <si>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</si>
  <si>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</si>
  <si>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</si>
  <si>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</si>
  <si>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</si>
  <si>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</si>
  <si>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</si>
  <si>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</si>
  <si>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</si>
  <si>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</si>
  <si>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</si>
  <si>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</si>
  <si>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</si>
  <si>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</si>
  <si>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</si>
  <si>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</si>
  <si>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</si>
  <si>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</si>
  <si>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</si>
  <si>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</si>
  <si>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</si>
  <si>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</si>
  <si>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</si>
  <si>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</si>
  <si>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</si>
  <si>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</si>
  <si>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</si>
  <si>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</si>
  <si>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</si>
  <si>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</si>
  <si>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</si>
  <si>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</si>
  <si>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</si>
  <si>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</si>
  <si>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</si>
  <si>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</si>
  <si>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</si>
  <si>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</si>
  <si>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</si>
  <si>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</si>
  <si>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</si>
  <si>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</si>
  <si>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</si>
  <si>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</si>
  <si>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</si>
  <si>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</si>
  <si>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</si>
  <si>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</si>
  <si>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</si>
  <si>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</si>
  <si>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</si>
  <si>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</si>
  <si>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</si>
  <si>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</si>
  <si>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</si>
  <si>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</si>
  <si>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</si>
  <si>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</si>
  <si>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</si>
  <si>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</si>
  <si>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</si>
  <si>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</si>
  <si>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</si>
  <si>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</si>
  <si>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</si>
  <si>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</si>
  <si>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</si>
  <si>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</si>
  <si>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</si>
  <si>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</si>
  <si>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</si>
  <si>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</si>
  <si>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</si>
  <si>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</si>
  <si>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</si>
  <si>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</si>
  <si>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</si>
  <si>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</si>
  <si>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</si>
  <si>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</si>
  <si>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</si>
  <si>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</si>
  <si>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</si>
  <si>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</si>
  <si>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</si>
  <si>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</si>
  <si>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</si>
  <si>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</si>
  <si>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</si>
  <si>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</si>
  <si>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</si>
  <si>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</si>
  <si>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</si>
  <si>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</si>
  <si>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</si>
  <si>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</si>
  <si>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</si>
  <si>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</si>
  <si>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</si>
  <si>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</si>
  <si>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</si>
  <si>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</si>
  <si>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</si>
  <si>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</si>
  <si>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</si>
  <si>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</si>
  <si>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</si>
  <si>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</si>
  <si>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</si>
  <si>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</si>
  <si>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</si>
  <si>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</si>
  <si>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</si>
  <si>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</si>
  <si>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</si>
  <si>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</si>
  <si>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</si>
  <si>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</si>
  <si>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</si>
  <si>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</si>
  <si>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</si>
  <si>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</si>
  <si>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</si>
  <si>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</si>
  <si>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</si>
  <si>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</si>
  <si>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</si>
  <si>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</si>
  <si>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</si>
  <si>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</si>
  <si>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</si>
  <si>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</si>
  <si>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</si>
  <si>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</si>
  <si>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</si>
  <si>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</si>
  <si>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</si>
  <si>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</si>
  <si>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</si>
  <si>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</si>
  <si>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</si>
  <si>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</si>
  <si>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</si>
  <si>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</si>
  <si>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</si>
  <si>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</si>
  <si>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</si>
  <si>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</si>
  <si>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</si>
  <si>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</si>
  <si>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</si>
  <si>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</si>
  <si>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</si>
  <si>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</si>
  <si>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</si>
  <si>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</si>
  <si>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</si>
  <si>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</si>
  <si>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</si>
  <si>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</si>
  <si>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</si>
  <si>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</si>
  <si>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</si>
  <si>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</si>
  <si>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</si>
  <si>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</si>
  <si>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</si>
  <si>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</si>
  <si>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</si>
  <si>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</si>
  <si>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</si>
  <si>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</si>
  <si>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</si>
  <si>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</si>
  <si>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</si>
  <si>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</si>
  <si>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</si>
  <si>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</si>
  <si>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</si>
  <si>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</si>
  <si>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</si>
  <si>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</si>
  <si>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</si>
  <si>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</si>
  <si>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</si>
  <si>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</si>
  <si>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</si>
  <si>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</si>
  <si>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</si>
  <si>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</si>
  <si>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</si>
  <si>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</si>
  <si>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</si>
  <si>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</si>
  <si>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</si>
  <si>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</si>
  <si>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</si>
  <si>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</si>
  <si>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</si>
  <si>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</si>
  <si>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</si>
  <si>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</si>
  <si>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</si>
  <si>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</si>
  <si>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</si>
  <si>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</si>
  <si>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</si>
  <si>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</si>
  <si>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</si>
  <si>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</si>
  <si>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</si>
  <si>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</si>
  <si>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</si>
  <si>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</si>
  <si>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</si>
  <si>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</si>
  <si>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</si>
  <si>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</si>
  <si>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</si>
  <si>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</si>
  <si>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</si>
  <si>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</si>
  <si>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</si>
  <si>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</si>
  <si>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</si>
  <si>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</si>
  <si>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</si>
  <si>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</si>
  <si>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</si>
  <si>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</si>
  <si>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</si>
  <si>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</si>
  <si>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</si>
  <si>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</si>
  <si>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</si>
  <si>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</si>
  <si>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</si>
  <si>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</si>
  <si>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</si>
  <si>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</si>
  <si>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</si>
  <si>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</si>
  <si>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</si>
  <si>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</si>
  <si>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</si>
  <si>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</si>
  <si>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</si>
  <si>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</si>
  <si>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</si>
  <si>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</si>
  <si>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</si>
  <si>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</si>
  <si>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</si>
  <si>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</si>
  <si>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</si>
  <si>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</si>
  <si>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</si>
  <si>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</si>
  <si>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</si>
  <si>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</si>
  <si>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</si>
  <si>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</si>
  <si>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</si>
  <si>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</si>
  <si>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</si>
  <si>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</si>
  <si>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</si>
  <si>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</si>
  <si>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</si>
  <si>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</si>
  <si>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</si>
  <si>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</si>
  <si>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</si>
  <si>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</si>
  <si>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</si>
  <si>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</si>
  <si>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</si>
  <si>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</si>
  <si>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</si>
  <si>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</si>
  <si>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</si>
  <si>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</si>
  <si>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</si>
  <si>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</si>
  <si>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</si>
  <si>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</si>
  <si>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</si>
  <si>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</si>
  <si>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</si>
  <si>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</si>
  <si>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</si>
  <si>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</si>
  <si>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</si>
  <si>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</si>
  <si>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</si>
  <si>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</si>
  <si>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</si>
  <si>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</si>
  <si>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</si>
  <si>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</si>
  <si>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</si>
  <si>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</si>
  <si>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</si>
  <si>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</si>
  <si>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</si>
  <si>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</si>
  <si>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</si>
  <si>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</si>
  <si>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</si>
  <si>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</si>
  <si>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</si>
  <si>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</si>
  <si>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</si>
  <si>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</si>
  <si>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</si>
  <si>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</si>
  <si>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</si>
  <si>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</si>
  <si>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</si>
  <si>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</si>
  <si>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</si>
  <si>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</si>
  <si>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</si>
  <si>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</si>
  <si>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</si>
  <si>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</si>
  <si>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</si>
  <si>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</si>
  <si>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</si>
  <si>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</si>
  <si>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</si>
  <si>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</si>
  <si>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</si>
  <si>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</si>
  <si>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</si>
  <si>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</si>
  <si>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</si>
  <si>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</si>
  <si>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</si>
  <si>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</si>
  <si>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</si>
  <si>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</si>
  <si>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</si>
  <si>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</si>
  <si>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</si>
  <si>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</si>
  <si>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</si>
  <si>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</si>
  <si>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</si>
  <si>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</si>
  <si>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</si>
  <si>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</si>
  <si>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</si>
  <si>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</si>
  <si>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</si>
  <si>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</si>
  <si>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</si>
  <si>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</si>
  <si>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</si>
  <si>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</si>
  <si>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</si>
  <si>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</si>
  <si>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</si>
  <si>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</si>
  <si>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</si>
  <si>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</si>
  <si>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</si>
  <si>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</si>
  <si>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</si>
  <si>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</si>
  <si>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</si>
  <si>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</si>
  <si>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</si>
  <si>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</si>
  <si>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</si>
  <si>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</si>
  <si>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</si>
  <si>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</si>
  <si>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</si>
  <si>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</si>
  <si>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</si>
  <si>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</si>
  <si>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</si>
  <si>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</si>
  <si>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</si>
  <si>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</si>
  <si>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</si>
  <si>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</si>
  <si>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</si>
  <si>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</si>
  <si>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</si>
  <si>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</si>
  <si>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</si>
  <si>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</si>
  <si>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</si>
  <si>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</si>
  <si>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</si>
  <si>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</si>
  <si>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</si>
  <si>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</si>
  <si>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</si>
  <si>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</si>
  <si>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</si>
  <si>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</si>
  <si>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</si>
  <si>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</si>
  <si>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</si>
  <si>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</si>
  <si>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</si>
  <si>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</si>
  <si>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</si>
  <si>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</si>
  <si>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</si>
  <si>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</si>
  <si>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</si>
  <si>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</si>
  <si>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</si>
  <si>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</si>
  <si>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</si>
  <si>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</si>
  <si>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</si>
  <si>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</si>
  <si>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</si>
  <si>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</si>
  <si>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</si>
  <si>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</si>
  <si>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</si>
  <si>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</si>
  <si>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</si>
  <si>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</si>
  <si>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</si>
  <si>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</si>
  <si>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</si>
  <si>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</si>
  <si>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</si>
  <si>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</si>
  <si>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</si>
  <si>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</si>
  <si>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</si>
  <si>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</si>
  <si>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</si>
  <si>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</si>
  <si>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</si>
  <si>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</si>
  <si>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</si>
  <si>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</si>
  <si>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</si>
  <si>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</si>
  <si>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</si>
  <si>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</si>
  <si>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</si>
  <si>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</si>
  <si>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</si>
  <si>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</si>
  <si>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</si>
  <si>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</si>
  <si>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</si>
  <si>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</si>
  <si>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</si>
  <si>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</si>
  <si>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</si>
  <si>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</si>
  <si>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</si>
  <si>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</si>
  <si>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</si>
  <si>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</si>
  <si>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</si>
  <si>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</si>
  <si>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</si>
  <si>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</si>
  <si>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</si>
  <si>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</si>
  <si>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</si>
  <si>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</si>
  <si>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</si>
  <si>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</si>
  <si>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</si>
  <si>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</si>
  <si>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</si>
  <si>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</si>
  <si>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</si>
  <si>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</si>
  <si>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</si>
  <si>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</si>
  <si>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</si>
  <si>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</si>
  <si>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</si>
  <si>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</si>
  <si>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</si>
  <si>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</si>
  <si>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</si>
  <si>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</si>
  <si>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</si>
  <si>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</si>
  <si>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</si>
  <si>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</si>
  <si>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</si>
  <si>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</si>
  <si>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</si>
  <si>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</si>
  <si>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</si>
  <si>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</si>
  <si>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</si>
  <si>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</si>
  <si>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</si>
  <si>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</si>
  <si>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</si>
  <si>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</si>
  <si>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</si>
  <si>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</si>
  <si>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</si>
  <si>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</si>
  <si>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</si>
  <si>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</si>
  <si>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</si>
  <si>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</si>
  <si>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</si>
  <si>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</si>
  <si>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</si>
  <si>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</si>
  <si>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</si>
  <si>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</si>
  <si>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</si>
  <si>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</si>
  <si>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</si>
  <si>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</si>
  <si>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</si>
  <si>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</si>
  <si>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</si>
  <si>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</si>
  <si>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</si>
  <si>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</si>
  <si>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</si>
  <si>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</si>
  <si>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</si>
  <si>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</si>
  <si>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</si>
  <si>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</si>
  <si>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</si>
  <si>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</si>
  <si>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</si>
  <si>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</si>
  <si>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</si>
  <si>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</si>
  <si>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</si>
  <si>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</si>
  <si>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</si>
  <si>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</si>
  <si>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</si>
  <si>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</si>
  <si>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</si>
  <si>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</si>
  <si>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</si>
  <si>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</si>
  <si>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</si>
  <si>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</si>
  <si>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</si>
  <si>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</si>
  <si>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</si>
  <si>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</si>
  <si>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</si>
  <si>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</si>
  <si>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</si>
  <si>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</si>
  <si>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</si>
  <si>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</si>
  <si>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</si>
  <si>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</si>
  <si>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</si>
  <si>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</si>
  <si>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</si>
  <si>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</si>
  <si>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</si>
  <si>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</si>
  <si>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</si>
  <si>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</si>
  <si>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</si>
  <si>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</si>
  <si>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</si>
  <si>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</si>
  <si>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</si>
  <si>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</si>
  <si>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</si>
  <si>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</si>
  <si>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</si>
  <si>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</si>
  <si>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</si>
  <si>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</si>
  <si>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</si>
  <si>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</si>
  <si>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</si>
  <si>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</si>
  <si>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</si>
  <si>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</si>
  <si>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</si>
  <si>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</si>
  <si>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</si>
  <si>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</si>
  <si>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</si>
  <si>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</si>
  <si>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</si>
  <si>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</si>
  <si>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</si>
  <si>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</si>
  <si>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</si>
  <si>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</si>
  <si>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</si>
  <si>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</si>
  <si>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</si>
  <si>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</si>
  <si>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</si>
  <si>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</si>
  <si>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</si>
  <si>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</si>
  <si>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</si>
  <si>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</si>
  <si>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</si>
  <si>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</si>
  <si>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</si>
  <si>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</si>
  <si>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</si>
  <si>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</si>
  <si>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</si>
  <si>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</si>
  <si>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</si>
  <si>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</si>
  <si>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</si>
  <si>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</si>
  <si>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</si>
  <si>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</si>
  <si>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</si>
  <si>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</si>
  <si>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</si>
  <si>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</si>
  <si>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</si>
  <si>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</si>
  <si>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</si>
  <si>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</si>
  <si>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</si>
  <si>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</si>
  <si>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</si>
  <si>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</si>
  <si>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</si>
  <si>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</si>
  <si>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</si>
  <si>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</si>
  <si>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</si>
  <si>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</si>
  <si>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</si>
  <si>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</si>
  <si>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</si>
  <si>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</si>
  <si>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</si>
  <si>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</si>
  <si>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</si>
  <si>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</si>
  <si>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</si>
  <si>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</si>
  <si>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</si>
  <si>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</si>
  <si>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</si>
  <si>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</si>
  <si>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</si>
  <si>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</si>
  <si>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</si>
  <si>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</si>
  <si>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</si>
  <si>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</si>
  <si>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</si>
  <si>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</si>
  <si>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</si>
  <si>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</si>
  <si>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</si>
  <si>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</si>
  <si>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</si>
  <si>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</si>
  <si>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</si>
  <si>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</si>
  <si>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</si>
  <si>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</si>
  <si>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</si>
  <si>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</si>
  <si>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</si>
  <si>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</si>
  <si>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</si>
  <si>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</si>
  <si>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</si>
  <si>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</si>
  <si>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</si>
  <si>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</si>
  <si>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</si>
  <si>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</si>
  <si>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</si>
  <si>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</si>
  <si>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</si>
  <si>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</si>
  <si>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</si>
  <si>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</si>
  <si>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</si>
  <si>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</si>
  <si>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</si>
  <si>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</si>
  <si>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</si>
  <si>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</si>
  <si>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</si>
  <si>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</si>
  <si>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</si>
  <si>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</si>
  <si>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</si>
  <si>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</si>
  <si>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</si>
  <si>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</si>
  <si>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</si>
  <si>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</si>
  <si>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</si>
  <si>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</si>
  <si>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</si>
  <si>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</si>
  <si>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</si>
  <si>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</si>
  <si>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</si>
  <si>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</si>
  <si>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</si>
  <si>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</si>
  <si>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</si>
  <si>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</si>
  <si>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</si>
  <si>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</si>
  <si>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</si>
  <si>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</si>
  <si>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</si>
  <si>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</si>
  <si>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</si>
  <si>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</si>
  <si>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</si>
  <si>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</si>
  <si>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</si>
  <si>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</si>
  <si>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</si>
  <si>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</si>
  <si>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</si>
  <si>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</si>
  <si>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</si>
  <si>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</si>
  <si>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</si>
  <si>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</si>
  <si>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</si>
  <si>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</si>
  <si>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</si>
  <si>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</si>
  <si>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</si>
  <si>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</si>
  <si>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</si>
  <si>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</si>
  <si>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</si>
  <si>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</si>
  <si>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</si>
  <si>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</si>
  <si>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</si>
  <si>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</si>
  <si>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</si>
  <si>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</si>
  <si>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</si>
  <si>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</si>
  <si>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</si>
  <si>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</si>
  <si>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</si>
  <si>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</si>
  <si>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</si>
  <si>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</si>
  <si>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</si>
  <si>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</si>
  <si>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</si>
  <si>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</si>
  <si>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</si>
  <si>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</si>
  <si>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</si>
  <si>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</si>
  <si>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</si>
  <si>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</si>
  <si>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</si>
  <si>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</si>
  <si>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</si>
  <si>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</si>
  <si>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</si>
  <si>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</si>
  <si>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</si>
  <si>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</si>
  <si>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</si>
  <si>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</si>
  <si>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</si>
  <si>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</si>
  <si>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</si>
  <si>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</si>
  <si>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</si>
  <si>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</si>
  <si>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</si>
  <si>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</si>
  <si>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</si>
  <si>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</si>
  <si>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</si>
  <si>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</si>
  <si>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</si>
  <si>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</si>
  <si>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</si>
  <si>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</si>
  <si>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</si>
  <si>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</si>
  <si>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</si>
  <si>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</si>
  <si>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</si>
  <si>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</si>
  <si>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</si>
  <si>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</si>
  <si>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</si>
  <si>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</si>
  <si>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</si>
  <si>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</si>
  <si>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</si>
  <si>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</si>
  <si>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</si>
  <si>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</si>
  <si>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</si>
  <si>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</si>
  <si>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</si>
  <si>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</si>
  <si>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</si>
  <si>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</si>
  <si>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</si>
  <si>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</si>
  <si>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</si>
  <si>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</si>
  <si>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</si>
  <si>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</si>
  <si>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</si>
  <si>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</si>
  <si>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</si>
  <si>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</si>
  <si>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</si>
  <si>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</si>
  <si>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</si>
  <si>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</si>
  <si>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</si>
  <si>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</si>
  <si>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</si>
  <si>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</si>
  <si>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</si>
  <si>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</si>
  <si>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</si>
  <si>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</si>
  <si>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</si>
  <si>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</si>
  <si>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</si>
  <si>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</si>
  <si>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</si>
  <si>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</si>
  <si>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</si>
  <si>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</si>
  <si>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</si>
  <si>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</si>
  <si>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</si>
  <si>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</si>
  <si>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</si>
  <si>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</si>
  <si>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</si>
  <si>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</si>
  <si>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</si>
  <si>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</si>
  <si>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</si>
  <si>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</si>
  <si>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</si>
  <si>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</si>
  <si>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</si>
  <si>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</si>
  <si>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</si>
  <si>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</si>
  <si>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</si>
  <si>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</si>
  <si>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</si>
  <si>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</si>
  <si>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</si>
  <si>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</si>
  <si>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</si>
  <si>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</si>
  <si>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</si>
  <si>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</si>
  <si>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</si>
  <si>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</si>
  <si>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</si>
  <si>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</si>
  <si>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</si>
  <si>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</si>
  <si>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</si>
  <si>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</si>
  <si>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</si>
  <si>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</si>
  <si>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</si>
  <si>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</si>
  <si>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</si>
  <si>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</si>
  <si>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</si>
  <si>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</si>
  <si>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</si>
  <si>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</si>
  <si>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</si>
  <si>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</si>
  <si>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</si>
  <si>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</si>
  <si>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</si>
  <si>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</si>
  <si>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</si>
  <si>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</si>
  <si>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</si>
  <si>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</si>
  <si>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</si>
  <si>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</si>
  <si>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</si>
  <si>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</si>
  <si>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</si>
  <si>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</si>
  <si>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</si>
  <si>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</si>
  <si>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</si>
  <si>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</si>
  <si>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</si>
  <si>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</si>
  <si>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</si>
  <si>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</si>
  <si>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</si>
  <si>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</si>
  <si>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</si>
  <si>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</si>
  <si>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</si>
  <si>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</si>
  <si>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</si>
  <si>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</si>
  <si>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</si>
  <si>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</si>
  <si>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</si>
  <si>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</si>
  <si>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</si>
  <si>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</si>
  <si>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</si>
  <si>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</si>
  <si>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</si>
  <si>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</si>
  <si>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</si>
  <si>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</si>
  <si>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</si>
  <si>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</si>
  <si>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</si>
  <si>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</si>
  <si>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</si>
  <si>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</si>
  <si>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</si>
  <si>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</si>
  <si>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</si>
  <si>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</si>
  <si>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</si>
  <si>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</si>
  <si>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</si>
  <si>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</si>
  <si>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</si>
  <si>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</si>
  <si>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</si>
  <si>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</si>
  <si>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</si>
  <si>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</si>
  <si>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</si>
  <si>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</si>
  <si>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</si>
  <si>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</si>
  <si>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</si>
  <si>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</si>
  <si>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</si>
  <si>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</si>
  <si>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</si>
  <si>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</si>
  <si>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</si>
  <si>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</si>
  <si>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</si>
  <si>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</si>
  <si>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</si>
  <si>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</si>
  <si>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</si>
  <si>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</si>
  <si>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</si>
  <si>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</si>
  <si>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</si>
  <si>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</si>
  <si>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</si>
  <si>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</si>
  <si>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</si>
  <si>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</si>
  <si>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</si>
  <si>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</si>
  <si>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</si>
  <si>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</si>
  <si>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</si>
  <si>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</si>
  <si>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</si>
  <si>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</si>
  <si>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</si>
  <si>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</si>
  <si>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</si>
  <si>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</si>
  <si>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</si>
  <si>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</si>
  <si>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</si>
  <si>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</si>
  <si>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</si>
  <si>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</si>
  <si>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</si>
  <si>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</si>
  <si>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</si>
  <si>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</si>
  <si>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</si>
  <si>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</si>
  <si>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</si>
  <si>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</si>
  <si>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</si>
  <si>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</si>
  <si>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</si>
  <si>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</si>
  <si>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</si>
  <si>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</si>
  <si>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</si>
  <si>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</si>
  <si>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</si>
  <si>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</si>
  <si>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</si>
  <si>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</si>
  <si>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</si>
  <si>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</si>
  <si>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</si>
  <si>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</si>
  <si>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</si>
  <si>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</si>
  <si>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</si>
  <si>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</si>
  <si>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</si>
  <si>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</si>
  <si>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</si>
  <si>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</si>
  <si>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</si>
  <si>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</si>
  <si>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</si>
  <si>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</si>
  <si>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</si>
  <si>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</si>
  <si>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</si>
  <si>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</si>
  <si>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</si>
  <si>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</si>
  <si>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</si>
  <si>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</si>
  <si>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</si>
  <si>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</si>
  <si>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</si>
  <si>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</si>
  <si>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</si>
  <si>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</si>
  <si>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</si>
  <si>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</si>
  <si>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</si>
  <si>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</si>
  <si>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</si>
  <si>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</si>
  <si>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</si>
  <si>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</si>
  <si>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</si>
  <si>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</si>
  <si>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</si>
  <si>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</si>
  <si>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</si>
  <si>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</si>
  <si>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</si>
  <si>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</si>
  <si>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</si>
  <si>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</si>
  <si>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</si>
  <si>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</si>
  <si>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</si>
  <si>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</si>
  <si>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</si>
  <si>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</si>
  <si>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</si>
  <si>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</si>
  <si>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</si>
  <si>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</si>
  <si>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</si>
  <si>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</si>
  <si>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</si>
  <si>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</si>
  <si>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</si>
  <si>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</si>
  <si>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</si>
  <si>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</si>
  <si>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</si>
  <si>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</si>
  <si>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</si>
  <si>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</si>
  <si>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</si>
  <si>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</si>
  <si>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</si>
  <si>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</si>
  <si>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</si>
  <si>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</si>
  <si>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</si>
  <si>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</si>
  <si>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</si>
  <si>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</si>
  <si>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</si>
  <si>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</si>
  <si>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</si>
  <si>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</si>
  <si>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</si>
  <si>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</si>
  <si>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</si>
  <si>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</si>
  <si>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</si>
  <si>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</si>
  <si>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</si>
  <si>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</si>
  <si>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</si>
  <si>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</si>
  <si>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</si>
  <si>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</si>
  <si>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</si>
  <si>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</si>
  <si>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</si>
  <si>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</si>
  <si>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</si>
  <si>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</si>
  <si>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</si>
  <si>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</si>
  <si>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</si>
  <si>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</si>
  <si>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</si>
  <si>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</si>
  <si>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</si>
  <si>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</si>
  <si>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</si>
  <si>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</si>
  <si>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</si>
  <si>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</si>
  <si>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</si>
  <si>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</si>
  <si>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</si>
  <si>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</si>
  <si>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</si>
  <si>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</si>
  <si>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</si>
  <si>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</si>
  <si>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</si>
  <si>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</si>
  <si>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</si>
  <si>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</si>
  <si>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</si>
  <si>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</si>
  <si>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</si>
  <si>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</si>
  <si>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</si>
  <si>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</si>
  <si>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</si>
  <si>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</si>
  <si>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</si>
  <si>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</si>
  <si>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</si>
  <si>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</si>
  <si>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</si>
  <si>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</si>
  <si>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</si>
  <si>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</si>
  <si>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</si>
  <si>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</si>
  <si>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</si>
  <si>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</si>
  <si>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</si>
  <si>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</si>
  <si>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</si>
  <si>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</si>
  <si>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</si>
  <si>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</si>
  <si>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</si>
  <si>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</si>
  <si>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</si>
  <si>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</si>
  <si>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</si>
  <si>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</si>
  <si>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</si>
  <si>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</si>
  <si>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</si>
  <si>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</si>
  <si>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</si>
  <si>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</si>
  <si>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</si>
  <si>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</si>
  <si>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</si>
  <si>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</si>
  <si>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</si>
  <si>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</si>
  <si>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</si>
  <si>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</si>
  <si>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</si>
  <si>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</si>
  <si>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</si>
  <si>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</si>
  <si>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</si>
  <si>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</si>
  <si>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</si>
  <si>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</si>
  <si>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</si>
  <si>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</si>
  <si>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</si>
  <si>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</si>
  <si>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</si>
  <si>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</si>
  <si>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</si>
  <si>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</si>
  <si>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</si>
  <si>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</si>
  <si>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</si>
  <si>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</si>
  <si>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</si>
  <si>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</si>
  <si>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</si>
  <si>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</si>
  <si>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</si>
  <si>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</si>
  <si>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</si>
  <si>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</si>
  <si>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</si>
  <si>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</si>
  <si>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</si>
  <si>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</si>
  <si>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</si>
  <si>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</si>
  <si>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</si>
  <si>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</si>
  <si>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</si>
  <si>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</si>
  <si>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</si>
  <si>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</si>
  <si>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</si>
  <si>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</si>
  <si>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</si>
  <si>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</si>
  <si>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</si>
  <si>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</si>
  <si>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</si>
  <si>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</si>
  <si>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</si>
  <si>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</si>
  <si>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</si>
  <si>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</si>
  <si>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</si>
  <si>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</si>
  <si>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</si>
  <si>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</si>
  <si>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</si>
  <si>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</si>
  <si>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</si>
  <si>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</si>
  <si>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</si>
  <si>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</si>
  <si>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</si>
  <si>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</si>
  <si>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</si>
  <si>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</si>
  <si>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</si>
  <si>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</si>
  <si>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</si>
  <si>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</si>
  <si>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</si>
  <si>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</si>
  <si>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</si>
  <si>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</si>
  <si>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</si>
  <si>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</si>
  <si>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</si>
  <si>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</si>
  <si>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</si>
  <si>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</si>
  <si>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</si>
  <si>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</si>
  <si>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</si>
  <si>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</si>
  <si>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</si>
  <si>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</si>
  <si>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</si>
  <si>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</si>
  <si>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</si>
  <si>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</si>
  <si>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</si>
  <si>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</si>
  <si>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</si>
  <si>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</si>
  <si>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</si>
  <si>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</si>
  <si>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</si>
  <si>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</si>
  <si>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</si>
  <si>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</si>
  <si>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</si>
  <si>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</si>
  <si>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</si>
  <si>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</si>
  <si>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</si>
  <si>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</si>
  <si>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</si>
  <si>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</si>
  <si>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</si>
  <si>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</si>
  <si>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</si>
  <si>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</si>
  <si>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</si>
  <si>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</si>
  <si>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</si>
  <si>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</si>
  <si>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</si>
  <si>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</si>
  <si>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</si>
  <si>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</si>
  <si>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</si>
  <si>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</si>
  <si>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</si>
  <si>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</si>
  <si>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</si>
  <si>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</si>
  <si>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</si>
  <si>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</si>
  <si>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</si>
  <si>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</si>
  <si>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</si>
  <si>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</si>
  <si>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</si>
  <si>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</si>
  <si>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</si>
  <si>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</si>
  <si>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</si>
  <si>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</si>
  <si>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</si>
  <si>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</si>
  <si>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</si>
  <si>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</si>
  <si>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</si>
  <si>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</si>
  <si>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</si>
  <si>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</si>
  <si>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</si>
  <si>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</si>
  <si>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</si>
  <si>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</si>
  <si>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</si>
  <si>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</si>
  <si>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</si>
  <si>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</si>
  <si>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</si>
  <si>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</si>
  <si>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</si>
  <si>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</si>
  <si>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</si>
  <si>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</si>
  <si>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</si>
  <si>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</si>
  <si>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</si>
  <si>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</si>
  <si>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</si>
  <si>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</si>
  <si>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</si>
  <si>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</si>
  <si>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</si>
  <si>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</si>
  <si>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</si>
  <si>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</si>
  <si>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</si>
  <si>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</si>
  <si>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</si>
  <si>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</si>
  <si>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</si>
  <si>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</si>
  <si>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</si>
  <si>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</si>
  <si>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</si>
  <si>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</si>
  <si>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</si>
  <si>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</si>
  <si>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</si>
  <si>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</si>
  <si>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</si>
  <si>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</si>
  <si>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</si>
  <si>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</si>
  <si>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</si>
  <si>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</si>
  <si>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</si>
  <si>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</si>
  <si>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</si>
  <si>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</si>
  <si>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</si>
  <si>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</si>
  <si>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</si>
  <si>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</si>
  <si>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</si>
  <si>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</si>
  <si>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</si>
  <si>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</si>
  <si>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</si>
  <si>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</si>
  <si>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</si>
  <si>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</si>
  <si>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</si>
  <si>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</si>
  <si>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</si>
  <si>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</si>
  <si>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</si>
  <si>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</si>
  <si>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</si>
  <si>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</si>
  <si>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</si>
  <si>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</si>
  <si>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</si>
  <si>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</si>
  <si>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</si>
  <si>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</si>
  <si>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</si>
  <si>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</si>
  <si>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</si>
  <si>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</si>
  <si>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</si>
  <si>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</si>
  <si>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</si>
  <si>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</si>
  <si>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</si>
  <si>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</si>
  <si>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</si>
  <si>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</si>
  <si>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</si>
  <si>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</si>
  <si>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</si>
  <si>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</si>
  <si>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</si>
  <si>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</si>
  <si>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</si>
  <si>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</si>
  <si>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</si>
  <si>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</si>
  <si>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</si>
  <si>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</si>
  <si>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</si>
  <si>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</si>
  <si>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</si>
  <si>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</si>
  <si>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</si>
  <si>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</si>
  <si>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</si>
  <si>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</si>
  <si>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</si>
  <si>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</si>
  <si>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</si>
  <si>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</si>
  <si>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</si>
  <si>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</si>
  <si>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</si>
  <si>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</si>
  <si>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</si>
  <si>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</si>
  <si>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</si>
  <si>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</si>
  <si>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</si>
  <si>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</si>
  <si>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</si>
  <si>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</si>
  <si>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</si>
  <si>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</si>
  <si>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</si>
  <si>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</si>
  <si>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</si>
  <si>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</si>
  <si>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</si>
  <si>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</si>
  <si>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</si>
  <si>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</si>
  <si>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</si>
  <si>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</si>
  <si>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</si>
  <si>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</si>
  <si>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</si>
  <si>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</si>
  <si>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</si>
  <si>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</si>
  <si>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</si>
  <si>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</si>
  <si>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</si>
  <si>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</si>
  <si>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</si>
  <si>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</si>
  <si>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</si>
  <si>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</si>
  <si>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</si>
  <si>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</si>
  <si>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</si>
  <si>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</si>
  <si>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</si>
  <si>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</si>
  <si>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</si>
  <si>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</si>
  <si>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</si>
  <si>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</si>
  <si>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</si>
  <si>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</si>
  <si>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</si>
  <si>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</si>
  <si>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</si>
  <si>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</si>
  <si>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</si>
  <si>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</si>
  <si>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</si>
  <si>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</si>
  <si>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</si>
  <si>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</si>
  <si>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</si>
  <si>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</si>
  <si>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</si>
  <si>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</si>
  <si>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</si>
  <si>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</si>
  <si>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</si>
  <si>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</si>
  <si>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</si>
  <si>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</si>
  <si>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</si>
  <si>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</si>
  <si>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</si>
  <si>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</si>
  <si>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</si>
  <si>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</si>
  <si>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</si>
  <si>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</si>
  <si>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</si>
  <si>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</si>
  <si>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</si>
  <si>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</si>
  <si>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</si>
  <si>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</si>
  <si>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</si>
  <si>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</si>
  <si>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</si>
  <si>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</si>
  <si>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</si>
  <si>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</si>
  <si>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</si>
  <si>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</si>
  <si>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</si>
  <si>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</si>
  <si>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</si>
  <si>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</si>
  <si>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</si>
  <si>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</si>
  <si>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</si>
  <si>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</si>
  <si>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</si>
  <si>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</si>
  <si>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</si>
  <si>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</si>
  <si>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</si>
  <si>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</si>
  <si>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</si>
  <si>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</si>
  <si>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</si>
  <si>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</si>
  <si>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</si>
  <si>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</si>
  <si>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</si>
  <si>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</si>
  <si>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</si>
  <si>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</si>
  <si>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</si>
  <si>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</si>
  <si>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</si>
  <si>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</si>
  <si>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</si>
  <si>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</si>
  <si>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</si>
  <si>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</si>
  <si>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</si>
  <si>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</si>
  <si>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</si>
  <si>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</si>
  <si>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</si>
  <si>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</si>
  <si>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</si>
  <si>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</si>
  <si>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</si>
  <si>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</si>
  <si>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</si>
  <si>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</si>
  <si>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</si>
  <si>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</si>
  <si>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</si>
  <si>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</si>
  <si>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</si>
  <si>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</si>
  <si>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</si>
  <si>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</si>
  <si>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</si>
  <si>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</si>
  <si>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</si>
  <si>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</si>
  <si>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</si>
  <si>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</si>
  <si>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</si>
  <si>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</si>
  <si>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</si>
  <si>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</si>
  <si>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</si>
  <si>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</si>
  <si>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</si>
  <si>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</si>
  <si>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</si>
  <si>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</si>
  <si>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</si>
  <si>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</si>
  <si>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</si>
  <si>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</si>
  <si>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</si>
  <si>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</si>
  <si>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</si>
  <si>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</si>
  <si>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</si>
  <si>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</si>
  <si>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</si>
  <si>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</si>
  <si>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</si>
  <si>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</si>
  <si>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</si>
  <si>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</si>
  <si>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</si>
  <si>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</si>
  <si>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</si>
  <si>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</si>
  <si>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</si>
  <si>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</si>
  <si>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</si>
  <si>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</si>
  <si>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</si>
  <si>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</si>
  <si>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</si>
  <si>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</si>
  <si>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</si>
  <si>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</si>
  <si>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</si>
  <si>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</si>
  <si>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</si>
  <si>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</si>
  <si>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</si>
  <si>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</si>
  <si>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</si>
  <si>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</si>
  <si>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</si>
  <si>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</si>
  <si>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</si>
  <si>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</si>
  <si>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</si>
  <si>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</si>
  <si>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</si>
  <si>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</si>
  <si>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</si>
  <si>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</si>
  <si>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</si>
  <si>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</si>
  <si>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</si>
  <si>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</si>
  <si>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</si>
  <si>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</si>
  <si>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</si>
  <si>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</si>
  <si>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</si>
  <si>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</si>
  <si>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</si>
  <si>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</si>
  <si>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</si>
  <si>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</si>
  <si>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</si>
  <si>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</si>
  <si>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</si>
  <si>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</si>
  <si>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</si>
  <si>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</si>
  <si>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</si>
  <si>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</si>
  <si>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</si>
  <si>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</si>
  <si>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</si>
  <si>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</si>
  <si>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</si>
  <si>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</si>
  <si>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</si>
  <si>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</si>
  <si>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</si>
  <si>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</si>
  <si>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</si>
  <si>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</si>
  <si>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</si>
  <si>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</si>
  <si>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</si>
  <si>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</si>
  <si>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</si>
  <si>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</si>
  <si>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</si>
  <si>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</si>
  <si>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</si>
  <si>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</si>
  <si>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</si>
  <si>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</si>
  <si>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</si>
  <si>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</si>
  <si>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</si>
  <si>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</si>
  <si>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</si>
  <si>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</si>
  <si>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</si>
  <si>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</si>
  <si>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</si>
  <si>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</si>
  <si>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</si>
  <si>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</si>
  <si>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</si>
  <si>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</si>
  <si>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</si>
  <si>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</si>
  <si>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</si>
  <si>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</si>
  <si>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</si>
  <si>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</si>
  <si>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</si>
  <si>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</si>
  <si>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</si>
  <si>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</si>
  <si>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</si>
  <si>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</si>
  <si>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</si>
  <si>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</si>
  <si>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</si>
  <si>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</si>
  <si>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</si>
  <si>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</si>
  <si>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</si>
  <si>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</si>
  <si>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</si>
  <si>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</si>
  <si>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</si>
  <si>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</si>
  <si>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</si>
  <si>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</si>
  <si>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</si>
  <si>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</si>
  <si>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</si>
  <si>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</si>
  <si>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</si>
  <si>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</si>
  <si>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</si>
  <si>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</si>
  <si>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</si>
  <si>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</si>
  <si>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</si>
  <si>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</si>
  <si>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</si>
  <si>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</si>
  <si>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</si>
  <si>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</si>
  <si>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</si>
  <si>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</si>
  <si>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</si>
  <si>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</si>
  <si>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</si>
  <si>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</si>
  <si>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</si>
  <si>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</si>
  <si>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</si>
  <si>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</si>
  <si>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</si>
  <si>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</si>
  <si>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</si>
  <si>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</si>
  <si>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</si>
  <si>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</si>
  <si>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</si>
  <si>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</si>
  <si>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</si>
  <si>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</si>
  <si>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</si>
  <si>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</si>
  <si>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</si>
  <si>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</si>
  <si>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</si>
  <si>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</si>
  <si>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</si>
  <si>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</si>
  <si>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</si>
  <si>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</si>
  <si>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</si>
  <si>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</si>
  <si>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</si>
  <si>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</si>
  <si>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</si>
  <si>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</si>
  <si>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</si>
  <si>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</si>
  <si>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</si>
  <si>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</si>
  <si>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</si>
  <si>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</si>
  <si>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</si>
  <si>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</si>
  <si>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</si>
  <si>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</si>
  <si>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</si>
  <si>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</si>
  <si>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</si>
  <si>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</si>
  <si>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</si>
  <si>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</si>
  <si>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</si>
  <si>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</si>
  <si>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</si>
  <si>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</si>
  <si>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</si>
  <si>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</si>
  <si>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</si>
  <si>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</si>
  <si>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</si>
  <si>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</si>
  <si>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</si>
  <si>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</si>
  <si>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</si>
  <si>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</si>
  <si>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</si>
  <si>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</si>
  <si>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</si>
  <si>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</si>
  <si>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</si>
  <si>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</si>
  <si>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</si>
  <si>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</si>
  <si>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</si>
  <si>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</si>
  <si>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</si>
  <si>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</si>
  <si>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</si>
  <si>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</si>
  <si>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</si>
  <si>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</si>
  <si>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</si>
  <si>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</si>
  <si>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</si>
  <si>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</si>
  <si>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</si>
  <si>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</si>
  <si>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</si>
  <si>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</si>
  <si>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</si>
  <si>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</si>
  <si>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</si>
  <si>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</si>
  <si>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</si>
  <si>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</si>
  <si>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</si>
  <si>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</si>
  <si>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</si>
  <si>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</si>
  <si>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</si>
  <si>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</si>
  <si>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</si>
  <si>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</si>
  <si>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</si>
  <si>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</si>
  <si>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</si>
  <si>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</si>
  <si>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</si>
  <si>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</si>
  <si>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</si>
  <si>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</si>
  <si>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</si>
  <si>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</si>
  <si>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</si>
  <si>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</si>
  <si>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</si>
  <si>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</si>
  <si>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</si>
  <si>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</si>
  <si>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</si>
  <si>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</si>
  <si>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</si>
  <si>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</si>
  <si>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</si>
  <si>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</si>
  <si>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</si>
  <si>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</si>
  <si>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</si>
  <si>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</si>
  <si>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</si>
  <si>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</si>
  <si>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</si>
  <si>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</si>
  <si>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</si>
  <si>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</si>
  <si>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</si>
  <si>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</si>
  <si>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</si>
  <si>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</si>
  <si>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</si>
  <si>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</si>
  <si>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</si>
  <si>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</si>
  <si>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</si>
  <si>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</si>
  <si>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</si>
  <si>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</si>
  <si>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</si>
  <si>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</si>
  <si>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</si>
  <si>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</si>
  <si>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</si>
  <si>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</si>
  <si>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</si>
  <si>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</si>
  <si>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</si>
  <si>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</si>
  <si>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</si>
  <si>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</si>
  <si>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</si>
  <si>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</si>
  <si>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</si>
  <si>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</si>
  <si>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</si>
  <si>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</si>
  <si>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</si>
  <si>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</si>
  <si>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</si>
  <si>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</si>
  <si>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</si>
  <si>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</si>
  <si>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</si>
  <si>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</si>
  <si>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</si>
  <si>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</si>
  <si>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</si>
  <si>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</si>
  <si>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</si>
  <si>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</si>
  <si>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</si>
  <si>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</si>
  <si>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</si>
  <si>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</si>
  <si>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</si>
  <si>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</si>
  <si>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</si>
  <si>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</si>
  <si>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</si>
  <si>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</si>
  <si>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</si>
  <si>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</si>
  <si>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</si>
  <si>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</si>
  <si>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</si>
  <si>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</si>
  <si>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</si>
  <si>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</si>
  <si>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</si>
  <si>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</si>
  <si>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</si>
  <si>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</si>
  <si>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</si>
  <si>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</si>
  <si>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</si>
  <si>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</si>
  <si>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</si>
  <si>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</si>
  <si>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</si>
  <si>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</si>
  <si>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</si>
  <si>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</si>
  <si>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</si>
  <si>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</si>
  <si>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</si>
  <si>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</si>
  <si>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</si>
  <si>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</si>
  <si>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</si>
  <si>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</si>
  <si>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</si>
  <si>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</si>
  <si>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</si>
  <si>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</si>
  <si>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</si>
  <si>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</si>
  <si>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</si>
  <si>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</si>
  <si>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</si>
  <si>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</si>
  <si>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</si>
  <si>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</si>
  <si>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</si>
  <si>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</si>
  <si>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</si>
  <si>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</si>
  <si>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</si>
  <si>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</si>
  <si>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</si>
  <si>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</si>
  <si>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</si>
  <si>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</si>
  <si>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</si>
  <si>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</si>
  <si>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</si>
  <si>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</si>
  <si>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</si>
  <si>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</si>
  <si>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</si>
  <si>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</si>
  <si>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</si>
  <si>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</si>
  <si>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</si>
  <si>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</si>
  <si>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</si>
  <si>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</si>
  <si>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</si>
  <si>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</si>
  <si>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</si>
  <si>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</si>
  <si>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</si>
  <si>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</si>
  <si>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</si>
  <si>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</si>
  <si>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</si>
  <si>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</si>
  <si>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</si>
  <si>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</si>
  <si>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</si>
  <si>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</si>
  <si>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</si>
  <si>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</si>
  <si>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</si>
  <si>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</si>
  <si>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</si>
  <si>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</si>
  <si>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</si>
  <si>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</si>
  <si>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</si>
  <si>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</si>
  <si>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</si>
  <si>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</si>
  <si>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</si>
  <si>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</si>
  <si>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</si>
  <si>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</si>
  <si>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</si>
  <si>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</si>
  <si>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</si>
  <si>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</si>
  <si>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</si>
  <si>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</si>
  <si>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</si>
  <si>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</si>
  <si>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</si>
  <si>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</si>
  <si>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</si>
  <si>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</si>
  <si>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</si>
  <si>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</si>
  <si>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</si>
  <si>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</si>
  <si>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</si>
  <si>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</si>
  <si>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</si>
  <si>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</si>
  <si>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</si>
  <si>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</si>
  <si>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</si>
  <si>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</si>
  <si>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</si>
  <si>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</si>
  <si>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</si>
  <si>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</si>
  <si>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</si>
  <si>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</si>
  <si>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</si>
  <si>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</si>
  <si>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</si>
  <si>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</si>
  <si>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</si>
  <si>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</si>
  <si>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</si>
  <si>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</si>
  <si>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</si>
  <si>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</si>
  <si>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</si>
  <si>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</si>
  <si>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</si>
  <si>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</si>
  <si>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</si>
  <si>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</si>
  <si>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</si>
  <si>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</si>
  <si>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</si>
  <si>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</si>
  <si>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</si>
  <si>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</si>
  <si>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</si>
  <si>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</si>
  <si>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</si>
  <si>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</si>
  <si>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</si>
  <si>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</si>
  <si>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</si>
  <si>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</si>
  <si>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</si>
  <si>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</si>
  <si>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</si>
  <si>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</si>
  <si>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</si>
  <si>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</si>
  <si>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</si>
  <si>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</si>
  <si>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</si>
  <si>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</si>
  <si>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</si>
  <si>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</si>
  <si>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</si>
  <si>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</si>
  <si>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</si>
  <si>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</si>
  <si>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</si>
  <si>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</si>
  <si>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</si>
  <si>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</si>
  <si>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</si>
  <si>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</si>
  <si>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</si>
  <si>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</si>
  <si>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</si>
  <si>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</si>
  <si>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</si>
  <si>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</si>
  <si>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</si>
  <si>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</si>
  <si>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</si>
  <si>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</si>
  <si>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The illuminant used for the first set of color calibration tags (ColorMatrix1, CameraCalibration1, ReductionMatrix1). The legal values for this tag are the same as the legal values for the LightSource EXIF tag.</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</si>
  <si>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</si>
  <si>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</si>
  <si>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</si>
  <si>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</si>
  <si>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</si>
  <si>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</si>
  <si>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</si>
  <si>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</si>
  <si>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</si>
  <si>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</si>
  <si>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</si>
  <si>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</si>
  <si>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</si>
  <si>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</si>
  <si>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</si>
  <si>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</si>
  <si>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</si>
  <si>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</si>
  <si>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</si>
  <si>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</si>
  <si>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</si>
  <si>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</si>
  <si>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</si>
  <si>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</si>
  <si>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</si>
  <si>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</si>
  <si>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</si>
  <si>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</si>
  <si>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</si>
  <si>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</si>
  <si>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</si>
  <si>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</si>
  <si>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</si>
  <si>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</si>
  <si>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</si>
  <si>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</si>
  <si>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</si>
  <si>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</si>
  <si>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</si>
  <si>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</si>
  <si>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</si>
  <si>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</si>
  <si>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</si>
  <si>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</si>
  <si>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</si>
  <si>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</si>
  <si>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</si>
  <si>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</si>
  <si>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</si>
  <si>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</si>
  <si>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</si>
  <si>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</si>
  <si>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</si>
  <si>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</si>
  <si>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</si>
  <si>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</si>
  <si>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</si>
  <si>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</si>
  <si>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</si>
  <si>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</si>
  <si>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</si>
  <si>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</si>
  <si>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</si>
  <si>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</si>
  <si>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</si>
  <si>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</si>
  <si>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</si>
  <si>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</si>
  <si>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</si>
  <si>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</si>
  <si>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</si>
  <si>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</si>
  <si>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</si>
  <si>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</si>
  <si>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</si>
  <si>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</si>
  <si>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</si>
  <si>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</si>
  <si>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</si>
  <si>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</si>
  <si>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</si>
  <si>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</si>
  <si>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</si>
  <si>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</si>
  <si>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</si>
  <si>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</si>
  <si>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</si>
  <si>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</si>
  <si>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</si>
  <si>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</si>
  <si>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</si>
  <si>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</si>
  <si>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</si>
  <si>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</si>
  <si>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</si>
  <si>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</si>
  <si>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</si>
  <si>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</si>
  <si>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</si>
  <si>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</si>
  <si>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</si>
  <si>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</si>
  <si>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</si>
  <si>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</si>
  <si>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</si>
  <si>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</si>
  <si>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</si>
  <si>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</si>
  <si>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</si>
  <si>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</si>
  <si>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</si>
  <si>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</si>
  <si>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</si>
  <si>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</si>
  <si>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</si>
  <si>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the hue/saturation/value mapping tables. The data for these tables are stored in ProfileHueSatMapData1 and ProfileHueSatMapData2 tags. The most common case has ValueDivisions equal to 1, so only hue and saturation are used as inputs to the mapping table.</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</si>
  <si>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</si>
  <si>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</si>
  <si>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</si>
  <si>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</si>
  <si>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</si>
  <si>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</si>
  <si>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</si>
  <si>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</si>
  <si>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</si>
  <si>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</si>
  <si>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</si>
  <si>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</si>
  <si>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</si>
  <si>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</si>
  <si>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</si>
  <si>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</si>
  <si>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</si>
  <si>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</si>
  <si>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</si>
  <si>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</si>
  <si>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</si>
  <si>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</si>
  <si>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</si>
  <si>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</si>
  <si>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</si>
  <si>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</si>
  <si>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</si>
  <si>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</si>
  <si>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</si>
  <si>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</si>
  <si>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</si>
  <si>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</si>
  <si>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</si>
  <si>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</si>
  <si>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</si>
  <si>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</si>
  <si>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</si>
  <si>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</si>
  <si>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</si>
  <si>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</si>
  <si>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</si>
  <si>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</si>
  <si>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</si>
  <si>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</si>
  <si>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</si>
  <si>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</si>
  <si>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</si>
  <si>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</si>
  <si>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</si>
  <si>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</si>
  <si>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</si>
  <si>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</si>
  <si>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</si>
  <si>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</si>
  <si>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</si>
  <si>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</si>
  <si>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</si>
  <si>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</si>
  <si>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</si>
  <si>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</si>
  <si>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</si>
  <si>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</si>
  <si>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</si>
  <si>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</si>
  <si>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</si>
  <si>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</si>
  <si>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</si>
  <si>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</si>
  <si>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</si>
  <si>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</si>
  <si>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</si>
  <si>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</si>
  <si>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</si>
  <si>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</si>
  <si>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</si>
  <si>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</si>
  <si>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</si>
  <si>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</si>
  <si>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</si>
  <si>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</si>
  <si>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</si>
  <si>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</si>
  <si>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</si>
  <si>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</si>
  <si>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</si>
  <si>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</si>
  <si>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</si>
  <si>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</si>
  <si>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</si>
  <si>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</si>
  <si>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</si>
  <si>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</si>
  <si>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</si>
  <si>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</si>
  <si>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</si>
  <si>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</si>
  <si>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</si>
  <si>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</si>
  <si>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</si>
  <si>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</si>
  <si>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</si>
  <si>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</si>
  <si>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</si>
  <si>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</si>
  <si>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</si>
  <si>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</si>
  <si>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</si>
  <si>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</si>
  <si>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</si>
  <si>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</si>
  <si>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</si>
  <si>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</si>
  <si>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</si>
  <si>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</si>
  <si>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</si>
  <si>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</si>
  <si>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</si>
  <si>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</si>
  <si>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</si>
  <si>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</si>
  <si>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</si>
  <si>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</si>
  <si>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</si>
  <si>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</si>
  <si>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</si>
  <si>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</si>
  <si>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</si>
  <si>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</si>
  <si>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</si>
  <si>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</si>
  <si>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</si>
  <si>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</si>
  <si>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</si>
  <si>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</si>
  <si>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</si>
  <si>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</si>
  <si>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</si>
  <si>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</si>
  <si>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</si>
  <si>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</si>
  <si>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</si>
  <si>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</si>
  <si>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</si>
  <si>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</si>
  <si>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</si>
  <si>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</si>
  <si>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</si>
  <si>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</si>
  <si>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</si>
  <si>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</si>
  <si>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</si>
  <si>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</si>
  <si>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</si>
  <si>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</si>
  <si>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</si>
  <si>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</si>
  <si>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</si>
  <si>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</si>
  <si>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</si>
  <si>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</si>
  <si>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</si>
  <si>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</si>
  <si>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</si>
  <si>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</si>
  <si>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</si>
  <si>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</si>
  <si>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</si>
  <si>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</si>
  <si>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</si>
  <si>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</si>
  <si>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</si>
  <si>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</si>
  <si>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</si>
  <si>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</si>
  <si>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</si>
  <si>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</si>
  <si>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</si>
  <si>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</si>
  <si>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</si>
  <si>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</si>
  <si>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</si>
  <si>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</si>
  <si>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</si>
  <si>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</si>
  <si>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</si>
  <si>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</si>
  <si>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</si>
  <si>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</si>
  <si>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</si>
  <si>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</si>
  <si>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</si>
  <si>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</si>
  <si>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</si>
  <si>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</si>
  <si>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</si>
  <si>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</si>
  <si>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</si>
  <si>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</si>
  <si>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</si>
  <si>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</si>
  <si>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</si>
  <si>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</si>
  <si>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</si>
  <si>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</si>
  <si>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</si>
  <si>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</si>
  <si>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</si>
  <si>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</si>
  <si>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</si>
  <si>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</si>
  <si>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</si>
  <si>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</si>
  <si>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</si>
  <si>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</si>
  <si>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</si>
  <si>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</si>
  <si>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</si>
  <si>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</si>
  <si>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</si>
  <si>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</si>
  <si>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</si>
  <si>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</si>
  <si>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</si>
  <si>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</si>
  <si>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</si>
  <si>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</si>
  <si>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</si>
  <si>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</si>
  <si>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</si>
  <si>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</si>
  <si>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</si>
  <si>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</si>
  <si>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</si>
  <si>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</si>
  <si>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</si>
  <si>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</si>
  <si>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</si>
  <si>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</si>
  <si>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</si>
  <si>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</si>
  <si>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</si>
  <si>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</si>
  <si>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</si>
  <si>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</si>
  <si>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</si>
  <si>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</si>
  <si>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</si>
  <si>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</si>
  <si>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</si>
  <si>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</si>
  <si>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</si>
  <si>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</si>
  <si>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</si>
  <si>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</si>
  <si>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</si>
  <si>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</si>
  <si>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</si>
  <si>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</si>
  <si>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</si>
  <si>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</si>
  <si>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</si>
  <si>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</si>
  <si>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</si>
  <si>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</si>
  <si>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</si>
  <si>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</si>
  <si>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</si>
  <si>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</si>
  <si>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</si>
  <si>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</si>
  <si>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</si>
  <si>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</si>
  <si>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</si>
  <si>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</si>
  <si>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</si>
  <si>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</si>
  <si>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</si>
  <si>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</si>
  <si>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</si>
  <si>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</si>
  <si>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</si>
  <si>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</si>
  <si>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</si>
  <si>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</si>
  <si>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</si>
  <si>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</si>
  <si>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</si>
  <si>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</si>
  <si>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</si>
  <si>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</si>
  <si>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</si>
  <si>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</si>
  <si>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</si>
  <si>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</si>
  <si>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</si>
  <si>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</si>
  <si>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</si>
  <si>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</si>
  <si>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</si>
  <si>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</si>
  <si>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</si>
  <si>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</si>
  <si>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</si>
  <si>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</si>
  <si>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</si>
  <si>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</si>
  <si>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</si>
  <si>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</si>
  <si>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</si>
  <si>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</si>
  <si>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</si>
  <si>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</si>
  <si>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</si>
  <si>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</si>
  <si>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</si>
  <si>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</si>
  <si>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</si>
  <si>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</si>
  <si>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</si>
  <si>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</si>
  <si>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</si>
  <si>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</si>
  <si>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</si>
  <si>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</si>
  <si>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</si>
  <si>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</si>
  <si>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</si>
  <si>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</si>
  <si>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</si>
  <si>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</si>
  <si>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</si>
  <si>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</si>
  <si>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</si>
  <si>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</si>
  <si>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</si>
  <si>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</si>
  <si>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</si>
  <si>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</si>
  <si>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</si>
  <si>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</si>
  <si>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</si>
  <si>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</si>
  <si>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</si>
  <si>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</si>
  <si>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</si>
  <si>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</si>
  <si>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</si>
  <si>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</si>
  <si>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</si>
  <si>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</si>
  <si>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</si>
  <si>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</si>
  <si>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</si>
  <si>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</si>
  <si>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</si>
  <si>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</si>
  <si>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</si>
  <si>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</si>
  <si>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</si>
  <si>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</si>
  <si>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</si>
  <si>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</si>
  <si>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</si>
  <si>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</si>
  <si>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</si>
  <si>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</si>
  <si>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</si>
  <si>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</si>
  <si>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</si>
  <si>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</si>
  <si>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</si>
  <si>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</si>
  <si>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</si>
  <si>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</si>
  <si>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</si>
  <si>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</si>
  <si>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</si>
  <si>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</si>
  <si>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</si>
  <si>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</si>
  <si>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</si>
  <si>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</si>
  <si>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</si>
  <si>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</si>
  <si>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</si>
  <si>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</si>
  <si>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</si>
  <si>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</si>
  <si>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</si>
  <si>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</si>
  <si>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</si>
  <si>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</si>
  <si>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</si>
  <si>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</si>
  <si>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</si>
  <si>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</si>
  <si>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</si>
  <si>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</si>
  <si>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</si>
  <si>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</si>
  <si>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</si>
  <si>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</si>
  <si>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</si>
  <si>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</si>
  <si>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</si>
  <si>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</si>
  <si>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</si>
  <si>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</si>
  <si>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</si>
  <si>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</si>
  <si>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</si>
  <si>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</si>
  <si>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</si>
  <si>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</si>
  <si>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</si>
  <si>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</si>
  <si>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</si>
  <si>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</si>
  <si>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</si>
  <si>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</si>
  <si>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</si>
  <si>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</si>
  <si>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</si>
  <si>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</si>
  <si>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</si>
  <si>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</si>
  <si>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</si>
  <si>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</si>
  <si>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</si>
  <si>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</si>
  <si>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</si>
  <si>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</si>
  <si>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</si>
  <si>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</si>
  <si>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</si>
  <si>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</si>
  <si>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</si>
  <si>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</si>
  <si>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</si>
  <si>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</si>
  <si>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</si>
  <si>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</si>
  <si>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</si>
  <si>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</si>
  <si>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</si>
  <si>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</si>
  <si>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</si>
  <si>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</si>
  <si>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</si>
  <si>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</si>
  <si>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</si>
  <si>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</si>
  <si>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</si>
  <si>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</si>
  <si>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</si>
  <si>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</si>
  <si>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</si>
  <si>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</si>
  <si>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</si>
  <si>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</si>
  <si>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</si>
  <si>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</si>
  <si>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</si>
  <si>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</si>
  <si>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</si>
  <si>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</si>
  <si>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</si>
  <si>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</si>
  <si>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</si>
  <si>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</si>
  <si>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</si>
  <si>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</si>
  <si>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</si>
  <si>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</si>
  <si>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</si>
  <si>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</si>
  <si>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</si>
  <si>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</si>
  <si>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</si>
  <si>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</si>
  <si>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</si>
  <si>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</si>
  <si>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</si>
  <si>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</si>
  <si>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</si>
  <si>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</si>
  <si>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</si>
  <si>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</si>
  <si>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</si>
  <si>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</si>
  <si>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</si>
  <si>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</si>
  <si>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</si>
  <si>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</si>
  <si>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</si>
  <si>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</si>
  <si>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</si>
  <si>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</si>
  <si>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</si>
  <si>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</si>
  <si>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</si>
  <si>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</si>
  <si>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</si>
  <si>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</si>
  <si>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</si>
  <si>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</si>
  <si>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</si>
  <si>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</si>
  <si>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</si>
  <si>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</si>
  <si>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</si>
  <si>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</si>
  <si>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</si>
  <si>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</si>
  <si>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</si>
  <si>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</si>
  <si>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</si>
  <si>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</si>
  <si>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</si>
  <si>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</si>
  <si>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</si>
  <si>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</si>
  <si>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</si>
  <si>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</si>
  <si>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</si>
  <si>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</si>
  <si>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</si>
  <si>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</si>
  <si>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</si>
  <si>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</si>
  <si>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</si>
  <si>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</si>
  <si>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</si>
  <si>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</si>
  <si>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</si>
  <si>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</si>
  <si>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</si>
  <si>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</si>
  <si>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</si>
  <si>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</si>
  <si>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</si>
  <si>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</si>
  <si>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</si>
  <si>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</si>
  <si>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</si>
  <si>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</si>
  <si>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</si>
  <si>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</si>
  <si>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</si>
  <si>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</si>
  <si>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</si>
  <si>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</si>
  <si>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</si>
  <si>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</si>
  <si>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</si>
  <si>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</si>
  <si>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</si>
  <si>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</si>
  <si>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</si>
  <si>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</si>
  <si>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</si>
  <si>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</si>
  <si>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</si>
  <si>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</si>
  <si>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</si>
  <si>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</si>
  <si>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</si>
  <si>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</si>
  <si>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</si>
  <si>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</si>
  <si>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</si>
  <si>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</si>
  <si>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</si>
  <si>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</si>
  <si>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</si>
  <si>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</si>
  <si>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</si>
  <si>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</si>
  <si>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</si>
  <si>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</si>
  <si>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</si>
  <si>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</si>
  <si>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</si>
  <si>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</si>
  <si>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</si>
  <si>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</si>
  <si>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</si>
  <si>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</si>
  <si>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</si>
  <si>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</si>
  <si>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</si>
  <si>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</si>
  <si>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</si>
  <si>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</si>
  <si>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</si>
  <si>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</si>
  <si>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</si>
  <si>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</si>
  <si>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</si>
  <si>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</si>
  <si>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</si>
  <si>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</si>
  <si>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</si>
  <si>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</si>
  <si>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</si>
  <si>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</si>
  <si>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</si>
  <si>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</si>
  <si>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</si>
  <si>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</si>
  <si>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</si>
  <si>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</si>
  <si>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</si>
  <si>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</si>
  <si>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</si>
  <si>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</si>
  <si>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</si>
  <si>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</si>
  <si>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</si>
  <si>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</si>
  <si>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</si>
  <si>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</si>
  <si>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</si>
  <si>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</si>
  <si>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</si>
  <si>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</si>
  <si>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</si>
  <si>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</si>
  <si>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</si>
  <si>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</si>
  <si>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</si>
  <si>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</si>
  <si>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</si>
  <si>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</si>
  <si>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</si>
  <si>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</si>
  <si>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</si>
  <si>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</si>
  <si>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</si>
  <si>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</si>
  <si>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</si>
  <si>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</si>
  <si>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</si>
  <si>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</si>
  <si>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</si>
  <si>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</si>
  <si>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</si>
  <si>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</si>
  <si>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</si>
  <si>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</si>
  <si>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</si>
  <si>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</si>
  <si>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</si>
  <si>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</si>
  <si>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</si>
  <si>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</si>
  <si>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</si>
  <si>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</si>
  <si>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</si>
  <si>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</si>
  <si>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</si>
  <si>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</si>
  <si>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</si>
  <si>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</si>
  <si>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</si>
  <si>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</si>
  <si>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</si>
  <si>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</si>
  <si>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</si>
  <si>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</si>
  <si>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</si>
  <si>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</si>
  <si>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</si>
  <si>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</si>
  <si>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</si>
  <si>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</si>
  <si>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</si>
  <si>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</si>
  <si>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</si>
  <si>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</si>
  <si>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</si>
  <si>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</si>
  <si>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</si>
  <si>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</si>
  <si>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</si>
  <si>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</si>
  <si>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</si>
  <si>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</si>
  <si>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</si>
  <si>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</si>
  <si>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</si>
  <si>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</si>
  <si>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</si>
  <si>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</si>
  <si>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</si>
  <si>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</si>
  <si>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</si>
  <si>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</si>
  <si>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</si>
  <si>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</si>
  <si>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</si>
  <si>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</si>
  <si>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</si>
  <si>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</si>
  <si>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</si>
  <si>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</si>
  <si>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</si>
  <si>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</si>
  <si>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</si>
  <si>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</si>
  <si>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</si>
  <si>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</si>
  <si>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</si>
  <si>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</si>
  <si>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</si>
  <si>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</si>
  <si>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</si>
  <si>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</si>
  <si>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</si>
  <si>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</si>
  <si>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</si>
  <si>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</si>
  <si>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</si>
  <si>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</si>
  <si>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</si>
  <si>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</si>
  <si>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</si>
  <si>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</si>
  <si>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</si>
  <si>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</si>
  <si>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</si>
  <si>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</si>
  <si>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</si>
  <si>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</si>
  <si>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</si>
  <si>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</si>
  <si>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</si>
  <si>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</si>
  <si>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</si>
  <si>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</si>
  <si>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</si>
  <si>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</si>
  <si>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</si>
  <si>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</si>
  <si>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</si>
  <si>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</si>
  <si>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</si>
  <si>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</si>
  <si>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</si>
  <si>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</si>
  <si>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</si>
  <si>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</si>
  <si>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</si>
  <si>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</si>
  <si>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</si>
  <si>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</si>
  <si>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</si>
  <si>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</si>
  <si>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</si>
  <si>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</si>
  <si>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</si>
  <si>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</si>
  <si>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</si>
  <si>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</si>
  <si>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</si>
  <si>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</si>
  <si>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</si>
  <si>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</si>
  <si>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</si>
  <si>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</si>
  <si>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</si>
  <si>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</si>
  <si>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</si>
  <si>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</si>
  <si>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</si>
  <si>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</si>
  <si>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</si>
  <si>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</si>
  <si>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</si>
  <si>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</si>
  <si>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</si>
  <si>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</si>
  <si>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</si>
  <si>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</si>
  <si>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</si>
  <si>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</si>
  <si>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</si>
  <si>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</si>
  <si>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</si>
  <si>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</si>
  <si>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</si>
  <si>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</si>
  <si>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</si>
  <si>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</si>
  <si>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</si>
  <si>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</si>
  <si>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</si>
  <si>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</si>
  <si>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</si>
  <si>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</si>
  <si>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</si>
  <si>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</si>
  <si>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</si>
  <si>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</si>
  <si>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</si>
  <si>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</si>
  <si>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</si>
  <si>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</si>
  <si>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</si>
  <si>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</si>
  <si>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</si>
  <si>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</si>
  <si>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</si>
  <si>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</si>
  <si>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</si>
  <si>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</si>
  <si>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</si>
  <si>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</si>
  <si>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</si>
  <si>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</si>
  <si>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</si>
  <si>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</si>
  <si>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</si>
  <si>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</si>
  <si>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</si>
  <si>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</si>
  <si>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</si>
  <si>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</si>
  <si>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</si>
  <si>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</si>
  <si>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</si>
  <si>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</si>
  <si>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</si>
  <si>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</si>
  <si>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</si>
  <si>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</si>
  <si>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</si>
  <si>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</si>
  <si>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</si>
  <si>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</si>
  <si>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</si>
  <si>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</si>
  <si>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</si>
  <si>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</si>
  <si>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</si>
  <si>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</si>
  <si>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</si>
  <si>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</si>
  <si>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</si>
  <si>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</si>
  <si>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</si>
  <si>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</si>
  <si>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</si>
  <si>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</si>
  <si>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</si>
  <si>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</si>
  <si>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</si>
  <si>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</si>
  <si>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</si>
  <si>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</si>
  <si>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</si>
  <si>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</si>
  <si>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</si>
  <si>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</si>
  <si>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</si>
  <si>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</si>
  <si>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</si>
  <si>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</si>
  <si>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</si>
  <si>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</si>
  <si>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</si>
  <si>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</si>
  <si>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</si>
  <si>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</si>
  <si>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</si>
  <si>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</si>
  <si>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</si>
  <si>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</si>
  <si>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</si>
  <si>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</si>
  <si>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</si>
  <si>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</si>
  <si>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</si>
  <si>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</si>
  <si>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</si>
  <si>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</si>
  <si>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</si>
  <si>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</si>
  <si>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</si>
  <si>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</si>
  <si>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</si>
  <si>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</si>
  <si>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</si>
  <si>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</si>
  <si>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</si>
  <si>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</si>
  <si>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</si>
  <si>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</si>
  <si>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</si>
  <si>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</si>
  <si>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</si>
  <si>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</si>
  <si>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</si>
  <si>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</si>
  <si>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</si>
  <si>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</si>
  <si>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</si>
  <si>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</si>
  <si>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</si>
  <si>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</si>
  <si>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</si>
  <si>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</si>
  <si>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</si>
  <si>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</si>
  <si>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</si>
  <si>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</si>
  <si>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</si>
  <si>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</si>
  <si>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</si>
  <si>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</si>
  <si>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</si>
  <si>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</si>
  <si>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</si>
  <si>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</si>
  <si>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</si>
  <si>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</si>
  <si>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</si>
  <si>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</si>
  <si>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</si>
  <si>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</si>
  <si>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</si>
  <si>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</si>
  <si>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</si>
  <si>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</si>
  <si>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</si>
  <si>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</si>
  <si>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</si>
  <si>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</si>
  <si>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</si>
  <si>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</si>
  <si>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</si>
  <si>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</si>
  <si>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</si>
  <si>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</si>
  <si>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</si>
  <si>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</si>
  <si>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</si>
  <si>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</si>
  <si>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</si>
  <si>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</si>
  <si>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</si>
  <si>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</si>
  <si>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</si>
  <si>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</si>
  <si>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</si>
  <si>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</si>
  <si>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</si>
  <si>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</si>
  <si>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</si>
  <si>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</si>
  <si>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</si>
  <si>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</si>
  <si>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</si>
  <si>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</si>
  <si>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</si>
  <si>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</si>
  <si>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</si>
  <si>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</si>
  <si>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</si>
  <si>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</si>
  <si>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</si>
  <si>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</si>
  <si>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</si>
  <si>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</si>
  <si>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</si>
  <si>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</si>
  <si>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</si>
  <si>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</si>
  <si>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</si>
  <si>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</si>
  <si>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</si>
  <si>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</si>
  <si>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</si>
  <si>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</si>
  <si>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</si>
  <si>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</si>
  <si>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</si>
  <si>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</si>
  <si>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</si>
  <si>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</si>
  <si>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</si>
  <si>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</si>
  <si>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</si>
  <si>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</si>
  <si>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</si>
  <si>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</si>
  <si>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</si>
  <si>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</si>
  <si>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</si>
  <si>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</si>
  <si>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</si>
  <si>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</si>
  <si>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</si>
  <si>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</si>
  <si>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</si>
  <si>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</si>
  <si>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</si>
  <si>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</si>
  <si>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</si>
  <si>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</si>
  <si>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</si>
  <si>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</si>
  <si>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</si>
  <si>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</si>
  <si>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</si>
  <si>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</si>
  <si>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</si>
  <si>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</si>
  <si>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</si>
  <si>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</si>
  <si>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</si>
  <si>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</si>
  <si>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</si>
  <si>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</si>
  <si>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</si>
  <si>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</si>
  <si>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</si>
  <si>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</si>
  <si>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</si>
  <si>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</si>
  <si>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</si>
  <si>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</si>
  <si>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</si>
  <si>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</si>
  <si>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</si>
  <si>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</si>
  <si>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</si>
  <si>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</si>
  <si>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</si>
  <si>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</si>
  <si>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</si>
  <si>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</si>
  <si>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</si>
  <si>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</si>
  <si>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</si>
  <si>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</si>
  <si>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</si>
  <si>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</si>
  <si>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</si>
  <si>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</si>
  <si>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</si>
  <si>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</si>
  <si>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</si>
  <si>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</si>
  <si>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</si>
  <si>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</si>
  <si>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</si>
  <si>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</si>
  <si>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</si>
  <si>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</si>
  <si>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</si>
  <si>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</si>
  <si>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</si>
  <si>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</si>
  <si>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</si>
  <si>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</si>
  <si>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</si>
  <si>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</si>
  <si>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</si>
  <si>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</si>
  <si>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</si>
  <si>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</si>
  <si>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</si>
  <si>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</si>
  <si>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</si>
  <si>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</si>
  <si>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</si>
  <si>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</si>
  <si>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</si>
  <si>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</si>
  <si>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</si>
  <si>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</si>
  <si>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</si>
  <si>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</si>
  <si>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</si>
  <si>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</si>
  <si>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</si>
  <si>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</si>
  <si>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</si>
  <si>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</si>
  <si>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</si>
  <si>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</si>
  <si>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</si>
  <si>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</si>
  <si>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</si>
  <si>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</si>
  <si>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</si>
  <si>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</si>
  <si>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</si>
  <si>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</si>
  <si>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</si>
  <si>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</si>
  <si>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</si>
  <si>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</si>
  <si>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</si>
  <si>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</si>
  <si>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</si>
  <si>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</si>
  <si>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</si>
  <si>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</si>
  <si>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</si>
  <si>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</si>
  <si>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</si>
  <si>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</si>
  <si>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</si>
  <si>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</si>
  <si>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</si>
  <si>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</si>
  <si>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</si>
  <si>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</si>
  <si>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</si>
  <si>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</si>
  <si>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</si>
  <si>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</si>
  <si>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</si>
  <si>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</si>
  <si>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</si>
  <si>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</si>
  <si>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</si>
  <si>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</si>
  <si>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</si>
  <si>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</si>
  <si>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</si>
  <si>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</si>
  <si>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</si>
  <si>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</si>
  <si>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</si>
  <si>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</si>
  <si>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</si>
  <si>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</si>
  <si>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</si>
  <si>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</si>
  <si>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</si>
  <si>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</si>
  <si>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</si>
  <si>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</si>
  <si>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</si>
  <si>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</si>
  <si>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</si>
  <si>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</si>
  <si>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</si>
  <si>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</si>
  <si>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</si>
  <si>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</si>
  <si>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</si>
  <si>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</si>
  <si>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</si>
  <si>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</si>
  <si>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</si>
  <si>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</si>
  <si>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</si>
  <si>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</si>
  <si>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</si>
  <si>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</si>
  <si>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</si>
  <si>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</si>
  <si>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</si>
  <si>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</si>
  <si>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</si>
  <si>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</si>
  <si>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</si>
  <si>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</si>
  <si>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</si>
  <si>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</si>
  <si>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</si>
  <si>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</si>
  <si>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</si>
  <si>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</si>
  <si>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</si>
  <si>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</si>
  <si>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</si>
  <si>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</si>
  <si>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</si>
  <si>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</si>
  <si>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</si>
  <si>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</si>
  <si>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</si>
  <si>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</si>
  <si>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</si>
  <si>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</si>
  <si>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</si>
  <si>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</si>
  <si>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</si>
  <si>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</si>
  <si>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</si>
  <si>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</si>
  <si>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</si>
  <si>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</si>
  <si>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</si>
  <si>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</si>
  <si>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</si>
  <si>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</si>
  <si>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</si>
  <si>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</si>
  <si>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</si>
  <si>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</si>
  <si>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</si>
  <si>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</si>
  <si>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</si>
  <si>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</si>
  <si>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</si>
  <si>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</si>
  <si>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</si>
  <si>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</si>
  <si>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</si>
  <si>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</si>
  <si>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</si>
  <si>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</si>
  <si>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</si>
  <si>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</si>
  <si>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</si>
  <si>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</si>
  <si>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</si>
  <si>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</si>
  <si>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</si>
  <si>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</si>
  <si>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</si>
  <si>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</si>
  <si>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</si>
  <si>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</si>
  <si>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</si>
  <si>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</si>
  <si>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</si>
  <si>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</si>
  <si>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</si>
  <si>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</si>
  <si>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</si>
  <si>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</si>
  <si>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</si>
  <si>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</si>
  <si>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</si>
  <si>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</si>
  <si>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</si>
  <si>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</si>
  <si>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</si>
  <si>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</si>
  <si>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</si>
  <si>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</si>
  <si>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</si>
  <si>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</si>
  <si>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</si>
  <si>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</si>
  <si>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</si>
  <si>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</si>
  <si>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</si>
  <si>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</si>
  <si>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</si>
  <si>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</si>
  <si>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</si>
  <si>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</si>
  <si>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</si>
  <si>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</si>
  <si>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</si>
  <si>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</si>
  <si>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</si>
  <si>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</si>
  <si>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</si>
  <si>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</si>
  <si>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</si>
  <si>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</si>
  <si>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</si>
  <si>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</si>
  <si>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</si>
  <si>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</si>
  <si>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</si>
  <si>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</si>
  <si>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</si>
  <si>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</si>
  <si>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</si>
  <si>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</si>
  <si>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</si>
  <si>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</si>
  <si>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</si>
  <si>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</si>
  <si>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</si>
  <si>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</si>
  <si>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</si>
  <si>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</si>
  <si>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</si>
  <si>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</si>
  <si>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</si>
  <si>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</si>
  <si>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</si>
  <si>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</si>
  <si>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</si>
  <si>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</si>
  <si>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</si>
  <si>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</si>
  <si>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</si>
  <si>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</si>
  <si>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</si>
  <si>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</si>
  <si>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</si>
  <si>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</si>
  <si>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</si>
  <si>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</si>
  <si>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</si>
  <si>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</si>
  <si>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</si>
  <si>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</si>
  <si>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</si>
  <si>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</si>
  <si>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</si>
  <si>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</si>
  <si>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</si>
  <si>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</si>
  <si>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</si>
  <si>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</si>
  <si>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</si>
  <si>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</si>
  <si>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</si>
  <si>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</si>
  <si>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</si>
  <si>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</si>
  <si>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</si>
  <si>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</si>
  <si>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</si>
  <si>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</si>
  <si>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</si>
  <si>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</si>
  <si>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</si>
  <si>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</si>
  <si>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</si>
  <si>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</si>
  <si>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</si>
  <si>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</si>
  <si>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</si>
  <si>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</si>
  <si>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</si>
  <si>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</si>
  <si>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</si>
  <si>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</si>
  <si>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</si>
  <si>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</si>
  <si>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</si>
  <si>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</si>
  <si>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</si>
  <si>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</si>
  <si>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</si>
  <si>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</si>
  <si>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</si>
  <si>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</si>
  <si>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</si>
  <si>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</si>
  <si>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</si>
  <si>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</si>
  <si>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</si>
  <si>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</si>
  <si>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</si>
  <si>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</si>
  <si>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</si>
  <si>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</si>
  <si>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</si>
  <si>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</si>
  <si>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</si>
  <si>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</si>
  <si>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</si>
  <si>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</si>
  <si>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</si>
  <si>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</si>
  <si>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</si>
  <si>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</si>
  <si>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</si>
  <si>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</si>
  <si>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</si>
  <si>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</si>
  <si>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</si>
  <si>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</si>
  <si>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</si>
  <si>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</si>
  <si>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</si>
  <si>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</si>
  <si>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</si>
  <si>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</si>
  <si>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</si>
  <si>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</si>
  <si>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</si>
  <si>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</si>
  <si>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</si>
  <si>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</si>
  <si>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</si>
  <si>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</si>
  <si>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</si>
  <si>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</si>
  <si>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Einheit für den Abstand zum Zielpunkt. "K", "M" und "N" stehen für Kilometer, Meilen und Knoten.</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</si>
  <si>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</si>
  <si>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</si>
  <si>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</si>
  <si>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Richtung des Bildes an, wenn es aufgenommen wurde. Der Wertebereich ist von 0,00 bis 359,99.</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</si>
  <si>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</si>
  <si>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</si>
  <si>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</si>
  <si>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</si>
  <si>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</si>
  <si>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</si>
  <si>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</si>
  <si>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</si>
  <si>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</si>
  <si>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</si>
  <si>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</si>
  <si>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</si>
  <si>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</si>
  <si>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</si>
  <si>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</si>
  <si>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</si>
  <si>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</si>
  <si>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</si>
  <si>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</si>
  <si>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</si>
  <si>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</si>
  <si>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</si>
  <si>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</si>
  <si>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</si>
  <si>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</si>
  <si>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</si>
  <si>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</si>
  <si>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</si>
  <si>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</si>
  <si>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</si>
  <si>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</si>
  <si>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</si>
  <si>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</si>
  <si>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</si>
  <si>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</si>
  <si>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</si>
  <si>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</si>
  <si>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</si>
  <si>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</si>
  <si>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</si>
  <si>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</si>
  <si>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</si>
  <si>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</si>
  <si>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</si>
  <si>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</si>
  <si>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</si>
  <si>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</si>
  <si>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</si>
  <si>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</si>
  <si>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</si>
  <si>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</si>
  <si>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</si>
  <si>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</si>
  <si>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</si>
  <si>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</si>
  <si>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</si>
  <si>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</si>
  <si>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</si>
  <si>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</si>
  <si>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</si>
  <si>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</si>
  <si>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</si>
  <si>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</si>
  <si>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</si>
  <si>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</si>
  <si>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</si>
  <si>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</si>
  <si>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</si>
  <si>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</si>
  <si>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</si>
  <si>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</si>
  <si>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</si>
  <si>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</si>
  <si>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</si>
  <si>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</si>
  <si>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</si>
  <si>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</si>
  <si>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</si>
  <si>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</si>
  <si>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</si>
  <si>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</si>
  <si>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</si>
  <si>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</si>
  <si>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</si>
  <si>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</si>
  <si>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</si>
  <si>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</si>
  <si>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</si>
  <si>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</si>
  <si>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</si>
  <si>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</si>
  <si>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</si>
  <si>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</si>
  <si>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</si>
  <si>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</si>
  <si>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</si>
  <si>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</si>
  <si>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</si>
  <si>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</si>
  <si>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</si>
  <si>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</si>
  <si>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</si>
  <si>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</si>
  <si>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</si>
  <si>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Tonwertkorrektur</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</si>
  <si>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</si>
  <si>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</si>
  <si>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</si>
  <si>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</si>
  <si>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</si>
  <si>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</si>
  <si>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</si>
  <si>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</si>
  <si>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</si>
  <si>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</si>
  <si>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</si>
  <si>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</si>
  <si>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</si>
  <si>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</si>
  <si>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</si>
  <si>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</si>
  <si>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</si>
  <si>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</si>
  <si>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</si>
  <si>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</si>
  <si>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</si>
  <si>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</si>
  <si>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</si>
  <si>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</si>
  <si>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</si>
  <si>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</si>
  <si>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</si>
  <si>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</si>
  <si>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</si>
  <si>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</si>
  <si>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</si>
  <si>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</si>
  <si>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</si>
  <si>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</si>
  <si>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</si>
  <si>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</si>
  <si>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</si>
  <si>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</si>
  <si>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</si>
  <si>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</si>
  <si>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</si>
  <si>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</si>
  <si>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</si>
  <si>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</si>
  <si>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</si>
  <si>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</si>
  <si>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</si>
  <si>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</si>
  <si>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</si>
  <si>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</si>
  <si>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</si>
  <si>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</si>
  <si>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</si>
  <si>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</si>
  <si>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</si>
  <si>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</si>
  <si>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</si>
  <si>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</si>
  <si>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</si>
  <si>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</si>
  <si>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</si>
  <si>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</si>
  <si>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</si>
  <si>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</si>
  <si>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</si>
  <si>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</si>
  <si>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Modell</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</si>
  <si>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</si>
  <si>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</si>
  <si>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</si>
  <si>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</si>
  <si>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</si>
  <si>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</si>
  <si>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</si>
  <si>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</si>
  <si>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</si>
  <si>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</si>
  <si>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</si>
  <si>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</si>
  <si>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</si>
  <si>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</si>
  <si>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</si>
  <si>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</si>
  <si>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</si>
  <si>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</si>
  <si>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</si>
  <si>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</si>
  <si>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</si>
  <si>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</si>
  <si>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</si>
  <si>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</si>
  <si>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</si>
  <si>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</si>
  <si>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</si>
  <si>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</si>
  <si>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</si>
  <si>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</si>
  <si>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</si>
  <si>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</si>
  <si>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</si>
  <si>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</si>
  <si>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</si>
  <si>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</si>
  <si>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</si>
  <si>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</si>
  <si>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</si>
  <si>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</si>
  <si>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</si>
  <si>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</si>
  <si>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</si>
  <si>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</si>
  <si>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</si>
  <si>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</si>
  <si>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</si>
  <si>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</si>
  <si>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</si>
  <si>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</si>
  <si>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</si>
  <si>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</si>
  <si>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</si>
  <si>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</si>
  <si>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</si>
  <si>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</si>
  <si>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Farbwiedergabe</t>
  </si>
  <si>
    <t>Volle Bildgröße</t>
  </si>
  <si>
    <t>Sony Modell ID</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</si>
  <si>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</si>
  <si>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</si>
  <si>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</si>
  <si>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</si>
  <si>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</si>
  <si>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</si>
  <si>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</si>
  <si>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</si>
  <si>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</si>
  <si>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</si>
  <si>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</si>
  <si>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</si>
  <si>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</si>
  <si>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</si>
  <si>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</si>
  <si>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</si>
  <si>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</si>
  <si>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</si>
  <si>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</si>
  <si>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</si>
  <si>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</si>
  <si>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</si>
  <si>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</si>
  <si>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</si>
  <si>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</si>
  <si>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</si>
  <si>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</si>
  <si>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</si>
  <si>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</si>
  <si>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</si>
  <si>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</si>
  <si>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</si>
  <si>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</si>
  <si>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</si>
  <si>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</si>
  <si>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</si>
  <si>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</si>
  <si>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</si>
  <si>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</si>
  <si>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</si>
  <si>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</si>
  <si>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</si>
  <si>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</si>
  <si>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</si>
  <si>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</si>
  <si>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</si>
  <si>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</si>
  <si>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</si>
  <si>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</si>
  <si>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</si>
  <si>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</si>
  <si>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</si>
  <si>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</si>
  <si>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</si>
  <si>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</si>
  <si>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</si>
  <si>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</si>
  <si>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</si>
  <si>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</si>
  <si>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</si>
  <si>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</si>
  <si>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</si>
  <si>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</si>
  <si>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</si>
  <si>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</si>
  <si>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</si>
  <si>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</si>
  <si>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</si>
  <si>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</si>
  <si>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</si>
  <si>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</si>
  <si>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</si>
  <si>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</si>
  <si>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</si>
  <si>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</si>
  <si>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</si>
  <si>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</si>
  <si>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</si>
  <si>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</si>
  <si>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</si>
  <si>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</si>
  <si>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</si>
  <si>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</si>
  <si>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</si>
  <si>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</si>
  <si>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</si>
  <si>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</si>
  <si>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</si>
  <si>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</si>
  <si>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</si>
  <si>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</si>
  <si>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</si>
  <si>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</si>
  <si>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</si>
  <si>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</si>
  <si>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</si>
  <si>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</si>
  <si>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</si>
  <si>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</si>
  <si>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</si>
  <si>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</si>
  <si>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</si>
  <si>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</si>
  <si>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</si>
  <si>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</si>
  <si>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</si>
  <si>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</si>
  <si>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</si>
  <si>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</si>
  <si>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</si>
  <si>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</si>
  <si>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</si>
  <si>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</si>
  <si>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</si>
  <si>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</si>
  <si>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</si>
  <si>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</si>
  <si>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</si>
  <si>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</si>
  <si>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</si>
  <si>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</si>
  <si>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</si>
  <si>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</si>
  <si>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</si>
  <si>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</si>
  <si>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</si>
  <si>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</si>
  <si>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</si>
  <si>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</si>
  <si>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</si>
  <si>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</si>
  <si>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</si>
  <si>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</si>
  <si>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</si>
  <si>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</si>
  <si>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</si>
  <si>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</si>
  <si>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</si>
  <si>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</si>
  <si>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</si>
  <si>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</si>
  <si>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</si>
  <si>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</si>
  <si>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</si>
  <si>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</si>
  <si>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</si>
  <si>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</si>
  <si>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</si>
  <si>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</si>
  <si>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</si>
  <si>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</si>
  <si>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</si>
  <si>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</si>
  <si>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</si>
  <si>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</si>
  <si>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</si>
  <si>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</si>
  <si>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</si>
  <si>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</si>
  <si>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</si>
  <si>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</si>
  <si>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</si>
  <si>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</si>
  <si>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</si>
  <si>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</si>
  <si>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</si>
  <si>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</si>
  <si>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</si>
  <si>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</si>
  <si>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</si>
  <si>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</si>
  <si>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</si>
  <si>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</si>
  <si>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</si>
  <si>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</si>
  <si>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</si>
  <si>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</si>
  <si>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</si>
  <si>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</si>
  <si>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</si>
  <si>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</si>
  <si>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</si>
  <si>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</si>
  <si>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</si>
  <si>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</si>
  <si>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</si>
  <si>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</si>
  <si>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</si>
  <si>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</si>
  <si>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</si>
  <si>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</si>
  <si>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</si>
  <si>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</si>
  <si>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</si>
  <si>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</si>
  <si>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</si>
  <si>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</si>
  <si>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</si>
  <si>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</si>
  <si>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</si>
  <si>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</si>
  <si>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</si>
  <si>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</si>
  <si>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</si>
  <si>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</si>
  <si>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</si>
  <si>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</si>
  <si>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</si>
  <si>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</si>
  <si>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</si>
  <si>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</si>
  <si>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</si>
  <si>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</si>
  <si>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</si>
  <si>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</si>
  <si>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</si>
  <si>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</si>
  <si>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</si>
  <si>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</si>
  <si>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</si>
  <si>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</si>
  <si>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</si>
  <si>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</si>
  <si>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</si>
  <si>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</si>
  <si>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</si>
  <si>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</si>
  <si>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</si>
  <si>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</si>
  <si>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</si>
  <si>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</si>
  <si>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</si>
  <si>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</si>
  <si>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</si>
  <si>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</si>
  <si>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</si>
  <si>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</si>
  <si>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</si>
  <si>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</si>
  <si>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</si>
  <si>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</si>
  <si>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</si>
  <si>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</si>
  <si>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</si>
  <si>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</si>
  <si>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</si>
  <si>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</si>
  <si>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</si>
  <si>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</si>
  <si>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</si>
  <si>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</si>
  <si>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</si>
  <si>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</si>
  <si>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</si>
  <si>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</si>
  <si>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</si>
  <si>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</si>
  <si>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</si>
  <si>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</si>
  <si>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</si>
  <si>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</si>
  <si>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</si>
  <si>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</si>
  <si>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</si>
  <si>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</si>
  <si>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</si>
  <si>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</si>
  <si>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</si>
  <si>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</si>
  <si>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</si>
  <si>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</si>
  <si>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</si>
  <si>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</si>
  <si>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</si>
  <si>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</si>
  <si>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</si>
  <si>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</si>
  <si>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</si>
  <si>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</si>
  <si>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</si>
  <si>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</si>
  <si>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</si>
  <si>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</si>
  <si>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</si>
  <si>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</si>
  <si>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</si>
  <si>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</si>
  <si>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</si>
  <si>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</si>
  <si>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</si>
  <si>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</si>
  <si>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</si>
  <si>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</si>
  <si>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</si>
  <si>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</si>
  <si>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</si>
  <si>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</si>
  <si>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</si>
  <si>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</si>
  <si>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</si>
  <si>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</si>
  <si>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</si>
  <si>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</si>
  <si>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</si>
  <si>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</si>
  <si>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</si>
  <si>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</si>
  <si>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</si>
  <si>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</si>
  <si>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</si>
  <si>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</si>
  <si>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</si>
  <si>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</si>
  <si>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</si>
  <si>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</si>
  <si>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</si>
  <si>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</si>
  <si>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</si>
  <si>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</si>
  <si>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</si>
  <si>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</si>
  <si>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</si>
  <si>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</si>
  <si>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</si>
  <si>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</si>
  <si>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</si>
  <si>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</si>
  <si>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</si>
  <si>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</si>
  <si>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</si>
  <si>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</si>
  <si>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</si>
  <si>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</si>
  <si>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</si>
  <si>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</si>
  <si>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</si>
  <si>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</si>
  <si>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</si>
  <si>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</si>
  <si>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</si>
  <si>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</si>
  <si>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</si>
  <si>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</si>
  <si>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</si>
  <si>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</si>
  <si>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</si>
  <si>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</si>
  <si>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</si>
  <si>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</si>
  <si>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</si>
  <si>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</si>
  <si>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</si>
  <si>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</si>
  <si>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</si>
  <si>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</si>
  <si>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</si>
  <si>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</si>
  <si>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</si>
  <si>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</si>
  <si>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</si>
  <si>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</si>
  <si>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</si>
  <si>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</si>
  <si>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</si>
  <si>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</si>
  <si>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</si>
  <si>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</si>
  <si>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</si>
  <si>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</si>
  <si>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</si>
  <si>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</si>
  <si>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</si>
  <si>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</si>
  <si>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</si>
  <si>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</si>
  <si>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</si>
  <si>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</si>
  <si>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</si>
  <si>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</si>
  <si>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</si>
  <si>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</si>
  <si>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</si>
  <si>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</si>
  <si>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</si>
  <si>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</si>
  <si>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</si>
  <si>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</si>
  <si>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</si>
  <si>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</si>
  <si>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</si>
  <si>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</si>
  <si>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</si>
  <si>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</si>
  <si>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</si>
  <si>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</si>
  <si>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</si>
  <si>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</si>
  <si>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</si>
  <si>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</si>
  <si>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</si>
  <si>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</si>
  <si>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</si>
  <si>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</si>
  <si>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</si>
  <si>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</si>
  <si>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</si>
  <si>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</si>
  <si>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</si>
  <si>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</si>
  <si>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</si>
  <si>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</si>
  <si>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</si>
  <si>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</si>
  <si>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</si>
  <si>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</si>
  <si>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</si>
  <si>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</si>
  <si>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</si>
  <si>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</si>
  <si>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</si>
  <si>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</si>
  <si>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</si>
  <si>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</si>
  <si>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</si>
  <si>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</si>
  <si>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</si>
  <si>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</si>
  <si>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</si>
  <si>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</si>
  <si>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</si>
  <si>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</si>
  <si>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</si>
  <si>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</si>
  <si>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</si>
  <si>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</si>
  <si>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</si>
  <si>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</si>
  <si>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</si>
  <si>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</si>
  <si>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</si>
  <si>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</si>
  <si>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</si>
  <si>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</si>
  <si>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</si>
  <si>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</si>
  <si>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</si>
  <si>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</si>
  <si>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</si>
  <si>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</si>
  <si>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</si>
  <si>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</si>
  <si>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</si>
  <si>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</si>
  <si>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</si>
  <si>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</si>
  <si>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</si>
  <si>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</si>
  <si>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</si>
  <si>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</si>
  <si>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</si>
  <si>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</si>
  <si>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</si>
  <si>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</si>
  <si>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</si>
  <si>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</si>
  <si>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</si>
  <si>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</si>
  <si>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</si>
  <si>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</si>
  <si>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</si>
  <si>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</si>
  <si>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</si>
  <si>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</si>
  <si>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</si>
  <si>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</si>
  <si>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</si>
  <si>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</si>
  <si>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</si>
  <si>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</si>
  <si>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</si>
  <si>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</si>
  <si>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</si>
  <si>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</si>
  <si>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</si>
  <si>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</si>
  <si>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</si>
  <si>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</si>
  <si>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</si>
  <si>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</si>
  <si>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</si>
  <si>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</si>
  <si>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</si>
  <si>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</si>
  <si>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</si>
  <si>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</si>
  <si>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</si>
  <si>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</si>
  <si>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</si>
  <si>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</si>
  <si>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</si>
  <si>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</si>
  <si>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</si>
  <si>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</si>
  <si>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</si>
  <si>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</si>
  <si>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</si>
  <si>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</si>
  <si>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</si>
  <si>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</si>
  <si>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</si>
  <si>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</si>
  <si>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</si>
  <si>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</si>
  <si>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</si>
  <si>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</si>
  <si>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</si>
  <si>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</si>
  <si>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</si>
  <si>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</si>
  <si>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</si>
  <si>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</si>
  <si>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</si>
  <si>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</si>
  <si>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</si>
  <si>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</si>
  <si>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</si>
  <si>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</si>
  <si>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</si>
  <si>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</si>
  <si>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</si>
  <si>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</si>
  <si>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</si>
  <si>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</si>
  <si>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</si>
  <si>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</si>
  <si>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</si>
  <si>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</si>
  <si>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</si>
  <si>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</si>
  <si>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</si>
  <si>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</si>
  <si>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</si>
  <si>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</si>
  <si>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</si>
  <si>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</si>
  <si>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</si>
  <si>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</si>
  <si>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</si>
  <si>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</si>
  <si>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</si>
  <si>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</si>
  <si>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</si>
  <si>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</si>
  <si>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</si>
  <si>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</si>
  <si>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</si>
  <si>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</si>
  <si>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</si>
  <si>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</si>
  <si>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</si>
  <si>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</si>
  <si>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</si>
  <si>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</si>
  <si>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</si>
  <si>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</si>
  <si>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</si>
  <si>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</si>
  <si>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</si>
  <si>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Rauschunterdrück bei ISO+</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</si>
  <si>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</si>
  <si>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</si>
  <si>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</si>
  <si>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</si>
  <si>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</si>
  <si>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</si>
  <si>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</si>
  <si>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</si>
  <si>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</si>
  <si>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</si>
  <si>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</si>
  <si>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</si>
  <si>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</si>
  <si>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</si>
  <si>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</si>
  <si>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</si>
  <si>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</si>
  <si>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</si>
  <si>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</si>
  <si>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</si>
  <si>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</si>
  <si>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</si>
  <si>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</si>
  <si>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</si>
  <si>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</si>
  <si>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</si>
  <si>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</si>
  <si>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</si>
  <si>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</si>
  <si>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</si>
  <si>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</si>
  <si>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</si>
  <si>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</si>
  <si>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</si>
  <si>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</si>
  <si>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</si>
  <si>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</si>
  <si>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</si>
  <si>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</si>
  <si>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</si>
  <si>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</si>
  <si>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</si>
  <si>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</si>
  <si>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</si>
  <si>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</si>
  <si>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</si>
  <si>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</si>
  <si>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</si>
  <si>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</si>
  <si>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</si>
  <si>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</si>
  <si>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</si>
  <si>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</si>
  <si>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</si>
  <si>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</si>
  <si>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</si>
  <si>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</si>
  <si>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</si>
  <si>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</si>
  <si>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</si>
  <si>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</si>
  <si>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</si>
  <si>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</si>
  <si>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</si>
  <si>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</si>
  <si>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</si>
  <si>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</si>
  <si>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</si>
  <si>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</si>
  <si>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</si>
  <si>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</si>
  <si>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</si>
  <si>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</si>
  <si>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</si>
  <si>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</si>
  <si>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</si>
  <si>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</si>
  <si>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</si>
  <si>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</si>
  <si>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</si>
  <si>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</si>
  <si>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</si>
  <si>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</si>
  <si>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</si>
  <si>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</si>
  <si>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</si>
  <si>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</si>
  <si>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</si>
  <si>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</si>
  <si>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</si>
  <si>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</si>
  <si>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</si>
  <si>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</si>
  <si>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</si>
  <si>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</si>
  <si>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</si>
  <si>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</si>
  <si>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</si>
  <si>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</si>
  <si>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</si>
  <si>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</si>
  <si>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</si>
  <si>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</si>
  <si>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</si>
  <si>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</si>
  <si>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</si>
  <si>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</si>
  <si>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</si>
  <si>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</si>
  <si>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</si>
  <si>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</si>
  <si>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</si>
  <si>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</si>
  <si>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</si>
  <si>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</si>
  <si>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</si>
  <si>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</si>
  <si>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</si>
  <si>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</si>
  <si>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</si>
  <si>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</si>
  <si>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</si>
  <si>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</si>
  <si>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</si>
  <si>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</si>
  <si>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</si>
  <si>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</si>
  <si>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</si>
  <si>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</si>
  <si>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</si>
  <si>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</si>
  <si>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</si>
  <si>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</si>
  <si>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</si>
  <si>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</si>
  <si>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</si>
  <si>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</si>
  <si>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</si>
  <si>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</si>
  <si>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</si>
  <si>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</si>
  <si>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</si>
  <si>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</si>
  <si>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</si>
  <si>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</si>
  <si>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</si>
  <si>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</si>
  <si>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</si>
  <si>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</si>
  <si>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</si>
  <si>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</si>
  <si>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</si>
  <si>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</si>
  <si>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</si>
  <si>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</si>
  <si>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</si>
  <si>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</si>
  <si>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</si>
  <si>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</si>
  <si>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</si>
  <si>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</si>
  <si>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</si>
  <si>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</si>
  <si>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</si>
  <si>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</si>
  <si>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</si>
  <si>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</si>
  <si>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</si>
  <si>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</si>
  <si>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</si>
  <si>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</si>
  <si>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</si>
  <si>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</si>
  <si>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</si>
  <si>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</si>
  <si>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</si>
  <si>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</si>
  <si>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</si>
  <si>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</si>
  <si>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</si>
  <si>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</si>
  <si>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</si>
  <si>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</si>
  <si>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</si>
  <si>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</si>
  <si>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</si>
  <si>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</si>
  <si>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</si>
  <si>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</si>
  <si>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</si>
  <si>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</si>
  <si>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</si>
  <si>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</si>
  <si>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</si>
  <si>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</si>
  <si>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</si>
  <si>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</si>
  <si>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</si>
  <si>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</si>
  <si>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</si>
  <si>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</si>
  <si>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</si>
  <si>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</si>
  <si>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</si>
  <si>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</si>
  <si>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</si>
  <si>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</si>
  <si>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</si>
  <si>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</si>
  <si>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</si>
  <si>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</si>
  <si>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</si>
  <si>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</si>
  <si>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</si>
  <si>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</si>
  <si>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</si>
  <si>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</si>
  <si>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</si>
  <si>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</si>
  <si>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</si>
  <si>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</si>
  <si>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</si>
  <si>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</si>
  <si>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</si>
  <si>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</si>
  <si>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</si>
  <si>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</si>
  <si>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</si>
  <si>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</si>
  <si>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</si>
  <si>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</si>
  <si>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</si>
  <si>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</si>
  <si>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</si>
  <si>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</si>
  <si>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 ausgewählt</t>
  </si>
  <si>
    <t>AF Messfelder im Fokus</t>
  </si>
  <si>
    <t>AF Bereich Höhe</t>
  </si>
  <si>
    <t>AF Bereich Breite</t>
  </si>
  <si>
    <t>AF Bereich x-Position</t>
  </si>
  <si>
    <t>AF Bereich y-Position</t>
  </si>
  <si>
    <t>AF Messfelder verwendet</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</si>
  <si>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</si>
  <si>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</si>
  <si>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</si>
  <si>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</si>
  <si>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</si>
  <si>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</si>
  <si>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</si>
  <si>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</si>
  <si>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</si>
  <si>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</si>
  <si>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</si>
  <si>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</si>
  <si>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</si>
  <si>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AF Punkt ausgewählt</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</si>
  <si>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</si>
  <si>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</si>
  <si>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</si>
  <si>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</si>
  <si>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</si>
  <si>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</si>
  <si>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</si>
  <si>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</si>
  <si>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</si>
  <si>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</si>
  <si>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</si>
  <si>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</si>
  <si>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</si>
  <si>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</si>
  <si>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</si>
  <si>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</si>
  <si>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</si>
  <si>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</si>
  <si>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</si>
  <si>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</si>
  <si>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</si>
  <si>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</si>
  <si>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</si>
  <si>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</si>
  <si>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</si>
  <si>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</si>
  <si>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</si>
  <si>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</si>
  <si>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</si>
  <si>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</si>
  <si>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</si>
  <si>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</si>
  <si>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</si>
  <si>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</si>
  <si>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</si>
  <si>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Minolta Herstellernotiz</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</si>
  <si>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</si>
  <si>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</si>
  <si>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</si>
  <si>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</si>
  <si>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</si>
  <si>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</si>
  <si>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</si>
  <si>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</si>
  <si>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</si>
  <si>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</si>
  <si>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</si>
  <si>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</si>
  <si>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</si>
  <si>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</si>
  <si>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</si>
  <si>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</si>
  <si>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</si>
  <si>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</si>
  <si>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</si>
  <si>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</si>
  <si>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</si>
  <si>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</si>
  <si>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</si>
  <si>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</si>
  <si>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</si>
  <si>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</si>
  <si>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</si>
  <si>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</si>
  <si>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</si>
  <si>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</si>
  <si>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</si>
  <si>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</si>
  <si>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</si>
  <si>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</si>
  <si>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</si>
  <si>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</si>
  <si>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</si>
  <si>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</si>
  <si>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</si>
  <si>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</si>
  <si>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</si>
  <si>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</si>
  <si>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</si>
  <si>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</si>
  <si>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</si>
  <si>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</si>
  <si>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</si>
  <si>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</si>
  <si>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</si>
  <si>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</si>
  <si>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</si>
  <si>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</si>
  <si>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</si>
  <si>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</si>
  <si>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</si>
  <si>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</si>
  <si>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</si>
  <si>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</si>
  <si>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</si>
  <si>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</si>
  <si>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</si>
  <si>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</si>
  <si>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</si>
  <si>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</si>
  <si>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</si>
  <si>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</si>
  <si>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</si>
  <si>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</si>
  <si>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</si>
  <si>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</si>
  <si>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</si>
  <si>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</si>
  <si>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</si>
  <si>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</si>
  <si>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</si>
  <si>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</si>
  <si>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</si>
  <si>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</si>
  <si>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</si>
  <si>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</si>
  <si>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</si>
  <si>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</si>
  <si>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</si>
  <si>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</si>
  <si>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</si>
  <si>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</si>
  <si>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</si>
  <si>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</si>
  <si>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</si>
  <si>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</si>
  <si>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</si>
  <si>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</si>
  <si>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</si>
  <si>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</si>
  <si>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</si>
  <si>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</si>
  <si>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</si>
  <si>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</si>
  <si>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</si>
  <si>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</si>
  <si>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</si>
  <si>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</si>
  <si>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</si>
  <si>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</si>
  <si>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</si>
  <si>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</si>
  <si>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</si>
  <si>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</si>
  <si>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</si>
  <si>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</si>
  <si>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</si>
  <si>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</si>
  <si>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</si>
  <si>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</si>
  <si>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</si>
  <si>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</si>
  <si>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</si>
  <si>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</si>
  <si>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</si>
  <si>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</si>
  <si>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</si>
  <si>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</si>
  <si>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</si>
  <si>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</si>
  <si>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</si>
  <si>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</si>
  <si>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</si>
  <si>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</si>
  <si>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</si>
  <si>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</si>
  <si>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</si>
  <si>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</si>
  <si>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</si>
  <si>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</si>
  <si>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</si>
  <si>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</si>
  <si>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</si>
  <si>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</si>
  <si>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</si>
  <si>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</si>
  <si>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</si>
  <si>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</si>
  <si>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</si>
  <si>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</si>
  <si>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</si>
  <si>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</si>
  <si>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</si>
  <si>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</si>
  <si>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</si>
  <si>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</si>
  <si>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</si>
  <si>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</si>
  <si>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</si>
  <si>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</si>
  <si>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</si>
  <si>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</si>
  <si>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</si>
  <si>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</si>
  <si>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</si>
  <si>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</si>
  <si>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</si>
  <si>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</si>
  <si>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</si>
  <si>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</si>
  <si>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</si>
  <si>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</si>
  <si>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</si>
  <si>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</si>
  <si>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</si>
  <si>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</si>
  <si>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</si>
  <si>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</si>
  <si>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</si>
  <si>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</si>
  <si>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</si>
  <si>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</si>
  <si>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</si>
  <si>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</si>
  <si>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</si>
  <si>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</si>
  <si>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</si>
  <si>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</si>
  <si>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</si>
  <si>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</si>
  <si>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</si>
  <si>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</si>
  <si>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</si>
  <si>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</si>
  <si>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</si>
  <si>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</si>
  <si>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</si>
  <si>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</si>
  <si>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</si>
  <si>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</si>
  <si>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</si>
  <si>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</si>
  <si>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</si>
  <si>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</si>
  <si>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</si>
  <si>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</si>
  <si>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</si>
  <si>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</si>
  <si>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</si>
  <si>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</si>
  <si>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</si>
  <si>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</si>
  <si>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</si>
  <si>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</si>
  <si>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</si>
  <si>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</si>
  <si>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</si>
  <si>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</si>
  <si>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</si>
  <si>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</si>
  <si>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</si>
  <si>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</si>
  <si>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</si>
  <si>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</si>
  <si>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</si>
  <si>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</si>
  <si>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</si>
  <si>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</si>
  <si>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</si>
  <si>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</si>
  <si>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</si>
  <si>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</si>
  <si>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</si>
  <si>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</si>
  <si>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</si>
  <si>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</si>
  <si>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</si>
  <si>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</si>
  <si>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Das Leuchtmittel für den ersten Satz des Farbkalibrierung Tags (ColorMatrix1, CameraCalibration1, ReductionMatrix1) verwendet. Die zulässigen Werte für diese Variable sind die gleichen wie die gesetzlichen Werte für die LightSource EXIF-Tag.</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</si>
  <si>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</si>
  <si>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</si>
  <si>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</si>
  <si>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</si>
  <si>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</si>
  <si>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</si>
  <si>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</si>
  <si>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</si>
  <si>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</si>
  <si>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</si>
  <si>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</si>
  <si>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</si>
  <si>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</si>
  <si>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</si>
  <si>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Rauschunterdrück bei hohen ISO-Werten</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</si>
  <si>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</si>
  <si>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</si>
  <si>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</si>
  <si>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</si>
  <si>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</si>
  <si>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</si>
  <si>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</si>
  <si>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</si>
  <si>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</si>
  <si>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</si>
  <si>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</si>
  <si>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</si>
  <si>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</si>
  <si>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</si>
  <si>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</si>
  <si>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</si>
  <si>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</si>
  <si>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</si>
  <si>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</si>
  <si>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</si>
  <si>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</si>
  <si>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</si>
  <si>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High Definition Range 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</si>
  <si>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</si>
  <si>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</si>
  <si>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</si>
  <si>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</si>
  <si>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</si>
  <si>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</si>
  <si>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</si>
  <si>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</si>
  <si>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</si>
  <si>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</si>
  <si>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</si>
  <si>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</si>
  <si>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</si>
  <si>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</si>
  <si>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</si>
  <si>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</si>
  <si>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</si>
  <si>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</si>
  <si>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</si>
  <si>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</si>
  <si>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</si>
  <si>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</si>
  <si>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</si>
  <si>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</si>
  <si>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</si>
  <si>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</si>
  <si>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</si>
  <si>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</si>
  <si>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</si>
  <si>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</si>
  <si>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</si>
  <si>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</si>
  <si>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</si>
  <si>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</si>
  <si>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</si>
  <si>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</si>
  <si>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</si>
  <si>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</si>
  <si>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</si>
  <si>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</si>
  <si>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</si>
  <si>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</si>
  <si>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</si>
  <si>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</si>
  <si>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</si>
  <si>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Kontaktinformation Region (z.B. Bundesland, Kanton)</t>
  </si>
  <si>
    <t>Kontaktinformation Web-Adresse (Arbeitsplatz)</t>
  </si>
  <si>
    <t>Kontaktinformation Telefon (Arbeitsplatz); Mehrere Nummern können eingegeben werden, durch ein Komma getrennt.</t>
  </si>
  <si>
    <t>ausgewähltes AF Messfeld (ausgewählt aus verschiedenen Tags, vor allem Hersteller-spezifischen Tags)</t>
  </si>
  <si>
    <t>Schwarzwert Delta H</t>
  </si>
  <si>
    <t>Spezifisch für komprimierten Daten; gibt die komprimierten Bits pro Pixel an.</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</si>
  <si>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</si>
  <si>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</si>
  <si>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</si>
  <si>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</si>
  <si>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</si>
  <si>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</si>
  <si>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</si>
  <si>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</si>
  <si>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</si>
  <si>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</si>
  <si>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</si>
  <si>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</si>
  <si>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</si>
  <si>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</si>
  <si>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</si>
  <si>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</si>
  <si>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</si>
  <si>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</si>
  <si>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</si>
  <si>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</si>
  <si>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</si>
  <si>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</si>
  <si>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</si>
  <si>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</si>
  <si>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</si>
  <si>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</si>
  <si>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</si>
  <si>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</si>
  <si>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</si>
  <si>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</si>
  <si>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</si>
  <si>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</si>
  <si>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</si>
  <si>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</si>
  <si>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</si>
  <si>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</si>
  <si>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</si>
  <si>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</si>
  <si>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</si>
  <si>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</si>
  <si>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</si>
  <si>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</si>
  <si>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</si>
  <si>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</si>
  <si>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</si>
  <si>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</si>
  <si>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</si>
  <si>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</si>
  <si>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</si>
  <si>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</si>
  <si>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</si>
  <si>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</si>
  <si>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</si>
  <si>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</si>
  <si>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</si>
  <si>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</si>
  <si>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</si>
  <si>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</si>
  <si>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</si>
  <si>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</si>
  <si>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</si>
  <si>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</si>
  <si>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</si>
  <si>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</si>
  <si>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</si>
  <si>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</si>
  <si>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</si>
  <si>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</si>
  <si>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</si>
  <si>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</si>
  <si>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</si>
  <si>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</si>
  <si>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</si>
  <si>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</si>
  <si>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</si>
  <si>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</si>
  <si>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</si>
  <si>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</si>
  <si>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</si>
  <si>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</si>
  <si>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</si>
  <si>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</si>
  <si>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</si>
  <si>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</si>
  <si>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</si>
  <si>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</si>
  <si>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</si>
  <si>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</si>
  <si>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</si>
  <si>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</si>
  <si>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</si>
  <si>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</si>
  <si>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</si>
  <si>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</si>
  <si>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</si>
  <si>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</si>
  <si>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</si>
  <si>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</si>
  <si>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</si>
  <si>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</si>
  <si>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</si>
  <si>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</si>
  <si>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</si>
  <si>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</si>
  <si>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</si>
  <si>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</si>
  <si>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</si>
  <si>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</si>
  <si>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</si>
  <si>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</si>
  <si>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</si>
  <si>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</si>
  <si>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</si>
  <si>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</si>
  <si>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</si>
  <si>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</si>
  <si>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</si>
  <si>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</si>
  <si>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</si>
  <si>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</si>
  <si>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</si>
  <si>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</si>
  <si>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</si>
  <si>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</si>
  <si>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</si>
  <si>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</si>
  <si>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</si>
  <si>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</si>
  <si>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Der ISO-Code eines Landes eines Aufnahmeortes.</t>
  </si>
  <si>
    <t>Name der Stadt eines Aufnahmeortes.</t>
  </si>
  <si>
    <t>Der Name eines Landes von einem Aufnahmeort.</t>
  </si>
  <si>
    <t>Benennt oder beschreibt das spezifische Ereignis, bei dem das Foto gemacht wurde.</t>
  </si>
  <si>
    <t>Der Name eines Teilbereichs eines Landes - eine Provinz oder Staat - von einem Aufnahmeort.</t>
  </si>
  <si>
    <t xml:space="preserve">Name des Unter-Aufnahmeortes. Dieser Name könnte entweder der Name eines Ortsteiles oder der Namen eines bekannten Standortes oder (Natur-) Denkmales außerhalb eines Ortes sein. </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</si>
  <si>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</si>
  <si>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</si>
  <si>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</si>
  <si>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</si>
  <si>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</si>
  <si>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</si>
  <si>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</si>
  <si>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</si>
  <si>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</si>
  <si>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</si>
  <si>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</si>
  <si>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</si>
  <si>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</si>
  <si>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</si>
  <si>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</si>
  <si>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</si>
  <si>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</si>
  <si>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</si>
  <si>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</si>
  <si>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</si>
  <si>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</si>
  <si>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Beschreibt die Art oder geistige oder journalistische Eigenschaft eines Nachrichten-Objekts, nicht speziell dessen Inhalt.</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</si>
  <si>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</si>
  <si>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</si>
  <si>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</si>
  <si>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</si>
  <si>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</si>
  <si>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</si>
  <si>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</si>
  <si>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</si>
  <si>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</si>
  <si>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</si>
  <si>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</si>
  <si>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</si>
  <si>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</si>
  <si>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</si>
  <si>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</si>
  <si>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</si>
  <si>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</si>
  <si>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</si>
  <si>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</si>
  <si>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</si>
  <si>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</si>
  <si>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</si>
  <si>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</si>
  <si>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</si>
  <si>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</si>
  <si>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</si>
  <si>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</si>
  <si>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</si>
  <si>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</si>
  <si>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</si>
  <si>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</si>
  <si>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</si>
  <si>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</si>
  <si>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</si>
  <si>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</si>
  <si>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</si>
  <si>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</si>
  <si>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</si>
  <si>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</si>
  <si>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</si>
  <si>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</si>
  <si>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</si>
  <si>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Dieses optionale Tag kodiert die Zeitzone der Kamera-Uhr (bezogen auf Greenwich Mean Time), die verwendet wurde, als das Tag DataTimeOriginal während der Aufnahme erstellt wurde. Es kann auch die Zeitzone der Uhr angegeben, wenn das Tag  DateTime bei einer Bild-Modifikation gesetzt wurde.</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</si>
  <si>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</si>
  <si>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</si>
  <si>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</si>
  <si>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</si>
  <si>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</si>
  <si>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</si>
  <si>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</si>
  <si>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</si>
  <si>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</si>
  <si>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</si>
  <si>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</si>
  <si>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</si>
  <si>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</si>
  <si>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</si>
  <si>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</si>
  <si>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</si>
  <si>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</si>
  <si>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</si>
  <si>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</si>
  <si>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</si>
  <si>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</si>
  <si>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</si>
  <si>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</si>
  <si>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</si>
  <si>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</si>
  <si>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</si>
  <si>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</si>
  <si>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</si>
  <si>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</si>
  <si>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</si>
  <si>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</si>
  <si>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</si>
  <si>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</si>
  <si>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</si>
  <si>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</si>
  <si>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</si>
  <si>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</si>
  <si>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</si>
  <si>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</si>
  <si>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</si>
  <si>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</si>
  <si>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</si>
  <si>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</si>
  <si>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</si>
  <si>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</si>
  <si>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</si>
  <si>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</si>
  <si>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</si>
  <si>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</si>
  <si>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</si>
  <si>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</si>
  <si>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</si>
  <si>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</si>
  <si>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</si>
  <si>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</si>
  <si>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</si>
  <si>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</si>
  <si>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</si>
  <si>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</si>
  <si>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</si>
  <si>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</si>
  <si>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</si>
  <si>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</si>
  <si>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</si>
  <si>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</si>
  <si>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</si>
  <si>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</si>
  <si>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</si>
  <si>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</si>
  <si>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</si>
  <si>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</si>
  <si>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</si>
  <si>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</si>
  <si>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</si>
  <si>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</si>
  <si>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</si>
  <si>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</si>
  <si>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</si>
  <si>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</si>
  <si>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</si>
  <si>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</si>
  <si>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</si>
  <si>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</si>
  <si>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</si>
  <si>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</si>
  <si>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</si>
  <si>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</si>
  <si>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</si>
  <si>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</si>
  <si>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</si>
  <si>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</si>
  <si>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Bezeichnet das Datum und gegebenenfalls die Uhrzeit, wann das Kunstwerk oder Objekt im Bild erstellt wurde. Dies bezieht sich auf Grafiken oder Objekte mit den zugehörigen Rechten an geistigem Eigentum.</t>
  </si>
  <si>
    <t>Die Inventarnummer der Organisation oder Körpeschaft, die das Kunstwerk oder Objekt im Bild besitzt und registriert.</t>
  </si>
  <si>
    <t>Eine Referenz für das Kunstwerk oder das Objekt im Bild.</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</si>
  <si>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</si>
  <si>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</si>
  <si>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</si>
  <si>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</si>
  <si>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</si>
  <si>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</si>
  <si>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</si>
  <si>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</si>
  <si>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</si>
  <si>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</si>
  <si>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</si>
  <si>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</si>
  <si>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</si>
  <si>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</si>
  <si>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</si>
  <si>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</si>
  <si>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</si>
  <si>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</si>
  <si>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</si>
  <si>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</si>
  <si>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</si>
  <si>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</si>
  <si>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</si>
  <si>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</si>
  <si>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</si>
  <si>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</si>
  <si>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</si>
  <si>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</si>
  <si>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</si>
  <si>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</si>
  <si>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</si>
  <si>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</si>
  <si>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</si>
  <si>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</si>
  <si>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</si>
  <si>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</si>
  <si>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</si>
  <si>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</si>
  <si>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</si>
  <si>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</si>
  <si>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</si>
  <si>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</si>
  <si>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</si>
  <si>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</si>
  <si>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</si>
  <si>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</si>
  <si>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</si>
  <si>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</si>
  <si>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</si>
  <si>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</si>
  <si>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</si>
  <si>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</si>
  <si>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</si>
  <si>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</si>
  <si>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</si>
  <si>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</si>
  <si>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</si>
  <si>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</si>
  <si>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</si>
  <si>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</si>
  <si>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</si>
  <si>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</si>
  <si>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</si>
  <si>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</si>
  <si>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</si>
  <si>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Code aus dem kontrollierten Vokabular, um die Organisation oder Firma zu kennzeichnen, die in dem Bild dargestellt wird.</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</si>
  <si>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</si>
  <si>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</si>
  <si>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</si>
  <si>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</si>
  <si>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</si>
  <si>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</si>
  <si>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</si>
  <si>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</si>
  <si>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</si>
  <si>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</si>
  <si>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</si>
  <si>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</si>
  <si>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</si>
  <si>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</si>
  <si>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</si>
  <si>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</si>
  <si>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</si>
  <si>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</si>
  <si>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</si>
  <si>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</si>
  <si>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</si>
  <si>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</si>
  <si>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</si>
  <si>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</si>
  <si>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</si>
  <si>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</si>
  <si>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</si>
  <si>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</si>
  <si>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</si>
  <si>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</si>
  <si>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</si>
  <si>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</si>
  <si>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Kontaktinformation eMail (Arbeitsplatz); mehrere Adressen können eingegeben werden, durch ein Komma getrennt.</t>
  </si>
  <si>
    <t>Die Kontaktinformation zum Ersteller stellt alle notwendigen Informationen bereit, um mit dem Ersteller dieses Nachrichtenobjekts in Kontakt zu treten und enthält eine Reihe von Unterfeldern für eine ordnungsgemäße Adressierung.</t>
  </si>
  <si>
    <t>Beschreibt die Szenerie eines Fotos. Gibt einen oder mehrere Begriffe aus den "IPTC Scene NewsCodes" an. Jede Szenerie wird durch eine Zeichenkette mit 6 Ziffern innerhalb einer ungeordneten Liste angegeben.</t>
  </si>
  <si>
    <t>Gibt einen oder mehrere Themen aus dem feststehenden Vokabular "IPTC Subject NewsCodes" an um den Inhalt zu kategorisieren. Jeder "Code" wird durch einen Zeichenketten mit 8 Ziffern innerhalb einer ungeordneten Liste angegeben.</t>
  </si>
  <si>
    <t>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</si>
  <si>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</si>
  <si>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</si>
  <si>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</si>
  <si>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</si>
  <si>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</si>
  <si>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</si>
  <si>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</si>
  <si>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</si>
  <si>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</si>
  <si>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</si>
  <si>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</si>
  <si>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</si>
  <si>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</si>
  <si>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</si>
  <si>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</si>
  <si>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</si>
  <si>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</si>
  <si>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</si>
  <si>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</si>
  <si>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</si>
  <si>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</si>
  <si>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</si>
  <si>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</si>
  <si>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</si>
  <si>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</si>
  <si>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</si>
  <si>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</si>
  <si>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</si>
  <si>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</si>
  <si>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</si>
  <si>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</si>
  <si>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</si>
  <si>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</si>
  <si>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</si>
  <si>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</si>
  <si>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</si>
  <si>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</si>
  <si>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</si>
  <si>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</si>
  <si>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</si>
  <si>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</si>
  <si>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</si>
  <si>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</si>
  <si>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</si>
  <si>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</si>
  <si>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</si>
  <si>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</si>
  <si>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</si>
  <si>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</si>
  <si>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</si>
  <si>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</si>
  <si>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</si>
  <si>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</si>
  <si>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</si>
  <si>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</si>
  <si>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</si>
  <si>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</si>
  <si>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</si>
  <si>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</si>
  <si>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</si>
  <si>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</si>
  <si>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</si>
  <si>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</si>
  <si>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</si>
  <si>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</si>
  <si>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</si>
  <si>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</si>
  <si>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</si>
  <si>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</si>
  <si>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</si>
  <si>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</si>
  <si>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</si>
  <si>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</si>
  <si>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</si>
  <si>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</si>
  <si>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</si>
  <si>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</si>
  <si>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</si>
  <si>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</si>
  <si>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</si>
  <si>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</si>
  <si>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</si>
  <si>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</si>
  <si>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</si>
  <si>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</si>
  <si>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</si>
  <si>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</si>
  <si>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</si>
  <si>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</si>
  <si>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</si>
  <si>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</si>
  <si>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</si>
  <si>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</si>
  <si>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</si>
  <si>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</si>
  <si>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</si>
  <si>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</si>
  <si>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</si>
  <si>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</si>
  <si>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</si>
  <si>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</si>
  <si>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</si>
  <si>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</si>
  <si>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</si>
  <si>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</si>
  <si>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</si>
  <si>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</si>
  <si>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</si>
  <si>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</si>
  <si>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</si>
  <si>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</si>
  <si>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</si>
  <si>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</si>
  <si>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</si>
  <si>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</si>
  <si>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</si>
  <si>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</si>
  <si>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</si>
  <si>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</si>
  <si>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</si>
  <si>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</si>
  <si>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</si>
  <si>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</si>
  <si>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</si>
  <si>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</si>
  <si>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</si>
  <si>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</si>
  <si>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</si>
  <si>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</si>
  <si>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</si>
  <si>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</si>
  <si>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</si>
  <si>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</si>
  <si>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</si>
  <si>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</si>
  <si>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</si>
  <si>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</si>
  <si>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</si>
  <si>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</si>
  <si>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</si>
  <si>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</si>
  <si>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</si>
  <si>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</si>
  <si>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</si>
  <si>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</si>
  <si>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</si>
  <si>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</si>
  <si>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</si>
  <si>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</si>
  <si>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</si>
  <si>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</si>
  <si>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</si>
  <si>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</si>
  <si>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</si>
  <si>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</si>
  <si>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</si>
  <si>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</si>
  <si>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</si>
  <si>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</si>
  <si>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</si>
  <si>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</si>
  <si>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</si>
  <si>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</si>
  <si>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</si>
  <si>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</si>
  <si>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</si>
  <si>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</si>
  <si>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</si>
  <si>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</si>
  <si>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</si>
  <si>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</si>
  <si>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</si>
  <si>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</si>
  <si>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</si>
  <si>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</si>
  <si>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</si>
  <si>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</si>
  <si>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</si>
  <si>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</si>
  <si>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</si>
  <si>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</si>
  <si>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</si>
  <si>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</si>
  <si>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</si>
  <si>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</si>
  <si>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</si>
  <si>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</si>
  <si>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</si>
  <si>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</si>
  <si>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</si>
  <si>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</si>
  <si>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</si>
  <si>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</si>
  <si>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</si>
  <si>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</si>
  <si>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</si>
  <si>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</si>
  <si>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</si>
  <si>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</si>
  <si>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</si>
  <si>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</si>
  <si>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</si>
  <si>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</si>
  <si>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</si>
  <si>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</si>
  <si>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</si>
  <si>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</si>
  <si>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</si>
  <si>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</si>
  <si>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</si>
  <si>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</si>
  <si>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</si>
  <si>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</si>
  <si>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</si>
  <si>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</si>
  <si>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</si>
  <si>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</si>
  <si>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</si>
  <si>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</si>
  <si>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</si>
  <si>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</si>
  <si>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</si>
  <si>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</si>
  <si>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</si>
  <si>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</si>
  <si>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</si>
  <si>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</si>
  <si>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</si>
  <si>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</si>
  <si>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</si>
  <si>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</si>
  <si>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</si>
  <si>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</si>
  <si>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</si>
  <si>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</si>
  <si>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</si>
  <si>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</si>
  <si>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</si>
  <si>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</si>
  <si>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</si>
  <si>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</si>
  <si>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</si>
  <si>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</si>
  <si>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</si>
  <si>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</si>
  <si>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</si>
  <si>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</si>
  <si>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</si>
  <si>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</si>
  <si>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</si>
  <si>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</si>
  <si>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</si>
  <si>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</si>
  <si>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</si>
  <si>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</si>
  <si>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</si>
  <si>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</si>
  <si>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</si>
  <si>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</si>
  <si>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</si>
  <si>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</si>
  <si>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</si>
  <si>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</si>
  <si>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</si>
  <si>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</si>
  <si>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</si>
  <si>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</si>
  <si>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</si>
  <si>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</si>
  <si>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</si>
  <si>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</si>
  <si>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</si>
  <si>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</si>
  <si>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</si>
  <si>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</si>
  <si>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</si>
  <si>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</si>
  <si>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</si>
  <si>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</si>
  <si>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</si>
  <si>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</si>
  <si>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</si>
  <si>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</si>
  <si>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</si>
  <si>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</si>
  <si>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</si>
  <si>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</si>
  <si>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</si>
  <si>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</si>
  <si>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</si>
  <si>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</si>
  <si>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</si>
  <si>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</si>
  <si>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</si>
  <si>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</si>
  <si>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</si>
  <si>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</si>
  <si>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</si>
  <si>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</si>
  <si>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</si>
  <si>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</si>
  <si>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</si>
  <si>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</si>
  <si>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</si>
  <si>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</si>
  <si>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</si>
  <si>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</si>
  <si>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</si>
  <si>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</si>
  <si>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</si>
  <si>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</si>
  <si>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</si>
  <si>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</si>
  <si>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</si>
  <si>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</si>
  <si>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</si>
  <si>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</si>
  <si>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</si>
  <si>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</si>
  <si>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</si>
  <si>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</si>
  <si>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</si>
  <si>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</si>
  <si>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</si>
  <si>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</si>
  <si>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</si>
  <si>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</si>
  <si>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</si>
  <si>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</si>
  <si>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</si>
  <si>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</si>
  <si>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</si>
  <si>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</si>
  <si>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</si>
  <si>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</si>
  <si>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</si>
  <si>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</si>
  <si>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</si>
  <si>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</si>
  <si>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</si>
  <si>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</si>
  <si>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</si>
  <si>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</si>
  <si>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</si>
  <si>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</si>
  <si>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</si>
  <si>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</si>
  <si>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</si>
  <si>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</si>
  <si>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</si>
  <si>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</si>
  <si>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</si>
  <si>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</si>
  <si>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</si>
  <si>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</si>
  <si>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</si>
  <si>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</si>
  <si>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</si>
  <si>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</si>
  <si>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</si>
  <si>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</si>
  <si>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</si>
  <si>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</si>
  <si>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</si>
  <si>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</si>
  <si>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</si>
  <si>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</si>
  <si>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</si>
  <si>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</si>
  <si>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</si>
  <si>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</si>
  <si>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</si>
  <si>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</si>
  <si>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</si>
  <si>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</si>
  <si>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</si>
  <si>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</si>
  <si>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</si>
  <si>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</si>
  <si>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</si>
  <si>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</si>
  <si>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</si>
  <si>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</si>
  <si>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</si>
  <si>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</si>
  <si>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</si>
  <si>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</si>
  <si>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</si>
  <si>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</si>
  <si>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</si>
  <si>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</si>
  <si>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</si>
  <si>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</si>
  <si>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</si>
  <si>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</si>
  <si>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</si>
  <si>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</si>
  <si>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</si>
  <si>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</si>
  <si>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</si>
  <si>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</si>
  <si>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</si>
  <si>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</si>
  <si>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</si>
  <si>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</si>
  <si>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</si>
  <si>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</si>
  <si>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</si>
  <si>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</si>
  <si>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</si>
  <si>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</si>
  <si>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</si>
  <si>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</si>
  <si>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</si>
  <si>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</si>
  <si>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</si>
  <si>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</si>
  <si>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</si>
  <si>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</si>
  <si>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</si>
  <si>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</si>
  <si>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</si>
  <si>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</si>
  <si>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</si>
  <si>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</si>
  <si>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</si>
  <si>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</si>
  <si>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</si>
  <si>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</si>
  <si>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</si>
  <si>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</si>
  <si>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</si>
  <si>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</si>
  <si>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</si>
  <si>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</si>
  <si>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</si>
  <si>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</si>
  <si>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</si>
  <si>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</si>
  <si>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</si>
  <si>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</si>
  <si>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</si>
  <si>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</si>
  <si>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</si>
  <si>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</si>
  <si>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</si>
  <si>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</si>
  <si>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</si>
  <si>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</si>
  <si>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</si>
  <si>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</si>
  <si>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</si>
  <si>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</si>
  <si>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</si>
  <si>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</si>
  <si>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</si>
  <si>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</si>
  <si>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</si>
  <si>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</si>
  <si>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</si>
  <si>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</si>
  <si>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</si>
  <si>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</si>
  <si>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</si>
  <si>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</si>
  <si>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</si>
  <si>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</si>
  <si>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</si>
  <si>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</si>
  <si>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</si>
  <si>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</si>
  <si>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</si>
  <si>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</si>
  <si>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</si>
  <si>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</si>
  <si>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</si>
  <si>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</si>
  <si>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</si>
  <si>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</si>
  <si>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</si>
  <si>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</si>
  <si>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</si>
  <si>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</si>
  <si>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</si>
  <si>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</si>
  <si>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</si>
  <si>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</si>
  <si>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</si>
  <si>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</si>
  <si>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</si>
  <si>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</si>
  <si>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</si>
  <si>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</si>
  <si>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</si>
  <si>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</si>
  <si>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</si>
  <si>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</si>
  <si>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</si>
  <si>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</si>
  <si>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</si>
  <si>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</si>
  <si>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</si>
  <si>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</si>
  <si>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</si>
  <si>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</si>
  <si>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</si>
  <si>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</si>
  <si>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</si>
  <si>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</si>
  <si>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</si>
  <si>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</si>
  <si>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</si>
  <si>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</si>
  <si>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</si>
  <si>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</si>
  <si>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</si>
  <si>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</si>
  <si>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</si>
  <si>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</si>
  <si>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</si>
  <si>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</si>
  <si>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</si>
  <si>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</si>
  <si>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</si>
  <si>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</si>
  <si>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</si>
  <si>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</si>
  <si>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</si>
  <si>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</si>
  <si>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</si>
  <si>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</si>
  <si>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</si>
  <si>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</si>
  <si>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</si>
  <si>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</si>
  <si>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</si>
  <si>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</si>
  <si>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</si>
  <si>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</si>
  <si>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</si>
  <si>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</si>
  <si>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</si>
  <si>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</si>
  <si>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</si>
  <si>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</si>
  <si>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</si>
  <si>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</si>
  <si>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</si>
  <si>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</si>
  <si>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</si>
  <si>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</si>
  <si>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</si>
  <si>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</si>
  <si>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</si>
  <si>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</si>
  <si>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</si>
  <si>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</si>
  <si>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</si>
  <si>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</si>
  <si>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</si>
  <si>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</si>
  <si>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</si>
  <si>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</si>
  <si>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</si>
  <si>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</si>
  <si>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</si>
  <si>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</si>
  <si>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</si>
  <si>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</si>
  <si>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</si>
  <si>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</si>
  <si>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</si>
  <si>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</si>
  <si>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</si>
  <si>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</si>
  <si>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</si>
  <si>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</si>
  <si>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</si>
  <si>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</si>
  <si>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</si>
  <si>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</si>
  <si>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</si>
  <si>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</si>
  <si>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</si>
  <si>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</si>
  <si>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</si>
  <si>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</si>
  <si>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</si>
  <si>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</si>
  <si>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</si>
  <si>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</si>
  <si>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</si>
  <si>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</si>
  <si>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</si>
  <si>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</si>
  <si>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</si>
  <si>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</si>
  <si>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</si>
  <si>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</si>
  <si>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</si>
  <si>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</si>
  <si>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</si>
  <si>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</si>
  <si>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</si>
  <si>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</si>
  <si>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</si>
  <si>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</si>
  <si>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</si>
  <si>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</si>
  <si>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</si>
  <si>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</si>
  <si>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</si>
  <si>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</si>
  <si>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</si>
  <si>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</si>
  <si>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</si>
  <si>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</si>
  <si>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</si>
  <si>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</si>
  <si>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</si>
  <si>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</si>
  <si>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</si>
  <si>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</si>
  <si>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</si>
  <si>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</si>
  <si>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</si>
  <si>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</si>
  <si>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</si>
  <si>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</si>
  <si>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</si>
  <si>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</si>
  <si>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</si>
  <si>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</si>
  <si>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</si>
  <si>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</si>
  <si>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</si>
  <si>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</si>
  <si>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</si>
  <si>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</si>
  <si>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</si>
  <si>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</si>
  <si>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</si>
  <si>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</si>
  <si>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</si>
  <si>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</si>
  <si>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</si>
  <si>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</si>
  <si>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</si>
  <si>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</si>
  <si>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</si>
  <si>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</si>
  <si>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</si>
  <si>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</si>
  <si>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</si>
  <si>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</si>
  <si>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</si>
  <si>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</si>
  <si>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</si>
  <si>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</si>
  <si>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</si>
  <si>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</si>
  <si>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</si>
  <si>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</si>
  <si>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</si>
  <si>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</si>
  <si>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</si>
  <si>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</si>
  <si>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</si>
  <si>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</si>
  <si>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</si>
  <si>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</si>
  <si>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</si>
  <si>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Bits pro Probe</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</si>
  <si>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</si>
  <si>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</si>
  <si>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</si>
  <si>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</si>
  <si>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</si>
  <si>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</si>
  <si>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</si>
  <si>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</si>
  <si>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</si>
  <si>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</si>
  <si>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</si>
  <si>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</si>
  <si>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</si>
  <si>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</si>
  <si>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</si>
  <si>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</si>
  <si>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</si>
  <si>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</si>
  <si>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</si>
  <si>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</si>
  <si>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</si>
  <si>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</si>
  <si>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</si>
  <si>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</si>
  <si>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</si>
  <si>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</si>
  <si>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</si>
  <si>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</si>
  <si>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</si>
  <si>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</si>
  <si>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</si>
  <si>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</si>
  <si>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</si>
  <si>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</si>
  <si>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</si>
  <si>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</si>
  <si>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</si>
  <si>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</si>
  <si>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</si>
  <si>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</si>
  <si>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</si>
  <si>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</si>
  <si>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</si>
  <si>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</si>
  <si>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</si>
  <si>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</si>
  <si>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</si>
  <si>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</si>
  <si>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</si>
  <si>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</si>
  <si>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</si>
  <si>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</si>
  <si>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</si>
  <si>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</si>
  <si>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</si>
  <si>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</si>
  <si>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</si>
  <si>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</si>
  <si>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</si>
  <si>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</si>
  <si>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</si>
  <si>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</si>
  <si>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</si>
  <si>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</si>
  <si>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</si>
  <si>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</si>
  <si>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</si>
  <si>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</si>
  <si>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</si>
  <si>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</si>
  <si>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</si>
  <si>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</si>
  <si>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</si>
  <si>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</si>
  <si>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</si>
  <si>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</si>
  <si>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</si>
  <si>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</si>
  <si>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</si>
  <si>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</si>
  <si>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</si>
  <si>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</si>
  <si>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</si>
  <si>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</si>
  <si>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</si>
  <si>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</si>
  <si>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</si>
  <si>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</si>
  <si>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</si>
  <si>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</si>
  <si>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</si>
  <si>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</si>
  <si>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</si>
  <si>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</si>
  <si>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</si>
  <si>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</si>
  <si>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</si>
  <si>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</si>
  <si>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</si>
  <si>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</si>
  <si>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</si>
  <si>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</si>
  <si>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</si>
  <si>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</si>
  <si>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</si>
  <si>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</si>
  <si>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</si>
  <si>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</si>
  <si>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</si>
  <si>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</si>
  <si>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</si>
  <si>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</si>
  <si>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</si>
  <si>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</si>
  <si>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</si>
  <si>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</si>
  <si>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</si>
  <si>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</si>
  <si>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</si>
  <si>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</si>
  <si>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</si>
  <si>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</si>
  <si>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</si>
  <si>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</si>
  <si>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</si>
  <si>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</si>
  <si>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</si>
  <si>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</si>
  <si>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</si>
  <si>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</si>
  <si>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</si>
  <si>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</si>
  <si>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</si>
  <si>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</si>
  <si>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</si>
  <si>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</si>
  <si>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</si>
  <si>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</si>
  <si>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</si>
  <si>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</si>
  <si>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</si>
  <si>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</si>
  <si>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</si>
  <si>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</si>
  <si>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</si>
  <si>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</si>
  <si>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</si>
  <si>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</si>
  <si>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</si>
  <si>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</si>
  <si>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</si>
  <si>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</si>
  <si>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</si>
  <si>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</si>
  <si>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</si>
  <si>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</si>
  <si>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</si>
  <si>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</si>
  <si>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</si>
  <si>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</si>
  <si>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</si>
  <si>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</si>
  <si>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</si>
  <si>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</si>
  <si>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</si>
  <si>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</si>
  <si>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</si>
  <si>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</si>
  <si>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</si>
  <si>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</si>
  <si>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</si>
  <si>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</si>
  <si>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</si>
  <si>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</si>
  <si>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</si>
  <si>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</si>
  <si>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</si>
  <si>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</si>
  <si>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</si>
  <si>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</si>
  <si>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</si>
  <si>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</si>
  <si>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</si>
  <si>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</si>
  <si>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</si>
  <si>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Datei-Länge</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</si>
  <si>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</si>
  <si>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</si>
  <si>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</si>
  <si>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</si>
  <si>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</si>
  <si>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</si>
  <si>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</si>
  <si>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</si>
  <si>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</si>
  <si>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</si>
  <si>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</si>
  <si>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</si>
  <si>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</si>
  <si>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</si>
  <si>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</si>
  <si>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</si>
  <si>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</si>
  <si>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</si>
  <si>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</si>
  <si>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</si>
  <si>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</si>
  <si>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</si>
  <si>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</si>
  <si>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</si>
  <si>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</si>
  <si>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</si>
  <si>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</si>
  <si>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</si>
  <si>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</si>
  <si>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</si>
  <si>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</si>
  <si>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</si>
  <si>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</si>
  <si>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</si>
  <si>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</si>
  <si>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</si>
  <si>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</si>
  <si>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</si>
  <si>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</si>
  <si>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</si>
  <si>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</si>
  <si>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</si>
  <si>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</si>
  <si>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</si>
  <si>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</si>
  <si>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</si>
  <si>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</si>
  <si>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</si>
  <si>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</si>
  <si>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</si>
  <si>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</si>
  <si>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</si>
  <si>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</si>
  <si>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</si>
  <si>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</si>
  <si>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</si>
  <si>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</si>
  <si>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</si>
  <si>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</si>
  <si>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</si>
  <si>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</si>
  <si>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</si>
  <si>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</si>
  <si>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</si>
  <si>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</si>
  <si>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</si>
  <si>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</si>
  <si>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</si>
  <si>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</si>
  <si>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</si>
  <si>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</si>
  <si>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</si>
  <si>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</si>
  <si>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</si>
  <si>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</si>
  <si>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</si>
  <si>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</si>
  <si>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</si>
  <si>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</si>
  <si>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</si>
  <si>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</si>
  <si>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</si>
  <si>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</si>
  <si>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</si>
  <si>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</si>
  <si>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</si>
  <si>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</si>
  <si>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</si>
  <si>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</si>
  <si>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</si>
  <si>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</si>
  <si>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</si>
  <si>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</si>
  <si>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</si>
  <si>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</si>
  <si>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</si>
  <si>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</si>
  <si>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</si>
  <si>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</si>
  <si>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</si>
  <si>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</si>
  <si>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t>
  </si>
  <si>
    <t>Seriennummer der Kamera oder des Kameragehäuses, die das Bild aufgenommen hat.</t>
  </si>
  <si>
    <t>Copyright Information. In diesem Standard wird das Tag verwendet, um sowohl die Fotografen- als auch Herausgeber-Urheberrechte anzugeben. Es ist der Copyright-Vermerk der Person oder Organisation, die Ansprüche auf das Bild geltend machen. Die Copyright-Erklärung inklusive Datum und Rechte sollten in diesem Bereich geschrieben werden, z.B. "Urheberrecht, John Smith, 19xx Alle Rechte vorbehalten.". In dieser Norm enthält das Feld Datensätze sowohl der Fotografen- als auch Herausgeber-Urheberrechte, wobei jeder in einem separaten Teil erfasst wird. Wenn es eine klare Unterscheidung zwischen den Fotografen- und Herausgeber-Urheberrechte gibt, sind diese in der Reihenfolge der Fotografen- vor den Herausgeber-Urheberrechten, durch NULL getrennt, zu schreiben (in diesem Fall, da dieAngabe auch mit einem NULL endet, gibt es zwei NULL-Codes). Wenn nur die Fotografen-Urheberrechte angegeben sind, wird es durch einen NULL-Code beendet. Wenn nur die Herausgeber-Urheberrechte angegeben ist, bestehen die Fotografen-Urhaberrechte aus einem Bereich, gefolgt von einem abschließenden NULL-Code, dann werden die Herausgeber-Urheberrechte angegeben. Wenn das Feld leer ist, wird es als unbekannt behandelt.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</si>
  <si>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</si>
  <si>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</si>
  <si>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</si>
  <si>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</si>
  <si>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</si>
  <si>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</si>
  <si>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</si>
  <si>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</si>
  <si>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</si>
  <si>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</si>
  <si>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</si>
  <si>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</si>
  <si>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</si>
  <si>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</si>
  <si>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</si>
  <si>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</si>
  <si>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</si>
  <si>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</si>
  <si>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</si>
  <si>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</si>
  <si>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</si>
  <si>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</si>
  <si>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</si>
  <si>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</si>
  <si>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</si>
  <si>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</si>
  <si>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</si>
  <si>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</si>
  <si>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</si>
  <si>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</si>
  <si>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</si>
  <si>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</si>
  <si>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</si>
  <si>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</si>
  <si>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</si>
  <si>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</si>
  <si>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</si>
  <si>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</si>
  <si>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</si>
  <si>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</si>
  <si>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</si>
  <si>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</si>
  <si>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</si>
  <si>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</si>
  <si>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</si>
  <si>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</si>
  <si>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</si>
  <si>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</si>
  <si>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</si>
  <si>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</si>
  <si>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</si>
  <si>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</si>
  <si>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</si>
  <si>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</si>
  <si>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Kontaktinformation Adresse. Umfasst einen optionalen Firmennamen und alle erforderlichen Informationen, um Post an ein Gebäude oder Postfach senden zu können.</t>
  </si>
  <si>
    <t>Enthält alle notwendigen Urheberrechtsschutz-Angaben für die Inanspruchnahme des geistigen Eigentums für Grafik oder ein Objekt im Bild und sollte die aktuelle Inhaber des Urheberrechts dieser Arbeit mit zugehörigen Rechte an geistigem Eigentum  identifizieren.</t>
  </si>
  <si>
    <t>Die Organisation oder Körperschaft, die das Kunstwerk oder Objekt im Bild für Inventur-Zwecke registriert.</t>
  </si>
  <si>
    <t>Das Datum und die Zeit, zu dem zuletzt eines der IPTC Foto-Metadaten-Felder bearbeitet wurde.</t>
  </si>
  <si>
    <t>Der Name der Welt-Region von einem Schauplatz.</t>
  </si>
  <si>
    <t>Informationen über die ethnische Zugehörigkeit und andere Fakten des Modells in einem vom Modell freigegebenen Bild.</t>
  </si>
  <si>
    <t>Enthält den Namen des Künstlers, der ein Kunstwerk oder ein Objekt im Bild geschaffen hat. In Fällen, in denen der Künstler nicht identifiziert werden konnte oder sollte, kann der Namen eines Unternehmens oder einer Organisation angemessen sein.</t>
  </si>
  <si>
    <t>Die Art der Quell-Digital-Datei.</t>
  </si>
  <si>
    <t>Eine eindeutige Kennung, durch eine Registrierung erstellt und zugeordnet durch die Schöpfer des digitalen Bildes. Dieser Wert darf nicht nach dem Zuordnen verändert werden. Diese Kennung wird mit einem entsprechenden Registrierungs-Organisations-Kennung verknüpft.</t>
  </si>
  <si>
    <t>Eine Kennung für die Registrierung, die die entsprechende Registrierungs-Eintrag-Id vergibt.</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</si>
  <si>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</si>
  <si>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</si>
  <si>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</si>
  <si>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</si>
  <si>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</si>
  <si>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</si>
  <si>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</si>
  <si>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</si>
  <si>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</si>
  <si>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</si>
  <si>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</si>
  <si>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</si>
  <si>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</si>
  <si>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</si>
  <si>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</si>
  <si>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</si>
  <si>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</si>
  <si>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</si>
  <si>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</si>
  <si>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</si>
  <si>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</si>
  <si>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</si>
  <si>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</si>
  <si>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</si>
  <si>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</si>
  <si>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</si>
  <si>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</si>
  <si>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</si>
  <si>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</si>
  <si>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</si>
  <si>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</si>
  <si>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</si>
  <si>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</si>
  <si>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</si>
  <si>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</si>
  <si>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</si>
  <si>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</si>
  <si>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</si>
  <si>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</si>
  <si>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</si>
  <si>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</si>
  <si>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</si>
  <si>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</si>
  <si>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</si>
  <si>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</si>
  <si>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</si>
  <si>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</si>
  <si>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</si>
  <si>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</si>
  <si>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</si>
  <si>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</si>
  <si>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</si>
  <si>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</si>
  <si>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</si>
  <si>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</si>
  <si>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</si>
  <si>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</si>
  <si>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</si>
  <si>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</si>
  <si>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</si>
  <si>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</si>
  <si>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</si>
  <si>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</si>
  <si>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</si>
  <si>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</si>
  <si>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</si>
  <si>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</si>
  <si>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</si>
  <si>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</si>
  <si>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</si>
  <si>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</si>
  <si>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</si>
  <si>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</si>
  <si>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</si>
  <si>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</si>
  <si>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</si>
  <si>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</si>
  <si>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</si>
  <si>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</si>
  <si>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</si>
  <si>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</si>
  <si>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</si>
  <si>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</si>
  <si>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</si>
  <si>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</si>
  <si>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</si>
  <si>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</si>
  <si>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</si>
  <si>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</si>
  <si>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</si>
  <si>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</si>
  <si>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</si>
  <si>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</si>
  <si>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</si>
  <si>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</si>
  <si>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</si>
  <si>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</si>
  <si>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</si>
  <si>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</si>
  <si>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</si>
  <si>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</si>
  <si>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</si>
  <si>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</si>
  <si>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</si>
  <si>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</si>
  <si>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</si>
  <si>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</si>
  <si>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</si>
  <si>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</si>
  <si>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</si>
  <si>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</si>
  <si>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</si>
  <si>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</si>
  <si>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</si>
  <si>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</si>
  <si>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</si>
  <si>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</si>
  <si>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</si>
  <si>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</si>
  <si>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</si>
  <si>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</si>
  <si>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</si>
  <si>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</si>
  <si>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</si>
  <si>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</si>
  <si>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</si>
  <si>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</si>
  <si>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</si>
  <si>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</si>
  <si>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</si>
  <si>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</si>
  <si>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</si>
  <si>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</si>
  <si>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</si>
  <si>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</si>
  <si>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</si>
  <si>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</si>
  <si>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</si>
  <si>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</si>
  <si>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</si>
  <si>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</si>
  <si>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</si>
  <si>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</si>
  <si>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</si>
  <si>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</si>
  <si>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</si>
  <si>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</si>
  <si>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</si>
  <si>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</si>
  <si>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</si>
  <si>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</si>
  <si>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</si>
  <si>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</si>
  <si>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</si>
  <si>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</si>
  <si>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</si>
  <si>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</si>
  <si>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</si>
  <si>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</si>
  <si>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</si>
  <si>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</si>
  <si>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</si>
  <si>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</si>
  <si>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</si>
  <si>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</si>
  <si>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</si>
  <si>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</si>
  <si>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</si>
  <si>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</si>
  <si>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</si>
  <si>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</si>
  <si>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</si>
  <si>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</si>
  <si>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</si>
  <si>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</si>
  <si>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</si>
  <si>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</si>
  <si>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</si>
  <si>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</si>
  <si>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</si>
  <si>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</si>
  <si>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</si>
  <si>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</si>
  <si>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</si>
  <si>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</si>
  <si>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</si>
  <si>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</si>
  <si>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</si>
  <si>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</si>
  <si>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</si>
  <si>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</si>
  <si>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</si>
  <si>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</si>
  <si>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</si>
  <si>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</si>
  <si>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</si>
  <si>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</si>
  <si>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</si>
  <si>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</si>
  <si>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</si>
  <si>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</si>
  <si>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</si>
  <si>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</si>
  <si>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</si>
  <si>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</si>
  <si>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</si>
  <si>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</si>
  <si>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</si>
  <si>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</si>
  <si>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</si>
  <si>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</si>
  <si>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</si>
  <si>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</si>
  <si>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</si>
  <si>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</si>
  <si>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</si>
  <si>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</si>
  <si>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</si>
  <si>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</si>
  <si>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</si>
  <si>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</si>
  <si>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</si>
  <si>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</si>
  <si>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</si>
  <si>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</si>
  <si>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</si>
  <si>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</si>
  <si>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</si>
  <si>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</si>
  <si>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</si>
  <si>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</si>
  <si>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Bildhelligkeit</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</si>
  <si>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</si>
  <si>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</si>
  <si>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</si>
  <si>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</si>
  <si>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</si>
  <si>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</si>
  <si>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</si>
  <si>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</si>
  <si>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</si>
  <si>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</si>
  <si>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</si>
  <si>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</si>
  <si>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</si>
  <si>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</si>
  <si>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</si>
  <si>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</si>
  <si>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</si>
  <si>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</si>
  <si>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</si>
  <si>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</si>
  <si>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</si>
  <si>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</si>
  <si>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</si>
  <si>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</si>
  <si>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</si>
  <si>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</si>
  <si>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</si>
  <si>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</si>
  <si>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</si>
  <si>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</si>
  <si>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</si>
  <si>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</si>
  <si>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</si>
  <si>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</si>
  <si>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</si>
  <si>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</si>
  <si>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</si>
  <si>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</si>
  <si>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</si>
  <si>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</si>
  <si>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</si>
  <si>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</si>
  <si>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</si>
  <si>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</si>
  <si>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</si>
  <si>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</si>
  <si>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</si>
  <si>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</si>
  <si>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</si>
  <si>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</si>
  <si>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</si>
  <si>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</si>
  <si>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</si>
  <si>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</si>
  <si>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</si>
  <si>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</si>
  <si>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</si>
  <si>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</si>
  <si>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</si>
  <si>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</si>
  <si>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</si>
  <si>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</si>
  <si>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</si>
  <si>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</si>
  <si>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</si>
  <si>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</si>
  <si>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</si>
  <si>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</si>
  <si>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</si>
  <si>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</si>
  <si>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</si>
  <si>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</si>
  <si>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</si>
  <si>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</si>
  <si>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</si>
  <si>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</si>
  <si>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</si>
  <si>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</si>
  <si>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</si>
  <si>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</si>
  <si>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</si>
  <si>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</si>
  <si>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</si>
  <si>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</si>
  <si>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</si>
  <si>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</si>
  <si>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</si>
  <si>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</si>
  <si>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</si>
  <si>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</si>
  <si>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</si>
  <si>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</si>
  <si>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</si>
  <si>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</si>
  <si>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</si>
  <si>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</si>
  <si>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</si>
  <si>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</si>
  <si>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</si>
  <si>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</si>
  <si>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</si>
  <si>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</si>
  <si>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</si>
  <si>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</si>
  <si>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</si>
  <si>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</si>
  <si>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</si>
  <si>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</si>
  <si>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</si>
  <si>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</si>
  <si>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</si>
  <si>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</si>
  <si>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</si>
  <si>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</si>
  <si>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</si>
  <si>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</si>
  <si>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</si>
  <si>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</si>
  <si>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</si>
  <si>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</si>
  <si>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</si>
  <si>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</si>
  <si>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</si>
  <si>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</si>
  <si>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</si>
  <si>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</si>
  <si>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</si>
  <si>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</si>
  <si>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</si>
  <si>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</si>
  <si>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</si>
  <si>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</si>
  <si>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</si>
  <si>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</si>
  <si>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</si>
  <si>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</si>
  <si>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</si>
  <si>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</si>
  <si>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</si>
  <si>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</si>
  <si>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</si>
  <si>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</si>
  <si>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Exif.Panasonic.BurstSheed</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</si>
  <si>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</si>
  <si>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</si>
  <si>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</si>
  <si>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</si>
  <si>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</si>
  <si>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</si>
  <si>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</si>
  <si>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</si>
  <si>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</si>
  <si>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</si>
  <si>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</si>
  <si>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</si>
  <si>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</si>
  <si>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</si>
  <si>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</si>
  <si>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</si>
  <si>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</si>
  <si>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</si>
  <si>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</si>
  <si>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</si>
  <si>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</si>
  <si>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</si>
  <si>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</si>
  <si>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</si>
  <si>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</si>
  <si>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</si>
  <si>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</si>
  <si>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</si>
  <si>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</si>
  <si>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</si>
  <si>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</si>
  <si>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</si>
  <si>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</si>
  <si>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</si>
  <si>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</si>
  <si>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</si>
  <si>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</si>
  <si>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</si>
  <si>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</si>
  <si>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</si>
  <si>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</si>
  <si>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</si>
  <si>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</si>
  <si>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</si>
  <si>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</si>
  <si>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</si>
  <si>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</si>
  <si>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</si>
  <si>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</si>
  <si>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</si>
  <si>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</si>
  <si>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</si>
  <si>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</si>
  <si>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</si>
  <si>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</si>
  <si>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</si>
  <si>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</si>
  <si>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</si>
  <si>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</si>
  <si>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</si>
  <si>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</si>
  <si>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</si>
  <si>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</si>
  <si>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</si>
  <si>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</si>
  <si>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</si>
  <si>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</si>
  <si>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</si>
  <si>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</si>
  <si>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</si>
  <si>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</si>
  <si>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</si>
  <si>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</si>
  <si>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</si>
  <si>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</si>
  <si>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</si>
  <si>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</si>
  <si>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</si>
  <si>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</si>
  <si>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</si>
  <si>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</si>
  <si>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</si>
  <si>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</si>
  <si>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</si>
  <si>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</si>
  <si>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</si>
  <si>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</si>
  <si>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</si>
  <si>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</si>
  <si>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</si>
  <si>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</si>
  <si>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</si>
  <si>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</si>
  <si>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</si>
  <si>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</si>
  <si>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</si>
  <si>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</si>
  <si>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</si>
  <si>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</si>
  <si>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</si>
  <si>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</si>
  <si>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</si>
  <si>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</si>
  <si>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</si>
  <si>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</si>
  <si>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</si>
  <si>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</si>
  <si>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</si>
  <si>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</si>
  <si>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</si>
  <si>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</si>
  <si>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</si>
  <si>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</si>
  <si>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</si>
  <si>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</si>
  <si>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</si>
  <si>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</si>
  <si>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</si>
  <si>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</si>
  <si>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</si>
  <si>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</si>
  <si>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</si>
  <si>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</si>
  <si>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</si>
  <si>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</si>
  <si>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</si>
  <si>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</si>
  <si>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</si>
  <si>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</si>
  <si>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</si>
  <si>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</si>
  <si>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</si>
  <si>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</si>
  <si>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</si>
  <si>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</si>
  <si>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</si>
  <si>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</si>
  <si>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</si>
  <si>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</si>
  <si>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</si>
  <si>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</si>
  <si>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</si>
  <si>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</si>
  <si>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</si>
  <si>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</si>
  <si>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</si>
  <si>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</si>
  <si>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</si>
  <si>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</si>
  <si>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</si>
  <si>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</si>
  <si>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</si>
  <si>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</si>
  <si>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</si>
  <si>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</si>
  <si>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</si>
  <si>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</si>
  <si>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</si>
  <si>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</si>
  <si>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</si>
  <si>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</si>
  <si>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</si>
  <si>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</si>
  <si>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</si>
  <si>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</si>
  <si>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</si>
  <si>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</si>
  <si>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</si>
  <si>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</si>
  <si>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</si>
  <si>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</si>
  <si>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</si>
  <si>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</si>
  <si>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</si>
  <si>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</si>
  <si>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</si>
  <si>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</si>
  <si>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</si>
  <si>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</si>
  <si>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</si>
  <si>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</si>
  <si>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</si>
  <si>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</si>
  <si>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</si>
  <si>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</si>
  <si>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</si>
  <si>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</si>
  <si>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</si>
  <si>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</si>
  <si>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</si>
  <si>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</si>
  <si>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</si>
  <si>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</si>
  <si>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</si>
  <si>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</si>
  <si>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</si>
  <si>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</si>
  <si>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</si>
  <si>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</si>
  <si>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</si>
  <si>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</si>
  <si>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</si>
  <si>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</si>
  <si>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</si>
  <si>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</si>
  <si>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</si>
  <si>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</si>
  <si>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</si>
  <si>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</si>
  <si>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</si>
  <si>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</si>
  <si>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</si>
  <si>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</si>
  <si>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</si>
  <si>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</si>
  <si>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</si>
  <si>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</si>
  <si>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</si>
  <si>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</si>
  <si>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</si>
  <si>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</si>
  <si>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</si>
  <si>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</si>
  <si>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</si>
  <si>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</si>
  <si>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</si>
  <si>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</si>
  <si>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</si>
  <si>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</si>
  <si>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</si>
  <si>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</si>
  <si>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</si>
  <si>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</si>
  <si>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</si>
  <si>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</si>
  <si>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</si>
  <si>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</si>
  <si>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</si>
  <si>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</si>
  <si>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</si>
  <si>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</si>
  <si>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</si>
  <si>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</si>
  <si>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</si>
  <si>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</si>
  <si>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</si>
  <si>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</si>
  <si>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</si>
  <si>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</si>
  <si>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</si>
  <si>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</si>
  <si>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</si>
  <si>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</si>
  <si>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</si>
  <si>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</si>
  <si>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</si>
  <si>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</si>
  <si>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</si>
  <si>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</si>
  <si>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</si>
  <si>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</si>
  <si>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</si>
  <si>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</si>
  <si>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</si>
  <si>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</si>
  <si>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</si>
  <si>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</si>
  <si>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</si>
  <si>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</si>
  <si>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</si>
  <si>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</si>
  <si>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</si>
  <si>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</si>
  <si>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</si>
  <si>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</si>
  <si>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</si>
  <si>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</si>
  <si>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</si>
  <si>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</si>
  <si>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</si>
  <si>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</si>
  <si>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</si>
  <si>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</si>
  <si>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</si>
  <si>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</si>
  <si>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</si>
  <si>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</si>
  <si>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</si>
  <si>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</si>
  <si>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</si>
  <si>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</si>
  <si>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</si>
  <si>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</si>
  <si>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</si>
  <si>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</si>
  <si>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</si>
  <si>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</si>
  <si>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</si>
  <si>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</si>
  <si>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</si>
  <si>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</si>
  <si>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</si>
  <si>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</si>
  <si>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</si>
  <si>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</si>
  <si>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</si>
  <si>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</si>
  <si>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</si>
  <si>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</si>
  <si>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</si>
  <si>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</si>
  <si>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</si>
  <si>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</si>
  <si>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</si>
  <si>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</si>
  <si>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</si>
  <si>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</si>
  <si>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</si>
  <si>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</si>
  <si>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</si>
  <si>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</si>
  <si>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</si>
  <si>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</si>
  <si>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</si>
  <si>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</si>
  <si>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</si>
  <si>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</si>
  <si>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</si>
  <si>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</si>
  <si>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</si>
  <si>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</si>
  <si>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</si>
  <si>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</si>
  <si>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</si>
  <si>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</si>
  <si>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</si>
  <si>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</si>
  <si>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</si>
  <si>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</si>
  <si>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</si>
  <si>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</si>
  <si>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</si>
  <si>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</si>
  <si>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</si>
  <si>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</si>
  <si>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</si>
  <si>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</si>
  <si>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</si>
  <si>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</si>
  <si>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</si>
  <si>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</si>
  <si>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</si>
  <si>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</si>
  <si>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</si>
  <si>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</si>
  <si>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</si>
  <si>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</si>
  <si>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</si>
  <si>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</si>
  <si>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</si>
  <si>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</si>
  <si>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</si>
  <si>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</si>
  <si>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</si>
  <si>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</si>
  <si>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</si>
  <si>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</si>
  <si>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</si>
  <si>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</si>
  <si>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</si>
  <si>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</si>
  <si>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</si>
  <si>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</si>
  <si>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</si>
  <si>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</si>
  <si>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</si>
  <si>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</si>
  <si>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</si>
  <si>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</si>
  <si>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</si>
  <si>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</si>
  <si>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</si>
  <si>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</si>
  <si>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</si>
  <si>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</si>
  <si>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</si>
  <si>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</si>
  <si>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</si>
  <si>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</si>
  <si>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</si>
  <si>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</si>
  <si>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</si>
  <si>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</si>
  <si>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</si>
  <si>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</si>
  <si>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</si>
  <si>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</si>
  <si>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</si>
  <si>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</si>
  <si>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</si>
  <si>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</si>
  <si>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</si>
  <si>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</si>
  <si>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</si>
  <si>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</si>
  <si>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</si>
  <si>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</si>
  <si>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</si>
  <si>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</si>
  <si>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</si>
  <si>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</si>
  <si>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</si>
  <si>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</si>
  <si>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</si>
  <si>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</si>
  <si>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</si>
  <si>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</si>
  <si>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</si>
  <si>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</si>
  <si>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</si>
  <si>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</si>
  <si>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</si>
  <si>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</si>
  <si>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</si>
  <si>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</si>
  <si>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</si>
  <si>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</si>
  <si>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</si>
  <si>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</si>
  <si>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</si>
  <si>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</si>
  <si>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</si>
  <si>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</si>
  <si>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</si>
  <si>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</si>
  <si>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</si>
  <si>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</si>
  <si>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</si>
  <si>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</si>
  <si>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</si>
  <si>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</si>
  <si>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</si>
  <si>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</si>
  <si>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</si>
  <si>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</si>
  <si>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</si>
  <si>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</si>
  <si>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</si>
  <si>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</si>
  <si>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</si>
  <si>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</si>
  <si>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</si>
  <si>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</si>
  <si>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</si>
  <si>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</si>
  <si>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</si>
  <si>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</si>
  <si>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</si>
  <si>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</si>
  <si>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</si>
  <si>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</si>
  <si>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</si>
  <si>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</si>
  <si>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</si>
  <si>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</si>
  <si>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</si>
  <si>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</si>
  <si>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</si>
  <si>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</si>
  <si>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</si>
  <si>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</si>
  <si>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</si>
  <si>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</si>
  <si>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</si>
  <si>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</si>
  <si>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</si>
  <si>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</si>
  <si>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</si>
  <si>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</si>
  <si>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</si>
  <si>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</si>
  <si>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</si>
  <si>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</si>
  <si>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</si>
  <si>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</si>
  <si>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</si>
  <si>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</si>
  <si>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</si>
  <si>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</si>
  <si>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</si>
  <si>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</si>
  <si>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</si>
  <si>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</si>
  <si>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</si>
  <si>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</si>
  <si>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</si>
  <si>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</si>
  <si>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</si>
  <si>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</si>
  <si>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</si>
  <si>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</si>
  <si>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</si>
  <si>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</si>
  <si>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</si>
  <si>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</si>
  <si>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</si>
  <si>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</si>
  <si>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</si>
  <si>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</si>
  <si>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</si>
  <si>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</si>
  <si>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</si>
  <si>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</si>
  <si>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</si>
  <si>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</si>
  <si>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</si>
  <si>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</si>
  <si>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</si>
  <si>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</si>
  <si>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</si>
  <si>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</si>
  <si>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</si>
  <si>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</si>
  <si>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</si>
  <si>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</si>
  <si>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</si>
  <si>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</si>
  <si>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</si>
  <si>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</si>
  <si>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</si>
  <si>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</si>
  <si>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</si>
  <si>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</si>
  <si>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</si>
  <si>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</si>
  <si>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</si>
  <si>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</si>
  <si>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</si>
  <si>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</si>
  <si>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</si>
  <si>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</si>
  <si>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</si>
  <si>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</si>
  <si>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</si>
  <si>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</si>
  <si>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</si>
  <si>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</si>
  <si>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</si>
  <si>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</si>
  <si>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</si>
  <si>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</si>
  <si>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</si>
  <si>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</si>
  <si>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</si>
  <si>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</si>
  <si>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</si>
  <si>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</si>
  <si>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</si>
  <si>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</si>
  <si>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</si>
  <si>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</si>
  <si>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</si>
  <si>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</si>
  <si>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</si>
  <si>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</si>
  <si>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</si>
  <si>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</si>
  <si>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</si>
  <si>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</si>
  <si>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</si>
  <si>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</si>
  <si>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</si>
  <si>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</si>
  <si>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</si>
  <si>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</si>
  <si>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</si>
  <si>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</si>
  <si>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</si>
  <si>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</si>
  <si>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</si>
  <si>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</si>
  <si>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</si>
  <si>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</si>
  <si>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</si>
  <si>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</si>
  <si>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</si>
  <si>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</si>
  <si>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</si>
  <si>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</si>
  <si>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</si>
  <si>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</si>
  <si>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</si>
  <si>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</si>
  <si>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</si>
  <si>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</si>
  <si>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</si>
  <si>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</si>
  <si>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</si>
  <si>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</si>
  <si>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</si>
  <si>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</si>
  <si>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</si>
  <si>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</si>
  <si>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</si>
  <si>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</si>
  <si>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</si>
  <si>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</si>
  <si>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</si>
  <si>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</si>
  <si>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</si>
  <si>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</si>
  <si>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</si>
  <si>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</si>
  <si>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</si>
  <si>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</si>
  <si>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</si>
  <si>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</si>
  <si>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</si>
  <si>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</si>
  <si>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</si>
  <si>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</si>
  <si>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</si>
  <si>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</si>
  <si>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</si>
  <si>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</si>
  <si>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</si>
  <si>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</si>
  <si>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</si>
  <si>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</si>
  <si>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</si>
  <si>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</si>
  <si>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</si>
  <si>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</si>
  <si>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</si>
  <si>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</si>
  <si>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</si>
  <si>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</si>
  <si>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</si>
  <si>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</si>
  <si>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</si>
  <si>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</si>
  <si>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</si>
  <si>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</si>
  <si>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</si>
  <si>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</si>
  <si>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</si>
  <si>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</si>
  <si>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</si>
  <si>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</si>
  <si>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</si>
  <si>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</si>
  <si>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</si>
  <si>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</si>
  <si>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</si>
  <si>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</si>
  <si>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</si>
  <si>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</si>
  <si>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</si>
  <si>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</si>
  <si>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</si>
  <si>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</si>
  <si>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</si>
  <si>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</si>
  <si>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</si>
  <si>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</si>
  <si>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</si>
  <si>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</si>
  <si>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</si>
  <si>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</si>
  <si>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</si>
  <si>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</si>
  <si>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</si>
  <si>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</si>
  <si>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</si>
  <si>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</si>
  <si>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</si>
  <si>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</si>
  <si>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</si>
  <si>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</si>
  <si>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</si>
  <si>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</si>
  <si>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</si>
  <si>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</si>
  <si>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</si>
  <si>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</si>
  <si>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</si>
  <si>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</si>
  <si>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</si>
  <si>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</si>
  <si>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</si>
  <si>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</si>
  <si>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</si>
  <si>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</si>
  <si>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</si>
  <si>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</si>
  <si>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</si>
  <si>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</si>
  <si>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</si>
  <si>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</si>
  <si>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</si>
  <si>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</si>
  <si>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</si>
  <si>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</si>
  <si>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</si>
  <si>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</si>
  <si>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</si>
  <si>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</si>
  <si>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</si>
  <si>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</si>
  <si>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</si>
  <si>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</si>
  <si>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</si>
  <si>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</si>
  <si>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</si>
  <si>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</si>
  <si>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</si>
  <si>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</si>
  <si>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</si>
  <si>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</si>
  <si>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</si>
  <si>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</si>
  <si>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</si>
  <si>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</si>
  <si>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</si>
  <si>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</si>
  <si>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</si>
  <si>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</si>
  <si>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</si>
  <si>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</si>
  <si>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</si>
  <si>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</si>
  <si>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</si>
  <si>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</si>
  <si>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</si>
  <si>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</si>
  <si>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</si>
  <si>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</si>
  <si>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</si>
  <si>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</si>
  <si>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</si>
  <si>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</si>
  <si>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</si>
  <si>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</si>
  <si>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</si>
  <si>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</si>
  <si>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</si>
  <si>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</si>
  <si>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</si>
  <si>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</si>
  <si>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</si>
  <si>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</si>
  <si>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</si>
  <si>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</si>
  <si>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</si>
  <si>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</si>
  <si>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</si>
  <si>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</si>
  <si>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</si>
  <si>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</si>
  <si>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</si>
  <si>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</si>
  <si>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</si>
  <si>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</si>
  <si>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</si>
  <si>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</si>
  <si>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</si>
  <si>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</si>
  <si>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</si>
  <si>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</si>
  <si>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</si>
  <si>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</si>
  <si>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</si>
  <si>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</si>
  <si>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</si>
  <si>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</si>
  <si>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</si>
  <si>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</si>
  <si>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</si>
  <si>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</si>
  <si>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</si>
  <si>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</si>
  <si>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</si>
  <si>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</si>
  <si>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</si>
  <si>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</si>
  <si>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</si>
  <si>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</si>
  <si>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</si>
  <si>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</si>
  <si>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</si>
  <si>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</si>
  <si>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</si>
  <si>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</si>
  <si>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</si>
  <si>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</si>
  <si>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</si>
  <si>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</si>
  <si>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</si>
  <si>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</si>
  <si>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</si>
  <si>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</si>
  <si>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</si>
  <si>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</si>
  <si>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</si>
  <si>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</si>
  <si>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</si>
  <si>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</si>
  <si>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</si>
  <si>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</si>
  <si>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</si>
  <si>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</si>
  <si>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</si>
  <si>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</si>
  <si>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</si>
  <si>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</si>
  <si>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</si>
  <si>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</si>
  <si>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</si>
  <si>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</si>
  <si>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</si>
  <si>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</si>
  <si>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</si>
  <si>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</si>
  <si>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</si>
  <si>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</si>
  <si>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</si>
  <si>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</si>
  <si>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</si>
  <si>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</si>
  <si>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</si>
  <si>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</si>
  <si>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</si>
  <si>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</si>
  <si>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</si>
  <si>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</si>
  <si>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</si>
  <si>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</si>
  <si>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</si>
  <si>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</si>
  <si>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</si>
  <si>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</si>
  <si>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</si>
  <si>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</si>
  <si>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</si>
  <si>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</si>
  <si>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</si>
  <si>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</si>
  <si>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</si>
  <si>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</si>
  <si>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</si>
  <si>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</si>
  <si>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</si>
  <si>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</si>
  <si>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</si>
  <si>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</si>
  <si>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</si>
  <si>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</si>
  <si>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</si>
  <si>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</si>
  <si>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</si>
  <si>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</si>
  <si>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</si>
  <si>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</si>
  <si>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</si>
  <si>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</si>
  <si>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</si>
  <si>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</si>
  <si>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</si>
  <si>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</si>
  <si>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</si>
  <si>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</si>
  <si>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</si>
  <si>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</si>
  <si>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</si>
  <si>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</si>
  <si>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</si>
  <si>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</si>
  <si>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</si>
  <si>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</si>
  <si>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</si>
  <si>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</si>
  <si>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</si>
  <si>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</si>
  <si>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</si>
  <si>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</si>
  <si>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</si>
  <si>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</si>
  <si>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</si>
  <si>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</si>
  <si>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</si>
  <si>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</si>
  <si>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</si>
  <si>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</si>
  <si>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</si>
  <si>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</si>
  <si>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</si>
  <si>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</si>
  <si>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</si>
  <si>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</si>
  <si>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</si>
  <si>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</si>
  <si>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</si>
  <si>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</si>
  <si>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</si>
  <si>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</si>
  <si>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</si>
  <si>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</si>
  <si>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</si>
  <si>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</si>
  <si>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</si>
  <si>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</si>
  <si>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</si>
  <si>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</si>
  <si>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</si>
  <si>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</si>
  <si>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</si>
  <si>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</si>
  <si>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</si>
  <si>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</si>
  <si>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</si>
  <si>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</si>
  <si>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</si>
  <si>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</si>
  <si>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</si>
  <si>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</si>
  <si>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</si>
  <si>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</si>
  <si>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</si>
  <si>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</si>
  <si>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</si>
  <si>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</si>
  <si>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</si>
  <si>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</si>
  <si>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</si>
  <si>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</si>
  <si>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</si>
  <si>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</si>
  <si>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</si>
  <si>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</si>
  <si>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</si>
  <si>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</si>
  <si>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</si>
  <si>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</si>
  <si>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</si>
  <si>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</si>
  <si>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</si>
  <si>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</si>
  <si>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</si>
  <si>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</si>
  <si>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</si>
  <si>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</si>
  <si>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</si>
  <si>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</si>
  <si>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</si>
  <si>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</si>
  <si>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</si>
  <si>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</si>
  <si>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</si>
  <si>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</si>
  <si>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</si>
  <si>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</si>
  <si>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</si>
  <si>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</si>
  <si>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</si>
  <si>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</si>
  <si>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</si>
  <si>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</si>
  <si>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</si>
  <si>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</si>
  <si>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</si>
  <si>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</si>
  <si>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</si>
  <si>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</si>
  <si>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</si>
  <si>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</si>
  <si>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</si>
  <si>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</si>
  <si>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</si>
  <si>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</si>
  <si>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</si>
  <si>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</si>
  <si>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</si>
  <si>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</si>
  <si>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</si>
  <si>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</si>
  <si>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</si>
  <si>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</si>
  <si>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</si>
  <si>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</si>
  <si>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</si>
  <si>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</si>
  <si>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</si>
  <si>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</si>
  <si>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</si>
  <si>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</si>
  <si>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</si>
  <si>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</si>
  <si>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</si>
  <si>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</si>
  <si>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</si>
  <si>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</si>
  <si>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</si>
  <si>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</si>
  <si>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</si>
  <si>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</si>
  <si>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</si>
  <si>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</si>
  <si>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</si>
  <si>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</si>
  <si>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</si>
  <si>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</si>
  <si>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</si>
  <si>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</si>
  <si>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</si>
  <si>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</si>
  <si>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</si>
  <si>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</si>
  <si>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</si>
  <si>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</si>
  <si>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</si>
  <si>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</si>
  <si>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</si>
  <si>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</si>
  <si>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</si>
  <si>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</si>
  <si>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</si>
  <si>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</si>
  <si>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</si>
  <si>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</si>
  <si>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</si>
  <si>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</si>
  <si>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</si>
  <si>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</si>
  <si>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</si>
  <si>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</si>
  <si>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</si>
  <si>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</si>
  <si>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</si>
  <si>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</si>
  <si>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</si>
  <si>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</si>
  <si>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</si>
  <si>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</si>
  <si>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</si>
  <si>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</si>
  <si>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</si>
  <si>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</si>
  <si>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</si>
  <si>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</si>
  <si>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</si>
  <si>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</si>
  <si>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</si>
  <si>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</si>
  <si>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</si>
  <si>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</si>
  <si>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</si>
  <si>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</si>
  <si>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</si>
  <si>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</si>
  <si>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</si>
  <si>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</si>
  <si>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</si>
  <si>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</si>
  <si>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</si>
  <si>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</si>
  <si>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</si>
  <si>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</si>
  <si>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</si>
  <si>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</si>
  <si>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</si>
  <si>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</si>
  <si>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</si>
  <si>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</si>
  <si>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</si>
  <si>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</si>
  <si>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</si>
  <si>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</si>
  <si>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</si>
  <si>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</si>
  <si>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</si>
  <si>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</si>
  <si>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</si>
  <si>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</si>
  <si>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</si>
  <si>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</si>
  <si>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</si>
  <si>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</si>
  <si>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</si>
  <si>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</si>
  <si>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</si>
  <si>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</si>
  <si>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</si>
  <si>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</si>
  <si>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</si>
  <si>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</si>
  <si>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</si>
  <si>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</si>
  <si>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</si>
  <si>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</si>
  <si>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</si>
  <si>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</si>
  <si>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</si>
  <si>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</si>
  <si>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</si>
  <si>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</si>
  <si>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</si>
  <si>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</si>
  <si>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</si>
  <si>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</si>
  <si>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</si>
  <si>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</si>
  <si>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</si>
  <si>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</si>
  <si>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</si>
  <si>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</si>
  <si>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</si>
  <si>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</si>
  <si>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</si>
  <si>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</si>
  <si>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</si>
  <si>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</si>
  <si>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</si>
  <si>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</si>
  <si>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</si>
  <si>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</si>
  <si>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</si>
  <si>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</si>
  <si>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</si>
  <si>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</si>
  <si>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</si>
  <si>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</si>
  <si>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</si>
  <si>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</si>
  <si>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</si>
  <si>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</si>
  <si>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</si>
  <si>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</si>
  <si>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</si>
  <si>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</si>
  <si>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</si>
  <si>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</si>
  <si>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</si>
  <si>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</si>
  <si>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</si>
  <si>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</si>
  <si>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</si>
  <si>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</si>
  <si>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</si>
  <si>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</si>
  <si>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</si>
  <si>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</si>
  <si>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</si>
  <si>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</si>
  <si>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</si>
  <si>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</si>
  <si>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</si>
  <si>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</si>
  <si>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</si>
  <si>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</si>
  <si>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</si>
  <si>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</si>
  <si>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</si>
  <si>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</si>
  <si>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</si>
  <si>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</si>
  <si>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</si>
  <si>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</si>
  <si>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</si>
  <si>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</si>
  <si>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</si>
  <si>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</si>
  <si>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</si>
  <si>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</si>
  <si>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</si>
  <si>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</si>
  <si>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</si>
  <si>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</si>
  <si>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</si>
  <si>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</si>
  <si>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</si>
  <si>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</si>
  <si>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</si>
  <si>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</si>
  <si>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</si>
  <si>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</si>
  <si>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</si>
  <si>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</si>
  <si>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</si>
  <si>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</si>
  <si>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</si>
  <si>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</si>
  <si>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</si>
  <si>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</si>
  <si>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</si>
  <si>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</si>
  <si>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</si>
  <si>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</si>
  <si>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</si>
  <si>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</si>
  <si>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</si>
  <si>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</si>
  <si>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</si>
  <si>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</si>
  <si>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</si>
  <si>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</si>
  <si>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</si>
  <si>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</si>
  <si>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</si>
  <si>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</si>
  <si>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</si>
  <si>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</si>
  <si>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</si>
  <si>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</si>
  <si>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</si>
  <si>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</si>
  <si>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</si>
  <si>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</si>
  <si>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</si>
  <si>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</si>
  <si>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</si>
  <si>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</si>
  <si>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</si>
  <si>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</si>
  <si>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</si>
  <si>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</si>
  <si>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</si>
  <si>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</si>
  <si>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</si>
  <si>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</si>
  <si>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</si>
  <si>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</si>
  <si>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</si>
  <si>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</si>
  <si>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</si>
  <si>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</si>
  <si>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</si>
  <si>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</si>
  <si>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</si>
  <si>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</si>
  <si>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</si>
  <si>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</si>
  <si>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</si>
  <si>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</si>
  <si>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</si>
  <si>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</si>
  <si>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</si>
  <si>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</si>
  <si>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</si>
  <si>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</si>
  <si>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</si>
  <si>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</si>
  <si>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</si>
  <si>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</si>
  <si>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</si>
  <si>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</si>
  <si>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</si>
  <si>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</si>
  <si>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</si>
  <si>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</si>
  <si>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</si>
  <si>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</si>
  <si>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</si>
  <si>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</si>
  <si>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</si>
  <si>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</si>
  <si>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</si>
  <si>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</si>
  <si>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</si>
  <si>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</si>
  <si>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</si>
  <si>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</si>
  <si>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</si>
  <si>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</si>
  <si>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</si>
  <si>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</si>
  <si>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</si>
  <si>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</si>
  <si>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</si>
  <si>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</si>
  <si>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</si>
  <si>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</si>
  <si>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</si>
  <si>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</si>
  <si>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</si>
  <si>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</si>
  <si>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</si>
  <si>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</si>
  <si>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</si>
  <si>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</si>
  <si>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</si>
  <si>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</si>
  <si>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</si>
  <si>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</si>
  <si>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</si>
  <si>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</si>
  <si>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</si>
  <si>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</si>
  <si>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</si>
  <si>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</si>
  <si>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</si>
  <si>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</si>
  <si>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</si>
  <si>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</si>
  <si>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</si>
  <si>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</si>
  <si>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</si>
  <si>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</si>
  <si>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</si>
  <si>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</si>
  <si>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</si>
  <si>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</si>
  <si>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</si>
  <si>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</si>
  <si>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</si>
  <si>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</si>
  <si>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</si>
  <si>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</si>
  <si>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</si>
  <si>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</si>
  <si>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</si>
  <si>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</si>
  <si>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</si>
  <si>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</si>
  <si>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</si>
  <si>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</si>
  <si>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</si>
  <si>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</si>
  <si>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</si>
  <si>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</si>
  <si>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</si>
  <si>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</si>
  <si>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</si>
  <si>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</si>
  <si>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</si>
  <si>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</si>
  <si>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</si>
  <si>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</si>
  <si>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</si>
  <si>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</si>
  <si>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</si>
  <si>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</si>
  <si>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</si>
  <si>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</si>
  <si>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</si>
  <si>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</si>
  <si>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</si>
  <si>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</si>
  <si>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</si>
  <si>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</si>
  <si>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</si>
  <si>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</si>
  <si>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</si>
  <si>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</si>
  <si>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</si>
  <si>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</si>
  <si>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</si>
  <si>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</si>
  <si>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</si>
  <si>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</si>
  <si>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</si>
  <si>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</si>
  <si>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</si>
  <si>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</si>
  <si>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</si>
  <si>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</si>
  <si>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</si>
  <si>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</si>
  <si>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</si>
  <si>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</si>
  <si>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</si>
  <si>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</si>
  <si>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</si>
  <si>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</si>
  <si>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</si>
  <si>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</si>
  <si>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</si>
  <si>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</si>
  <si>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</si>
  <si>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</si>
  <si>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</si>
  <si>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</si>
  <si>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</si>
  <si>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</si>
  <si>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</si>
  <si>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</si>
  <si>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</si>
  <si>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</si>
  <si>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</si>
  <si>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</si>
  <si>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</si>
  <si>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</si>
  <si>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</si>
  <si>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</si>
  <si>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</si>
  <si>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</si>
  <si>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</si>
  <si>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</si>
  <si>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</si>
  <si>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</si>
  <si>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</si>
  <si>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</si>
  <si>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</si>
  <si>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</si>
  <si>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</si>
  <si>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</si>
  <si>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</si>
  <si>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</si>
  <si>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</si>
  <si>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</si>
  <si>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</si>
  <si>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</si>
  <si>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</si>
  <si>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</si>
  <si>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</si>
  <si>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</si>
  <si>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</si>
  <si>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</si>
  <si>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</si>
  <si>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</si>
  <si>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</si>
  <si>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</si>
  <si>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</si>
  <si>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</si>
  <si>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</si>
  <si>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</si>
  <si>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</si>
  <si>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</si>
  <si>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</si>
  <si>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</si>
  <si>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</si>
  <si>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</si>
  <si>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</si>
  <si>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</si>
  <si>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</si>
  <si>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</si>
  <si>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</si>
  <si>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</si>
  <si>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</si>
  <si>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</si>
  <si>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</si>
  <si>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</si>
  <si>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</si>
  <si>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</si>
  <si>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</si>
  <si>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</si>
  <si>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</si>
  <si>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</si>
  <si>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</si>
  <si>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</si>
  <si>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</si>
  <si>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</si>
  <si>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</si>
  <si>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</si>
  <si>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</si>
  <si>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</si>
  <si>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</si>
  <si>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</si>
  <si>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</si>
  <si>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</si>
  <si>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</si>
  <si>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</si>
  <si>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</si>
  <si>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</si>
  <si>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</si>
  <si>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</si>
  <si>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</si>
  <si>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</si>
  <si>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</si>
  <si>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</si>
  <si>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</si>
  <si>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</si>
  <si>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</si>
  <si>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</si>
  <si>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</si>
  <si>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</si>
  <si>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</si>
  <si>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</si>
  <si>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</si>
  <si>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</si>
  <si>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</si>
  <si>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</si>
  <si>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</si>
  <si>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</si>
  <si>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</si>
  <si>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</si>
  <si>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</si>
  <si>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</si>
  <si>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</si>
  <si>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</si>
  <si>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</si>
  <si>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</si>
  <si>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</si>
  <si>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</si>
  <si>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</si>
  <si>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</si>
  <si>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</si>
  <si>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</si>
  <si>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</si>
  <si>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</si>
  <si>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</si>
  <si>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</si>
  <si>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</si>
  <si>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</si>
  <si>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</si>
  <si>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</si>
  <si>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</si>
  <si>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</si>
  <si>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</si>
  <si>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</si>
  <si>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</si>
  <si>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</si>
  <si>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</si>
  <si>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</si>
  <si>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</si>
  <si>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</si>
  <si>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</si>
  <si>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</si>
  <si>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</si>
  <si>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</si>
  <si>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</si>
  <si>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</si>
  <si>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</si>
  <si>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</si>
  <si>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</si>
  <si>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</si>
  <si>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</si>
  <si>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</si>
  <si>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</si>
  <si>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</si>
  <si>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</si>
  <si>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</si>
  <si>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</si>
  <si>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</si>
  <si>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</si>
  <si>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</si>
  <si>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</si>
  <si>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</si>
  <si>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</si>
  <si>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</si>
  <si>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</si>
  <si>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</si>
  <si>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</si>
  <si>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</si>
  <si>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</si>
  <si>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</si>
  <si>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</si>
  <si>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</si>
  <si>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</si>
  <si>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</si>
  <si>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</si>
  <si>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</si>
  <si>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</si>
  <si>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</si>
  <si>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</si>
  <si>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</si>
  <si>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</si>
  <si>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</si>
  <si>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</si>
  <si>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</si>
  <si>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</si>
  <si>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</si>
  <si>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</si>
  <si>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</si>
  <si>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</si>
  <si>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</si>
  <si>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</si>
  <si>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</si>
  <si>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</si>
  <si>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</si>
  <si>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</si>
  <si>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</si>
  <si>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</si>
  <si>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</si>
  <si>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</si>
  <si>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</si>
  <si>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</si>
  <si>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</si>
  <si>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</si>
  <si>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</si>
  <si>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</si>
  <si>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</si>
  <si>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</si>
  <si>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</si>
  <si>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</si>
  <si>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</si>
  <si>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</si>
  <si>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</si>
  <si>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</si>
  <si>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</si>
  <si>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</si>
  <si>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Exif.Photo.AmbientTemperature</t>
  </si>
  <si>
    <t>AmbientTemperature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</si>
  <si>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</si>
  <si>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</si>
  <si>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</si>
  <si>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</si>
  <si>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</si>
  <si>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</si>
  <si>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</si>
  <si>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</si>
  <si>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</si>
  <si>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</si>
  <si>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</si>
  <si>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</si>
  <si>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</si>
  <si>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</si>
  <si>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</si>
  <si>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</si>
  <si>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</si>
  <si>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</si>
  <si>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</si>
  <si>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</si>
  <si>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</si>
  <si>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</si>
  <si>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</si>
  <si>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</si>
  <si>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</si>
  <si>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</si>
  <si>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</si>
  <si>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</si>
  <si>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</si>
  <si>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</si>
  <si>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</si>
  <si>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</si>
  <si>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</si>
  <si>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</si>
  <si>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</si>
  <si>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</si>
  <si>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</si>
  <si>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</si>
  <si>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</si>
  <si>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</si>
  <si>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</si>
  <si>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</si>
  <si>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</si>
  <si>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</si>
  <si>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</si>
  <si>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</si>
  <si>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</si>
  <si>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</si>
  <si>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</si>
  <si>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</si>
  <si>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</si>
  <si>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</si>
  <si>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</si>
  <si>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</si>
  <si>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</si>
  <si>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</si>
  <si>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</si>
  <si>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</si>
  <si>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</si>
  <si>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</si>
  <si>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</si>
  <si>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</si>
  <si>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</si>
  <si>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</si>
  <si>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</si>
  <si>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</si>
  <si>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</si>
  <si>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</si>
  <si>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</si>
  <si>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</si>
  <si>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</si>
  <si>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</si>
  <si>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</si>
  <si>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</si>
  <si>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</si>
  <si>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</si>
  <si>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</si>
  <si>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</si>
  <si>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</si>
  <si>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</si>
  <si>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</si>
  <si>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</si>
  <si>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</si>
  <si>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</si>
  <si>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</si>
  <si>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</si>
  <si>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</si>
  <si>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</si>
  <si>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</si>
  <si>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</si>
  <si>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</si>
  <si>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</si>
  <si>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</si>
  <si>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</si>
  <si>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</si>
  <si>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</si>
  <si>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</si>
  <si>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</si>
  <si>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</si>
  <si>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</si>
  <si>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</si>
  <si>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</si>
  <si>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</si>
  <si>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</si>
  <si>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</si>
  <si>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</si>
  <si>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</si>
  <si>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</si>
  <si>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</si>
  <si>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</si>
  <si>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</si>
  <si>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</si>
  <si>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</si>
  <si>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</si>
  <si>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</si>
  <si>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</si>
  <si>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</si>
  <si>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</si>
  <si>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</si>
  <si>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</si>
  <si>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</si>
  <si>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</si>
  <si>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</si>
  <si>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</si>
  <si>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</si>
  <si>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</si>
  <si>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</si>
  <si>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</si>
  <si>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</si>
  <si>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</si>
  <si>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</si>
  <si>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</si>
  <si>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</si>
  <si>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</si>
  <si>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</si>
  <si>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</si>
  <si>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Urheberrechtsinformation. In diesem Standard wird das Tag verwendet, um sowohl die Urheberrechte des Fotografen als auch des Herausgebers anzugeben. Es ist der Copyright-Hinweis der Person oder Organisation, die Rechte an dem Bild beansprucht. Die Copyright-Erklärung zur Interoperabilität einschließlich Datum und Rechten sollte in dieses Feld geschrieben werden. B. "Copyright, John Smith, 19xx. Alle Rechte vorbehalten." In diesem Standard erfasst das Feld sowohl die Urheberrechte des Fotografen als auch des Herausgebers, wobei jedes in einem separaten Teil der Erklärung aufgezeichnet wird. Wenn eine klare Unterscheidung zwischen den Urheberrechten des Fotografen und des Herausgebers besteht, sind diese in der Reihenfolge des Fotografen zu schreiben, gefolgt vom Copyright des Herausgebers, getrennt durch NULL (in diesem Fall gibt es zwei NULL-Codes, da die Anweisung auch mit NULL endet). . Wenn nur das Urheberrecht des Fotografen angegeben ist, wird es durch einen NULL-Code beendet. Wenn nur das Urheberrecht des Herausgebers angegeben ist, besteht der Teil des Urheberrechts des Fotografen aus einem Leerzeichen, gefolgt von einem abschließenden NULL-Code. Anschließend wird das Urheberrecht des Herausgebers angegeben. Wenn das Feld leer gelassen wird, wird es als unbekannt behandelt.</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</si>
  <si>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</si>
  <si>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</si>
  <si>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</si>
  <si>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</si>
  <si>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</si>
  <si>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</si>
  <si>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</si>
  <si>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</si>
  <si>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</si>
  <si>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</si>
  <si>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</si>
  <si>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</si>
  <si>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</si>
  <si>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</si>
  <si>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</si>
  <si>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</si>
  <si>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Dieses optionale Tag kann verwendet werden, um die JPEG-Quantisierungs- und Huffman-Tabellen für die spätere Verwendung durch den JPEG-Dekomprimierungsprozess zu codieren.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</si>
  <si>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</si>
  <si>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</si>
  <si>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</si>
  <si>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</si>
  <si>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</si>
  <si>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</si>
  <si>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</si>
  <si>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</si>
  <si>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</si>
  <si>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</si>
  <si>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</si>
  <si>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</si>
  <si>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</si>
  <si>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</si>
  <si>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</si>
  <si>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</si>
  <si>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</si>
  <si>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</si>
  <si>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</si>
  <si>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</si>
  <si>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</si>
  <si>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</si>
  <si>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</si>
  <si>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</si>
  <si>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</si>
  <si>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</si>
  <si>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</si>
  <si>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</si>
  <si>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</si>
  <si>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</si>
  <si>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</si>
  <si>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</si>
  <si>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</si>
  <si>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</si>
  <si>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</si>
  <si>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</si>
  <si>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</si>
  <si>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</si>
  <si>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</si>
  <si>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</si>
  <si>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</si>
  <si>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</si>
  <si>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</si>
  <si>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</si>
  <si>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</si>
  <si>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</si>
  <si>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</si>
  <si>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</si>
  <si>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</si>
  <si>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</si>
  <si>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</si>
  <si>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</si>
  <si>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</si>
  <si>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</si>
  <si>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</si>
  <si>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</si>
  <si>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</si>
  <si>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</si>
  <si>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</si>
  <si>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</si>
  <si>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</si>
  <si>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</si>
  <si>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</si>
  <si>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</si>
  <si>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</si>
  <si>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</si>
  <si>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</si>
  <si>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</si>
  <si>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</si>
  <si>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</si>
  <si>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</si>
  <si>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</si>
  <si>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</si>
  <si>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</si>
  <si>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</si>
  <si>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</si>
  <si>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</si>
  <si>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</si>
  <si>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</si>
  <si>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</si>
  <si>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</si>
  <si>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</si>
  <si>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</si>
  <si>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</si>
  <si>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</si>
  <si>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</si>
  <si>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</si>
  <si>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</si>
  <si>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</si>
  <si>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</si>
  <si>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</si>
  <si>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</si>
  <si>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</si>
  <si>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</si>
  <si>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</si>
  <si>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</si>
  <si>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</si>
  <si>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</si>
  <si>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</si>
  <si>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</si>
  <si>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</si>
  <si>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</si>
  <si>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</si>
  <si>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</si>
  <si>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</si>
  <si>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</si>
  <si>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</si>
  <si>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</si>
  <si>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</si>
  <si>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</si>
  <si>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</si>
  <si>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</si>
  <si>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</si>
  <si>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</si>
  <si>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</si>
  <si>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</si>
  <si>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</si>
  <si>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</si>
  <si>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</si>
  <si>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</si>
  <si>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</si>
  <si>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</si>
  <si>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</si>
  <si>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</si>
  <si>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</si>
  <si>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</si>
  <si>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</si>
  <si>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</si>
  <si>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</si>
  <si>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</si>
  <si>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</si>
  <si>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</si>
  <si>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</si>
  <si>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</si>
  <si>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</si>
  <si>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</si>
  <si>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</si>
  <si>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</si>
  <si>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</si>
  <si>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</si>
  <si>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</si>
  <si>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</si>
  <si>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</si>
  <si>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</si>
  <si>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</si>
  <si>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</si>
  <si>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</si>
  <si>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</si>
  <si>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</si>
  <si>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</si>
  <si>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</si>
  <si>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</si>
  <si>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</si>
  <si>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</si>
  <si>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</si>
  <si>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</si>
  <si>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</si>
  <si>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</si>
  <si>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</si>
  <si>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</si>
  <si>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</si>
  <si>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</si>
  <si>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</si>
  <si>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</si>
  <si>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</si>
  <si>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</si>
  <si>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</si>
  <si>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</si>
  <si>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</si>
  <si>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</si>
  <si>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</si>
  <si>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</si>
  <si>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</si>
  <si>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</si>
  <si>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</si>
  <si>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</si>
  <si>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</si>
  <si>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</si>
  <si>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</si>
  <si>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</si>
  <si>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</si>
  <si>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</si>
  <si>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</si>
  <si>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</si>
  <si>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</si>
  <si>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</si>
  <si>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</si>
  <si>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</si>
  <si>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</si>
  <si>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</si>
  <si>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</si>
  <si>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</si>
  <si>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</si>
  <si>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</si>
  <si>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</si>
  <si>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</si>
  <si>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</si>
  <si>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</si>
  <si>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</si>
  <si>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</si>
  <si>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</si>
  <si>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</si>
  <si>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</si>
  <si>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</si>
  <si>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</si>
  <si>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</si>
  <si>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</si>
  <si>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</si>
  <si>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</si>
  <si>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</si>
  <si>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</si>
  <si>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</si>
  <si>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</si>
  <si>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</si>
  <si>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</si>
  <si>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</si>
  <si>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</si>
  <si>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</si>
  <si>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</si>
  <si>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</si>
  <si>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</si>
  <si>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</si>
  <si>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Spalten B und C kopieren, nur die Zeilen mit META_DESC 
(es kann keine Einträge in META_KEY geben, für die keine META_DESC-Zeile existiert).</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</si>
  <si>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</si>
  <si>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</si>
  <si>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</si>
  <si>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</si>
  <si>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Daten in Spalten "Tag-Original" und "Description-Original"  im Blatt "Lookup" am Ende einfügen.</t>
  </si>
  <si>
    <t>Insert data in columns "Tag-Original" and "Description-Original" in sheet "Lookup" at the end.</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</si>
  <si>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</si>
  <si>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</si>
  <si>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</si>
  <si>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</si>
  <si>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</si>
  <si>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</si>
  <si>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</si>
  <si>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</si>
  <si>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</si>
  <si>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</si>
  <si>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</si>
  <si>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</si>
  <si>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</si>
  <si>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</si>
  <si>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</si>
  <si>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</si>
  <si>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</si>
  <si>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</si>
  <si>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</si>
  <si>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</si>
  <si>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</si>
  <si>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</si>
  <si>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</si>
  <si>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</si>
  <si>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</si>
  <si>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</si>
  <si>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</si>
  <si>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</si>
  <si>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</si>
  <si>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</si>
  <si>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</si>
  <si>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</si>
  <si>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</si>
  <si>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</si>
  <si>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</si>
  <si>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</si>
  <si>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</si>
  <si>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</si>
  <si>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</si>
  <si>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</si>
  <si>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</si>
  <si>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</si>
  <si>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</si>
  <si>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</si>
  <si>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</si>
  <si>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</si>
  <si>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</si>
  <si>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</si>
  <si>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</si>
  <si>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</si>
  <si>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</si>
  <si>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</si>
  <si>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</si>
  <si>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</si>
  <si>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</si>
  <si>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</si>
  <si>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</si>
  <si>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</si>
  <si>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</si>
  <si>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</si>
  <si>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</si>
  <si>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</si>
  <si>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</si>
  <si>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</si>
  <si>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</si>
  <si>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</si>
  <si>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</si>
  <si>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</si>
  <si>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</si>
  <si>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</si>
  <si>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</si>
  <si>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</si>
  <si>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</si>
  <si>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</si>
  <si>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</si>
  <si>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</si>
  <si>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</si>
  <si>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</si>
  <si>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</si>
  <si>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</si>
  <si>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</si>
  <si>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</si>
  <si>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</si>
  <si>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</si>
  <si>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</si>
  <si>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</si>
  <si>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</si>
  <si>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</si>
  <si>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</si>
  <si>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</si>
  <si>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</si>
  <si>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</si>
  <si>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</si>
  <si>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</si>
  <si>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</si>
  <si>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</si>
  <si>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</si>
  <si>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</si>
  <si>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</si>
  <si>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</si>
  <si>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</si>
  <si>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</si>
  <si>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</si>
  <si>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</si>
  <si>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</si>
  <si>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</si>
  <si>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</si>
  <si>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</si>
  <si>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</si>
  <si>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</si>
  <si>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</si>
  <si>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</si>
  <si>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</si>
  <si>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</si>
  <si>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</si>
  <si>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</si>
  <si>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</si>
  <si>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</si>
  <si>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</si>
  <si>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</si>
  <si>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</si>
  <si>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</si>
  <si>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</si>
  <si>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</si>
  <si>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</si>
  <si>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</si>
  <si>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</si>
  <si>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</si>
  <si>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</si>
  <si>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</si>
  <si>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</si>
  <si>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</si>
  <si>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</si>
  <si>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</si>
  <si>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</si>
  <si>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</si>
  <si>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</si>
  <si>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</si>
  <si>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</si>
  <si>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</si>
  <si>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</si>
  <si>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</si>
  <si>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</si>
  <si>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</si>
  <si>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</si>
  <si>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</si>
  <si>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</si>
  <si>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</si>
  <si>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</si>
  <si>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</si>
  <si>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</si>
  <si>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</si>
  <si>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</si>
  <si>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</si>
  <si>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</si>
  <si>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</si>
  <si>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</si>
  <si>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</si>
  <si>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</si>
  <si>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</si>
  <si>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</si>
  <si>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</si>
  <si>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</si>
  <si>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</si>
  <si>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</si>
  <si>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</si>
  <si>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</si>
  <si>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</si>
  <si>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</si>
  <si>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</si>
  <si>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</si>
  <si>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</si>
  <si>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</si>
  <si>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</si>
  <si>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</si>
  <si>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</si>
  <si>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</si>
  <si>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</si>
  <si>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</si>
  <si>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</si>
  <si>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</si>
  <si>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</si>
  <si>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</si>
  <si>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</si>
  <si>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</si>
  <si>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</si>
  <si>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</si>
  <si>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</si>
  <si>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</si>
  <si>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</si>
  <si>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</si>
  <si>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</si>
  <si>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</si>
  <si>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</si>
  <si>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</si>
  <si>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</si>
  <si>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</si>
  <si>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</si>
  <si>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</si>
  <si>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</si>
  <si>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</si>
  <si>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</si>
  <si>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</si>
  <si>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</si>
  <si>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</si>
  <si>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</si>
  <si>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</si>
  <si>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</si>
  <si>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</si>
  <si>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</si>
  <si>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</si>
  <si>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</si>
  <si>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</si>
  <si>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</si>
  <si>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</si>
  <si>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</si>
  <si>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</si>
  <si>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</si>
  <si>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</si>
  <si>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</si>
  <si>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</si>
  <si>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</si>
  <si>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</si>
  <si>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</si>
  <si>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</si>
  <si>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</si>
  <si>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</si>
  <si>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</si>
  <si>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</si>
  <si>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</si>
  <si>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</si>
  <si>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</si>
  <si>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</si>
  <si>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</si>
  <si>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</si>
  <si>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</si>
  <si>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</si>
  <si>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</si>
  <si>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</si>
  <si>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</si>
  <si>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</si>
  <si>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</si>
  <si>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</si>
  <si>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</si>
  <si>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</si>
  <si>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</si>
  <si>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</si>
  <si>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</si>
  <si>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</si>
  <si>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</si>
  <si>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</si>
  <si>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</si>
  <si>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</si>
  <si>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</si>
  <si>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</si>
  <si>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</si>
  <si>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</si>
  <si>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</si>
  <si>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</si>
  <si>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</si>
  <si>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</si>
  <si>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</si>
  <si>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</si>
  <si>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</si>
  <si>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</si>
  <si>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</si>
  <si>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</si>
  <si>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</si>
  <si>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</si>
  <si>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</si>
  <si>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</si>
  <si>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</si>
  <si>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</si>
  <si>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</si>
  <si>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</si>
  <si>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</si>
  <si>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</si>
  <si>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</si>
  <si>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</si>
  <si>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</si>
  <si>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</si>
  <si>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</si>
  <si>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</si>
  <si>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</si>
  <si>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</si>
  <si>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</si>
  <si>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</si>
  <si>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</si>
  <si>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</si>
  <si>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</si>
  <si>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</si>
  <si>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</si>
  <si>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</si>
  <si>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</si>
  <si>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</si>
  <si>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</si>
  <si>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</si>
  <si>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</si>
  <si>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</si>
  <si>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</si>
  <si>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</si>
  <si>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</si>
  <si>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</si>
  <si>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</si>
  <si>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</si>
  <si>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</si>
  <si>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</si>
  <si>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</si>
  <si>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</si>
  <si>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</si>
  <si>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</si>
  <si>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</si>
  <si>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</si>
  <si>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</si>
  <si>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</si>
  <si>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</si>
  <si>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</si>
  <si>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</si>
  <si>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</si>
  <si>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</si>
  <si>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</si>
  <si>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</si>
  <si>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</si>
  <si>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</si>
  <si>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</si>
  <si>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</si>
  <si>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</si>
  <si>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</si>
  <si>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</si>
  <si>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</si>
  <si>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</si>
  <si>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</si>
  <si>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</si>
  <si>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</si>
  <si>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</si>
  <si>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</si>
  <si>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</si>
  <si>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</si>
  <si>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</si>
  <si>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</si>
  <si>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</si>
  <si>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</si>
  <si>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</si>
  <si>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</si>
  <si>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</si>
  <si>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</si>
  <si>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</si>
  <si>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</si>
  <si>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</si>
  <si>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</si>
  <si>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</si>
  <si>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</si>
  <si>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</si>
  <si>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</si>
  <si>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</si>
  <si>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</si>
  <si>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</si>
  <si>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</si>
  <si>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</si>
  <si>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</si>
  <si>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</si>
  <si>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</si>
  <si>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</si>
  <si>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</si>
  <si>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</si>
  <si>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</si>
  <si>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</si>
  <si>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</si>
  <si>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</si>
  <si>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</si>
  <si>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</si>
  <si>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</si>
  <si>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</si>
  <si>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</si>
  <si>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</si>
  <si>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</si>
  <si>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</si>
  <si>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</si>
  <si>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</si>
  <si>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</si>
  <si>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</si>
  <si>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</si>
  <si>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</si>
  <si>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</si>
  <si>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</si>
  <si>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</si>
  <si>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</si>
  <si>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</si>
  <si>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</si>
  <si>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</si>
  <si>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</si>
  <si>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</si>
  <si>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</si>
  <si>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</si>
  <si>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</si>
  <si>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</si>
  <si>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</si>
  <si>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</si>
  <si>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</si>
  <si>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</si>
  <si>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</si>
  <si>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</si>
  <si>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</si>
  <si>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</si>
  <si>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</si>
  <si>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</si>
  <si>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</si>
  <si>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</si>
  <si>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</si>
  <si>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</si>
  <si>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</si>
  <si>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</si>
  <si>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</si>
  <si>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</si>
  <si>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</si>
  <si>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</si>
  <si>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</si>
  <si>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</si>
  <si>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</si>
  <si>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</si>
  <si>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</si>
  <si>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</si>
  <si>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</si>
  <si>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</si>
  <si>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</si>
  <si>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</si>
  <si>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</si>
  <si>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</si>
  <si>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</si>
  <si>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</si>
  <si>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</si>
  <si>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</si>
  <si>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</si>
  <si>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</si>
  <si>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</si>
  <si>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</si>
  <si>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</si>
  <si>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</si>
  <si>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</si>
  <si>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</si>
  <si>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</si>
  <si>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</si>
  <si>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</si>
  <si>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</si>
  <si>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</si>
  <si>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</si>
  <si>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</si>
  <si>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</si>
  <si>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</si>
  <si>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</si>
  <si>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</si>
  <si>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</si>
  <si>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</si>
  <si>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</si>
  <si>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</si>
  <si>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</si>
  <si>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</si>
  <si>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</si>
  <si>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</si>
  <si>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</si>
  <si>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</si>
  <si>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</si>
  <si>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</si>
  <si>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</si>
  <si>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</si>
  <si>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</si>
  <si>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</si>
  <si>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</si>
  <si>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</si>
  <si>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</si>
  <si>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</si>
  <si>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</si>
  <si>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</si>
  <si>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</si>
  <si>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</si>
  <si>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</si>
  <si>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</si>
  <si>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</si>
  <si>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</si>
  <si>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</si>
  <si>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</si>
  <si>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</si>
  <si>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</si>
  <si>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</si>
  <si>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</si>
  <si>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</si>
  <si>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</si>
  <si>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</si>
  <si>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</si>
  <si>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</si>
  <si>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</si>
  <si>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</si>
  <si>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</si>
  <si>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</si>
  <si>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</si>
  <si>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</si>
  <si>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</si>
  <si>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</si>
  <si>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</si>
  <si>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</si>
  <si>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</si>
  <si>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</si>
  <si>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</si>
  <si>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</si>
  <si>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</si>
  <si>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</si>
  <si>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</si>
  <si>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</si>
  <si>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</si>
  <si>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</si>
  <si>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</si>
  <si>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</si>
  <si>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</si>
  <si>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</si>
  <si>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</si>
  <si>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</si>
  <si>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</si>
  <si>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</si>
  <si>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</si>
  <si>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</si>
  <si>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</si>
  <si>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</si>
  <si>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</si>
  <si>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</si>
  <si>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</si>
  <si>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</si>
  <si>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</si>
  <si>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</si>
  <si>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</si>
  <si>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</si>
  <si>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</si>
  <si>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</si>
  <si>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</si>
  <si>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</si>
  <si>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</si>
  <si>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</si>
  <si>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</si>
  <si>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</si>
  <si>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</si>
  <si>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</si>
  <si>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</si>
  <si>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</si>
  <si>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</si>
  <si>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</si>
  <si>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</si>
  <si>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</si>
  <si>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</si>
  <si>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</si>
  <si>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</si>
  <si>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</si>
  <si>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</si>
  <si>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</si>
  <si>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</si>
  <si>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</si>
  <si>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</si>
  <si>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</si>
  <si>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</si>
  <si>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</si>
  <si>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</si>
  <si>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</si>
  <si>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</si>
  <si>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</si>
  <si>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</si>
  <si>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</si>
  <si>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</si>
  <si>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</si>
  <si>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</si>
  <si>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</si>
  <si>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</si>
  <si>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</si>
  <si>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</si>
  <si>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</si>
  <si>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</si>
  <si>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</si>
  <si>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</si>
  <si>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</si>
  <si>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</si>
  <si>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</si>
  <si>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</si>
  <si>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</si>
  <si>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</si>
  <si>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</si>
  <si>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</si>
  <si>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</si>
  <si>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</si>
  <si>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</si>
  <si>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</si>
  <si>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</si>
  <si>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</si>
  <si>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</si>
  <si>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</si>
  <si>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</si>
  <si>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</si>
  <si>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</si>
  <si>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</si>
  <si>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</si>
  <si>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</si>
  <si>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</si>
  <si>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</si>
  <si>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</si>
  <si>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</si>
  <si>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</si>
  <si>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</si>
  <si>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</si>
  <si>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</si>
  <si>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</si>
  <si>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</si>
  <si>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</si>
  <si>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</si>
  <si>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</si>
  <si>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</si>
  <si>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</si>
  <si>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</si>
  <si>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</si>
  <si>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</si>
  <si>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</si>
  <si>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</si>
  <si>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</si>
  <si>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</si>
  <si>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</si>
  <si>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</si>
  <si>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</si>
  <si>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</si>
  <si>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</si>
  <si>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</si>
  <si>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</si>
  <si>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</si>
  <si>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</si>
  <si>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</si>
  <si>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</si>
  <si>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</si>
  <si>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</si>
  <si>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</si>
  <si>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</si>
  <si>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</si>
  <si>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</si>
  <si>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</si>
  <si>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</si>
  <si>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</si>
  <si>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</si>
  <si>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</si>
  <si>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</si>
  <si>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</si>
  <si>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</si>
  <si>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</si>
  <si>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</si>
  <si>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</si>
  <si>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</si>
  <si>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</si>
  <si>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</si>
  <si>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</si>
  <si>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</si>
  <si>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</si>
  <si>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</si>
  <si>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</si>
  <si>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</si>
  <si>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</si>
  <si>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</si>
  <si>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</si>
  <si>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</si>
  <si>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</si>
  <si>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</si>
  <si>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</si>
  <si>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</si>
  <si>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</si>
  <si>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</si>
  <si>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</si>
  <si>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</si>
  <si>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</si>
  <si>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</si>
  <si>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</si>
  <si>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</si>
  <si>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</si>
  <si>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</si>
  <si>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</si>
  <si>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</si>
  <si>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</si>
  <si>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</si>
  <si>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</si>
  <si>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</si>
  <si>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D:\_prg\QIC\QuickImageComment\config</t>
  </si>
  <si>
    <t>Info about codec used to convert RAW image for display</t>
  </si>
  <si>
    <t>Image.CodecInfo</t>
  </si>
  <si>
    <t>Info über den Codec, der zur Konvertierung des RAW-Bildes für die Anzeige verwendet wird</t>
  </si>
  <si>
    <t>Image (Bild).CodecInfo</t>
  </si>
  <si>
    <t>New internal defined tag: Image.CodecInfo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</si>
</sst>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9"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9"/>
      <color indexed="81"/>
      <name val="Tahoma"/>
      <charset val="1"/>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rgb="FFFFFF00"/>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1">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Fon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NumberFormat="1" applyFont="1" applyAlignment="1">
      <alignment horizontal="left"/>
    </xf>
    <xf numFmtId="0" fontId="0" fillId="0" borderId="0" xfId="0" applyNumberFormat="1" applyAlignment="1">
      <alignment horizontal="left" vertical="top"/>
    </xf>
    <xf numFmtId="0" fontId="2" fillId="0" borderId="0" xfId="0" applyNumberFormat="1" applyFont="1" applyAlignment="1">
      <alignment horizontal="left" vertical="top"/>
    </xf>
    <xf numFmtId="0" fontId="0" fillId="0" borderId="0" xfId="0" applyFill="1" applyAlignment="1">
      <alignment horizontal="lef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0" fillId="3" borderId="0" xfId="0" applyNumberFormat="1" applyFont="1" applyFill="1" applyAlignment="1">
      <alignment horizontal="left" vertical="top"/>
    </xf>
    <xf numFmtId="0" fontId="0" fillId="3" borderId="0" xfId="0" applyFill="1" applyAlignment="1">
      <alignment horizontal="left" vertical="top"/>
    </xf>
    <xf numFmtId="0" fontId="2" fillId="0" borderId="0" xfId="0" applyNumberFormat="1" applyFont="1" applyFill="1" applyBorder="1" applyAlignment="1">
      <alignment horizontal="left" vertical="top" wrapText="1"/>
    </xf>
    <xf numFmtId="0" fontId="2" fillId="0" borderId="0" xfId="0" applyNumberFormat="1" applyFont="1" applyFill="1" applyAlignment="1">
      <alignment horizontal="left" vertical="top"/>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8" fillId="2" borderId="0" xfId="0" applyNumberFormat="1" applyFont="1" applyFill="1" applyAlignment="1">
      <alignment horizontal="left"/>
    </xf>
    <xf numFmtId="0" fontId="8"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2" activePane="bottomLeft" state="frozen"/>
      <selection pane="bottomLeft" activeCell="A2" sqref="A2"/>
    </sheetView>
  </sheetViews>
  <sheetFormatPr defaultColWidth="11.42578125" defaultRowHeight="15" x14ac:dyDescent="0.25"/>
  <cols>
    <col min="1" max="1" width="100.7109375" style="47" customWidth="1"/>
    <col min="2" max="2" width="3.5703125" style="40" customWidth="1"/>
    <col min="3" max="3" width="100.7109375" style="47" customWidth="1"/>
    <col min="4" max="16384" width="11.42578125" style="40"/>
  </cols>
  <sheetData>
    <row r="1" spans="1:3" s="36" customFormat="1" ht="23.25" x14ac:dyDescent="0.25">
      <c r="A1" s="35" t="s">
        <v>8869</v>
      </c>
      <c r="B1" s="35"/>
      <c r="C1" s="35" t="s">
        <v>8870</v>
      </c>
    </row>
    <row r="2" spans="1:3" s="36" customFormat="1" ht="30" x14ac:dyDescent="0.25">
      <c r="A2" s="37" t="s">
        <v>8989</v>
      </c>
      <c r="B2" s="37"/>
      <c r="C2" s="37" t="s">
        <v>8993</v>
      </c>
    </row>
    <row r="3" spans="1:3" s="36" customFormat="1" ht="105" x14ac:dyDescent="0.25">
      <c r="A3" s="37" t="s">
        <v>8990</v>
      </c>
      <c r="B3" s="37"/>
      <c r="C3" s="37" t="s">
        <v>8995</v>
      </c>
    </row>
    <row r="4" spans="1:3" s="36" customFormat="1" ht="30" x14ac:dyDescent="0.25">
      <c r="A4" s="37" t="s">
        <v>8991</v>
      </c>
      <c r="B4" s="37"/>
      <c r="C4" s="37" t="s">
        <v>8994</v>
      </c>
    </row>
    <row r="5" spans="1:3" s="36" customFormat="1" ht="30" x14ac:dyDescent="0.25">
      <c r="A5" s="37" t="s">
        <v>8992</v>
      </c>
      <c r="B5" s="37"/>
      <c r="C5" s="37" t="s">
        <v>8996</v>
      </c>
    </row>
    <row r="6" spans="1:3" ht="18.75" x14ac:dyDescent="0.25">
      <c r="A6" s="39" t="s">
        <v>8872</v>
      </c>
      <c r="B6" s="38"/>
      <c r="C6" s="39" t="s">
        <v>8871</v>
      </c>
    </row>
    <row r="7" spans="1:3" x14ac:dyDescent="0.25">
      <c r="A7" s="46" t="s">
        <v>8988</v>
      </c>
      <c r="B7" s="41"/>
      <c r="C7" s="41" t="s">
        <v>8997</v>
      </c>
    </row>
    <row r="8" spans="1:3" ht="30" x14ac:dyDescent="0.25">
      <c r="A8" s="37" t="s">
        <v>9583</v>
      </c>
      <c r="B8" s="37"/>
      <c r="C8" s="37" t="s">
        <v>9582</v>
      </c>
    </row>
    <row r="9" spans="1:3" x14ac:dyDescent="0.25">
      <c r="A9" s="46" t="s">
        <v>8985</v>
      </c>
      <c r="B9" s="41"/>
      <c r="C9" s="41" t="s">
        <v>9021</v>
      </c>
    </row>
    <row r="10" spans="1:3" x14ac:dyDescent="0.25">
      <c r="A10" s="37" t="s">
        <v>8998</v>
      </c>
      <c r="B10" s="37"/>
      <c r="C10" s="37" t="s">
        <v>9074</v>
      </c>
    </row>
    <row r="11" spans="1:3" x14ac:dyDescent="0.25">
      <c r="A11" s="42" t="s">
        <v>8981</v>
      </c>
      <c r="B11" s="37"/>
      <c r="C11" s="42" t="s">
        <v>8984</v>
      </c>
    </row>
    <row r="12" spans="1:3" x14ac:dyDescent="0.25">
      <c r="A12" s="37" t="s">
        <v>8982</v>
      </c>
      <c r="B12" s="37"/>
      <c r="C12" s="37" t="s">
        <v>9008</v>
      </c>
    </row>
    <row r="13" spans="1:3" x14ac:dyDescent="0.25">
      <c r="A13" s="37" t="s">
        <v>8983</v>
      </c>
      <c r="B13" s="37"/>
      <c r="C13" s="37" t="s">
        <v>9009</v>
      </c>
    </row>
    <row r="14" spans="1:3" x14ac:dyDescent="0.25">
      <c r="A14" s="43" t="s">
        <v>9075</v>
      </c>
      <c r="B14" s="37"/>
      <c r="C14" s="37" t="s">
        <v>9010</v>
      </c>
    </row>
    <row r="15" spans="1:3" x14ac:dyDescent="0.25">
      <c r="A15" s="43" t="s">
        <v>8999</v>
      </c>
      <c r="B15" s="37"/>
      <c r="C15" s="43" t="s">
        <v>9011</v>
      </c>
    </row>
    <row r="16" spans="1:3" x14ac:dyDescent="0.25">
      <c r="A16" s="43" t="s">
        <v>9000</v>
      </c>
      <c r="B16" s="37"/>
      <c r="C16" s="43" t="s">
        <v>9012</v>
      </c>
    </row>
    <row r="17" spans="1:3" x14ac:dyDescent="0.25">
      <c r="A17" s="43" t="s">
        <v>9001</v>
      </c>
      <c r="B17" s="37"/>
      <c r="C17" s="43" t="s">
        <v>9013</v>
      </c>
    </row>
    <row r="18" spans="1:3" x14ac:dyDescent="0.25">
      <c r="A18" s="43" t="s">
        <v>9002</v>
      </c>
      <c r="B18" s="37"/>
      <c r="C18" s="43" t="s">
        <v>9014</v>
      </c>
    </row>
    <row r="19" spans="1:3" x14ac:dyDescent="0.25">
      <c r="A19" s="44" t="s">
        <v>9003</v>
      </c>
      <c r="B19" s="37"/>
      <c r="C19" s="43" t="s">
        <v>9015</v>
      </c>
    </row>
    <row r="20" spans="1:3" x14ac:dyDescent="0.25">
      <c r="A20" s="44" t="s">
        <v>9004</v>
      </c>
      <c r="B20" s="37"/>
      <c r="C20" s="43" t="s">
        <v>9016</v>
      </c>
    </row>
    <row r="21" spans="1:3" ht="60" x14ac:dyDescent="0.25">
      <c r="A21" s="45" t="s">
        <v>9076</v>
      </c>
      <c r="B21" s="37"/>
      <c r="C21" s="43" t="s">
        <v>9077</v>
      </c>
    </row>
    <row r="22" spans="1:3" ht="30" x14ac:dyDescent="0.25">
      <c r="A22" s="43" t="s">
        <v>9005</v>
      </c>
      <c r="B22" s="37"/>
      <c r="C22" s="43" t="s">
        <v>9017</v>
      </c>
    </row>
    <row r="23" spans="1:3" ht="90" x14ac:dyDescent="0.25">
      <c r="A23" s="43" t="s">
        <v>9018</v>
      </c>
      <c r="B23" s="37"/>
      <c r="C23" s="43" t="s">
        <v>9019</v>
      </c>
    </row>
    <row r="24" spans="1:3" x14ac:dyDescent="0.25">
      <c r="A24" s="43" t="s">
        <v>9006</v>
      </c>
      <c r="B24" s="37"/>
      <c r="C24" s="43" t="s">
        <v>9020</v>
      </c>
    </row>
    <row r="25" spans="1:3" ht="45" x14ac:dyDescent="0.25">
      <c r="A25" s="43" t="s">
        <v>9043</v>
      </c>
      <c r="B25" s="37"/>
      <c r="C25" s="43" t="s">
        <v>9046</v>
      </c>
    </row>
    <row r="26" spans="1:3" ht="45" x14ac:dyDescent="0.25">
      <c r="A26" s="43" t="s">
        <v>9044</v>
      </c>
      <c r="B26" s="37"/>
      <c r="C26" s="43" t="s">
        <v>9045</v>
      </c>
    </row>
    <row r="27" spans="1:3" x14ac:dyDescent="0.25">
      <c r="A27" s="43" t="s">
        <v>9576</v>
      </c>
      <c r="B27" s="37"/>
      <c r="C27" s="43" t="s">
        <v>9577</v>
      </c>
    </row>
    <row r="28" spans="1:3" x14ac:dyDescent="0.25">
      <c r="A28" s="46" t="s">
        <v>8986</v>
      </c>
      <c r="B28" s="46"/>
      <c r="C28" s="42" t="s">
        <v>9022</v>
      </c>
    </row>
    <row r="29" spans="1:3" x14ac:dyDescent="0.25">
      <c r="A29" s="47" t="s">
        <v>9007</v>
      </c>
      <c r="B29" s="47"/>
      <c r="C29" s="37" t="s">
        <v>9023</v>
      </c>
    </row>
    <row r="30" spans="1:3" x14ac:dyDescent="0.25">
      <c r="A30" s="46" t="s">
        <v>8987</v>
      </c>
      <c r="B30" s="46"/>
      <c r="C30" s="46" t="s">
        <v>9024</v>
      </c>
    </row>
    <row r="31" spans="1:3" x14ac:dyDescent="0.25">
      <c r="A31" s="47" t="s">
        <v>9078</v>
      </c>
      <c r="B31" s="47"/>
      <c r="C31" s="37" t="s">
        <v>9025</v>
      </c>
    </row>
    <row r="32" spans="1:3" x14ac:dyDescent="0.25">
      <c r="B32" s="47"/>
      <c r="C32" s="37"/>
    </row>
    <row r="33" spans="1:3" ht="18.75" x14ac:dyDescent="0.25">
      <c r="A33" s="39" t="s">
        <v>8873</v>
      </c>
      <c r="B33" s="38"/>
      <c r="C33" s="39" t="s">
        <v>8874</v>
      </c>
    </row>
    <row r="34" spans="1:3" ht="105" x14ac:dyDescent="0.25">
      <c r="A34" s="47" t="s">
        <v>9079</v>
      </c>
      <c r="B34" s="38"/>
      <c r="C34" s="47" t="s">
        <v>9051</v>
      </c>
    </row>
    <row r="35" spans="1:3" ht="90" x14ac:dyDescent="0.25">
      <c r="A35" s="47" t="s">
        <v>9080</v>
      </c>
      <c r="B35" s="38"/>
      <c r="C35" s="47" t="s">
        <v>9081</v>
      </c>
    </row>
    <row r="36" spans="1:3" ht="45" x14ac:dyDescent="0.25">
      <c r="A36" s="47" t="s">
        <v>9578</v>
      </c>
      <c r="B36" s="38"/>
      <c r="C36" s="47" t="s">
        <v>9579</v>
      </c>
    </row>
    <row r="37" spans="1:3" x14ac:dyDescent="0.25">
      <c r="A37" s="46" t="s">
        <v>8987</v>
      </c>
      <c r="B37" s="47"/>
      <c r="C37" s="46" t="s">
        <v>9024</v>
      </c>
    </row>
    <row r="38" spans="1:3" ht="30" x14ac:dyDescent="0.25">
      <c r="A38" s="47" t="s">
        <v>9047</v>
      </c>
      <c r="B38" s="47"/>
      <c r="C38" s="47" t="s">
        <v>9048</v>
      </c>
    </row>
    <row r="39" spans="1:3" ht="30" x14ac:dyDescent="0.25">
      <c r="A39" s="47" t="s">
        <v>9050</v>
      </c>
      <c r="B39" s="47"/>
      <c r="C39" s="47" t="s">
        <v>9049</v>
      </c>
    </row>
    <row r="40" spans="1:3" x14ac:dyDescent="0.25">
      <c r="A40" s="46" t="s">
        <v>8986</v>
      </c>
      <c r="B40" s="47"/>
      <c r="C40" s="46" t="s">
        <v>9022</v>
      </c>
    </row>
    <row r="41" spans="1:3" x14ac:dyDescent="0.25">
      <c r="A41" s="47" t="s">
        <v>9052</v>
      </c>
      <c r="B41" s="47"/>
      <c r="C41" s="47" t="s">
        <v>9053</v>
      </c>
    </row>
    <row r="42" spans="1:3" x14ac:dyDescent="0.25">
      <c r="A42" s="46" t="s">
        <v>8985</v>
      </c>
      <c r="B42" s="47"/>
      <c r="C42" s="46" t="s">
        <v>9021</v>
      </c>
    </row>
    <row r="43" spans="1:3" x14ac:dyDescent="0.25">
      <c r="A43" s="47" t="s">
        <v>9054</v>
      </c>
      <c r="C43" s="47" t="s">
        <v>9073</v>
      </c>
    </row>
    <row r="44" spans="1:3" x14ac:dyDescent="0.25">
      <c r="A44" s="47" t="s">
        <v>9082</v>
      </c>
      <c r="C44" s="47" t="s">
        <v>9084</v>
      </c>
    </row>
    <row r="45" spans="1:3" ht="30" x14ac:dyDescent="0.25">
      <c r="A45" s="47" t="s">
        <v>9083</v>
      </c>
      <c r="C45" s="47" t="s">
        <v>9085</v>
      </c>
    </row>
    <row r="46" spans="1:3" x14ac:dyDescent="0.25">
      <c r="A46" s="47" t="s">
        <v>9088</v>
      </c>
      <c r="C46" s="47" t="s">
        <v>9086</v>
      </c>
    </row>
    <row r="47" spans="1:3" ht="30" x14ac:dyDescent="0.25">
      <c r="A47" s="47" t="s">
        <v>9087</v>
      </c>
      <c r="C47" s="47" t="s">
        <v>9089</v>
      </c>
    </row>
    <row r="48" spans="1:3" ht="45" x14ac:dyDescent="0.25">
      <c r="A48" s="47" t="s">
        <v>9055</v>
      </c>
      <c r="C48" s="47" t="s">
        <v>9072</v>
      </c>
    </row>
    <row r="49" spans="1:3" ht="60" x14ac:dyDescent="0.25">
      <c r="A49" s="47" t="s">
        <v>9056</v>
      </c>
      <c r="C49" s="47" t="s">
        <v>9071</v>
      </c>
    </row>
    <row r="50" spans="1:3" ht="30" x14ac:dyDescent="0.25">
      <c r="A50" s="47" t="s">
        <v>9057</v>
      </c>
      <c r="C50" s="47" t="s">
        <v>9070</v>
      </c>
    </row>
    <row r="51" spans="1:3" ht="150" x14ac:dyDescent="0.25">
      <c r="A51" s="47" t="s">
        <v>9069</v>
      </c>
      <c r="C51" s="47" t="s">
        <v>9068</v>
      </c>
    </row>
    <row r="52" spans="1:3" x14ac:dyDescent="0.25">
      <c r="A52" s="46" t="s">
        <v>9058</v>
      </c>
      <c r="C52" s="46" t="s">
        <v>9067</v>
      </c>
    </row>
    <row r="53" spans="1:3" ht="60" x14ac:dyDescent="0.25">
      <c r="A53" s="47" t="s">
        <v>9059</v>
      </c>
      <c r="C53" s="47" t="s">
        <v>9066</v>
      </c>
    </row>
    <row r="54" spans="1:3" x14ac:dyDescent="0.25">
      <c r="A54" s="47" t="s">
        <v>9060</v>
      </c>
      <c r="C54" s="47" t="s">
        <v>9065</v>
      </c>
    </row>
    <row r="55" spans="1:3" x14ac:dyDescent="0.25">
      <c r="A55" s="53"/>
      <c r="B55" s="48"/>
    </row>
    <row r="56" spans="1:3" x14ac:dyDescent="0.25">
      <c r="A56" s="54" t="s">
        <v>8881</v>
      </c>
      <c r="B56" s="48"/>
      <c r="C56" s="46" t="s">
        <v>8882</v>
      </c>
    </row>
    <row r="57" spans="1:3" ht="30" x14ac:dyDescent="0.25">
      <c r="A57" s="47" t="s">
        <v>9061</v>
      </c>
      <c r="B57" s="46"/>
      <c r="C57" s="47" t="s">
        <v>9064</v>
      </c>
    </row>
    <row r="58" spans="1:3" ht="45" x14ac:dyDescent="0.25">
      <c r="A58" s="47" t="s">
        <v>9063</v>
      </c>
      <c r="B58" s="46"/>
      <c r="C58" s="47" t="s">
        <v>9062</v>
      </c>
    </row>
    <row r="60" spans="1:3" ht="18.75" x14ac:dyDescent="0.25">
      <c r="A60" s="39" t="s">
        <v>8868</v>
      </c>
      <c r="B60" s="38"/>
      <c r="C60" s="39" t="s">
        <v>8875</v>
      </c>
    </row>
    <row r="61" spans="1:3" x14ac:dyDescent="0.25">
      <c r="A61" s="46" t="s">
        <v>5669</v>
      </c>
      <c r="B61" s="41"/>
      <c r="C61" s="42" t="s">
        <v>8876</v>
      </c>
    </row>
    <row r="62" spans="1:3" x14ac:dyDescent="0.25">
      <c r="A62" s="47" t="s">
        <v>8877</v>
      </c>
      <c r="C62" s="37" t="s">
        <v>8878</v>
      </c>
    </row>
    <row r="63" spans="1:3" x14ac:dyDescent="0.25">
      <c r="A63" s="46" t="s">
        <v>5670</v>
      </c>
      <c r="B63" s="41"/>
      <c r="C63" s="46" t="s">
        <v>8879</v>
      </c>
    </row>
    <row r="64" spans="1:3" x14ac:dyDescent="0.25">
      <c r="A64" s="47" t="s">
        <v>9031</v>
      </c>
      <c r="C64" s="47" t="s">
        <v>9032</v>
      </c>
    </row>
    <row r="65" spans="1:3" x14ac:dyDescent="0.25">
      <c r="A65" s="47" t="s">
        <v>9033</v>
      </c>
      <c r="C65" s="47" t="s">
        <v>9034</v>
      </c>
    </row>
    <row r="66" spans="1:3" x14ac:dyDescent="0.25">
      <c r="A66" s="47" t="s">
        <v>9035</v>
      </c>
      <c r="C66" s="47" t="s">
        <v>8888</v>
      </c>
    </row>
    <row r="67" spans="1:3" ht="30" x14ac:dyDescent="0.25">
      <c r="A67" s="47" t="s">
        <v>9036</v>
      </c>
      <c r="C67" s="47" t="s">
        <v>9037</v>
      </c>
    </row>
    <row r="68" spans="1:3" x14ac:dyDescent="0.25">
      <c r="A68" s="47" t="s">
        <v>9041</v>
      </c>
      <c r="C68" s="47" t="s">
        <v>9042</v>
      </c>
    </row>
    <row r="69" spans="1:3" x14ac:dyDescent="0.25">
      <c r="A69" s="47" t="s">
        <v>8891</v>
      </c>
      <c r="C69" s="47" t="s">
        <v>8892</v>
      </c>
    </row>
    <row r="70" spans="1:3" x14ac:dyDescent="0.25">
      <c r="A70" s="47" t="s">
        <v>9038</v>
      </c>
      <c r="C70" s="47" t="s">
        <v>9026</v>
      </c>
    </row>
    <row r="71" spans="1:3" x14ac:dyDescent="0.25">
      <c r="A71" s="47" t="s">
        <v>9027</v>
      </c>
      <c r="C71" s="47" t="s">
        <v>9028</v>
      </c>
    </row>
    <row r="72" spans="1:3" x14ac:dyDescent="0.25">
      <c r="A72" s="47" t="s">
        <v>9029</v>
      </c>
      <c r="C72" s="47" t="s">
        <v>9030</v>
      </c>
    </row>
    <row r="73" spans="1:3" x14ac:dyDescent="0.25">
      <c r="A73" s="47" t="s">
        <v>9039</v>
      </c>
      <c r="C73" s="47" t="s">
        <v>9040</v>
      </c>
    </row>
    <row r="75" spans="1:3" ht="30" x14ac:dyDescent="0.25">
      <c r="A75" s="47" t="s">
        <v>9574</v>
      </c>
      <c r="C75" s="47" t="s">
        <v>9575</v>
      </c>
    </row>
    <row r="76" spans="1:3" ht="45" x14ac:dyDescent="0.25">
      <c r="A76" s="47" t="s">
        <v>9717</v>
      </c>
      <c r="C76" s="47" t="s">
        <v>9718</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19" sqref="A19"/>
    </sheetView>
  </sheetViews>
  <sheetFormatPr defaultColWidth="11.42578125" defaultRowHeight="15" x14ac:dyDescent="0.25"/>
  <cols>
    <col min="1" max="1" width="10.7109375" style="55" customWidth="1"/>
    <col min="2" max="2" width="20.7109375" style="20" customWidth="1"/>
    <col min="3" max="3" width="75.7109375" style="11" customWidth="1"/>
    <col min="4" max="4" width="7.28515625" customWidth="1"/>
  </cols>
  <sheetData>
    <row r="1" spans="1:3" x14ac:dyDescent="0.25">
      <c r="B1" s="18" t="s">
        <v>8895</v>
      </c>
      <c r="C1" s="19" t="s">
        <v>9723</v>
      </c>
    </row>
    <row r="2" spans="1:3" x14ac:dyDescent="0.25">
      <c r="B2" s="18"/>
      <c r="C2" s="19"/>
    </row>
    <row r="3" spans="1:3" x14ac:dyDescent="0.25">
      <c r="B3" s="18"/>
      <c r="C3" s="19"/>
    </row>
    <row r="4" spans="1:3" x14ac:dyDescent="0.25">
      <c r="B4" s="18"/>
      <c r="C4" s="19"/>
    </row>
    <row r="5" spans="1:3" x14ac:dyDescent="0.25">
      <c r="B5" s="18"/>
      <c r="C5" s="19"/>
    </row>
    <row r="6" spans="1:3" x14ac:dyDescent="0.25">
      <c r="B6" s="18"/>
      <c r="C6" s="19"/>
    </row>
    <row r="10" spans="1:3" x14ac:dyDescent="0.25">
      <c r="C10" s="21" t="s">
        <v>8867</v>
      </c>
    </row>
    <row r="11" spans="1:3" ht="30" customHeight="1" x14ac:dyDescent="0.25">
      <c r="C11" s="59" t="s">
        <v>9683</v>
      </c>
    </row>
    <row r="12" spans="1:3" ht="30" customHeight="1" x14ac:dyDescent="0.25">
      <c r="C12" s="60" t="s">
        <v>9684</v>
      </c>
    </row>
    <row r="13" spans="1:3" ht="30" customHeight="1" x14ac:dyDescent="0.25">
      <c r="C13" s="58" t="s">
        <v>9685</v>
      </c>
    </row>
    <row r="14" spans="1:3" ht="30" customHeight="1" x14ac:dyDescent="0.25">
      <c r="C14" s="58" t="s">
        <v>9686</v>
      </c>
    </row>
    <row r="16" spans="1:3" s="11" customFormat="1" x14ac:dyDescent="0.25">
      <c r="A16" s="56">
        <v>44105</v>
      </c>
      <c r="B16" s="2" t="s">
        <v>9580</v>
      </c>
      <c r="C16" s="11" t="s">
        <v>9581</v>
      </c>
    </row>
    <row r="17" spans="1:3" x14ac:dyDescent="0.25">
      <c r="A17" s="56">
        <v>44130</v>
      </c>
      <c r="B17" s="2" t="s">
        <v>9580</v>
      </c>
      <c r="C17" s="11" t="s">
        <v>9593</v>
      </c>
    </row>
    <row r="18" spans="1:3" x14ac:dyDescent="0.25">
      <c r="A18" s="56">
        <v>44194</v>
      </c>
      <c r="B18" s="2" t="s">
        <v>9580</v>
      </c>
      <c r="C18" s="11" t="s">
        <v>9594</v>
      </c>
    </row>
    <row r="19" spans="1:3" ht="30" x14ac:dyDescent="0.25">
      <c r="A19" s="56">
        <v>44235</v>
      </c>
      <c r="B19" s="2" t="s">
        <v>9580</v>
      </c>
      <c r="C19" s="57" t="s">
        <v>9716</v>
      </c>
    </row>
    <row r="20" spans="1:3" x14ac:dyDescent="0.25">
      <c r="A20" s="55">
        <v>44317</v>
      </c>
      <c r="B20" s="2" t="s">
        <v>9580</v>
      </c>
      <c r="C20" s="11" t="s">
        <v>9728</v>
      </c>
    </row>
    <row r="21" spans="1:3" x14ac:dyDescent="0.25">
      <c r="A21" s="56"/>
      <c r="B21" s="2"/>
    </row>
    <row r="22" spans="1:3" x14ac:dyDescent="0.25">
      <c r="A22" s="56"/>
      <c r="B22" s="2"/>
    </row>
    <row r="23" spans="1:3" x14ac:dyDescent="0.25">
      <c r="A23" s="56"/>
      <c r="B23" s="2"/>
    </row>
    <row r="24" spans="1:3" x14ac:dyDescent="0.25">
      <c r="A24" s="56"/>
      <c r="B24" s="2"/>
    </row>
    <row r="25" spans="1:3" x14ac:dyDescent="0.25">
      <c r="A25" s="56"/>
      <c r="B25" s="2"/>
    </row>
    <row r="26" spans="1:3" x14ac:dyDescent="0.25">
      <c r="A26" s="56"/>
      <c r="B26" s="2"/>
    </row>
    <row r="27" spans="1:3" x14ac:dyDescent="0.25">
      <c r="A27" s="56"/>
      <c r="B27" s="2"/>
    </row>
    <row r="28" spans="1:3" x14ac:dyDescent="0.25">
      <c r="A28" s="56"/>
      <c r="B28" s="2"/>
    </row>
    <row r="29" spans="1:3" x14ac:dyDescent="0.25">
      <c r="A29" s="56"/>
      <c r="B29" s="2"/>
    </row>
    <row r="30" spans="1:3" x14ac:dyDescent="0.25">
      <c r="A30" s="56"/>
      <c r="B30" s="2"/>
    </row>
    <row r="31" spans="1:3" x14ac:dyDescent="0.25">
      <c r="A31" s="56"/>
      <c r="B31" s="2"/>
    </row>
    <row r="32" spans="1:3" x14ac:dyDescent="0.25">
      <c r="A32" s="56"/>
      <c r="B32" s="2"/>
    </row>
    <row r="33" spans="1:2" x14ac:dyDescent="0.25">
      <c r="A33" s="56"/>
      <c r="B33" s="2"/>
    </row>
    <row r="34" spans="1:2" x14ac:dyDescent="0.25">
      <c r="A34" s="56"/>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r:id="rId5">
            <anchor moveWithCells="1">
              <from>
                <xdr:col>2</xdr:col>
                <xdr:colOff>4467225</xdr:colOff>
                <xdr:row>13</xdr:row>
                <xdr:rowOff>38100</xdr:rowOff>
              </from>
              <to>
                <xdr:col>2</xdr:col>
                <xdr:colOff>5038725</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47625</xdr:rowOff>
              </from>
              <to>
                <xdr:col>2</xdr:col>
                <xdr:colOff>5038725</xdr:colOff>
                <xdr:row>11</xdr:row>
                <xdr:rowOff>361950</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47625</xdr:rowOff>
              </from>
              <to>
                <xdr:col>2</xdr:col>
                <xdr:colOff>5038725</xdr:colOff>
                <xdr:row>10</xdr:row>
                <xdr:rowOff>361950</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38100</xdr:rowOff>
              </from>
              <to>
                <xdr:col>2</xdr:col>
                <xdr:colOff>5038725</xdr:colOff>
                <xdr:row>12</xdr:row>
                <xdr:rowOff>352425</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433"/>
  <sheetViews>
    <sheetView zoomScale="80" zoomScaleNormal="80" workbookViewId="0">
      <pane xSplit="6" ySplit="3" topLeftCell="H3330" activePane="bottomRight" state="frozen"/>
      <selection pane="topRight" activeCell="B1" sqref="B1"/>
      <selection pane="bottomLeft" activeCell="A2" sqref="A2"/>
      <selection pane="bottomRight" activeCell="A4" sqref="A4:Q3433"/>
    </sheetView>
  </sheetViews>
  <sheetFormatPr defaultColWidth="11.42578125" defaultRowHeight="15" outlineLevelCol="1" x14ac:dyDescent="0.25"/>
  <cols>
    <col min="1" max="1" width="11.140625" style="5" hidden="1" customWidth="1"/>
    <col min="2" max="2" width="9.42578125" style="5" hidden="1" customWidth="1"/>
    <col min="3" max="3" width="19.85546875" style="5" hidden="1" customWidth="1" outlineLevel="1"/>
    <col min="4" max="4" width="24.42578125" style="5" hidden="1" customWidth="1" outlineLevel="1"/>
    <col min="5" max="5" width="41.42578125" style="5" hidden="1" customWidth="1" outlineLevel="1"/>
    <col min="6" max="6" width="40" style="5" customWidth="1" collapsed="1"/>
    <col min="7" max="7" width="11.5703125" style="5" customWidth="1" outlineLevel="1"/>
    <col min="8" max="8" width="50.7109375" style="6" customWidth="1" outlineLevel="1"/>
    <col min="9" max="9" width="48" style="31" bestFit="1" customWidth="1"/>
    <col min="10" max="10" width="50.7109375" style="14" customWidth="1"/>
    <col min="11" max="11" width="7.42578125" style="27"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4.25" hidden="1" customHeight="1" x14ac:dyDescent="0.25">
      <c r="A1" s="5" t="str">
        <f>IF(TRIM(I1)="","",E1)</f>
        <v/>
      </c>
      <c r="B1" s="5" t="str">
        <f t="shared" ref="B1" si="0">IF(TRIM(J1)="","",H1)</f>
        <v/>
      </c>
      <c r="C1" s="5" t="e">
        <f>LEFT(F1,FIND(".",F1,6))</f>
        <v>#VALUE!</v>
      </c>
      <c r="D1" s="5" t="e">
        <f>VLOOKUP(C1,PrefixUebersetzung,2,FALSE)</f>
        <v>#VALUE!</v>
      </c>
      <c r="E1" s="5" t="e">
        <f>MID(F1,FIND(".",F1,6)+1,99)</f>
        <v>#VALUE!</v>
      </c>
      <c r="I1" s="7"/>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7"/>
      <c r="J2" s="8"/>
      <c r="M2" s="6">
        <f>IFERROR(INDEX(J:J,MATCH(TRUE,INDEX(B:B=H2,0),0)),"")</f>
        <v>0</v>
      </c>
    </row>
    <row r="3" spans="1:17" s="15" customFormat="1" x14ac:dyDescent="0.25">
      <c r="A3" s="22" t="s">
        <v>8893</v>
      </c>
      <c r="B3" s="22" t="s">
        <v>8894</v>
      </c>
      <c r="C3" s="22" t="s">
        <v>8884</v>
      </c>
      <c r="D3" s="22" t="s">
        <v>8885</v>
      </c>
      <c r="E3" s="22" t="s">
        <v>8886</v>
      </c>
      <c r="F3" s="22" t="s">
        <v>3707</v>
      </c>
      <c r="G3" s="22" t="s">
        <v>9682</v>
      </c>
      <c r="H3" s="15" t="s">
        <v>8864</v>
      </c>
      <c r="I3" s="49" t="s">
        <v>8887</v>
      </c>
      <c r="J3" s="50" t="s">
        <v>8866</v>
      </c>
      <c r="K3" s="16" t="s">
        <v>8883</v>
      </c>
      <c r="L3" s="15" t="s">
        <v>8889</v>
      </c>
      <c r="M3" s="15" t="s">
        <v>8890</v>
      </c>
      <c r="N3" s="15" t="s">
        <v>8880</v>
      </c>
      <c r="O3" s="15" t="s">
        <v>8896</v>
      </c>
      <c r="P3" s="15" t="s">
        <v>8897</v>
      </c>
      <c r="Q3" s="15" t="s">
        <v>9572</v>
      </c>
    </row>
    <row r="4" spans="1:17" ht="30" x14ac:dyDescent="0.25">
      <c r="A4" s="5" t="str">
        <f>IF(TRIM(I4)="","",E4)</f>
        <v>FileCreated_ExifFormat</v>
      </c>
      <c r="B4" s="5" t="str">
        <f>IF(TRIM(J4)="","",H4)</f>
        <v>The date/time when file was created in date/time format of Exif (YYYY:MM:DD hh:mm:ss)</v>
      </c>
      <c r="C4" s="5" t="str">
        <f>LEFT(F4,FIND(".",F4,6))</f>
        <v>Define.</v>
      </c>
      <c r="D4" s="5" t="str">
        <f>VLOOKUP(C4,PrefixUebersetzung,2,FALSE)</f>
        <v>Define (Definiert).</v>
      </c>
      <c r="E4" s="5" t="str">
        <f>MID(F4,FIND(".",F4,6)+1,99)</f>
        <v>FileCreated_ExifFormat</v>
      </c>
      <c r="F4" s="5" t="s">
        <v>0</v>
      </c>
      <c r="G4" s="5" t="s">
        <v>9663</v>
      </c>
      <c r="H4" s="6" t="s">
        <v>2134</v>
      </c>
      <c r="I4" s="7" t="s">
        <v>4191</v>
      </c>
      <c r="J4" s="8" t="s">
        <v>3709</v>
      </c>
      <c r="K4" s="26"/>
      <c r="N4" s="6" t="str">
        <f>IF(AND(TRIM(I4)="",L4=""),"Suffix not translated ",
   IF(AND(TRIM(I4)&lt;&gt;"",TRIM(L4)&lt;&gt;"",TRIM(I4)&lt;&gt;TRIM(L4)),"Suffix translation &lt;&gt; lookup ", "" ))
&amp;IF(AND(TRIM(J4)="",M4=""),"Description not translated ",
   IF(AND(TRIM(J4)&lt;&gt;"",TRIM(M4)&lt;&gt;"",TRIM(J4)&lt;&gt;TRIM(M4)),"Description translation&lt;&gt; lookup ", "" ))</f>
        <v/>
      </c>
      <c r="O4" s="6" t="s">
        <v>8574</v>
      </c>
      <c r="P4" s="6" t="s">
        <v>8574</v>
      </c>
    </row>
    <row r="5" spans="1:17" ht="45" x14ac:dyDescent="0.25">
      <c r="A5" s="5" t="str">
        <f>IF(TRIM(I5)="","",E5)</f>
        <v>FileModified_ExifFormat</v>
      </c>
      <c r="B5" s="5" t="str">
        <f>IF(TRIM(J5)="","",H5)</f>
        <v xml:space="preserve">The date/time when file was modified in date/time format of Exif (YYYY:MM:DD hh:mm:ss) </v>
      </c>
      <c r="C5" s="5" t="str">
        <f>LEFT(F5,FIND(".",F5,6))</f>
        <v>Define.</v>
      </c>
      <c r="D5" s="5" t="str">
        <f>VLOOKUP(C5,PrefixUebersetzung,2,FALSE)</f>
        <v>Define (Definiert).</v>
      </c>
      <c r="E5" s="5" t="str">
        <f>MID(F5,FIND(".",F5,6)+1,99)</f>
        <v>FileModified_ExifFormat</v>
      </c>
      <c r="F5" s="5" t="s">
        <v>1</v>
      </c>
      <c r="G5" s="5" t="s">
        <v>9663</v>
      </c>
      <c r="H5" s="6" t="s">
        <v>2135</v>
      </c>
      <c r="I5" s="7" t="s">
        <v>4192</v>
      </c>
      <c r="J5" s="8" t="s">
        <v>3710</v>
      </c>
      <c r="K5" s="26"/>
      <c r="N5" s="6" t="str">
        <f>IF(AND(TRIM(I5)="",L5=""),"Suffix not translated ",
   IF(AND(TRIM(I5)&lt;&gt;"",TRIM(L5)&lt;&gt;"",TRIM(I5)&lt;&gt;TRIM(L5)),"Suffix translation &lt;&gt; lookup ", "" ))
&amp;IF(AND(TRIM(J5)="",M5=""),"Description not translated ",
   IF(AND(TRIM(J5)&lt;&gt;"",TRIM(M5)&lt;&gt;"",TRIM(J5)&lt;&gt;TRIM(M5)),"Description translation&lt;&gt; lookup ", "" ))</f>
        <v/>
      </c>
      <c r="O5" s="6" t="s">
        <v>8574</v>
      </c>
      <c r="P5" s="6" t="s">
        <v>8574</v>
      </c>
    </row>
    <row r="6" spans="1:17" ht="30" x14ac:dyDescent="0.25">
      <c r="A6" s="5" t="str">
        <f>IF(TRIM(I6)="","",E6)</f>
        <v>PhotoDateOriginal_YYYYMMDD</v>
      </c>
      <c r="B6" s="5" t="str">
        <f>IF(TRIM(J6)="","",H6)</f>
        <v>The date when the original image data was generated in format YYYYMMDD</v>
      </c>
      <c r="C6" s="5" t="str">
        <f>LEFT(F6,FIND(".",F6,6))</f>
        <v>Define.</v>
      </c>
      <c r="D6" s="5" t="str">
        <f>VLOOKUP(C6,PrefixUebersetzung,2,FALSE)</f>
        <v>Define (Definiert).</v>
      </c>
      <c r="E6" s="5" t="str">
        <f>MID(F6,FIND(".",F6,6)+1,99)</f>
        <v>PhotoDateOriginal_YYYYMMDD</v>
      </c>
      <c r="F6" s="5" t="s">
        <v>2</v>
      </c>
      <c r="G6" s="5" t="s">
        <v>9663</v>
      </c>
      <c r="H6" s="6" t="s">
        <v>2136</v>
      </c>
      <c r="I6" s="7" t="s">
        <v>5047</v>
      </c>
      <c r="J6" s="8" t="s">
        <v>3711</v>
      </c>
      <c r="K6" s="26"/>
      <c r="N6" s="6" t="str">
        <f>IF(AND(TRIM(I6)="",L6=""),"Suffix not translated ",
   IF(AND(TRIM(I6)&lt;&gt;"",TRIM(L6)&lt;&gt;"",TRIM(I6)&lt;&gt;TRIM(L6)),"Suffix translation &lt;&gt; lookup ", "" ))
&amp;IF(AND(TRIM(J6)="",M6=""),"Description not translated ",
   IF(AND(TRIM(J6)&lt;&gt;"",TRIM(M6)&lt;&gt;"",TRIM(J6)&lt;&gt;TRIM(M6)),"Description translation&lt;&gt; lookup ", "" ))</f>
        <v/>
      </c>
      <c r="O6" s="6" t="s">
        <v>8574</v>
      </c>
      <c r="P6" s="6" t="s">
        <v>8574</v>
      </c>
    </row>
    <row r="7" spans="1:17" ht="30" x14ac:dyDescent="0.25">
      <c r="A7" s="5" t="str">
        <f>IF(TRIM(I7)="","",E7)</f>
        <v>PhotoTimeOriginal_hhmmss</v>
      </c>
      <c r="B7" s="5" t="str">
        <f>IF(TRIM(J7)="","",H7)</f>
        <v>The time when the original image data was generated in format hhmmss</v>
      </c>
      <c r="C7" s="5" t="str">
        <f>LEFT(F7,FIND(".",F7,6))</f>
        <v>Define.</v>
      </c>
      <c r="D7" s="5" t="str">
        <f>VLOOKUP(C7,PrefixUebersetzung,2,FALSE)</f>
        <v>Define (Definiert).</v>
      </c>
      <c r="E7" s="5" t="str">
        <f>MID(F7,FIND(".",F7,6)+1,99)</f>
        <v>PhotoTimeOriginal_hhmmss</v>
      </c>
      <c r="F7" s="5" t="s">
        <v>3</v>
      </c>
      <c r="G7" s="5" t="s">
        <v>9663</v>
      </c>
      <c r="H7" s="6" t="s">
        <v>2137</v>
      </c>
      <c r="I7" s="7" t="s">
        <v>5048</v>
      </c>
      <c r="J7" s="8" t="s">
        <v>3712</v>
      </c>
      <c r="K7" s="26"/>
      <c r="N7" s="6" t="str">
        <f>IF(AND(TRIM(I7)="",L7=""),"Suffix not translated ",
   IF(AND(TRIM(I7)&lt;&gt;"",TRIM(L7)&lt;&gt;"",TRIM(I7)&lt;&gt;TRIM(L7)),"Suffix translation &lt;&gt; lookup ", "" ))
&amp;IF(AND(TRIM(J7)="",M7=""),"Description not translated ",
   IF(AND(TRIM(J7)&lt;&gt;"",TRIM(M7)&lt;&gt;"",TRIM(J7)&lt;&gt;TRIM(M7)),"Description translation&lt;&gt; lookup ", "" ))</f>
        <v/>
      </c>
      <c r="O7" s="6" t="s">
        <v>8574</v>
      </c>
      <c r="P7" s="6" t="s">
        <v>8574</v>
      </c>
    </row>
    <row r="8" spans="1:17" x14ac:dyDescent="0.25">
      <c r="A8" s="5" t="str">
        <f>IF(TRIM(I8)="","",E8)</f>
        <v/>
      </c>
      <c r="B8" s="5" t="str">
        <f>IF(TRIM(J8)="","",H8)</f>
        <v>Unknown</v>
      </c>
      <c r="C8" s="5" t="str">
        <f>LEFT(F8,FIND(".",F8,6))</f>
        <v>Exif.Canon.</v>
      </c>
      <c r="D8" s="5" t="str">
        <f>VLOOKUP(C8,PrefixUebersetzung,2,FALSE)</f>
        <v>Exif.Canon.</v>
      </c>
      <c r="E8" s="5" t="str">
        <f>MID(F8,FIND(".",F8,6)+1,99)</f>
        <v>0x0000</v>
      </c>
      <c r="F8" s="5" t="s">
        <v>4</v>
      </c>
      <c r="G8" s="5" t="s">
        <v>9664</v>
      </c>
      <c r="H8" s="6" t="s">
        <v>2138</v>
      </c>
      <c r="I8" s="7"/>
      <c r="J8" s="14" t="s">
        <v>3713</v>
      </c>
      <c r="K8" s="26"/>
      <c r="L8" s="6" t="str">
        <f>IFERROR(VLOOKUP(E8,A:I,9, FALSE),"")</f>
        <v/>
      </c>
      <c r="M8" s="6" t="str">
        <f>IFERROR(VLOOKUP(H8,B:J,9,FALSE),"")</f>
        <v>Unbekannt</v>
      </c>
      <c r="N8" s="6"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6" t="s">
        <v>8574</v>
      </c>
      <c r="P8" s="6" t="s">
        <v>8574</v>
      </c>
      <c r="Q8" s="6" t="s">
        <v>3713</v>
      </c>
    </row>
    <row r="9" spans="1:17" x14ac:dyDescent="0.25">
      <c r="A9" s="5" t="str">
        <f>IF(TRIM(I9)="","",E9)</f>
        <v/>
      </c>
      <c r="B9" s="5" t="str">
        <f>IF(TRIM(J9)="","",H9)</f>
        <v/>
      </c>
      <c r="C9" s="5" t="str">
        <f>LEFT(F9,FIND(".",F9,6))</f>
        <v>Exif.Canon.</v>
      </c>
      <c r="D9" s="5" t="str">
        <f>VLOOKUP(C9,PrefixUebersetzung,2,FALSE)</f>
        <v>Exif.Canon.</v>
      </c>
      <c r="E9" s="5" t="str">
        <f>MID(F9,FIND(".",F9,6)+1,99)</f>
        <v>0x0003</v>
      </c>
      <c r="F9" s="5" t="s">
        <v>5</v>
      </c>
      <c r="G9" s="5" t="s">
        <v>9664</v>
      </c>
      <c r="H9" s="6" t="s">
        <v>2138</v>
      </c>
      <c r="I9" s="7"/>
      <c r="J9" s="8"/>
      <c r="K9" s="26"/>
      <c r="M9" s="6" t="str">
        <f>IFERROR(VLOOKUP(H9,B:J,9,FALSE),"")</f>
        <v>Unbekannt</v>
      </c>
      <c r="N9" s="6"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6" t="s">
        <v>8574</v>
      </c>
    </row>
    <row r="10" spans="1:17" x14ac:dyDescent="0.25">
      <c r="A10" s="5" t="str">
        <f>IF(TRIM(I10)="","",E10)</f>
        <v/>
      </c>
      <c r="B10" s="5" t="str">
        <f>IF(TRIM(J10)="","",H10)</f>
        <v/>
      </c>
      <c r="C10" s="5" t="str">
        <f>LEFT(F10,FIND(".",F10,6))</f>
        <v>Exif.Canon.</v>
      </c>
      <c r="D10" s="5" t="str">
        <f>VLOOKUP(C10,PrefixUebersetzung,2,FALSE)</f>
        <v>Exif.Canon.</v>
      </c>
      <c r="E10" s="5" t="str">
        <f>MID(F10,FIND(".",F10,6)+1,99)</f>
        <v>0x00b5</v>
      </c>
      <c r="F10" s="5" t="s">
        <v>6</v>
      </c>
      <c r="G10" s="5" t="s">
        <v>9664</v>
      </c>
      <c r="H10" s="6" t="s">
        <v>2138</v>
      </c>
      <c r="I10" s="7"/>
      <c r="J10" s="8"/>
      <c r="K10" s="26"/>
      <c r="M10" s="6" t="str">
        <f>IFERROR(VLOOKUP(H10,B:J,9,FALSE),"")</f>
        <v>Unbekannt</v>
      </c>
      <c r="N10" s="6"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6" t="s">
        <v>8574</v>
      </c>
    </row>
    <row r="11" spans="1:17" x14ac:dyDescent="0.25">
      <c r="A11" s="5" t="str">
        <f>IF(TRIM(I11)="","",E11)</f>
        <v/>
      </c>
      <c r="B11" s="5" t="str">
        <f>IF(TRIM(J11)="","",H11)</f>
        <v/>
      </c>
      <c r="C11" s="5" t="str">
        <f>LEFT(F11,FIND(".",F11,6))</f>
        <v>Exif.Canon.</v>
      </c>
      <c r="D11" s="5" t="str">
        <f>VLOOKUP(C11,PrefixUebersetzung,2,FALSE)</f>
        <v>Exif.Canon.</v>
      </c>
      <c r="E11" s="5" t="str">
        <f>MID(F11,FIND(".",F11,6)+1,99)</f>
        <v>0x00c0</v>
      </c>
      <c r="F11" s="5" t="s">
        <v>7</v>
      </c>
      <c r="G11" s="5" t="s">
        <v>9664</v>
      </c>
      <c r="H11" s="6" t="s">
        <v>2138</v>
      </c>
      <c r="I11" s="7"/>
      <c r="J11" s="8"/>
      <c r="K11" s="26"/>
      <c r="M11" s="6" t="str">
        <f>IFERROR(VLOOKUP(H11,B:J,9,FALSE),"")</f>
        <v>Unbekannt</v>
      </c>
      <c r="N11" s="6"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6" t="s">
        <v>8574</v>
      </c>
    </row>
    <row r="12" spans="1:17" x14ac:dyDescent="0.25">
      <c r="A12" s="5" t="str">
        <f>IF(TRIM(I12)="","",E12)</f>
        <v/>
      </c>
      <c r="B12" s="5" t="str">
        <f>IF(TRIM(J12)="","",H12)</f>
        <v/>
      </c>
      <c r="C12" s="5" t="str">
        <f>LEFT(F12,FIND(".",F12,6))</f>
        <v>Exif.Canon.</v>
      </c>
      <c r="D12" s="5" t="str">
        <f>VLOOKUP(C12,PrefixUebersetzung,2,FALSE)</f>
        <v>Exif.Canon.</v>
      </c>
      <c r="E12" s="5" t="str">
        <f>MID(F12,FIND(".",F12,6)+1,99)</f>
        <v>0x00c1</v>
      </c>
      <c r="F12" s="5" t="s">
        <v>8</v>
      </c>
      <c r="G12" s="5" t="s">
        <v>9664</v>
      </c>
      <c r="H12" s="6" t="s">
        <v>2138</v>
      </c>
      <c r="I12" s="7"/>
      <c r="J12" s="8"/>
      <c r="K12" s="26"/>
      <c r="M12" s="6" t="str">
        <f>IFERROR(VLOOKUP(H12,B:J,9,FALSE),"")</f>
        <v>Unbekannt</v>
      </c>
      <c r="N12" s="6"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6" t="s">
        <v>8574</v>
      </c>
    </row>
    <row r="13" spans="1:17" x14ac:dyDescent="0.25">
      <c r="A13" s="5" t="str">
        <f>IF(TRIM(I13)="","",E13)</f>
        <v>AFAreaHeights</v>
      </c>
      <c r="B13" s="5" t="str">
        <f>IF(TRIM(J13)="","",H13)</f>
        <v>AF Area Heights</v>
      </c>
      <c r="C13" s="5" t="str">
        <f>LEFT(F13,FIND(".",F13,6))</f>
        <v>Exif.Canon.</v>
      </c>
      <c r="D13" s="5" t="str">
        <f>VLOOKUP(C13,PrefixUebersetzung,2,FALSE)</f>
        <v>Exif.Canon.</v>
      </c>
      <c r="E13" s="5" t="str">
        <f>MID(F13,FIND(".",F13,6)+1,99)</f>
        <v>AFAreaHeights</v>
      </c>
      <c r="F13" s="11" t="s">
        <v>8603</v>
      </c>
      <c r="G13" s="5" t="s">
        <v>9665</v>
      </c>
      <c r="H13" s="11" t="s">
        <v>8604</v>
      </c>
      <c r="I13" s="7" t="s">
        <v>8732</v>
      </c>
      <c r="J13" s="14" t="s">
        <v>8732</v>
      </c>
      <c r="K13" s="26"/>
      <c r="N13" s="6" t="str">
        <f>IF(AND(TRIM(I13)="",L13=""),"Suffix not translated ",
   IF(AND(TRIM(I13)&lt;&gt;"",TRIM(L13)&lt;&gt;"",TRIM(I13)&lt;&gt;TRIM(L13)),"Suffix translation &lt;&gt; lookup ", "" ))
&amp;IF(AND(TRIM(J13)="",M13=""),"Description not translated ",
   IF(AND(TRIM(J13)&lt;&gt;"",TRIM(M13)&lt;&gt;"",TRIM(J13)&lt;&gt;TRIM(M13)),"Description translation&lt;&gt; lookup ", "" ))</f>
        <v/>
      </c>
      <c r="O13" s="6" t="s">
        <v>8574</v>
      </c>
      <c r="P13" s="6" t="s">
        <v>8574</v>
      </c>
    </row>
    <row r="14" spans="1:17" x14ac:dyDescent="0.25">
      <c r="A14" s="5" t="str">
        <f>IF(TRIM(I14)="","",E14)</f>
        <v>AFAreaMode</v>
      </c>
      <c r="B14" s="5" t="str">
        <f>IF(TRIM(J14)="","",H14)</f>
        <v>AF Area Mode</v>
      </c>
      <c r="C14" s="5" t="str">
        <f>LEFT(F14,FIND(".",F14,6))</f>
        <v>Exif.Canon.</v>
      </c>
      <c r="D14" s="5" t="str">
        <f>VLOOKUP(C14,PrefixUebersetzung,2,FALSE)</f>
        <v>Exif.Canon.</v>
      </c>
      <c r="E14" s="5" t="str">
        <f>MID(F14,FIND(".",F14,6)+1,99)</f>
        <v>AFAreaMode</v>
      </c>
      <c r="F14" s="11" t="s">
        <v>8605</v>
      </c>
      <c r="G14" s="5" t="s">
        <v>9665</v>
      </c>
      <c r="H14" s="11" t="s">
        <v>3158</v>
      </c>
      <c r="I14" s="7" t="s">
        <v>4890</v>
      </c>
      <c r="J14" s="8" t="s">
        <v>4890</v>
      </c>
      <c r="K14" s="26"/>
      <c r="L14" s="6" t="str">
        <f>IFERROR(VLOOKUP(E14,A:I,9, FALSE),"")</f>
        <v>AF Bereich Modus</v>
      </c>
      <c r="M14" s="6" t="str">
        <f>IFERROR(VLOOKUP(H14,B:J,9,FALSE),"")</f>
        <v>AF Bereich Modus</v>
      </c>
      <c r="N14" s="6" t="str">
        <f>IF(AND(TRIM(I14)="",L14=""),"Suffix not translated ",
   IF(AND(TRIM(I14)&lt;&gt;"",TRIM(L14)&lt;&gt;"",TRIM(I14)&lt;&gt;TRIM(L14)),"Suffix translation &lt;&gt; lookup ", "" ))
&amp;IF(AND(TRIM(J14)="",M14=""),"Description not translated ",
   IF(AND(TRIM(J14)&lt;&gt;"",TRIM(M14)&lt;&gt;"",TRIM(J14)&lt;&gt;TRIM(M14)),"Description translation&lt;&gt; lookup ", "" ))</f>
        <v/>
      </c>
      <c r="O14" s="6" t="s">
        <v>8574</v>
      </c>
      <c r="P14" s="6" t="s">
        <v>8574</v>
      </c>
      <c r="Q14" s="6" t="s">
        <v>5217</v>
      </c>
    </row>
    <row r="15" spans="1:17" x14ac:dyDescent="0.25">
      <c r="A15" s="5" t="str">
        <f>IF(TRIM(I15)="","",E15)</f>
        <v>AFAreaWidths</v>
      </c>
      <c r="B15" s="5" t="str">
        <f>IF(TRIM(J15)="","",H15)</f>
        <v>AF Area Widths</v>
      </c>
      <c r="C15" s="5" t="str">
        <f>LEFT(F15,FIND(".",F15,6))</f>
        <v>Exif.Canon.</v>
      </c>
      <c r="D15" s="5" t="str">
        <f>VLOOKUP(C15,PrefixUebersetzung,2,FALSE)</f>
        <v>Exif.Canon.</v>
      </c>
      <c r="E15" s="5" t="str">
        <f>MID(F15,FIND(".",F15,6)+1,99)</f>
        <v>AFAreaWidths</v>
      </c>
      <c r="F15" s="11" t="s">
        <v>8606</v>
      </c>
      <c r="G15" s="5" t="s">
        <v>9665</v>
      </c>
      <c r="H15" s="11" t="s">
        <v>8607</v>
      </c>
      <c r="I15" s="7" t="s">
        <v>8728</v>
      </c>
      <c r="J15" s="14" t="s">
        <v>8728</v>
      </c>
      <c r="K15" s="26"/>
      <c r="N15" s="6" t="str">
        <f>IF(AND(TRIM(I15)="",L15=""),"Suffix not translated ",
   IF(AND(TRIM(I15)&lt;&gt;"",TRIM(L15)&lt;&gt;"",TRIM(I15)&lt;&gt;TRIM(L15)),"Suffix translation &lt;&gt; lookup ", "" ))
&amp;IF(AND(TRIM(J15)="",M15=""),"Description not translated ",
   IF(AND(TRIM(J15)&lt;&gt;"",TRIM(M15)&lt;&gt;"",TRIM(J15)&lt;&gt;TRIM(M15)),"Description translation&lt;&gt; lookup ", "" ))</f>
        <v/>
      </c>
      <c r="O15" s="6" t="s">
        <v>8574</v>
      </c>
      <c r="P15" s="6" t="s">
        <v>8574</v>
      </c>
    </row>
    <row r="16" spans="1:17" x14ac:dyDescent="0.25">
      <c r="A16" s="5" t="str">
        <f>IF(TRIM(I16)="","",E16)</f>
        <v>AFCanonImageHeight</v>
      </c>
      <c r="B16" s="5" t="str">
        <f>IF(TRIM(J16)="","",H16)</f>
        <v>AF ImageHeight</v>
      </c>
      <c r="C16" s="5" t="str">
        <f>LEFT(F16,FIND(".",F16,6))</f>
        <v>Exif.Canon.</v>
      </c>
      <c r="D16" s="5" t="str">
        <f>VLOOKUP(C16,PrefixUebersetzung,2,FALSE)</f>
        <v>Exif.Canon.</v>
      </c>
      <c r="E16" s="5" t="str">
        <f>MID(F16,FIND(".",F16,6)+1,99)</f>
        <v>AFCanonImageHeight</v>
      </c>
      <c r="F16" s="11" t="s">
        <v>8608</v>
      </c>
      <c r="G16" s="5" t="s">
        <v>9665</v>
      </c>
      <c r="H16" s="11" t="s">
        <v>8609</v>
      </c>
      <c r="I16" s="7" t="s">
        <v>8733</v>
      </c>
      <c r="J16" s="14" t="s">
        <v>3963</v>
      </c>
      <c r="K16" s="26"/>
      <c r="N16" s="6" t="str">
        <f>IF(AND(TRIM(I16)="",L16=""),"Suffix not translated ",
   IF(AND(TRIM(I16)&lt;&gt;"",TRIM(L16)&lt;&gt;"",TRIM(I16)&lt;&gt;TRIM(L16)),"Suffix translation &lt;&gt; lookup ", "" ))
&amp;IF(AND(TRIM(J16)="",M16=""),"Description not translated ",
   IF(AND(TRIM(J16)&lt;&gt;"",TRIM(M16)&lt;&gt;"",TRIM(J16)&lt;&gt;TRIM(M16)),"Description translation&lt;&gt; lookup ", "" ))</f>
        <v/>
      </c>
      <c r="O16" s="6" t="s">
        <v>8574</v>
      </c>
      <c r="P16" s="6" t="s">
        <v>8574</v>
      </c>
    </row>
    <row r="17" spans="1:17" x14ac:dyDescent="0.25">
      <c r="A17" s="5" t="str">
        <f>IF(TRIM(I17)="","",E17)</f>
        <v>AFCanonImageWidth</v>
      </c>
      <c r="B17" s="5" t="str">
        <f>IF(TRIM(J17)="","",H17)</f>
        <v>AF ImageWidth</v>
      </c>
      <c r="C17" s="5" t="str">
        <f>LEFT(F17,FIND(".",F17,6))</f>
        <v>Exif.Canon.</v>
      </c>
      <c r="D17" s="5" t="str">
        <f>VLOOKUP(C17,PrefixUebersetzung,2,FALSE)</f>
        <v>Exif.Canon.</v>
      </c>
      <c r="E17" s="5" t="str">
        <f>MID(F17,FIND(".",F17,6)+1,99)</f>
        <v>AFCanonImageWidth</v>
      </c>
      <c r="F17" s="11" t="s">
        <v>8610</v>
      </c>
      <c r="G17" s="5" t="s">
        <v>9665</v>
      </c>
      <c r="H17" s="11" t="s">
        <v>8611</v>
      </c>
      <c r="I17" s="7" t="s">
        <v>8734</v>
      </c>
      <c r="J17" s="8" t="s">
        <v>3964</v>
      </c>
      <c r="K17" s="26"/>
      <c r="N17" s="6" t="str">
        <f>IF(AND(TRIM(I17)="",L17=""),"Suffix not translated ",
   IF(AND(TRIM(I17)&lt;&gt;"",TRIM(L17)&lt;&gt;"",TRIM(I17)&lt;&gt;TRIM(L17)),"Suffix translation &lt;&gt; lookup ", "" ))
&amp;IF(AND(TRIM(J17)="",M17=""),"Description not translated ",
   IF(AND(TRIM(J17)&lt;&gt;"",TRIM(M17)&lt;&gt;"",TRIM(J17)&lt;&gt;TRIM(M17)),"Description translation&lt;&gt; lookup ", "" ))</f>
        <v/>
      </c>
      <c r="O17" s="6" t="s">
        <v>8574</v>
      </c>
      <c r="P17" s="6" t="s">
        <v>8574</v>
      </c>
    </row>
    <row r="18" spans="1:17" x14ac:dyDescent="0.25">
      <c r="A18" s="5" t="str">
        <f>IF(TRIM(I18)="","",E18)</f>
        <v>AFImageHeight</v>
      </c>
      <c r="B18" s="5" t="str">
        <f>IF(TRIM(J18)="","",H18)</f>
        <v>AF Height</v>
      </c>
      <c r="C18" s="5" t="str">
        <f>LEFT(F18,FIND(".",F18,6))</f>
        <v>Exif.Canon.</v>
      </c>
      <c r="D18" s="5" t="str">
        <f>VLOOKUP(C18,PrefixUebersetzung,2,FALSE)</f>
        <v>Exif.Canon.</v>
      </c>
      <c r="E18" s="5" t="str">
        <f>MID(F18,FIND(".",F18,6)+1,99)</f>
        <v>AFImageHeight</v>
      </c>
      <c r="F18" s="11" t="s">
        <v>8612</v>
      </c>
      <c r="G18" s="5" t="s">
        <v>9665</v>
      </c>
      <c r="H18" s="11" t="s">
        <v>8613</v>
      </c>
      <c r="I18" s="7" t="s">
        <v>3963</v>
      </c>
      <c r="J18" s="8" t="s">
        <v>8729</v>
      </c>
      <c r="K18" s="26"/>
      <c r="L18" s="6" t="str">
        <f>IFERROR(VLOOKUP(E18,A:I,9, FALSE),"")</f>
        <v>AF Bildhöhe</v>
      </c>
      <c r="N18" s="6" t="str">
        <f>IF(AND(TRIM(I18)="",L18=""),"Suffix not translated ",
   IF(AND(TRIM(I18)&lt;&gt;"",TRIM(L18)&lt;&gt;"",TRIM(I18)&lt;&gt;TRIM(L18)),"Suffix translation &lt;&gt; lookup ", "" ))
&amp;IF(AND(TRIM(J18)="",M18=""),"Description not translated ",
   IF(AND(TRIM(J18)&lt;&gt;"",TRIM(M18)&lt;&gt;"",TRIM(J18)&lt;&gt;TRIM(M18)),"Description translation&lt;&gt; lookup ", "" ))</f>
        <v/>
      </c>
      <c r="O18" s="6" t="s">
        <v>8574</v>
      </c>
      <c r="P18" s="6" t="s">
        <v>8574</v>
      </c>
    </row>
    <row r="19" spans="1:17" x14ac:dyDescent="0.25">
      <c r="A19" s="5" t="str">
        <f>IF(TRIM(I19)="","",E19)</f>
        <v>AFImageWidth</v>
      </c>
      <c r="B19" s="5" t="str">
        <f>IF(TRIM(J19)="","",H19)</f>
        <v>AF Width</v>
      </c>
      <c r="C19" s="5" t="str">
        <f>LEFT(F19,FIND(".",F19,6))</f>
        <v>Exif.Canon.</v>
      </c>
      <c r="D19" s="5" t="str">
        <f>VLOOKUP(C19,PrefixUebersetzung,2,FALSE)</f>
        <v>Exif.Canon.</v>
      </c>
      <c r="E19" s="5" t="str">
        <f>MID(F19,FIND(".",F19,6)+1,99)</f>
        <v>AFImageWidth</v>
      </c>
      <c r="F19" s="11" t="s">
        <v>8614</v>
      </c>
      <c r="G19" s="5" t="s">
        <v>9665</v>
      </c>
      <c r="H19" s="11" t="s">
        <v>8615</v>
      </c>
      <c r="I19" s="7" t="s">
        <v>3964</v>
      </c>
      <c r="J19" s="8" t="s">
        <v>8730</v>
      </c>
      <c r="K19" s="26"/>
      <c r="L19" s="6" t="str">
        <f>IFERROR(VLOOKUP(E19,A:I,9, FALSE),"")</f>
        <v>AF Bildbreite</v>
      </c>
      <c r="N19" s="6" t="str">
        <f>IF(AND(TRIM(I19)="",L19=""),"Suffix not translated ",
   IF(AND(TRIM(I19)&lt;&gt;"",TRIM(L19)&lt;&gt;"",TRIM(I19)&lt;&gt;TRIM(L19)),"Suffix translation &lt;&gt; lookup ", "" ))
&amp;IF(AND(TRIM(J19)="",M19=""),"Description not translated ",
   IF(AND(TRIM(J19)&lt;&gt;"",TRIM(M19)&lt;&gt;"",TRIM(J19)&lt;&gt;TRIM(M19)),"Description translation&lt;&gt; lookup ", "" ))</f>
        <v/>
      </c>
      <c r="O19" s="6" t="s">
        <v>8574</v>
      </c>
      <c r="P19" s="6" t="s">
        <v>8574</v>
      </c>
    </row>
    <row r="20" spans="1:17" x14ac:dyDescent="0.25">
      <c r="A20" s="5" t="str">
        <f>IF(TRIM(I20)="","",E20)</f>
        <v>AFInfo</v>
      </c>
      <c r="B20" s="5" t="str">
        <f>IF(TRIM(J20)="","",H20)</f>
        <v>AF info</v>
      </c>
      <c r="C20" s="5" t="str">
        <f>LEFT(F20,FIND(".",F20,6))</f>
        <v>Exif.Canon.</v>
      </c>
      <c r="D20" s="5" t="str">
        <f>VLOOKUP(C20,PrefixUebersetzung,2,FALSE)</f>
        <v>Exif.Canon.</v>
      </c>
      <c r="E20" s="5" t="str">
        <f>MID(F20,FIND(".",F20,6)+1,99)</f>
        <v>AFInfo</v>
      </c>
      <c r="F20" s="5" t="s">
        <v>9</v>
      </c>
      <c r="G20" s="5" t="s">
        <v>9664</v>
      </c>
      <c r="H20" s="6" t="s">
        <v>2139</v>
      </c>
      <c r="I20" s="7" t="s">
        <v>4193</v>
      </c>
      <c r="J20" s="8" t="s">
        <v>3714</v>
      </c>
      <c r="K20" s="26"/>
      <c r="L20" s="6" t="str">
        <f>IFERROR(VLOOKUP(E20,A:I,9, FALSE),"")</f>
        <v>AF Information</v>
      </c>
      <c r="M20" s="6" t="str">
        <f>IFERROR(VLOOKUP(H20,B:J,9,FALSE),"")</f>
        <v>Autofokus Information</v>
      </c>
      <c r="N20" s="6" t="str">
        <f>IF(AND(TRIM(I20)="",L20=""),"Suffix not translated ",
   IF(AND(TRIM(I20)&lt;&gt;"",TRIM(L20)&lt;&gt;"",TRIM(I20)&lt;&gt;TRIM(L20)),"Suffix translation &lt;&gt; lookup ", "" ))
&amp;IF(AND(TRIM(J20)="",M20=""),"Description not translated ",
   IF(AND(TRIM(J20)&lt;&gt;"",TRIM(M20)&lt;&gt;"",TRIM(J20)&lt;&gt;TRIM(M20)),"Description translation&lt;&gt; lookup ", "" ))</f>
        <v/>
      </c>
      <c r="O20" s="6" t="s">
        <v>8574</v>
      </c>
      <c r="P20" s="6" t="s">
        <v>8574</v>
      </c>
      <c r="Q20" s="6" t="s">
        <v>9104</v>
      </c>
    </row>
    <row r="21" spans="1:17" x14ac:dyDescent="0.25">
      <c r="A21" s="5" t="str">
        <f>IF(TRIM(I21)="","",E21)</f>
        <v/>
      </c>
      <c r="B21" s="5" t="str">
        <f>IF(TRIM(J21)="","",H21)</f>
        <v/>
      </c>
      <c r="C21" s="5" t="str">
        <f>LEFT(F21,FIND(".",F21,6))</f>
        <v>Exif.Canon.</v>
      </c>
      <c r="D21" s="5" t="str">
        <f>VLOOKUP(C21,PrefixUebersetzung,2,FALSE)</f>
        <v>Exif.Canon.</v>
      </c>
      <c r="E21" s="5" t="str">
        <f>MID(F21,FIND(".",F21,6)+1,99)</f>
        <v>AFInfoSize</v>
      </c>
      <c r="F21" s="11" t="s">
        <v>8616</v>
      </c>
      <c r="G21" s="5" t="s">
        <v>9665</v>
      </c>
      <c r="H21" s="11" t="s">
        <v>8617</v>
      </c>
      <c r="I21" s="11"/>
      <c r="K21" s="26"/>
      <c r="N21" s="6"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6" t="s">
        <v>8574</v>
      </c>
      <c r="P21" s="6" t="s">
        <v>8574</v>
      </c>
    </row>
    <row r="22" spans="1:17" x14ac:dyDescent="0.25">
      <c r="A22" s="5" t="str">
        <f>IF(TRIM(I22)="","",E22)</f>
        <v>AFNumPoints</v>
      </c>
      <c r="B22" s="5" t="str">
        <f>IF(TRIM(J22)="","",H22)</f>
        <v>AF NumPoints</v>
      </c>
      <c r="C22" s="5" t="str">
        <f>LEFT(F22,FIND(".",F22,6))</f>
        <v>Exif.Canon.</v>
      </c>
      <c r="D22" s="5" t="str">
        <f>VLOOKUP(C22,PrefixUebersetzung,2,FALSE)</f>
        <v>Exif.Canon.</v>
      </c>
      <c r="E22" s="5" t="str">
        <f>MID(F22,FIND(".",F22,6)+1,99)</f>
        <v>AFNumPoints</v>
      </c>
      <c r="F22" s="11" t="s">
        <v>8618</v>
      </c>
      <c r="G22" s="5" t="s">
        <v>9665</v>
      </c>
      <c r="H22" s="11" t="s">
        <v>8619</v>
      </c>
      <c r="I22" s="7" t="s">
        <v>8735</v>
      </c>
      <c r="J22" s="14" t="s">
        <v>8735</v>
      </c>
      <c r="K22" s="26"/>
      <c r="N22" s="6" t="str">
        <f>IF(AND(TRIM(I22)="",L22=""),"Suffix not translated ",
   IF(AND(TRIM(I22)&lt;&gt;"",TRIM(L22)&lt;&gt;"",TRIM(I22)&lt;&gt;TRIM(L22)),"Suffix translation &lt;&gt; lookup ", "" ))
&amp;IF(AND(TRIM(J22)="",M22=""),"Description not translated ",
   IF(AND(TRIM(J22)&lt;&gt;"",TRIM(M22)&lt;&gt;"",TRIM(J22)&lt;&gt;TRIM(M22)),"Description translation&lt;&gt; lookup ", "" ))</f>
        <v/>
      </c>
      <c r="O22" s="6" t="s">
        <v>8574</v>
      </c>
      <c r="P22" s="6" t="s">
        <v>8574</v>
      </c>
    </row>
    <row r="23" spans="1:17" x14ac:dyDescent="0.25">
      <c r="A23" s="5" t="str">
        <f>IF(TRIM(I23)="","",E23)</f>
        <v>AFPointsInFocus</v>
      </c>
      <c r="B23" s="5" t="str">
        <f>IF(TRIM(J23)="","",H23)</f>
        <v>AF Points in Focus</v>
      </c>
      <c r="C23" s="5" t="str">
        <f>LEFT(F23,FIND(".",F23,6))</f>
        <v>Exif.Canon.</v>
      </c>
      <c r="D23" s="5" t="str">
        <f>VLOOKUP(C23,PrefixUebersetzung,2,FALSE)</f>
        <v>Exif.Canon.</v>
      </c>
      <c r="E23" s="5" t="str">
        <f>MID(F23,FIND(".",F23,6)+1,99)</f>
        <v>AFPointsInFocus</v>
      </c>
      <c r="F23" s="11" t="s">
        <v>8620</v>
      </c>
      <c r="G23" s="5" t="s">
        <v>9665</v>
      </c>
      <c r="H23" s="11" t="s">
        <v>8621</v>
      </c>
      <c r="I23" s="7" t="s">
        <v>4892</v>
      </c>
      <c r="J23" s="8" t="s">
        <v>4892</v>
      </c>
      <c r="K23" s="26"/>
      <c r="L23" s="6" t="str">
        <f>IFERROR(VLOOKUP(E23,A:I,9, FALSE),"")</f>
        <v>AF Messfelder im Fokus</v>
      </c>
      <c r="M23" s="6" t="str">
        <f>IFERROR(VLOOKUP(H23,B:J,9,FALSE),"")</f>
        <v>AF Messfelder im Fokus</v>
      </c>
      <c r="N23" s="6" t="str">
        <f>IF(AND(TRIM(I23)="",L23=""),"Suffix not translated ",
   IF(AND(TRIM(I23)&lt;&gt;"",TRIM(L23)&lt;&gt;"",TRIM(I23)&lt;&gt;TRIM(L23)),"Suffix translation &lt;&gt; lookup ", "" ))
&amp;IF(AND(TRIM(J23)="",M23=""),"Description not translated ",
   IF(AND(TRIM(J23)&lt;&gt;"",TRIM(M23)&lt;&gt;"",TRIM(J23)&lt;&gt;TRIM(M23)),"Description translation&lt;&gt; lookup ", "" ))</f>
        <v/>
      </c>
      <c r="O23" s="6" t="s">
        <v>8574</v>
      </c>
      <c r="P23" s="6" t="s">
        <v>8574</v>
      </c>
      <c r="Q23" s="6" t="s">
        <v>9113</v>
      </c>
    </row>
    <row r="24" spans="1:17" x14ac:dyDescent="0.25">
      <c r="A24" s="5" t="str">
        <f>IF(TRIM(I24)="","",E24)</f>
        <v>AFPointsSelected</v>
      </c>
      <c r="B24" s="5" t="str">
        <f>IF(TRIM(J24)="","",H24)</f>
        <v>AF Points Selected</v>
      </c>
      <c r="C24" s="5" t="str">
        <f>LEFT(F24,FIND(".",F24,6))</f>
        <v>Exif.Canon.</v>
      </c>
      <c r="D24" s="5" t="str">
        <f>VLOOKUP(C24,PrefixUebersetzung,2,FALSE)</f>
        <v>Exif.Canon.</v>
      </c>
      <c r="E24" s="5" t="str">
        <f>MID(F24,FIND(".",F24,6)+1,99)</f>
        <v>AFPointsSelected</v>
      </c>
      <c r="F24" s="11" t="s">
        <v>8622</v>
      </c>
      <c r="G24" s="5" t="s">
        <v>9665</v>
      </c>
      <c r="H24" s="11" t="s">
        <v>8623</v>
      </c>
      <c r="I24" s="31" t="s">
        <v>8736</v>
      </c>
      <c r="J24" s="14" t="s">
        <v>8736</v>
      </c>
      <c r="K24" s="26"/>
      <c r="N24" s="6" t="str">
        <f>IF(AND(TRIM(I24)="",L24=""),"Suffix not translated ",
   IF(AND(TRIM(I24)&lt;&gt;"",TRIM(L24)&lt;&gt;"",TRIM(I24)&lt;&gt;TRIM(L24)),"Suffix translation &lt;&gt; lookup ", "" ))
&amp;IF(AND(TRIM(J24)="",M24=""),"Description not translated ",
   IF(AND(TRIM(J24)&lt;&gt;"",TRIM(M24)&lt;&gt;"",TRIM(J24)&lt;&gt;TRIM(M24)),"Description translation&lt;&gt; lookup ", "" ))</f>
        <v/>
      </c>
      <c r="O24" s="6" t="s">
        <v>8574</v>
      </c>
      <c r="P24" s="6" t="s">
        <v>8574</v>
      </c>
    </row>
    <row r="25" spans="1:17" x14ac:dyDescent="0.25">
      <c r="A25" s="5" t="str">
        <f>IF(TRIM(I25)="","",E25)</f>
        <v>AFPointsUnusable</v>
      </c>
      <c r="B25" s="5" t="str">
        <f>IF(TRIM(J25)="","",H25)</f>
        <v>AF Points Unusable</v>
      </c>
      <c r="C25" s="5" t="str">
        <f>LEFT(F25,FIND(".",F25,6))</f>
        <v>Exif.Canon.</v>
      </c>
      <c r="D25" s="5" t="str">
        <f>VLOOKUP(C25,PrefixUebersetzung,2,FALSE)</f>
        <v>Exif.Canon.</v>
      </c>
      <c r="E25" s="5" t="str">
        <f>MID(F25,FIND(".",F25,6)+1,99)</f>
        <v>AFPointsUnusable</v>
      </c>
      <c r="F25" s="11" t="s">
        <v>8624</v>
      </c>
      <c r="G25" s="5" t="s">
        <v>9665</v>
      </c>
      <c r="H25" s="11" t="s">
        <v>8625</v>
      </c>
      <c r="I25" s="31" t="s">
        <v>8737</v>
      </c>
      <c r="J25" s="14" t="s">
        <v>8737</v>
      </c>
      <c r="K25" s="26"/>
      <c r="N25" s="6" t="str">
        <f>IF(AND(TRIM(I25)="",L25=""),"Suffix not translated ",
   IF(AND(TRIM(I25)&lt;&gt;"",TRIM(L25)&lt;&gt;"",TRIM(I25)&lt;&gt;TRIM(L25)),"Suffix translation &lt;&gt; lookup ", "" ))
&amp;IF(AND(TRIM(J25)="",M25=""),"Description not translated ",
   IF(AND(TRIM(J25)&lt;&gt;"",TRIM(M25)&lt;&gt;"",TRIM(J25)&lt;&gt;TRIM(M25)),"Description translation&lt;&gt; lookup ", "" ))</f>
        <v/>
      </c>
      <c r="O25" s="6" t="s">
        <v>8574</v>
      </c>
      <c r="P25" s="6" t="s">
        <v>8574</v>
      </c>
    </row>
    <row r="26" spans="1:17" x14ac:dyDescent="0.25">
      <c r="A26" s="5" t="str">
        <f>IF(TRIM(I26)="","",E26)</f>
        <v>AFValidPoints</v>
      </c>
      <c r="B26" s="5" t="str">
        <f>IF(TRIM(J26)="","",H26)</f>
        <v>AF ValidPoints</v>
      </c>
      <c r="C26" s="5" t="str">
        <f>LEFT(F26,FIND(".",F26,6))</f>
        <v>Exif.Canon.</v>
      </c>
      <c r="D26" s="5" t="str">
        <f>VLOOKUP(C26,PrefixUebersetzung,2,FALSE)</f>
        <v>Exif.Canon.</v>
      </c>
      <c r="E26" s="5" t="str">
        <f>MID(F26,FIND(".",F26,6)+1,99)</f>
        <v>AFValidPoints</v>
      </c>
      <c r="F26" s="11" t="s">
        <v>8626</v>
      </c>
      <c r="G26" s="5" t="s">
        <v>9665</v>
      </c>
      <c r="H26" s="11" t="s">
        <v>8627</v>
      </c>
      <c r="I26" s="7" t="s">
        <v>8738</v>
      </c>
      <c r="J26" s="14" t="s">
        <v>8738</v>
      </c>
      <c r="K26" s="26"/>
      <c r="N26" s="6" t="str">
        <f>IF(AND(TRIM(I26)="",L26=""),"Suffix not translated ",
   IF(AND(TRIM(I26)&lt;&gt;"",TRIM(L26)&lt;&gt;"",TRIM(I26)&lt;&gt;TRIM(L26)),"Suffix translation &lt;&gt; lookup ", "" ))
&amp;IF(AND(TRIM(J26)="",M26=""),"Description not translated ",
   IF(AND(TRIM(J26)&lt;&gt;"",TRIM(M26)&lt;&gt;"",TRIM(J26)&lt;&gt;TRIM(M26)),"Description translation&lt;&gt; lookup ", "" ))</f>
        <v/>
      </c>
      <c r="O26" s="6" t="s">
        <v>8574</v>
      </c>
      <c r="P26" s="6" t="s">
        <v>8574</v>
      </c>
    </row>
    <row r="27" spans="1:17" x14ac:dyDescent="0.25">
      <c r="A27" s="5" t="str">
        <f>IF(TRIM(I27)="","",E27)</f>
        <v>AFXPositions</v>
      </c>
      <c r="B27" s="5" t="str">
        <f>IF(TRIM(J27)="","",H27)</f>
        <v>AF X Positions</v>
      </c>
      <c r="C27" s="5" t="str">
        <f>LEFT(F27,FIND(".",F27,6))</f>
        <v>Exif.Canon.</v>
      </c>
      <c r="D27" s="5" t="str">
        <f>VLOOKUP(C27,PrefixUebersetzung,2,FALSE)</f>
        <v>Exif.Canon.</v>
      </c>
      <c r="E27" s="5" t="str">
        <f>MID(F27,FIND(".",F27,6)+1,99)</f>
        <v>AFXPositions</v>
      </c>
      <c r="F27" s="11" t="s">
        <v>8628</v>
      </c>
      <c r="G27" s="5" t="s">
        <v>9665</v>
      </c>
      <c r="H27" s="11" t="s">
        <v>8629</v>
      </c>
      <c r="I27" s="7" t="s">
        <v>8739</v>
      </c>
      <c r="J27" s="14" t="s">
        <v>8739</v>
      </c>
      <c r="K27" s="26"/>
      <c r="N27" s="6" t="str">
        <f>IF(AND(TRIM(I27)="",L27=""),"Suffix not translated ",
   IF(AND(TRIM(I27)&lt;&gt;"",TRIM(L27)&lt;&gt;"",TRIM(I27)&lt;&gt;TRIM(L27)),"Suffix translation &lt;&gt; lookup ", "" ))
&amp;IF(AND(TRIM(J27)="",M27=""),"Description not translated ",
   IF(AND(TRIM(J27)&lt;&gt;"",TRIM(M27)&lt;&gt;"",TRIM(J27)&lt;&gt;TRIM(M27)),"Description translation&lt;&gt; lookup ", "" ))</f>
        <v/>
      </c>
      <c r="O27" s="6" t="s">
        <v>8574</v>
      </c>
      <c r="P27" s="6" t="s">
        <v>8574</v>
      </c>
    </row>
    <row r="28" spans="1:17" x14ac:dyDescent="0.25">
      <c r="A28" s="5" t="str">
        <f>IF(TRIM(I28)="","",E28)</f>
        <v>AFYPositions</v>
      </c>
      <c r="B28" s="5" t="str">
        <f>IF(TRIM(J28)="","",H28)</f>
        <v>AF Y Positions</v>
      </c>
      <c r="C28" s="5" t="str">
        <f>LEFT(F28,FIND(".",F28,6))</f>
        <v>Exif.Canon.</v>
      </c>
      <c r="D28" s="5" t="str">
        <f>VLOOKUP(C28,PrefixUebersetzung,2,FALSE)</f>
        <v>Exif.Canon.</v>
      </c>
      <c r="E28" s="5" t="str">
        <f>MID(F28,FIND(".",F28,6)+1,99)</f>
        <v>AFYPositions</v>
      </c>
      <c r="F28" s="11" t="s">
        <v>8630</v>
      </c>
      <c r="G28" s="5" t="s">
        <v>9665</v>
      </c>
      <c r="H28" s="11" t="s">
        <v>8631</v>
      </c>
      <c r="I28" s="7" t="s">
        <v>8740</v>
      </c>
      <c r="J28" s="14" t="s">
        <v>8740</v>
      </c>
      <c r="K28" s="26"/>
      <c r="N28" s="6" t="str">
        <f>IF(AND(TRIM(I28)="",L28=""),"Suffix not translated ",
   IF(AND(TRIM(I28)&lt;&gt;"",TRIM(L28)&lt;&gt;"",TRIM(I28)&lt;&gt;TRIM(L28)),"Suffix translation &lt;&gt; lookup ", "" ))
&amp;IF(AND(TRIM(J28)="",M28=""),"Description not translated ",
   IF(AND(TRIM(J28)&lt;&gt;"",TRIM(M28)&lt;&gt;"",TRIM(J28)&lt;&gt;TRIM(M28)),"Description translation&lt;&gt; lookup ", "" ))</f>
        <v/>
      </c>
      <c r="O28" s="6" t="s">
        <v>8574</v>
      </c>
      <c r="P28" s="6" t="s">
        <v>8574</v>
      </c>
    </row>
    <row r="29" spans="1:17" x14ac:dyDescent="0.25">
      <c r="A29" s="5" t="str">
        <f>IF(TRIM(I29)="","",E29)</f>
        <v>CameraInfo</v>
      </c>
      <c r="B29" s="5" t="str">
        <f>IF(TRIM(J29)="","",H29)</f>
        <v>Camera info</v>
      </c>
      <c r="C29" s="5" t="str">
        <f>LEFT(F29,FIND(".",F29,6))</f>
        <v>Exif.Canon.</v>
      </c>
      <c r="D29" s="5" t="str">
        <f>VLOOKUP(C29,PrefixUebersetzung,2,FALSE)</f>
        <v>Exif.Canon.</v>
      </c>
      <c r="E29" s="5" t="str">
        <f>MID(F29,FIND(".",F29,6)+1,99)</f>
        <v>CameraInfo</v>
      </c>
      <c r="F29" s="5" t="s">
        <v>10</v>
      </c>
      <c r="G29" s="5" t="s">
        <v>9664</v>
      </c>
      <c r="H29" s="6" t="s">
        <v>2140</v>
      </c>
      <c r="I29" s="7" t="s">
        <v>4837</v>
      </c>
      <c r="J29" s="8" t="s">
        <v>3715</v>
      </c>
      <c r="K29" s="26"/>
      <c r="L29" s="6" t="str">
        <f>IFERROR(VLOOKUP(E29,A:I,9, FALSE),"")</f>
        <v>Kamerainformation</v>
      </c>
      <c r="N29" s="6" t="str">
        <f>IF(AND(TRIM(I29)="",L29=""),"Suffix not translated ",
   IF(AND(TRIM(I29)&lt;&gt;"",TRIM(L29)&lt;&gt;"",TRIM(I29)&lt;&gt;TRIM(L29)),"Suffix translation &lt;&gt; lookup ", "" ))
&amp;IF(AND(TRIM(J29)="",M29=""),"Description not translated ",
   IF(AND(TRIM(J29)&lt;&gt;"",TRIM(M29)&lt;&gt;"",TRIM(J29)&lt;&gt;TRIM(M29)),"Description translation&lt;&gt; lookup ", "" ))</f>
        <v/>
      </c>
      <c r="O29" s="6" t="s">
        <v>8574</v>
      </c>
      <c r="P29" s="6" t="s">
        <v>8574</v>
      </c>
      <c r="Q29" s="6" t="s">
        <v>4837</v>
      </c>
    </row>
    <row r="30" spans="1:17" x14ac:dyDescent="0.25">
      <c r="A30" s="5" t="str">
        <f>IF(TRIM(I30)="","",E30)</f>
        <v>CameraSettings</v>
      </c>
      <c r="B30" s="5" t="str">
        <f>IF(TRIM(J30)="","",H30)</f>
        <v>Various camera settings</v>
      </c>
      <c r="C30" s="5" t="str">
        <f>LEFT(F30,FIND(".",F30,6))</f>
        <v>Exif.Canon.</v>
      </c>
      <c r="D30" s="5" t="str">
        <f>VLOOKUP(C30,PrefixUebersetzung,2,FALSE)</f>
        <v>Exif.Canon.</v>
      </c>
      <c r="E30" s="5" t="str">
        <f>MID(F30,FIND(".",F30,6)+1,99)</f>
        <v>CameraSettings</v>
      </c>
      <c r="F30" s="5" t="s">
        <v>11</v>
      </c>
      <c r="G30" s="5" t="s">
        <v>9664</v>
      </c>
      <c r="H30" s="6" t="s">
        <v>2141</v>
      </c>
      <c r="I30" s="24" t="s">
        <v>4838</v>
      </c>
      <c r="J30" s="8" t="s">
        <v>3716</v>
      </c>
      <c r="K30" s="26"/>
      <c r="L30" s="6" t="str">
        <f>IFERROR(VLOOKUP(E30,A:I,9, FALSE),"")</f>
        <v>Kameraeinstellungen</v>
      </c>
      <c r="N30" s="6" t="str">
        <f>IF(AND(TRIM(I30)="",L30=""),"Suffix not translated ",
   IF(AND(TRIM(I30)&lt;&gt;"",TRIM(L30)&lt;&gt;"",TRIM(I30)&lt;&gt;TRIM(L30)),"Suffix translation &lt;&gt; lookup ", "" ))
&amp;IF(AND(TRIM(J30)="",M30=""),"Description not translated ",
   IF(AND(TRIM(J30)&lt;&gt;"",TRIM(M30)&lt;&gt;"",TRIM(J30)&lt;&gt;TRIM(M30)),"Description translation&lt;&gt; lookup ", "" ))</f>
        <v/>
      </c>
      <c r="O30" s="6" t="s">
        <v>8574</v>
      </c>
      <c r="P30" s="6" t="s">
        <v>8574</v>
      </c>
      <c r="Q30" s="6" t="s">
        <v>3716</v>
      </c>
    </row>
    <row r="31" spans="1:17" x14ac:dyDescent="0.25">
      <c r="A31" s="5" t="str">
        <f>IF(TRIM(I31)="","",E31)</f>
        <v>ColorData</v>
      </c>
      <c r="B31" s="5" t="str">
        <f>IF(TRIM(J31)="","",H31)</f>
        <v>Color data</v>
      </c>
      <c r="C31" s="5" t="str">
        <f>LEFT(F31,FIND(".",F31,6))</f>
        <v>Exif.Canon.</v>
      </c>
      <c r="D31" s="5" t="str">
        <f>VLOOKUP(C31,PrefixUebersetzung,2,FALSE)</f>
        <v>Exif.Canon.</v>
      </c>
      <c r="E31" s="5" t="str">
        <f>MID(F31,FIND(".",F31,6)+1,99)</f>
        <v>ColorData</v>
      </c>
      <c r="F31" s="5" t="s">
        <v>12</v>
      </c>
      <c r="G31" s="5" t="s">
        <v>9664</v>
      </c>
      <c r="H31" s="6" t="s">
        <v>2142</v>
      </c>
      <c r="I31" s="7" t="s">
        <v>4839</v>
      </c>
      <c r="J31" s="8" t="s">
        <v>3717</v>
      </c>
      <c r="K31" s="26"/>
      <c r="N31" s="6" t="str">
        <f>IF(AND(TRIM(I31)="",L31=""),"Suffix not translated ",
   IF(AND(TRIM(I31)&lt;&gt;"",TRIM(L31)&lt;&gt;"",TRIM(I31)&lt;&gt;TRIM(L31)),"Suffix translation &lt;&gt; lookup ", "" ))
&amp;IF(AND(TRIM(J31)="",M31=""),"Description not translated ",
   IF(AND(TRIM(J31)&lt;&gt;"",TRIM(M31)&lt;&gt;"",TRIM(J31)&lt;&gt;TRIM(M31)),"Description translation&lt;&gt; lookup ", "" ))</f>
        <v/>
      </c>
      <c r="O31" s="6" t="s">
        <v>8574</v>
      </c>
      <c r="P31" s="6" t="s">
        <v>8574</v>
      </c>
      <c r="Q31" s="6" t="s">
        <v>9208</v>
      </c>
    </row>
    <row r="32" spans="1:17" x14ac:dyDescent="0.25">
      <c r="A32" s="5" t="str">
        <f>IF(TRIM(I32)="","",E32)</f>
        <v>ColorSpace</v>
      </c>
      <c r="B32" s="5" t="str">
        <f>IF(TRIM(J32)="","",H32)</f>
        <v>ColorSpace</v>
      </c>
      <c r="C32" s="5" t="str">
        <f>LEFT(F32,FIND(".",F32,6))</f>
        <v>Exif.Canon.</v>
      </c>
      <c r="D32" s="5" t="str">
        <f>VLOOKUP(C32,PrefixUebersetzung,2,FALSE)</f>
        <v>Exif.Canon.</v>
      </c>
      <c r="E32" s="5" t="str">
        <f>MID(F32,FIND(".",F32,6)+1,99)</f>
        <v>ColorSpace</v>
      </c>
      <c r="F32" s="5" t="s">
        <v>13</v>
      </c>
      <c r="G32" s="5" t="s">
        <v>9665</v>
      </c>
      <c r="H32" s="6" t="s">
        <v>2143</v>
      </c>
      <c r="I32" s="31" t="s">
        <v>3718</v>
      </c>
      <c r="J32" s="8" t="s">
        <v>3718</v>
      </c>
      <c r="K32" s="26"/>
      <c r="L32" s="6" t="str">
        <f>IFERROR(VLOOKUP(E32,A:I,9, FALSE),"")</f>
        <v>Farbraum</v>
      </c>
      <c r="N32" s="6" t="str">
        <f>IF(AND(TRIM(I32)="",L32=""),"Suffix not translated ",
   IF(AND(TRIM(I32)&lt;&gt;"",TRIM(L32)&lt;&gt;"",TRIM(I32)&lt;&gt;TRIM(L32)),"Suffix translation &lt;&gt; lookup ", "" ))
&amp;IF(AND(TRIM(J32)="",M32=""),"Description not translated ",
   IF(AND(TRIM(J32)&lt;&gt;"",TRIM(M32)&lt;&gt;"",TRIM(J32)&lt;&gt;TRIM(M32)),"Description translation&lt;&gt; lookup ", "" ))</f>
        <v/>
      </c>
      <c r="O32" s="6" t="s">
        <v>8574</v>
      </c>
      <c r="P32" s="6" t="s">
        <v>8574</v>
      </c>
      <c r="Q32" s="6" t="s">
        <v>3718</v>
      </c>
    </row>
    <row r="33" spans="1:17" x14ac:dyDescent="0.25">
      <c r="A33" s="5" t="str">
        <f>IF(TRIM(I33)="","",E33)</f>
        <v>CustomFunctions</v>
      </c>
      <c r="B33" s="5" t="str">
        <f>IF(TRIM(J33)="","",H33)</f>
        <v>Custom Functions</v>
      </c>
      <c r="C33" s="5" t="str">
        <f>LEFT(F33,FIND(".",F33,6))</f>
        <v>Exif.Canon.</v>
      </c>
      <c r="D33" s="5" t="str">
        <f>VLOOKUP(C33,PrefixUebersetzung,2,FALSE)</f>
        <v>Exif.Canon.</v>
      </c>
      <c r="E33" s="5" t="str">
        <f>MID(F33,FIND(".",F33,6)+1,99)</f>
        <v>CustomFunctions</v>
      </c>
      <c r="F33" s="5" t="s">
        <v>14</v>
      </c>
      <c r="G33" s="5" t="s">
        <v>9664</v>
      </c>
      <c r="H33" s="6" t="s">
        <v>2144</v>
      </c>
      <c r="I33" s="7" t="s">
        <v>4840</v>
      </c>
      <c r="J33" s="8" t="s">
        <v>3719</v>
      </c>
      <c r="K33" s="26"/>
      <c r="N33" s="6" t="str">
        <f>IF(AND(TRIM(I33)="",L33=""),"Suffix not translated ",
   IF(AND(TRIM(I33)&lt;&gt;"",TRIM(L33)&lt;&gt;"",TRIM(I33)&lt;&gt;TRIM(L33)),"Suffix translation &lt;&gt; lookup ", "" ))
&amp;IF(AND(TRIM(J33)="",M33=""),"Description not translated ",
   IF(AND(TRIM(J33)&lt;&gt;"",TRIM(M33)&lt;&gt;"",TRIM(J33)&lt;&gt;TRIM(M33)),"Description translation&lt;&gt; lookup ", "" ))</f>
        <v/>
      </c>
      <c r="O33" s="6" t="s">
        <v>8574</v>
      </c>
      <c r="P33" s="6" t="s">
        <v>8574</v>
      </c>
      <c r="Q33" s="6" t="s">
        <v>9231</v>
      </c>
    </row>
    <row r="34" spans="1:17" x14ac:dyDescent="0.25">
      <c r="A34" s="5" t="str">
        <f>IF(TRIM(I34)="","",E34)</f>
        <v>DustRemovalData</v>
      </c>
      <c r="B34" s="5" t="str">
        <f>IF(TRIM(J34)="","",H34)</f>
        <v>Dust removal data</v>
      </c>
      <c r="C34" s="5" t="str">
        <f>LEFT(F34,FIND(".",F34,6))</f>
        <v>Exif.Canon.</v>
      </c>
      <c r="D34" s="5" t="str">
        <f>VLOOKUP(C34,PrefixUebersetzung,2,FALSE)</f>
        <v>Exif.Canon.</v>
      </c>
      <c r="E34" s="5" t="str">
        <f>MID(F34,FIND(".",F34,6)+1,99)</f>
        <v>DustRemovalData</v>
      </c>
      <c r="F34" s="5" t="s">
        <v>15</v>
      </c>
      <c r="G34" s="5" t="s">
        <v>9666</v>
      </c>
      <c r="H34" s="6" t="s">
        <v>2145</v>
      </c>
      <c r="I34" s="7" t="s">
        <v>5049</v>
      </c>
      <c r="J34" s="8" t="s">
        <v>4180</v>
      </c>
      <c r="K34" s="26"/>
      <c r="N34" s="6" t="str">
        <f>IF(AND(TRIM(I34)="",L34=""),"Suffix not translated ",
   IF(AND(TRIM(I34)&lt;&gt;"",TRIM(L34)&lt;&gt;"",TRIM(I34)&lt;&gt;TRIM(L34)),"Suffix translation &lt;&gt; lookup ", "" ))
&amp;IF(AND(TRIM(J34)="",M34=""),"Description not translated ",
   IF(AND(TRIM(J34)&lt;&gt;"",TRIM(M34)&lt;&gt;"",TRIM(J34)&lt;&gt;TRIM(M34)),"Description translation&lt;&gt; lookup ", "" ))</f>
        <v/>
      </c>
      <c r="O34" s="6" t="s">
        <v>8574</v>
      </c>
      <c r="P34" s="6" t="s">
        <v>8574</v>
      </c>
    </row>
    <row r="35" spans="1:17" x14ac:dyDescent="0.25">
      <c r="A35" s="5" t="str">
        <f>IF(TRIM(I35)="","",E35)</f>
        <v>FileNumber</v>
      </c>
      <c r="B35" s="5" t="str">
        <f>IF(TRIM(J35)="","",H35)</f>
        <v>File number</v>
      </c>
      <c r="C35" s="5" t="str">
        <f>LEFT(F35,FIND(".",F35,6))</f>
        <v>Exif.Canon.</v>
      </c>
      <c r="D35" s="5" t="str">
        <f>VLOOKUP(C35,PrefixUebersetzung,2,FALSE)</f>
        <v>Exif.Canon.</v>
      </c>
      <c r="E35" s="5" t="str">
        <f>MID(F35,FIND(".",F35,6)+1,99)</f>
        <v>FileNumber</v>
      </c>
      <c r="F35" s="5" t="s">
        <v>16</v>
      </c>
      <c r="G35" s="5" t="s">
        <v>9667</v>
      </c>
      <c r="H35" s="6" t="s">
        <v>2146</v>
      </c>
      <c r="I35" s="7" t="s">
        <v>3720</v>
      </c>
      <c r="J35" s="8" t="s">
        <v>3720</v>
      </c>
      <c r="K35" s="26"/>
      <c r="L35" s="6" t="str">
        <f>IFERROR(VLOOKUP(E35,A:I,9, FALSE),"")</f>
        <v>Dateinummer</v>
      </c>
      <c r="M35" s="6" t="str">
        <f>IFERROR(VLOOKUP(H35,B:J,9,FALSE),"")</f>
        <v>Dateinummer</v>
      </c>
      <c r="N35" s="6" t="str">
        <f>IF(AND(TRIM(I35)="",L35=""),"Suffix not translated ",
   IF(AND(TRIM(I35)&lt;&gt;"",TRIM(L35)&lt;&gt;"",TRIM(I35)&lt;&gt;TRIM(L35)),"Suffix translation &lt;&gt; lookup ", "" ))
&amp;IF(AND(TRIM(J35)="",M35=""),"Description not translated ",
   IF(AND(TRIM(J35)&lt;&gt;"",TRIM(M35)&lt;&gt;"",TRIM(J35)&lt;&gt;TRIM(M35)),"Description translation&lt;&gt; lookup ", "" ))</f>
        <v/>
      </c>
      <c r="O35" s="6" t="s">
        <v>8574</v>
      </c>
      <c r="P35" s="6" t="s">
        <v>8574</v>
      </c>
      <c r="Q35" s="6" t="s">
        <v>9298</v>
      </c>
    </row>
    <row r="36" spans="1:17" x14ac:dyDescent="0.25">
      <c r="A36" s="5" t="str">
        <f>IF(TRIM(I36)="","",E36)</f>
        <v>FirmwareVersion</v>
      </c>
      <c r="B36" s="5" t="str">
        <f>IF(TRIM(J36)="","",H36)</f>
        <v>Firmware version</v>
      </c>
      <c r="C36" s="5" t="str">
        <f>LEFT(F36,FIND(".",F36,6))</f>
        <v>Exif.Canon.</v>
      </c>
      <c r="D36" s="5" t="str">
        <f>VLOOKUP(C36,PrefixUebersetzung,2,FALSE)</f>
        <v>Exif.Canon.</v>
      </c>
      <c r="E36" s="5" t="str">
        <f>MID(F36,FIND(".",F36,6)+1,99)</f>
        <v>FirmwareVersion</v>
      </c>
      <c r="F36" s="5" t="s">
        <v>17</v>
      </c>
      <c r="G36" s="5" t="s">
        <v>9666</v>
      </c>
      <c r="H36" s="6" t="s">
        <v>2147</v>
      </c>
      <c r="I36" s="7" t="s">
        <v>5073</v>
      </c>
      <c r="J36" s="8" t="s">
        <v>3721</v>
      </c>
      <c r="K36" s="26"/>
      <c r="L36" s="6" t="str">
        <f>IFERROR(VLOOKUP(E36,A:I,9, FALSE),"")</f>
        <v>Firmware Version</v>
      </c>
      <c r="M36" s="6" t="str">
        <f>IFERROR(VLOOKUP(H36,B:J,9,FALSE),"")</f>
        <v>Firmware-Version</v>
      </c>
      <c r="N36" s="6" t="str">
        <f>IF(AND(TRIM(I36)="",L36=""),"Suffix not translated ",
   IF(AND(TRIM(I36)&lt;&gt;"",TRIM(L36)&lt;&gt;"",TRIM(I36)&lt;&gt;TRIM(L36)),"Suffix translation &lt;&gt; lookup ", "" ))
&amp;IF(AND(TRIM(J36)="",M36=""),"Description not translated ",
   IF(AND(TRIM(J36)&lt;&gt;"",TRIM(M36)&lt;&gt;"",TRIM(J36)&lt;&gt;TRIM(M36)),"Description translation&lt;&gt; lookup ", "" ))</f>
        <v/>
      </c>
      <c r="O36" s="6" t="s">
        <v>8574</v>
      </c>
      <c r="P36" s="6" t="s">
        <v>8574</v>
      </c>
      <c r="Q36" s="6" t="s">
        <v>5073</v>
      </c>
    </row>
    <row r="37" spans="1:17" x14ac:dyDescent="0.25">
      <c r="A37" s="5" t="str">
        <f>IF(TRIM(I37)="","",E37)</f>
        <v>FocalLength</v>
      </c>
      <c r="B37" s="5" t="str">
        <f>IF(TRIM(J37)="","",H37)</f>
        <v>Focal length</v>
      </c>
      <c r="C37" s="5" t="str">
        <f>LEFT(F37,FIND(".",F37,6))</f>
        <v>Exif.Canon.</v>
      </c>
      <c r="D37" s="5" t="str">
        <f>VLOOKUP(C37,PrefixUebersetzung,2,FALSE)</f>
        <v>Exif.Canon.</v>
      </c>
      <c r="E37" s="5" t="str">
        <f>MID(F37,FIND(".",F37,6)+1,99)</f>
        <v>FocalLength</v>
      </c>
      <c r="F37" s="5" t="s">
        <v>18</v>
      </c>
      <c r="G37" s="5" t="s">
        <v>9664</v>
      </c>
      <c r="H37" s="6" t="s">
        <v>2148</v>
      </c>
      <c r="I37" s="7" t="s">
        <v>3722</v>
      </c>
      <c r="J37" s="8" t="s">
        <v>3722</v>
      </c>
      <c r="K37" s="26"/>
      <c r="L37" s="6" t="str">
        <f>IFERROR(VLOOKUP(E37,A:I,9, FALSE),"")</f>
        <v>Brennweite</v>
      </c>
      <c r="M37" s="6" t="str">
        <f>IFERROR(VLOOKUP(H37,B:J,9,FALSE),"")</f>
        <v>Brennweite</v>
      </c>
      <c r="N37" s="6" t="str">
        <f>IF(AND(TRIM(I37)="",L37=""),"Suffix not translated ",
   IF(AND(TRIM(I37)&lt;&gt;"",TRIM(L37)&lt;&gt;"",TRIM(I37)&lt;&gt;TRIM(L37)),"Suffix translation &lt;&gt; lookup ", "" ))
&amp;IF(AND(TRIM(J37)="",M37=""),"Description not translated ",
   IF(AND(TRIM(J37)&lt;&gt;"",TRIM(M37)&lt;&gt;"",TRIM(J37)&lt;&gt;TRIM(M37)),"Description translation&lt;&gt; lookup ", "" ))</f>
        <v/>
      </c>
      <c r="O37" s="6" t="s">
        <v>8574</v>
      </c>
      <c r="P37" s="6" t="s">
        <v>8574</v>
      </c>
      <c r="Q37" s="6" t="s">
        <v>3722</v>
      </c>
    </row>
    <row r="38" spans="1:17" x14ac:dyDescent="0.25">
      <c r="A38" s="5" t="str">
        <f>IF(TRIM(I38)="","",E38)</f>
        <v>ImageType</v>
      </c>
      <c r="B38" s="5" t="str">
        <f>IF(TRIM(J38)="","",H38)</f>
        <v>Image type</v>
      </c>
      <c r="C38" s="5" t="str">
        <f>LEFT(F38,FIND(".",F38,6))</f>
        <v>Exif.Canon.</v>
      </c>
      <c r="D38" s="5" t="str">
        <f>VLOOKUP(C38,PrefixUebersetzung,2,FALSE)</f>
        <v>Exif.Canon.</v>
      </c>
      <c r="E38" s="5" t="str">
        <f>MID(F38,FIND(".",F38,6)+1,99)</f>
        <v>ImageType</v>
      </c>
      <c r="F38" s="5" t="s">
        <v>19</v>
      </c>
      <c r="G38" s="5" t="s">
        <v>9666</v>
      </c>
      <c r="H38" s="6" t="s">
        <v>2149</v>
      </c>
      <c r="I38" s="7" t="s">
        <v>3723</v>
      </c>
      <c r="J38" s="8" t="s">
        <v>3723</v>
      </c>
      <c r="K38" s="26"/>
      <c r="L38" s="6" t="str">
        <f>IFERROR(VLOOKUP(E38,A:I,9, FALSE),"")</f>
        <v>Bildtyp</v>
      </c>
      <c r="N38" s="6" t="str">
        <f>IF(AND(TRIM(I38)="",L38=""),"Suffix not translated ",
   IF(AND(TRIM(I38)&lt;&gt;"",TRIM(L38)&lt;&gt;"",TRIM(I38)&lt;&gt;TRIM(L38)),"Suffix translation &lt;&gt; lookup ", "" ))
&amp;IF(AND(TRIM(J38)="",M38=""),"Description not translated ",
   IF(AND(TRIM(J38)&lt;&gt;"",TRIM(M38)&lt;&gt;"",TRIM(J38)&lt;&gt;TRIM(M38)),"Description translation&lt;&gt; lookup ", "" ))</f>
        <v/>
      </c>
      <c r="O38" s="6" t="s">
        <v>8574</v>
      </c>
      <c r="P38" s="6" t="s">
        <v>8574</v>
      </c>
      <c r="Q38" s="6" t="s">
        <v>3723</v>
      </c>
    </row>
    <row r="39" spans="1:17" x14ac:dyDescent="0.25">
      <c r="A39" s="5" t="str">
        <f>IF(TRIM(I39)="","",E39)</f>
        <v>InternalSerialNumber</v>
      </c>
      <c r="B39" s="5" t="str">
        <f>IF(TRIM(J39)="","",H39)</f>
        <v>Internal serial number</v>
      </c>
      <c r="C39" s="5" t="str">
        <f>LEFT(F39,FIND(".",F39,6))</f>
        <v>Exif.Canon.</v>
      </c>
      <c r="D39" s="5" t="str">
        <f>VLOOKUP(C39,PrefixUebersetzung,2,FALSE)</f>
        <v>Exif.Canon.</v>
      </c>
      <c r="E39" s="5" t="str">
        <f>MID(F39,FIND(".",F39,6)+1,99)</f>
        <v>InternalSerialNumber</v>
      </c>
      <c r="F39" s="5" t="s">
        <v>20</v>
      </c>
      <c r="G39" s="5" t="s">
        <v>9666</v>
      </c>
      <c r="H39" s="6" t="s">
        <v>2150</v>
      </c>
      <c r="I39" s="7" t="s">
        <v>3724</v>
      </c>
      <c r="J39" s="8" t="s">
        <v>3724</v>
      </c>
      <c r="K39" s="26"/>
      <c r="L39" s="6" t="str">
        <f>IFERROR(VLOOKUP(E39,A:I,9, FALSE),"")</f>
        <v>Interne Seriennummer</v>
      </c>
      <c r="M39" s="6" t="str">
        <f>IFERROR(VLOOKUP(H39,B:J,9,FALSE),"")</f>
        <v>Interne Seriennummer</v>
      </c>
      <c r="N39" s="6" t="str">
        <f>IF(AND(TRIM(I39)="",L39=""),"Suffix not translated ",
   IF(AND(TRIM(I39)&lt;&gt;"",TRIM(L39)&lt;&gt;"",TRIM(I39)&lt;&gt;TRIM(L39)),"Suffix translation &lt;&gt; lookup ", "" ))
&amp;IF(AND(TRIM(J39)="",M39=""),"Description not translated ",
   IF(AND(TRIM(J39)&lt;&gt;"",TRIM(M39)&lt;&gt;"",TRIM(J39)&lt;&gt;TRIM(M39)),"Description translation&lt;&gt; lookup ", "" ))</f>
        <v/>
      </c>
      <c r="O39" s="6" t="s">
        <v>8574</v>
      </c>
      <c r="P39" s="6" t="s">
        <v>8574</v>
      </c>
      <c r="Q39" s="6" t="s">
        <v>3724</v>
      </c>
    </row>
    <row r="40" spans="1:17" x14ac:dyDescent="0.25">
      <c r="A40" s="5" t="str">
        <f>IF(TRIM(I40)="","",E40)</f>
        <v>LensModel</v>
      </c>
      <c r="B40" s="5" t="str">
        <f>IF(TRIM(J40)="","",H40)</f>
        <v>Lens model</v>
      </c>
      <c r="C40" s="5" t="str">
        <f>LEFT(F40,FIND(".",F40,6))</f>
        <v>Exif.Canon.</v>
      </c>
      <c r="D40" s="5" t="str">
        <f>VLOOKUP(C40,PrefixUebersetzung,2,FALSE)</f>
        <v>Exif.Canon.</v>
      </c>
      <c r="E40" s="5" t="str">
        <f>MID(F40,FIND(".",F40,6)+1,99)</f>
        <v>LensModel</v>
      </c>
      <c r="F40" s="5" t="s">
        <v>21</v>
      </c>
      <c r="G40" s="5" t="s">
        <v>9666</v>
      </c>
      <c r="H40" s="6" t="s">
        <v>2851</v>
      </c>
      <c r="I40" s="7" t="s">
        <v>4027</v>
      </c>
      <c r="J40" s="8" t="s">
        <v>3725</v>
      </c>
      <c r="K40" s="26"/>
      <c r="L40" s="6" t="str">
        <f>IFERROR(VLOOKUP(E40,A:I,9, FALSE),"")</f>
        <v>Objektiv Modell</v>
      </c>
      <c r="M40" s="6" t="str">
        <f>IFERROR(VLOOKUP(H40,B:J,9,FALSE),"")</f>
        <v>Objektiv-Modell</v>
      </c>
      <c r="N40" s="6" t="str">
        <f>IF(AND(TRIM(I40)="",L40=""),"Suffix not translated ",
   IF(AND(TRIM(I40)&lt;&gt;"",TRIM(L40)&lt;&gt;"",TRIM(I40)&lt;&gt;TRIM(L40)),"Suffix translation &lt;&gt; lookup ", "" ))
&amp;IF(AND(TRIM(J40)="",M40=""),"Description not translated ",
   IF(AND(TRIM(J40)&lt;&gt;"",TRIM(M40)&lt;&gt;"",TRIM(J40)&lt;&gt;TRIM(M40)),"Description translation&lt;&gt; lookup ", "" ))</f>
        <v/>
      </c>
      <c r="O40" s="6" t="s">
        <v>8574</v>
      </c>
      <c r="P40" s="6" t="s">
        <v>8574</v>
      </c>
    </row>
    <row r="41" spans="1:17" x14ac:dyDescent="0.25">
      <c r="A41" s="5" t="str">
        <f>IF(TRIM(I41)="","",E41)</f>
        <v>MeasuredColor</v>
      </c>
      <c r="B41" s="5" t="str">
        <f>IF(TRIM(J41)="","",H41)</f>
        <v>Measured color</v>
      </c>
      <c r="C41" s="5" t="str">
        <f>LEFT(F41,FIND(".",F41,6))</f>
        <v>Exif.Canon.</v>
      </c>
      <c r="D41" s="5" t="str">
        <f>VLOOKUP(C41,PrefixUebersetzung,2,FALSE)</f>
        <v>Exif.Canon.</v>
      </c>
      <c r="E41" s="5" t="str">
        <f>MID(F41,FIND(".",F41,6)+1,99)</f>
        <v>MeasuredColor</v>
      </c>
      <c r="F41" s="5" t="s">
        <v>22</v>
      </c>
      <c r="G41" s="5" t="s">
        <v>9664</v>
      </c>
      <c r="H41" s="6" t="s">
        <v>2151</v>
      </c>
      <c r="I41" s="7" t="s">
        <v>3726</v>
      </c>
      <c r="J41" s="14" t="s">
        <v>3726</v>
      </c>
      <c r="K41" s="26"/>
      <c r="N41" s="6" t="str">
        <f>IF(AND(TRIM(I41)="",L41=""),"Suffix not translated ",
   IF(AND(TRIM(I41)&lt;&gt;"",TRIM(L41)&lt;&gt;"",TRIM(I41)&lt;&gt;TRIM(L41)),"Suffix translation &lt;&gt; lookup ", "" ))
&amp;IF(AND(TRIM(J41)="",M41=""),"Description not translated ",
   IF(AND(TRIM(J41)&lt;&gt;"",TRIM(M41)&lt;&gt;"",TRIM(J41)&lt;&gt;TRIM(M41)),"Description translation&lt;&gt; lookup ", "" ))</f>
        <v/>
      </c>
      <c r="O41" s="6" t="s">
        <v>8574</v>
      </c>
      <c r="P41" s="6" t="s">
        <v>8574</v>
      </c>
      <c r="Q41" s="6" t="s">
        <v>9417</v>
      </c>
    </row>
    <row r="42" spans="1:17" x14ac:dyDescent="0.25">
      <c r="A42" s="5" t="str">
        <f>IF(TRIM(I42)="","",E42)</f>
        <v>ModelID</v>
      </c>
      <c r="B42" s="5" t="str">
        <f>IF(TRIM(J42)="","",H42)</f>
        <v>Model ID</v>
      </c>
      <c r="C42" s="5" t="str">
        <f>LEFT(F42,FIND(".",F42,6))</f>
        <v>Exif.Canon.</v>
      </c>
      <c r="D42" s="5" t="str">
        <f>VLOOKUP(C42,PrefixUebersetzung,2,FALSE)</f>
        <v>Exif.Canon.</v>
      </c>
      <c r="E42" s="5" t="str">
        <f>MID(F42,FIND(".",F42,6)+1,99)</f>
        <v>ModelID</v>
      </c>
      <c r="F42" s="5" t="s">
        <v>23</v>
      </c>
      <c r="G42" s="5" t="s">
        <v>9667</v>
      </c>
      <c r="H42" s="6" t="s">
        <v>2152</v>
      </c>
      <c r="I42" s="7" t="s">
        <v>4181</v>
      </c>
      <c r="J42" s="8" t="s">
        <v>4181</v>
      </c>
      <c r="K42" s="26"/>
      <c r="L42" s="6" t="str">
        <f>IFERROR(VLOOKUP(E42,A:I,9, FALSE),"")</f>
        <v>Modell-Id</v>
      </c>
      <c r="N42" s="6" t="str">
        <f>IF(AND(TRIM(I42)="",L42=""),"Suffix not translated ",
   IF(AND(TRIM(I42)&lt;&gt;"",TRIM(L42)&lt;&gt;"",TRIM(I42)&lt;&gt;TRIM(L42)),"Suffix translation &lt;&gt; lookup ", "" ))
&amp;IF(AND(TRIM(J42)="",M42=""),"Description not translated ",
   IF(AND(TRIM(J42)&lt;&gt;"",TRIM(M42)&lt;&gt;"",TRIM(J42)&lt;&gt;TRIM(M42)),"Description translation&lt;&gt; lookup ", "" ))</f>
        <v/>
      </c>
      <c r="O42" s="6" t="s">
        <v>8574</v>
      </c>
      <c r="P42" s="6" t="s">
        <v>8574</v>
      </c>
      <c r="Q42" s="6" t="s">
        <v>9424</v>
      </c>
    </row>
    <row r="43" spans="1:17" x14ac:dyDescent="0.25">
      <c r="A43" s="5" t="str">
        <f>IF(TRIM(I43)="","",E43)</f>
        <v>OriginalDecisionDataOffset</v>
      </c>
      <c r="B43" s="5" t="str">
        <f>IF(TRIM(J43)="","",H43)</f>
        <v>Original decision data offset</v>
      </c>
      <c r="C43" s="5" t="str">
        <f>LEFT(F43,FIND(".",F43,6))</f>
        <v>Exif.Canon.</v>
      </c>
      <c r="D43" s="5" t="str">
        <f>VLOOKUP(C43,PrefixUebersetzung,2,FALSE)</f>
        <v>Exif.Canon.</v>
      </c>
      <c r="E43" s="5" t="str">
        <f>MID(F43,FIND(".",F43,6)+1,99)</f>
        <v>OriginalDecisionDataOffset</v>
      </c>
      <c r="F43" s="5" t="s">
        <v>24</v>
      </c>
      <c r="G43" s="5" t="s">
        <v>9668</v>
      </c>
      <c r="H43" s="6" t="s">
        <v>2153</v>
      </c>
      <c r="I43" s="7" t="s">
        <v>3727</v>
      </c>
      <c r="J43" s="8" t="s">
        <v>3727</v>
      </c>
      <c r="K43" s="26"/>
      <c r="N43" s="6" t="str">
        <f>IF(AND(TRIM(I43)="",L43=""),"Suffix not translated ",
   IF(AND(TRIM(I43)&lt;&gt;"",TRIM(L43)&lt;&gt;"",TRIM(I43)&lt;&gt;TRIM(L43)),"Suffix translation &lt;&gt; lookup ", "" ))
&amp;IF(AND(TRIM(J43)="",M43=""),"Description not translated ",
   IF(AND(TRIM(J43)&lt;&gt;"",TRIM(M43)&lt;&gt;"",TRIM(J43)&lt;&gt;TRIM(M43)),"Description translation&lt;&gt; lookup ", "" ))</f>
        <v/>
      </c>
      <c r="O43" s="6" t="s">
        <v>8574</v>
      </c>
      <c r="P43" s="6" t="s">
        <v>8574</v>
      </c>
    </row>
    <row r="44" spans="1:17" x14ac:dyDescent="0.25">
      <c r="A44" s="5" t="str">
        <f>IF(TRIM(I44)="","",E44)</f>
        <v>OwnerName</v>
      </c>
      <c r="B44" s="5" t="str">
        <f>IF(TRIM(J44)="","",H44)</f>
        <v>Owner Name</v>
      </c>
      <c r="C44" s="5" t="str">
        <f>LEFT(F44,FIND(".",F44,6))</f>
        <v>Exif.Canon.</v>
      </c>
      <c r="D44" s="5" t="str">
        <f>VLOOKUP(C44,PrefixUebersetzung,2,FALSE)</f>
        <v>Exif.Canon.</v>
      </c>
      <c r="E44" s="5" t="str">
        <f>MID(F44,FIND(".",F44,6)+1,99)</f>
        <v>OwnerName</v>
      </c>
      <c r="F44" s="5" t="s">
        <v>25</v>
      </c>
      <c r="G44" s="5" t="s">
        <v>9666</v>
      </c>
      <c r="H44" s="6" t="s">
        <v>2154</v>
      </c>
      <c r="I44" s="7" t="s">
        <v>4841</v>
      </c>
      <c r="J44" s="8" t="s">
        <v>3728</v>
      </c>
      <c r="K44" s="26"/>
      <c r="N44" s="6" t="str">
        <f>IF(AND(TRIM(I44)="",L44=""),"Suffix not translated ",
   IF(AND(TRIM(I44)&lt;&gt;"",TRIM(L44)&lt;&gt;"",TRIM(I44)&lt;&gt;TRIM(L44)),"Suffix translation &lt;&gt; lookup ", "" ))
&amp;IF(AND(TRIM(J44)="",M44=""),"Description not translated ",
   IF(AND(TRIM(J44)&lt;&gt;"",TRIM(M44)&lt;&gt;"",TRIM(J44)&lt;&gt;TRIM(M44)),"Description translation&lt;&gt; lookup ", "" ))</f>
        <v/>
      </c>
      <c r="O44" s="6" t="s">
        <v>8574</v>
      </c>
      <c r="P44" s="6" t="s">
        <v>8574</v>
      </c>
      <c r="Q44" s="6" t="s">
        <v>4841</v>
      </c>
    </row>
    <row r="45" spans="1:17" x14ac:dyDescent="0.25">
      <c r="A45" s="5" t="str">
        <f>IF(TRIM(I45)="","",E45)</f>
        <v>Panorama</v>
      </c>
      <c r="B45" s="5" t="str">
        <f>IF(TRIM(J45)="","",H45)</f>
        <v>Panorama</v>
      </c>
      <c r="C45" s="5" t="str">
        <f>LEFT(F45,FIND(".",F45,6))</f>
        <v>Exif.Canon.</v>
      </c>
      <c r="D45" s="5" t="str">
        <f>VLOOKUP(C45,PrefixUebersetzung,2,FALSE)</f>
        <v>Exif.Canon.</v>
      </c>
      <c r="E45" s="5" t="str">
        <f>MID(F45,FIND(".",F45,6)+1,99)</f>
        <v>Panorama</v>
      </c>
      <c r="F45" s="5" t="s">
        <v>26</v>
      </c>
      <c r="G45" s="5" t="s">
        <v>9664</v>
      </c>
      <c r="H45" s="6" t="s">
        <v>2155</v>
      </c>
      <c r="I45" s="7" t="s">
        <v>2155</v>
      </c>
      <c r="J45" s="8" t="s">
        <v>2155</v>
      </c>
      <c r="K45" s="26"/>
      <c r="L45" s="6" t="str">
        <f>IFERROR(VLOOKUP(E45,A:I,9, FALSE),"")</f>
        <v>Panorama</v>
      </c>
      <c r="M45" s="6" t="str">
        <f>IFERROR(VLOOKUP(H45,B:J,9,FALSE),"")</f>
        <v>Panorama</v>
      </c>
      <c r="N45" s="6" t="str">
        <f>IF(AND(TRIM(I45)="",L45=""),"Suffix not translated ",
   IF(AND(TRIM(I45)&lt;&gt;"",TRIM(L45)&lt;&gt;"",TRIM(I45)&lt;&gt;TRIM(L45)),"Suffix translation &lt;&gt; lookup ", "" ))
&amp;IF(AND(TRIM(J45)="",M45=""),"Description not translated ",
   IF(AND(TRIM(J45)&lt;&gt;"",TRIM(M45)&lt;&gt;"",TRIM(J45)&lt;&gt;TRIM(M45)),"Description translation&lt;&gt; lookup ", "" ))</f>
        <v/>
      </c>
      <c r="O45" s="6" t="s">
        <v>8574</v>
      </c>
      <c r="P45" s="6" t="s">
        <v>8574</v>
      </c>
      <c r="Q45" s="6" t="s">
        <v>2155</v>
      </c>
    </row>
    <row r="46" spans="1:17" x14ac:dyDescent="0.25">
      <c r="A46" s="5" t="str">
        <f>IF(TRIM(I46)="","",E46)</f>
        <v>PictureInfo</v>
      </c>
      <c r="B46" s="5" t="str">
        <f>IF(TRIM(J46)="","",H46)</f>
        <v>Picture info</v>
      </c>
      <c r="C46" s="5" t="str">
        <f>LEFT(F46,FIND(".",F46,6))</f>
        <v>Exif.Canon.</v>
      </c>
      <c r="D46" s="5" t="str">
        <f>VLOOKUP(C46,PrefixUebersetzung,2,FALSE)</f>
        <v>Exif.Canon.</v>
      </c>
      <c r="E46" s="5" t="str">
        <f>MID(F46,FIND(".",F46,6)+1,99)</f>
        <v>PictureInfo</v>
      </c>
      <c r="F46" s="5" t="s">
        <v>27</v>
      </c>
      <c r="G46" s="5" t="s">
        <v>9664</v>
      </c>
      <c r="H46" s="6" t="s">
        <v>2156</v>
      </c>
      <c r="I46" s="7" t="s">
        <v>4842</v>
      </c>
      <c r="J46" s="8" t="s">
        <v>3729</v>
      </c>
      <c r="K46" s="26"/>
      <c r="L46" s="6" t="str">
        <f>IFERROR(VLOOKUP(E46,A:I,9, FALSE),"")</f>
        <v>Bildinformation</v>
      </c>
      <c r="N46" s="6" t="str">
        <f>IF(AND(TRIM(I46)="",L46=""),"Suffix not translated ",
   IF(AND(TRIM(I46)&lt;&gt;"",TRIM(L46)&lt;&gt;"",TRIM(I46)&lt;&gt;TRIM(L46)),"Suffix translation &lt;&gt; lookup ", "" ))
&amp;IF(AND(TRIM(J46)="",M46=""),"Description not translated ",
   IF(AND(TRIM(J46)&lt;&gt;"",TRIM(M46)&lt;&gt;"",TRIM(J46)&lt;&gt;TRIM(M46)),"Description translation&lt;&gt; lookup ", "" ))</f>
        <v/>
      </c>
      <c r="O46" s="6" t="s">
        <v>8574</v>
      </c>
      <c r="P46" s="6" t="s">
        <v>8574</v>
      </c>
      <c r="Q46" s="6" t="s">
        <v>9090</v>
      </c>
    </row>
    <row r="47" spans="1:17" x14ac:dyDescent="0.25">
      <c r="A47" s="5" t="str">
        <f>IF(TRIM(I47)="","",E47)</f>
        <v>ProcessingInfo</v>
      </c>
      <c r="B47" s="5" t="str">
        <f>IF(TRIM(J47)="","",H47)</f>
        <v>Processing info</v>
      </c>
      <c r="C47" s="5" t="str">
        <f>LEFT(F47,FIND(".",F47,6))</f>
        <v>Exif.Canon.</v>
      </c>
      <c r="D47" s="5" t="str">
        <f>VLOOKUP(C47,PrefixUebersetzung,2,FALSE)</f>
        <v>Exif.Canon.</v>
      </c>
      <c r="E47" s="5" t="str">
        <f>MID(F47,FIND(".",F47,6)+1,99)</f>
        <v>ProcessingInfo</v>
      </c>
      <c r="F47" s="5" t="s">
        <v>28</v>
      </c>
      <c r="G47" s="5" t="s">
        <v>9664</v>
      </c>
      <c r="H47" s="6" t="s">
        <v>2157</v>
      </c>
      <c r="I47" s="7" t="s">
        <v>4843</v>
      </c>
      <c r="J47" s="8" t="s">
        <v>3730</v>
      </c>
      <c r="K47" s="26"/>
      <c r="N47" s="6" t="str">
        <f>IF(AND(TRIM(I47)="",L47=""),"Suffix not translated ",
   IF(AND(TRIM(I47)&lt;&gt;"",TRIM(L47)&lt;&gt;"",TRIM(I47)&lt;&gt;TRIM(L47)),"Suffix translation &lt;&gt; lookup ", "" ))
&amp;IF(AND(TRIM(J47)="",M47=""),"Description not translated ",
   IF(AND(TRIM(J47)&lt;&gt;"",TRIM(M47)&lt;&gt;"",TRIM(J47)&lt;&gt;TRIM(M47)),"Description translation&lt;&gt; lookup ", "" ))</f>
        <v/>
      </c>
      <c r="O47" s="6" t="s">
        <v>8574</v>
      </c>
      <c r="P47" s="6" t="s">
        <v>8574</v>
      </c>
      <c r="Q47" s="6" t="s">
        <v>9456</v>
      </c>
    </row>
    <row r="48" spans="1:17" x14ac:dyDescent="0.25">
      <c r="A48" s="5" t="str">
        <f>IF(TRIM(I48)="","",E48)</f>
        <v>SensorInfo</v>
      </c>
      <c r="B48" s="5" t="str">
        <f>IF(TRIM(J48)="","",H48)</f>
        <v>Sensor info</v>
      </c>
      <c r="C48" s="5" t="str">
        <f>LEFT(F48,FIND(".",F48,6))</f>
        <v>Exif.Canon.</v>
      </c>
      <c r="D48" s="5" t="str">
        <f>VLOOKUP(C48,PrefixUebersetzung,2,FALSE)</f>
        <v>Exif.Canon.</v>
      </c>
      <c r="E48" s="5" t="str">
        <f>MID(F48,FIND(".",F48,6)+1,99)</f>
        <v>SensorInfo</v>
      </c>
      <c r="F48" s="5" t="s">
        <v>29</v>
      </c>
      <c r="G48" s="5" t="s">
        <v>9664</v>
      </c>
      <c r="H48" s="6" t="s">
        <v>2158</v>
      </c>
      <c r="I48" s="7" t="s">
        <v>5140</v>
      </c>
      <c r="J48" s="8" t="s">
        <v>3731</v>
      </c>
      <c r="K48" s="26"/>
      <c r="N48" s="6" t="str">
        <f>IF(AND(TRIM(I48)="",L48=""),"Suffix not translated ",
   IF(AND(TRIM(I48)&lt;&gt;"",TRIM(L48)&lt;&gt;"",TRIM(I48)&lt;&gt;TRIM(L48)),"Suffix translation &lt;&gt; lookup ", "" ))
&amp;IF(AND(TRIM(J48)="",M48=""),"Description not translated ",
   IF(AND(TRIM(J48)&lt;&gt;"",TRIM(M48)&lt;&gt;"",TRIM(J48)&lt;&gt;TRIM(M48)),"Description translation&lt;&gt; lookup ", "" ))</f>
        <v/>
      </c>
      <c r="O48" s="6" t="s">
        <v>8574</v>
      </c>
      <c r="P48" s="6" t="s">
        <v>8574</v>
      </c>
      <c r="Q48" s="6" t="s">
        <v>9346</v>
      </c>
    </row>
    <row r="49" spans="1:17" x14ac:dyDescent="0.25">
      <c r="A49" s="5" t="str">
        <f>IF(TRIM(I49)="","",E49)</f>
        <v>SerialNumber</v>
      </c>
      <c r="B49" s="5" t="str">
        <f>IF(TRIM(J49)="","",H49)</f>
        <v>Camera serial number</v>
      </c>
      <c r="C49" s="5" t="str">
        <f>LEFT(F49,FIND(".",F49,6))</f>
        <v>Exif.Canon.</v>
      </c>
      <c r="D49" s="5" t="str">
        <f>VLOOKUP(C49,PrefixUebersetzung,2,FALSE)</f>
        <v>Exif.Canon.</v>
      </c>
      <c r="E49" s="5" t="str">
        <f>MID(F49,FIND(".",F49,6)+1,99)</f>
        <v>SerialNumber</v>
      </c>
      <c r="F49" s="5" t="s">
        <v>30</v>
      </c>
      <c r="G49" s="5" t="s">
        <v>9667</v>
      </c>
      <c r="H49" s="6" t="s">
        <v>2159</v>
      </c>
      <c r="I49" s="7" t="s">
        <v>3958</v>
      </c>
      <c r="J49" s="8" t="s">
        <v>3732</v>
      </c>
      <c r="K49" s="26"/>
      <c r="L49" s="6" t="str">
        <f>IFERROR(VLOOKUP(E49,A:I,9, FALSE),"")</f>
        <v>Seriennummer</v>
      </c>
      <c r="M49" s="6" t="str">
        <f>IFERROR(VLOOKUP(H49,B:J,9,FALSE),"")</f>
        <v>Kamera-Seriennummer</v>
      </c>
      <c r="N49" s="6" t="str">
        <f>IF(AND(TRIM(I49)="",L49=""),"Suffix not translated ",
   IF(AND(TRIM(I49)&lt;&gt;"",TRIM(L49)&lt;&gt;"",TRIM(I49)&lt;&gt;TRIM(L49)),"Suffix translation &lt;&gt; lookup ", "" ))
&amp;IF(AND(TRIM(J49)="",M49=""),"Description not translated ",
   IF(AND(TRIM(J49)&lt;&gt;"",TRIM(M49)&lt;&gt;"",TRIM(J49)&lt;&gt;TRIM(M49)),"Description translation&lt;&gt; lookup ", "" ))</f>
        <v/>
      </c>
      <c r="O49" s="6" t="s">
        <v>8574</v>
      </c>
      <c r="P49" s="6" t="s">
        <v>8574</v>
      </c>
      <c r="Q49" s="6" t="s">
        <v>3732</v>
      </c>
    </row>
    <row r="50" spans="1:17" x14ac:dyDescent="0.25">
      <c r="A50" s="5" t="str">
        <f>IF(TRIM(I50)="","",E50)</f>
        <v>SerialNumberFormat</v>
      </c>
      <c r="B50" s="5" t="str">
        <f>IF(TRIM(J50)="","",H50)</f>
        <v>Serial number format</v>
      </c>
      <c r="C50" s="5" t="str">
        <f>LEFT(F50,FIND(".",F50,6))</f>
        <v>Exif.Canon.</v>
      </c>
      <c r="D50" s="5" t="str">
        <f>VLOOKUP(C50,PrefixUebersetzung,2,FALSE)</f>
        <v>Exif.Canon.</v>
      </c>
      <c r="E50" s="5" t="str">
        <f>MID(F50,FIND(".",F50,6)+1,99)</f>
        <v>SerialNumberFormat</v>
      </c>
      <c r="F50" s="5" t="s">
        <v>31</v>
      </c>
      <c r="G50" s="5" t="s">
        <v>9667</v>
      </c>
      <c r="H50" s="6" t="s">
        <v>2160</v>
      </c>
      <c r="I50" s="7" t="s">
        <v>3733</v>
      </c>
      <c r="J50" s="8" t="s">
        <v>3733</v>
      </c>
      <c r="K50" s="26"/>
      <c r="N50" s="6" t="str">
        <f>IF(AND(TRIM(I50)="",L50=""),"Suffix not translated ",
   IF(AND(TRIM(I50)&lt;&gt;"",TRIM(L50)&lt;&gt;"",TRIM(I50)&lt;&gt;TRIM(L50)),"Suffix translation &lt;&gt; lookup ", "" ))
&amp;IF(AND(TRIM(J50)="",M50=""),"Description not translated ",
   IF(AND(TRIM(J50)&lt;&gt;"",TRIM(M50)&lt;&gt;"",TRIM(J50)&lt;&gt;TRIM(M50)),"Description translation&lt;&gt; lookup ", "" ))</f>
        <v/>
      </c>
      <c r="O50" s="6" t="s">
        <v>8574</v>
      </c>
      <c r="P50" s="6" t="s">
        <v>8574</v>
      </c>
      <c r="Q50" s="6" t="s">
        <v>9481</v>
      </c>
    </row>
    <row r="51" spans="1:17" ht="30" x14ac:dyDescent="0.25">
      <c r="A51" s="5" t="str">
        <f>IF(TRIM(I51)="","",E51)</f>
        <v>ShotInfo</v>
      </c>
      <c r="B51" s="5" t="str">
        <f>IF(TRIM(J51)="","",H51)</f>
        <v>Shot information</v>
      </c>
      <c r="C51" s="5" t="str">
        <f>LEFT(F51,FIND(".",F51,6))</f>
        <v>Exif.Canon.</v>
      </c>
      <c r="D51" s="5" t="str">
        <f>VLOOKUP(C51,PrefixUebersetzung,2,FALSE)</f>
        <v>Exif.Canon.</v>
      </c>
      <c r="E51" s="5" t="str">
        <f>MID(F51,FIND(".",F51,6)+1,99)</f>
        <v>ShotInfo</v>
      </c>
      <c r="F51" s="5" t="s">
        <v>32</v>
      </c>
      <c r="G51" s="5" t="s">
        <v>9664</v>
      </c>
      <c r="H51" s="6" t="s">
        <v>2161</v>
      </c>
      <c r="I51" s="7" t="s">
        <v>4889</v>
      </c>
      <c r="J51" s="14" t="s">
        <v>4889</v>
      </c>
      <c r="K51" s="26"/>
      <c r="L51" s="6" t="str">
        <f>IFERROR(VLOOKUP(E51,A:I,9, FALSE),"")</f>
        <v>Aufnahmeinformationen</v>
      </c>
      <c r="M51" s="6" t="str">
        <f>IFERROR(VLOOKUP(H51,B:J,9,FALSE),"")</f>
        <v>Aufnahmeinformationen</v>
      </c>
      <c r="N51" s="6" t="str">
        <f>IF(AND(TRIM(I51)="",L51=""),"Suffix not translated ",
   IF(AND(TRIM(I51)&lt;&gt;"",TRIM(L51)&lt;&gt;"",TRIM(I51)&lt;&gt;TRIM(L51)),"Suffix translation &lt;&gt; lookup ", "" ))
&amp;IF(AND(TRIM(J51)="",M51=""),"Description not translated ",
   IF(AND(TRIM(J51)&lt;&gt;"",TRIM(M51)&lt;&gt;"",TRIM(J51)&lt;&gt;TRIM(M51)),"Description translation&lt;&gt; lookup ", "" ))</f>
        <v/>
      </c>
      <c r="O51" s="6" t="s">
        <v>8574</v>
      </c>
      <c r="P51" s="6" t="s">
        <v>8574</v>
      </c>
      <c r="Q51" s="6" t="s">
        <v>9139</v>
      </c>
    </row>
    <row r="52" spans="1:17" x14ac:dyDescent="0.25">
      <c r="A52" s="5" t="str">
        <f>IF(TRIM(I52)="","",E52)</f>
        <v>SuperMacro</v>
      </c>
      <c r="B52" s="5" t="str">
        <f>IF(TRIM(J52)="","",H52)</f>
        <v>Super macro</v>
      </c>
      <c r="C52" s="5" t="str">
        <f>LEFT(F52,FIND(".",F52,6))</f>
        <v>Exif.Canon.</v>
      </c>
      <c r="D52" s="5" t="str">
        <f>VLOOKUP(C52,PrefixUebersetzung,2,FALSE)</f>
        <v>Exif.Canon.</v>
      </c>
      <c r="E52" s="5" t="str">
        <f>MID(F52,FIND(".",F52,6)+1,99)</f>
        <v>SuperMacro</v>
      </c>
      <c r="F52" s="5" t="s">
        <v>33</v>
      </c>
      <c r="G52" s="5" t="s">
        <v>9665</v>
      </c>
      <c r="H52" s="6" t="s">
        <v>2162</v>
      </c>
      <c r="I52" s="7" t="s">
        <v>3734</v>
      </c>
      <c r="J52" s="8" t="s">
        <v>3734</v>
      </c>
      <c r="K52" s="26"/>
      <c r="N52" s="6" t="str">
        <f>IF(AND(TRIM(I52)="",L52=""),"Suffix not translated ",
   IF(AND(TRIM(I52)&lt;&gt;"",TRIM(L52)&lt;&gt;"",TRIM(I52)&lt;&gt;TRIM(L52)),"Suffix translation &lt;&gt; lookup ", "" ))
&amp;IF(AND(TRIM(J52)="",M52=""),"Description not translated ",
   IF(AND(TRIM(J52)&lt;&gt;"",TRIM(M52)&lt;&gt;"",TRIM(J52)&lt;&gt;TRIM(M52)),"Description translation&lt;&gt; lookup ", "" ))</f>
        <v/>
      </c>
      <c r="O52" s="6" t="s">
        <v>8574</v>
      </c>
      <c r="P52" s="6" t="s">
        <v>8574</v>
      </c>
      <c r="Q52" s="6" t="s">
        <v>9461</v>
      </c>
    </row>
    <row r="53" spans="1:17" x14ac:dyDescent="0.25">
      <c r="A53" s="5" t="str">
        <f>IF(TRIM(I53)="","",E53)</f>
        <v>ThumbnailImageValidArea</v>
      </c>
      <c r="B53" s="5" t="str">
        <f>IF(TRIM(J53)="","",H53)</f>
        <v>Thumbnail image valid area</v>
      </c>
      <c r="C53" s="5" t="str">
        <f>LEFT(F53,FIND(".",F53,6))</f>
        <v>Exif.Canon.</v>
      </c>
      <c r="D53" s="5" t="str">
        <f>VLOOKUP(C53,PrefixUebersetzung,2,FALSE)</f>
        <v>Exif.Canon.</v>
      </c>
      <c r="E53" s="5" t="str">
        <f>MID(F53,FIND(".",F53,6)+1,99)</f>
        <v>ThumbnailImageValidArea</v>
      </c>
      <c r="F53" s="5" t="s">
        <v>34</v>
      </c>
      <c r="G53" s="5" t="s">
        <v>9665</v>
      </c>
      <c r="H53" s="6" t="s">
        <v>2163</v>
      </c>
      <c r="I53" s="7" t="s">
        <v>3735</v>
      </c>
      <c r="J53" s="8" t="s">
        <v>3735</v>
      </c>
      <c r="K53" s="26"/>
      <c r="N53" s="6" t="str">
        <f>IF(AND(TRIM(I53)="",L53=""),"Suffix not translated ",
   IF(AND(TRIM(I53)&lt;&gt;"",TRIM(L53)&lt;&gt;"",TRIM(I53)&lt;&gt;TRIM(L53)),"Suffix translation &lt;&gt; lookup ", "" ))
&amp;IF(AND(TRIM(J53)="",M53=""),"Description not translated ",
   IF(AND(TRIM(J53)&lt;&gt;"",TRIM(M53)&lt;&gt;"",TRIM(J53)&lt;&gt;TRIM(M53)),"Description translation&lt;&gt; lookup ", "" ))</f>
        <v/>
      </c>
      <c r="O53" s="6" t="s">
        <v>8574</v>
      </c>
      <c r="P53" s="6" t="s">
        <v>8574</v>
      </c>
      <c r="Q53" s="6" t="s">
        <v>4906</v>
      </c>
    </row>
    <row r="54" spans="1:17" x14ac:dyDescent="0.25">
      <c r="A54" s="5" t="str">
        <f>IF(TRIM(I54)="","",E54)</f>
        <v>TimeInfo</v>
      </c>
      <c r="B54" s="5" t="str">
        <f>IF(TRIM(J54)="","",H54)</f>
        <v>Time zone information</v>
      </c>
      <c r="C54" s="5" t="str">
        <f>LEFT(F54,FIND(".",F54,6))</f>
        <v>Exif.Canon.</v>
      </c>
      <c r="D54" s="5" t="str">
        <f>VLOOKUP(C54,PrefixUebersetzung,2,FALSE)</f>
        <v>Exif.Canon.</v>
      </c>
      <c r="E54" s="5" t="str">
        <f>MID(F54,FIND(".",F54,6)+1,99)</f>
        <v>TimeInfo</v>
      </c>
      <c r="F54" s="2" t="s">
        <v>7993</v>
      </c>
      <c r="G54" s="5" t="s">
        <v>9668</v>
      </c>
      <c r="H54" s="3" t="s">
        <v>7994</v>
      </c>
      <c r="I54" s="7" t="s">
        <v>8565</v>
      </c>
      <c r="J54" s="8" t="s">
        <v>8566</v>
      </c>
      <c r="K54" s="26"/>
      <c r="N54" s="6" t="str">
        <f>IF(AND(TRIM(I54)="",L54=""),"Suffix not translated ",
   IF(AND(TRIM(I54)&lt;&gt;"",TRIM(L54)&lt;&gt;"",TRIM(I54)&lt;&gt;TRIM(L54)),"Suffix translation &lt;&gt; lookup ", "" ))
&amp;IF(AND(TRIM(J54)="",M54=""),"Description not translated ",
   IF(AND(TRIM(J54)&lt;&gt;"",TRIM(M54)&lt;&gt;"",TRIM(J54)&lt;&gt;TRIM(M54)),"Description translation&lt;&gt; lookup ", "" ))</f>
        <v/>
      </c>
      <c r="O54" s="6" t="s">
        <v>8574</v>
      </c>
      <c r="P54" s="6" t="s">
        <v>8574</v>
      </c>
      <c r="Q54" s="6" t="s">
        <v>9360</v>
      </c>
    </row>
    <row r="55" spans="1:17" x14ac:dyDescent="0.25">
      <c r="A55" s="5" t="str">
        <f>IF(TRIM(I55)="","",E55)</f>
        <v>VRDOffset</v>
      </c>
      <c r="B55" s="5" t="str">
        <f>IF(TRIM(J55)="","",H55)</f>
        <v>VRD offset</v>
      </c>
      <c r="C55" s="5" t="str">
        <f>LEFT(F55,FIND(".",F55,6))</f>
        <v>Exif.Canon.</v>
      </c>
      <c r="D55" s="5" t="str">
        <f>VLOOKUP(C55,PrefixUebersetzung,2,FALSE)</f>
        <v>Exif.Canon.</v>
      </c>
      <c r="E55" s="5" t="str">
        <f>MID(F55,FIND(".",F55,6)+1,99)</f>
        <v>VRDOffset</v>
      </c>
      <c r="F55" s="5" t="s">
        <v>35</v>
      </c>
      <c r="G55" s="5" t="s">
        <v>9667</v>
      </c>
      <c r="H55" s="6" t="s">
        <v>2164</v>
      </c>
      <c r="I55" s="7" t="s">
        <v>3736</v>
      </c>
      <c r="J55" s="8" t="s">
        <v>3736</v>
      </c>
      <c r="K55" s="26"/>
      <c r="N55" s="6" t="str">
        <f>IF(AND(TRIM(I55)="",L55=""),"Suffix not translated ",
   IF(AND(TRIM(I55)&lt;&gt;"",TRIM(L55)&lt;&gt;"",TRIM(I55)&lt;&gt;TRIM(L55)),"Suffix translation &lt;&gt; lookup ", "" ))
&amp;IF(AND(TRIM(J55)="",M55=""),"Description not translated ",
   IF(AND(TRIM(J55)&lt;&gt;"",TRIM(M55)&lt;&gt;"",TRIM(J55)&lt;&gt;TRIM(M55)),"Description translation&lt;&gt; lookup ", "" ))</f>
        <v/>
      </c>
      <c r="O55" s="6" t="s">
        <v>8574</v>
      </c>
      <c r="P55" s="6" t="s">
        <v>8574</v>
      </c>
      <c r="Q55" s="6" t="s">
        <v>4210</v>
      </c>
    </row>
    <row r="56" spans="1:17" x14ac:dyDescent="0.25">
      <c r="A56" s="5" t="str">
        <f>IF(TRIM(I56)="","",E56)</f>
        <v>WhiteBalanceTable</v>
      </c>
      <c r="B56" s="5" t="str">
        <f>IF(TRIM(J56)="","",H56)</f>
        <v>White balance table</v>
      </c>
      <c r="C56" s="5" t="str">
        <f>LEFT(F56,FIND(".",F56,6))</f>
        <v>Exif.Canon.</v>
      </c>
      <c r="D56" s="5" t="str">
        <f>VLOOKUP(C56,PrefixUebersetzung,2,FALSE)</f>
        <v>Exif.Canon.</v>
      </c>
      <c r="E56" s="5" t="str">
        <f>MID(F56,FIND(".",F56,6)+1,99)</f>
        <v>WhiteBalanceTable</v>
      </c>
      <c r="F56" s="5" t="s">
        <v>36</v>
      </c>
      <c r="G56" s="5" t="s">
        <v>9664</v>
      </c>
      <c r="H56" s="6" t="s">
        <v>2165</v>
      </c>
      <c r="I56" s="7" t="s">
        <v>3737</v>
      </c>
      <c r="J56" s="8" t="s">
        <v>3737</v>
      </c>
      <c r="K56" s="26"/>
      <c r="N56" s="6" t="str">
        <f>IF(AND(TRIM(I56)="",L56=""),"Suffix not translated ",
   IF(AND(TRIM(I56)&lt;&gt;"",TRIM(L56)&lt;&gt;"",TRIM(I56)&lt;&gt;TRIM(L56)),"Suffix translation &lt;&gt; lookup ", "" ))
&amp;IF(AND(TRIM(J56)="",M56=""),"Description not translated ",
   IF(AND(TRIM(J56)&lt;&gt;"",TRIM(M56)&lt;&gt;"",TRIM(J56)&lt;&gt;TRIM(M56)),"Description translation&lt;&gt; lookup ", "" ))</f>
        <v/>
      </c>
      <c r="O56" s="6" t="s">
        <v>8574</v>
      </c>
      <c r="P56" s="6" t="s">
        <v>8574</v>
      </c>
      <c r="Q56" s="6" t="s">
        <v>9558</v>
      </c>
    </row>
    <row r="57" spans="1:17" ht="30" x14ac:dyDescent="0.25">
      <c r="A57" s="5" t="str">
        <f>IF(TRIM(I57)="","",E57)</f>
        <v>AEBSequence</v>
      </c>
      <c r="B57" s="5" t="str">
        <f>IF(TRIM(J57)="","",H57)</f>
        <v>AEB sequence/auto cancellation</v>
      </c>
      <c r="C57" s="5" t="str">
        <f>LEFT(F57,FIND(".",F57,6))</f>
        <v>Exif.CanonCf.</v>
      </c>
      <c r="D57" s="5" t="str">
        <f>VLOOKUP(C57,PrefixUebersetzung,2,FALSE)</f>
        <v>Exif.CanonCf.</v>
      </c>
      <c r="E57" s="5" t="str">
        <f>MID(F57,FIND(".",F57,6)+1,99)</f>
        <v>AEBSequence</v>
      </c>
      <c r="F57" s="5" t="s">
        <v>37</v>
      </c>
      <c r="G57" s="5" t="s">
        <v>9664</v>
      </c>
      <c r="H57" s="6" t="s">
        <v>2166</v>
      </c>
      <c r="I57" s="7" t="s">
        <v>4194</v>
      </c>
      <c r="J57" s="8" t="s">
        <v>3738</v>
      </c>
      <c r="K57" s="26"/>
      <c r="N57" s="6" t="str">
        <f>IF(AND(TRIM(I57)="",L57=""),"Suffix not translated ",
   IF(AND(TRIM(I57)&lt;&gt;"",TRIM(L57)&lt;&gt;"",TRIM(I57)&lt;&gt;TRIM(L57)),"Suffix translation &lt;&gt; lookup ", "" ))
&amp;IF(AND(TRIM(J57)="",M57=""),"Description not translated ",
   IF(AND(TRIM(J57)&lt;&gt;"",TRIM(M57)&lt;&gt;"",TRIM(J57)&lt;&gt;TRIM(M57)),"Description translation&lt;&gt; lookup ", "" ))</f>
        <v/>
      </c>
      <c r="O57" s="6" t="s">
        <v>8574</v>
      </c>
      <c r="P57" s="6" t="s">
        <v>8574</v>
      </c>
      <c r="Q57" s="6" t="s">
        <v>9103</v>
      </c>
    </row>
    <row r="58" spans="1:17" x14ac:dyDescent="0.25">
      <c r="A58" s="5" t="str">
        <f>IF(TRIM(I58)="","",E58)</f>
        <v>AFAssist</v>
      </c>
      <c r="B58" s="5" t="str">
        <f>IF(TRIM(J58)="","",H58)</f>
        <v>AF assist light</v>
      </c>
      <c r="C58" s="5" t="str">
        <f>LEFT(F58,FIND(".",F58,6))</f>
        <v>Exif.CanonCf.</v>
      </c>
      <c r="D58" s="5" t="str">
        <f>VLOOKUP(C58,PrefixUebersetzung,2,FALSE)</f>
        <v>Exif.CanonCf.</v>
      </c>
      <c r="E58" s="5" t="str">
        <f>MID(F58,FIND(".",F58,6)+1,99)</f>
        <v>AFAssist</v>
      </c>
      <c r="F58" s="5" t="s">
        <v>38</v>
      </c>
      <c r="G58" s="5" t="s">
        <v>9664</v>
      </c>
      <c r="H58" s="6" t="s">
        <v>2167</v>
      </c>
      <c r="I58" s="7" t="s">
        <v>4946</v>
      </c>
      <c r="J58" s="8" t="s">
        <v>3739</v>
      </c>
      <c r="K58" s="26"/>
      <c r="L58" s="6" t="str">
        <f>IFERROR(VLOOKUP(E58,A:I,9, FALSE),"")</f>
        <v>AF Hilfslicht</v>
      </c>
      <c r="N58" s="6" t="str">
        <f>IF(AND(TRIM(I58)="",L58=""),"Suffix not translated ",
   IF(AND(TRIM(I58)&lt;&gt;"",TRIM(L58)&lt;&gt;"",TRIM(I58)&lt;&gt;TRIM(L58)),"Suffix translation &lt;&gt; lookup ", "" ))
&amp;IF(AND(TRIM(J58)="",M58=""),"Description not translated ",
   IF(AND(TRIM(J58)&lt;&gt;"",TRIM(M58)&lt;&gt;"",TRIM(J58)&lt;&gt;TRIM(M58)),"Description translation&lt;&gt; lookup ", "" ))</f>
        <v/>
      </c>
      <c r="O58" s="6" t="s">
        <v>8574</v>
      </c>
      <c r="P58" s="6" t="s">
        <v>8574</v>
      </c>
      <c r="Q58" s="6" t="s">
        <v>9119</v>
      </c>
    </row>
    <row r="59" spans="1:17" x14ac:dyDescent="0.25">
      <c r="A59" s="5" t="str">
        <f>IF(TRIM(I59)="","",E59)</f>
        <v>ExposureLevelIncrements</v>
      </c>
      <c r="B59" s="5" t="str">
        <f>IF(TRIM(J59)="","",H59)</f>
        <v>Tv/Av and exposure level</v>
      </c>
      <c r="C59" s="5" t="str">
        <f>LEFT(F59,FIND(".",F59,6))</f>
        <v>Exif.CanonCf.</v>
      </c>
      <c r="D59" s="5" t="str">
        <f>VLOOKUP(C59,PrefixUebersetzung,2,FALSE)</f>
        <v>Exif.CanonCf.</v>
      </c>
      <c r="E59" s="5" t="str">
        <f>MID(F59,FIND(".",F59,6)+1,99)</f>
        <v>ExposureLevelIncrements</v>
      </c>
      <c r="F59" s="5" t="s">
        <v>39</v>
      </c>
      <c r="G59" s="5" t="s">
        <v>9664</v>
      </c>
      <c r="H59" s="6" t="s">
        <v>2168</v>
      </c>
      <c r="I59" s="7" t="s">
        <v>3916</v>
      </c>
      <c r="J59" s="8" t="s">
        <v>4182</v>
      </c>
      <c r="K59" s="26"/>
      <c r="L59" s="6" t="str">
        <f>IFERROR(VLOOKUP(E59,A:I,9, FALSE),"")</f>
        <v>Belichtungskorrektur</v>
      </c>
      <c r="N59" s="6" t="str">
        <f>IF(AND(TRIM(I59)="",L59=""),"Suffix not translated ",
   IF(AND(TRIM(I59)&lt;&gt;"",TRIM(L59)&lt;&gt;"",TRIM(I59)&lt;&gt;TRIM(L59)),"Suffix translation &lt;&gt; lookup ", "" ))
&amp;IF(AND(TRIM(J59)="",M59=""),"Description not translated ",
   IF(AND(TRIM(J59)&lt;&gt;"",TRIM(M59)&lt;&gt;"",TRIM(J59)&lt;&gt;TRIM(M59)),"Description translation&lt;&gt; lookup ", "" ))</f>
        <v/>
      </c>
      <c r="O59" s="6" t="s">
        <v>8574</v>
      </c>
      <c r="P59" s="6" t="s">
        <v>8574</v>
      </c>
    </row>
    <row r="60" spans="1:17" ht="30" x14ac:dyDescent="0.25">
      <c r="A60" s="5" t="str">
        <f>IF(TRIM(I60)="","",E60)</f>
        <v>FillFlashAutoReduction</v>
      </c>
      <c r="B60" s="5" t="str">
        <f>IF(TRIM(J60)="","",H60)</f>
        <v>Auto reduction of fill flash</v>
      </c>
      <c r="C60" s="5" t="str">
        <f>LEFT(F60,FIND(".",F60,6))</f>
        <v>Exif.CanonCf.</v>
      </c>
      <c r="D60" s="5" t="str">
        <f>VLOOKUP(C60,PrefixUebersetzung,2,FALSE)</f>
        <v>Exif.CanonCf.</v>
      </c>
      <c r="E60" s="5" t="str">
        <f>MID(F60,FIND(".",F60,6)+1,99)</f>
        <v>FillFlashAutoReduction</v>
      </c>
      <c r="F60" s="5" t="s">
        <v>40</v>
      </c>
      <c r="G60" s="5" t="s">
        <v>9664</v>
      </c>
      <c r="H60" s="6" t="s">
        <v>2169</v>
      </c>
      <c r="I60" s="7" t="s">
        <v>3740</v>
      </c>
      <c r="J60" s="8" t="s">
        <v>3740</v>
      </c>
      <c r="K60" s="26"/>
      <c r="N60" s="6" t="str">
        <f>IF(AND(TRIM(I60)="",L60=""),"Suffix not translated ",
   IF(AND(TRIM(I60)&lt;&gt;"",TRIM(L60)&lt;&gt;"",TRIM(I60)&lt;&gt;TRIM(L60)),"Suffix translation &lt;&gt; lookup ", "" ))
&amp;IF(AND(TRIM(J60)="",M60=""),"Description not translated ",
   IF(AND(TRIM(J60)&lt;&gt;"",TRIM(M60)&lt;&gt;"",TRIM(J60)&lt;&gt;TRIM(M60)),"Description translation&lt;&gt; lookup ", "" ))</f>
        <v/>
      </c>
      <c r="O60" s="6" t="s">
        <v>8574</v>
      </c>
      <c r="P60" s="6" t="s">
        <v>8574</v>
      </c>
      <c r="Q60" s="6" t="s">
        <v>9150</v>
      </c>
    </row>
    <row r="61" spans="1:17" x14ac:dyDescent="0.25">
      <c r="A61" s="5" t="str">
        <f>IF(TRIM(I61)="","",E61)</f>
        <v>FlashSyncSpeedAv</v>
      </c>
      <c r="B61" s="5" t="str">
        <f>IF(TRIM(J61)="","",H61)</f>
        <v>Shutter speed in Av mode</v>
      </c>
      <c r="C61" s="5" t="str">
        <f>LEFT(F61,FIND(".",F61,6))</f>
        <v>Exif.CanonCf.</v>
      </c>
      <c r="D61" s="5" t="str">
        <f>VLOOKUP(C61,PrefixUebersetzung,2,FALSE)</f>
        <v>Exif.CanonCf.</v>
      </c>
      <c r="E61" s="5" t="str">
        <f>MID(F61,FIND(".",F61,6)+1,99)</f>
        <v>FlashSyncSpeedAv</v>
      </c>
      <c r="F61" s="5" t="s">
        <v>41</v>
      </c>
      <c r="G61" s="5" t="s">
        <v>9664</v>
      </c>
      <c r="H61" s="6" t="s">
        <v>2170</v>
      </c>
      <c r="I61" s="7" t="s">
        <v>4183</v>
      </c>
      <c r="J61" s="8" t="s">
        <v>4183</v>
      </c>
      <c r="K61" s="26"/>
      <c r="N61" s="6" t="str">
        <f>IF(AND(TRIM(I61)="",L61=""),"Suffix not translated ",
   IF(AND(TRIM(I61)&lt;&gt;"",TRIM(L61)&lt;&gt;"",TRIM(I61)&lt;&gt;TRIM(L61)),"Suffix translation &lt;&gt; lookup ", "" ))
&amp;IF(AND(TRIM(J61)="",M61=""),"Description not translated ",
   IF(AND(TRIM(J61)&lt;&gt;"",TRIM(M61)&lt;&gt;"",TRIM(J61)&lt;&gt;TRIM(M61)),"Description translation&lt;&gt; lookup ", "" ))</f>
        <v/>
      </c>
      <c r="O61" s="6" t="s">
        <v>8574</v>
      </c>
      <c r="P61" s="6" t="s">
        <v>8574</v>
      </c>
      <c r="Q61" s="6" t="s">
        <v>9487</v>
      </c>
    </row>
    <row r="62" spans="1:17" ht="30" x14ac:dyDescent="0.25">
      <c r="A62" s="5" t="str">
        <f>IF(TRIM(I62)="","",E62)</f>
        <v>LensAFStopButton</v>
      </c>
      <c r="B62" s="5" t="str">
        <f>IF(TRIM(J62)="","",H62)</f>
        <v>Lens AF stop button Fn. Switch</v>
      </c>
      <c r="C62" s="5" t="str">
        <f>LEFT(F62,FIND(".",F62,6))</f>
        <v>Exif.CanonCf.</v>
      </c>
      <c r="D62" s="5" t="str">
        <f>VLOOKUP(C62,PrefixUebersetzung,2,FALSE)</f>
        <v>Exif.CanonCf.</v>
      </c>
      <c r="E62" s="5" t="str">
        <f>MID(F62,FIND(".",F62,6)+1,99)</f>
        <v>LensAFStopButton</v>
      </c>
      <c r="F62" s="5" t="s">
        <v>42</v>
      </c>
      <c r="G62" s="5" t="s">
        <v>9664</v>
      </c>
      <c r="H62" s="6" t="s">
        <v>2171</v>
      </c>
      <c r="I62" s="7" t="s">
        <v>4195</v>
      </c>
      <c r="J62" s="8" t="s">
        <v>3741</v>
      </c>
      <c r="K62" s="26"/>
      <c r="N62" s="6" t="str">
        <f>IF(AND(TRIM(I62)="",L62=""),"Suffix not translated ",
   IF(AND(TRIM(I62)&lt;&gt;"",TRIM(L62)&lt;&gt;"",TRIM(I62)&lt;&gt;TRIM(L62)),"Suffix translation &lt;&gt; lookup ", "" ))
&amp;IF(AND(TRIM(J62)="",M62=""),"Description not translated ",
   IF(AND(TRIM(J62)&lt;&gt;"",TRIM(M62)&lt;&gt;"",TRIM(J62)&lt;&gt;TRIM(M62)),"Description translation&lt;&gt; lookup ", "" ))</f>
        <v/>
      </c>
      <c r="O62" s="6" t="s">
        <v>8574</v>
      </c>
      <c r="P62" s="6" t="s">
        <v>8574</v>
      </c>
      <c r="Q62" s="6" t="s">
        <v>9388</v>
      </c>
    </row>
    <row r="63" spans="1:17" x14ac:dyDescent="0.25">
      <c r="A63" s="5" t="str">
        <f>IF(TRIM(I63)="","",E63)</f>
        <v>MenuButtonReturn</v>
      </c>
      <c r="B63" s="5" t="str">
        <f>IF(TRIM(J63)="","",H63)</f>
        <v>Menu button return position</v>
      </c>
      <c r="C63" s="5" t="str">
        <f>LEFT(F63,FIND(".",F63,6))</f>
        <v>Exif.CanonCf.</v>
      </c>
      <c r="D63" s="5" t="str">
        <f>VLOOKUP(C63,PrefixUebersetzung,2,FALSE)</f>
        <v>Exif.CanonCf.</v>
      </c>
      <c r="E63" s="5" t="str">
        <f>MID(F63,FIND(".",F63,6)+1,99)</f>
        <v>MenuButtonReturn</v>
      </c>
      <c r="F63" s="5" t="s">
        <v>43</v>
      </c>
      <c r="G63" s="5" t="s">
        <v>9664</v>
      </c>
      <c r="H63" s="6" t="s">
        <v>2172</v>
      </c>
      <c r="I63" s="7" t="s">
        <v>3742</v>
      </c>
      <c r="J63" s="8" t="s">
        <v>3742</v>
      </c>
      <c r="K63" s="26"/>
      <c r="N63" s="6" t="str">
        <f>IF(AND(TRIM(I63)="",L63=""),"Suffix not translated ",
   IF(AND(TRIM(I63)&lt;&gt;"",TRIM(L63)&lt;&gt;"",TRIM(I63)&lt;&gt;TRIM(L63)),"Suffix translation &lt;&gt; lookup ", "" ))
&amp;IF(AND(TRIM(J63)="",M63=""),"Description not translated ",
   IF(AND(TRIM(J63)&lt;&gt;"",TRIM(M63)&lt;&gt;"",TRIM(J63)&lt;&gt;TRIM(M63)),"Description translation&lt;&gt; lookup ", "" ))</f>
        <v/>
      </c>
      <c r="O63" s="6" t="s">
        <v>8574</v>
      </c>
      <c r="P63" s="6" t="s">
        <v>8574</v>
      </c>
      <c r="Q63" s="6" t="s">
        <v>9419</v>
      </c>
    </row>
    <row r="64" spans="1:17" x14ac:dyDescent="0.25">
      <c r="A64" s="5" t="str">
        <f>IF(TRIM(I64)="","",E64)</f>
        <v>MirrorLockup</v>
      </c>
      <c r="B64" s="5" t="str">
        <f>IF(TRIM(J64)="","",H64)</f>
        <v>Mirror lockup</v>
      </c>
      <c r="C64" s="5" t="str">
        <f>LEFT(F64,FIND(".",F64,6))</f>
        <v>Exif.CanonCf.</v>
      </c>
      <c r="D64" s="5" t="str">
        <f>VLOOKUP(C64,PrefixUebersetzung,2,FALSE)</f>
        <v>Exif.CanonCf.</v>
      </c>
      <c r="E64" s="5" t="str">
        <f>MID(F64,FIND(".",F64,6)+1,99)</f>
        <v>MirrorLockup</v>
      </c>
      <c r="F64" s="5" t="s">
        <v>44</v>
      </c>
      <c r="G64" s="5" t="s">
        <v>9664</v>
      </c>
      <c r="H64" s="6" t="s">
        <v>2173</v>
      </c>
      <c r="I64" s="7" t="s">
        <v>3743</v>
      </c>
      <c r="J64" s="8" t="s">
        <v>3743</v>
      </c>
      <c r="K64" s="26"/>
      <c r="N64" s="6" t="str">
        <f>IF(AND(TRIM(I64)="",L64=""),"Suffix not translated ",
   IF(AND(TRIM(I64)&lt;&gt;"",TRIM(L64)&lt;&gt;"",TRIM(I64)&lt;&gt;TRIM(L64)),"Suffix translation &lt;&gt; lookup ", "" ))
&amp;IF(AND(TRIM(J64)="",M64=""),"Description not translated ",
   IF(AND(TRIM(J64)&lt;&gt;"",TRIM(M64)&lt;&gt;"",TRIM(J64)&lt;&gt;TRIM(M64)),"Description translation&lt;&gt; lookup ", "" ))</f>
        <v/>
      </c>
      <c r="O64" s="6" t="s">
        <v>8574</v>
      </c>
      <c r="P64" s="6" t="s">
        <v>8574</v>
      </c>
      <c r="Q64" s="6" t="s">
        <v>9422</v>
      </c>
    </row>
    <row r="65" spans="1:17" ht="30" x14ac:dyDescent="0.25">
      <c r="A65" s="5" t="str">
        <f>IF(TRIM(I65)="","",E65)</f>
        <v>NoiseReduction</v>
      </c>
      <c r="B65" s="5" t="str">
        <f>IF(TRIM(J65)="","",H65)</f>
        <v>Long exposure noise reduction</v>
      </c>
      <c r="C65" s="5" t="str">
        <f>LEFT(F65,FIND(".",F65,6))</f>
        <v>Exif.CanonCf.</v>
      </c>
      <c r="D65" s="5" t="str">
        <f>VLOOKUP(C65,PrefixUebersetzung,2,FALSE)</f>
        <v>Exif.CanonCf.</v>
      </c>
      <c r="E65" s="5" t="str">
        <f>MID(F65,FIND(".",F65,6)+1,99)</f>
        <v>NoiseReduction</v>
      </c>
      <c r="F65" s="5" t="s">
        <v>45</v>
      </c>
      <c r="G65" s="5" t="s">
        <v>9664</v>
      </c>
      <c r="H65" s="6" t="s">
        <v>2174</v>
      </c>
      <c r="I65" s="7" t="s">
        <v>3787</v>
      </c>
      <c r="J65" s="8" t="s">
        <v>3744</v>
      </c>
      <c r="K65" s="26"/>
      <c r="L65" s="6" t="str">
        <f>IFERROR(VLOOKUP(E65,A:I,9, FALSE),"")</f>
        <v xml:space="preserve">Rauschreduzierung </v>
      </c>
      <c r="M65" s="6" t="str">
        <f>IFERROR(VLOOKUP(H65,B:J,9,FALSE),"")</f>
        <v>Rauschreduzierung bei Langzeitbelichtung</v>
      </c>
      <c r="N65" s="6" t="str">
        <f>IF(AND(TRIM(I65)="",L65=""),"Suffix not translated ",
   IF(AND(TRIM(I65)&lt;&gt;"",TRIM(L65)&lt;&gt;"",TRIM(I65)&lt;&gt;TRIM(L65)),"Suffix translation &lt;&gt; lookup ", "" ))
&amp;IF(AND(TRIM(J65)="",M65=""),"Description not translated ",
   IF(AND(TRIM(J65)&lt;&gt;"",TRIM(M65)&lt;&gt;"",TRIM(J65)&lt;&gt;TRIM(M65)),"Description translation&lt;&gt; lookup ", "" ))</f>
        <v/>
      </c>
      <c r="O65" s="6" t="s">
        <v>8574</v>
      </c>
      <c r="P65" s="6" t="s">
        <v>8574</v>
      </c>
      <c r="Q65" s="6" t="s">
        <v>9403</v>
      </c>
    </row>
    <row r="66" spans="1:17" x14ac:dyDescent="0.25">
      <c r="A66" s="5" t="str">
        <f>IF(TRIM(I66)="","",E66)</f>
        <v>SensorCleaning</v>
      </c>
      <c r="B66" s="5" t="str">
        <f>IF(TRIM(J66)="","",H66)</f>
        <v>Sensor cleaning</v>
      </c>
      <c r="C66" s="5" t="str">
        <f>LEFT(F66,FIND(".",F66,6))</f>
        <v>Exif.CanonCf.</v>
      </c>
      <c r="D66" s="5" t="str">
        <f>VLOOKUP(C66,PrefixUebersetzung,2,FALSE)</f>
        <v>Exif.CanonCf.</v>
      </c>
      <c r="E66" s="5" t="str">
        <f>MID(F66,FIND(".",F66,6)+1,99)</f>
        <v>SensorCleaning</v>
      </c>
      <c r="F66" s="5" t="s">
        <v>46</v>
      </c>
      <c r="G66" s="5" t="s">
        <v>9664</v>
      </c>
      <c r="H66" s="6" t="s">
        <v>2175</v>
      </c>
      <c r="I66" s="7" t="s">
        <v>5141</v>
      </c>
      <c r="J66" s="8" t="s">
        <v>3745</v>
      </c>
      <c r="K66" s="26"/>
      <c r="N66" s="6" t="str">
        <f>IF(AND(TRIM(I66)="",L66=""),"Suffix not translated ",
   IF(AND(TRIM(I66)&lt;&gt;"",TRIM(L66)&lt;&gt;"",TRIM(I66)&lt;&gt;TRIM(L66)),"Suffix translation &lt;&gt; lookup ", "" ))
&amp;IF(AND(TRIM(J66)="",M66=""),"Description not translated ",
   IF(AND(TRIM(J66)&lt;&gt;"",TRIM(M66)&lt;&gt;"",TRIM(J66)&lt;&gt;TRIM(M66)),"Description translation&lt;&gt; lookup ", "" ))</f>
        <v/>
      </c>
      <c r="O66" s="6" t="s">
        <v>8574</v>
      </c>
      <c r="P66" s="6" t="s">
        <v>8574</v>
      </c>
      <c r="Q66" s="6" t="s">
        <v>9478</v>
      </c>
    </row>
    <row r="67" spans="1:17" x14ac:dyDescent="0.25">
      <c r="A67" s="5" t="str">
        <f>IF(TRIM(I67)="","",E67)</f>
        <v>SetButtonFunction</v>
      </c>
      <c r="B67" s="5" t="str">
        <f>IF(TRIM(J67)="","",H67)</f>
        <v>SET button func. when shooting</v>
      </c>
      <c r="C67" s="5" t="str">
        <f>LEFT(F67,FIND(".",F67,6))</f>
        <v>Exif.CanonCf.</v>
      </c>
      <c r="D67" s="5" t="str">
        <f>VLOOKUP(C67,PrefixUebersetzung,2,FALSE)</f>
        <v>Exif.CanonCf.</v>
      </c>
      <c r="E67" s="5" t="str">
        <f>MID(F67,FIND(".",F67,6)+1,99)</f>
        <v>SetButtonFunction</v>
      </c>
      <c r="F67" s="5" t="s">
        <v>47</v>
      </c>
      <c r="G67" s="5" t="s">
        <v>9664</v>
      </c>
      <c r="H67" s="6" t="s">
        <v>2176</v>
      </c>
      <c r="I67" s="7" t="s">
        <v>4196</v>
      </c>
      <c r="J67" s="8" t="s">
        <v>3746</v>
      </c>
      <c r="K67" s="26"/>
      <c r="N67" s="6" t="str">
        <f>IF(AND(TRIM(I67)="",L67=""),"Suffix not translated ",
   IF(AND(TRIM(I67)&lt;&gt;"",TRIM(L67)&lt;&gt;"",TRIM(I67)&lt;&gt;TRIM(L67)),"Suffix translation &lt;&gt; lookup ", "" ))
&amp;IF(AND(TRIM(J67)="",M67=""),"Description not translated ",
   IF(AND(TRIM(J67)&lt;&gt;"",TRIM(M67)&lt;&gt;"",TRIM(J67)&lt;&gt;TRIM(M67)),"Description translation&lt;&gt; lookup ", "" ))</f>
        <v/>
      </c>
      <c r="O67" s="6" t="s">
        <v>8574</v>
      </c>
      <c r="P67" s="6" t="s">
        <v>8574</v>
      </c>
    </row>
    <row r="68" spans="1:17" x14ac:dyDescent="0.25">
      <c r="A68" s="5" t="str">
        <f>IF(TRIM(I68)="","",E68)</f>
        <v>ShutterAeLock</v>
      </c>
      <c r="B68" s="5" t="str">
        <f>IF(TRIM(J68)="","",H68)</f>
        <v>Shutter/AE lock buttons</v>
      </c>
      <c r="C68" s="5" t="str">
        <f>LEFT(F68,FIND(".",F68,6))</f>
        <v>Exif.CanonCf.</v>
      </c>
      <c r="D68" s="5" t="str">
        <f>VLOOKUP(C68,PrefixUebersetzung,2,FALSE)</f>
        <v>Exif.CanonCf.</v>
      </c>
      <c r="E68" s="5" t="str">
        <f>MID(F68,FIND(".",F68,6)+1,99)</f>
        <v>ShutterAeLock</v>
      </c>
      <c r="F68" s="5" t="s">
        <v>48</v>
      </c>
      <c r="G68" s="5" t="s">
        <v>9664</v>
      </c>
      <c r="H68" s="6" t="s">
        <v>2177</v>
      </c>
      <c r="I68" s="7" t="s">
        <v>3747</v>
      </c>
      <c r="J68" s="8" t="s">
        <v>3747</v>
      </c>
      <c r="K68" s="26"/>
      <c r="N68" s="6" t="str">
        <f>IF(AND(TRIM(I68)="",L68=""),"Suffix not translated ",
   IF(AND(TRIM(I68)&lt;&gt;"",TRIM(L68)&lt;&gt;"",TRIM(I68)&lt;&gt;TRIM(L68)),"Suffix translation &lt;&gt; lookup ", "" ))
&amp;IF(AND(TRIM(J68)="",M68=""),"Description not translated ",
   IF(AND(TRIM(J68)&lt;&gt;"",TRIM(M68)&lt;&gt;"",TRIM(J68)&lt;&gt;TRIM(M68)),"Description translation&lt;&gt; lookup ", "" ))</f>
        <v/>
      </c>
      <c r="O68" s="6" t="s">
        <v>8574</v>
      </c>
      <c r="P68" s="6" t="s">
        <v>8574</v>
      </c>
      <c r="Q68" s="6" t="s">
        <v>9193</v>
      </c>
    </row>
    <row r="69" spans="1:17" x14ac:dyDescent="0.25">
      <c r="A69" s="5" t="str">
        <f>IF(TRIM(I69)="","",E69)</f>
        <v>ShutterCurtainSync</v>
      </c>
      <c r="B69" s="5" t="str">
        <f>IF(TRIM(J69)="","",H69)</f>
        <v>Shutter curtain sync</v>
      </c>
      <c r="C69" s="5" t="str">
        <f>LEFT(F69,FIND(".",F69,6))</f>
        <v>Exif.CanonCf.</v>
      </c>
      <c r="D69" s="5" t="str">
        <f>VLOOKUP(C69,PrefixUebersetzung,2,FALSE)</f>
        <v>Exif.CanonCf.</v>
      </c>
      <c r="E69" s="5" t="str">
        <f>MID(F69,FIND(".",F69,6)+1,99)</f>
        <v>ShutterCurtainSync</v>
      </c>
      <c r="F69" s="5" t="s">
        <v>49</v>
      </c>
      <c r="G69" s="5" t="s">
        <v>9664</v>
      </c>
      <c r="H69" s="6" t="s">
        <v>2178</v>
      </c>
      <c r="I69" s="7" t="s">
        <v>3748</v>
      </c>
      <c r="J69" s="8" t="s">
        <v>3748</v>
      </c>
      <c r="K69" s="26"/>
      <c r="N69" s="6" t="str">
        <f>IF(AND(TRIM(I69)="",L69=""),"Suffix not translated ",
   IF(AND(TRIM(I69)&lt;&gt;"",TRIM(L69)&lt;&gt;"",TRIM(I69)&lt;&gt;TRIM(L69)),"Suffix translation &lt;&gt; lookup ", "" ))
&amp;IF(AND(TRIM(J69)="",M69=""),"Description not translated ",
   IF(AND(TRIM(J69)&lt;&gt;"",TRIM(M69)&lt;&gt;"",TRIM(J69)&lt;&gt;TRIM(M69)),"Description translation&lt;&gt; lookup ", "" ))</f>
        <v/>
      </c>
      <c r="O69" s="6" t="s">
        <v>8574</v>
      </c>
      <c r="P69" s="6" t="s">
        <v>8574</v>
      </c>
      <c r="Q69" s="6" t="s">
        <v>9193</v>
      </c>
    </row>
    <row r="70" spans="1:17" x14ac:dyDescent="0.25">
      <c r="A70" s="5" t="str">
        <f>IF(TRIM(I70)="","",E70)</f>
        <v>ShutterReleaseNoCFCard</v>
      </c>
      <c r="B70" s="5" t="str">
        <f>IF(TRIM(J70)="","",H70)</f>
        <v>Shutter Release W/O CF Card</v>
      </c>
      <c r="C70" s="5" t="str">
        <f>LEFT(F70,FIND(".",F70,6))</f>
        <v>Exif.CanonCf.</v>
      </c>
      <c r="D70" s="5" t="str">
        <f>VLOOKUP(C70,PrefixUebersetzung,2,FALSE)</f>
        <v>Exif.CanonCf.</v>
      </c>
      <c r="E70" s="5" t="str">
        <f>MID(F70,FIND(".",F70,6)+1,99)</f>
        <v>ShutterReleaseNoCFCard</v>
      </c>
      <c r="F70" s="5" t="s">
        <v>50</v>
      </c>
      <c r="G70" s="5" t="s">
        <v>9664</v>
      </c>
      <c r="H70" s="6" t="s">
        <v>2179</v>
      </c>
      <c r="I70" s="7" t="s">
        <v>3749</v>
      </c>
      <c r="J70" s="8" t="s">
        <v>3749</v>
      </c>
      <c r="K70" s="26"/>
      <c r="N70" s="6" t="str">
        <f>IF(AND(TRIM(I70)="",L70=""),"Suffix not translated ",
   IF(AND(TRIM(I70)&lt;&gt;"",TRIM(L70)&lt;&gt;"",TRIM(I70)&lt;&gt;TRIM(L70)),"Suffix translation &lt;&gt; lookup ", "" ))
&amp;IF(AND(TRIM(J70)="",M70=""),"Description not translated ",
   IF(AND(TRIM(J70)&lt;&gt;"",TRIM(M70)&lt;&gt;"",TRIM(J70)&lt;&gt;TRIM(M70)),"Description translation&lt;&gt; lookup ", "" ))</f>
        <v/>
      </c>
      <c r="O70" s="6" t="s">
        <v>8574</v>
      </c>
      <c r="P70" s="6" t="s">
        <v>8574</v>
      </c>
    </row>
    <row r="71" spans="1:17" x14ac:dyDescent="0.25">
      <c r="A71" s="5" t="str">
        <f>IF(TRIM(I71)="","",E71)</f>
        <v>SuperimposedDisplay</v>
      </c>
      <c r="B71" s="5" t="str">
        <f>IF(TRIM(J71)="","",H71)</f>
        <v>Superimposed display</v>
      </c>
      <c r="C71" s="5" t="str">
        <f>LEFT(F71,FIND(".",F71,6))</f>
        <v>Exif.CanonCf.</v>
      </c>
      <c r="D71" s="5" t="str">
        <f>VLOOKUP(C71,PrefixUebersetzung,2,FALSE)</f>
        <v>Exif.CanonCf.</v>
      </c>
      <c r="E71" s="5" t="str">
        <f>MID(F71,FIND(".",F71,6)+1,99)</f>
        <v>SuperimposedDisplay</v>
      </c>
      <c r="F71" s="5" t="s">
        <v>51</v>
      </c>
      <c r="G71" s="5" t="s">
        <v>9664</v>
      </c>
      <c r="H71" s="6" t="s">
        <v>2180</v>
      </c>
      <c r="I71" s="7" t="s">
        <v>3750</v>
      </c>
      <c r="J71" s="8" t="s">
        <v>3750</v>
      </c>
      <c r="K71" s="26"/>
      <c r="N71" s="6" t="str">
        <f>IF(AND(TRIM(I71)="",L71=""),"Suffix not translated ",
   IF(AND(TRIM(I71)&lt;&gt;"",TRIM(L71)&lt;&gt;"",TRIM(I71)&lt;&gt;TRIM(L71)),"Suffix translation &lt;&gt; lookup ", "" ))
&amp;IF(AND(TRIM(J71)="",M71=""),"Description not translated ",
   IF(AND(TRIM(J71)&lt;&gt;"",TRIM(M71)&lt;&gt;"",TRIM(J71)&lt;&gt;TRIM(M71)),"Description translation&lt;&gt; lookup ", "" ))</f>
        <v/>
      </c>
      <c r="O71" s="6" t="s">
        <v>8574</v>
      </c>
      <c r="P71" s="6" t="s">
        <v>8574</v>
      </c>
      <c r="Q71" s="6" t="s">
        <v>9470</v>
      </c>
    </row>
    <row r="72" spans="1:17" x14ac:dyDescent="0.25">
      <c r="A72" s="5" t="str">
        <f>IF(TRIM(I72)="","",E72)</f>
        <v/>
      </c>
      <c r="B72" s="5" t="str">
        <f>IF(TRIM(J72)="","",H72)</f>
        <v/>
      </c>
      <c r="C72" s="5" t="str">
        <f>LEFT(F72,FIND(".",F72,6))</f>
        <v>Exif.CanonCs.</v>
      </c>
      <c r="D72" s="5" t="str">
        <f>VLOOKUP(C72,PrefixUebersetzung,2,FALSE)</f>
        <v>Exif.CanonCs.</v>
      </c>
      <c r="E72" s="5" t="str">
        <f>MID(F72,FIND(".",F72,6)+1,99)</f>
        <v>0x0006</v>
      </c>
      <c r="F72" s="5" t="s">
        <v>52</v>
      </c>
      <c r="G72" s="5" t="s">
        <v>9664</v>
      </c>
      <c r="H72" s="6" t="s">
        <v>2138</v>
      </c>
      <c r="I72" s="7"/>
      <c r="J72" s="8"/>
      <c r="K72" s="26"/>
      <c r="L72" s="6" t="str">
        <f>IFERROR(VLOOKUP(E72,A:I,9, FALSE),"")</f>
        <v/>
      </c>
      <c r="M72" s="6" t="str">
        <f>IFERROR(VLOOKUP(H72,B:J,9,FALSE),"")</f>
        <v>Unbekannt</v>
      </c>
      <c r="N72" s="6"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v>
      </c>
      <c r="O72" s="6" t="s">
        <v>8574</v>
      </c>
    </row>
    <row r="73" spans="1:17" x14ac:dyDescent="0.25">
      <c r="A73" s="5" t="str">
        <f>IF(TRIM(I73)="","",E73)</f>
        <v/>
      </c>
      <c r="B73" s="5" t="str">
        <f>IF(TRIM(J73)="","",H73)</f>
        <v/>
      </c>
      <c r="C73" s="5" t="str">
        <f>LEFT(F73,FIND(".",F73,6))</f>
        <v>Exif.CanonCs.</v>
      </c>
      <c r="D73" s="5" t="str">
        <f>VLOOKUP(C73,PrefixUebersetzung,2,FALSE)</f>
        <v>Exif.CanonCs.</v>
      </c>
      <c r="E73" s="5" t="str">
        <f>MID(F73,FIND(".",F73,6)+1,99)</f>
        <v>0x0008</v>
      </c>
      <c r="F73" s="5" t="s">
        <v>53</v>
      </c>
      <c r="G73" s="5" t="s">
        <v>9665</v>
      </c>
      <c r="H73" s="6" t="s">
        <v>2138</v>
      </c>
      <c r="I73" s="7"/>
      <c r="J73" s="8"/>
      <c r="K73" s="26"/>
      <c r="M73" s="6" t="str">
        <f>IFERROR(VLOOKUP(H73,B:J,9,FALSE),"")</f>
        <v>Unbekannt</v>
      </c>
      <c r="N73" s="6"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v>
      </c>
      <c r="O73" s="6" t="s">
        <v>8574</v>
      </c>
    </row>
    <row r="74" spans="1:17" x14ac:dyDescent="0.25">
      <c r="A74" s="5" t="str">
        <f>IF(TRIM(I74)="","",E74)</f>
        <v/>
      </c>
      <c r="B74" s="5" t="str">
        <f>IF(TRIM(J74)="","",H74)</f>
        <v/>
      </c>
      <c r="C74" s="5" t="str">
        <f>LEFT(F74,FIND(".",F74,6))</f>
        <v>Exif.CanonCs.</v>
      </c>
      <c r="D74" s="5" t="str">
        <f>VLOOKUP(C74,PrefixUebersetzung,2,FALSE)</f>
        <v>Exif.CanonCs.</v>
      </c>
      <c r="E74" s="5" t="str">
        <f>MID(F74,FIND(".",F74,6)+1,99)</f>
        <v>0x0009</v>
      </c>
      <c r="F74" s="5" t="s">
        <v>54</v>
      </c>
      <c r="G74" s="5" t="s">
        <v>9665</v>
      </c>
      <c r="H74" s="6" t="s">
        <v>2138</v>
      </c>
      <c r="I74" s="7"/>
      <c r="J74" s="8"/>
      <c r="K74" s="26"/>
      <c r="L74" s="6" t="str">
        <f>IFERROR(VLOOKUP(E74,A:I,9, FALSE),"")</f>
        <v/>
      </c>
      <c r="M74" s="6" t="str">
        <f>IFERROR(VLOOKUP(H74,B:J,9,FALSE),"")</f>
        <v>Unbekannt</v>
      </c>
      <c r="N74" s="6"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v>
      </c>
      <c r="O74" s="6" t="s">
        <v>8574</v>
      </c>
    </row>
    <row r="75" spans="1:17" x14ac:dyDescent="0.25">
      <c r="A75" s="5" t="str">
        <f>IF(TRIM(I75)="","",E75)</f>
        <v/>
      </c>
      <c r="B75" s="5" t="str">
        <f>IF(TRIM(J75)="","",H75)</f>
        <v/>
      </c>
      <c r="C75" s="5" t="str">
        <f>LEFT(F75,FIND(".",F75,6))</f>
        <v>Exif.CanonCs.</v>
      </c>
      <c r="D75" s="5" t="str">
        <f>VLOOKUP(C75,PrefixUebersetzung,2,FALSE)</f>
        <v>Exif.CanonCs.</v>
      </c>
      <c r="E75" s="5" t="str">
        <f>MID(F75,FIND(".",F75,6)+1,99)</f>
        <v>0x0015</v>
      </c>
      <c r="F75" s="5" t="s">
        <v>55</v>
      </c>
      <c r="G75" s="5" t="s">
        <v>9665</v>
      </c>
      <c r="H75" s="6" t="s">
        <v>2138</v>
      </c>
      <c r="I75" s="7"/>
      <c r="J75" s="8"/>
      <c r="K75" s="26"/>
      <c r="M75" s="6" t="str">
        <f>IFERROR(VLOOKUP(H75,B:J,9,FALSE),"")</f>
        <v>Unbekannt</v>
      </c>
      <c r="N75" s="6" t="str">
        <f>IF(AND(TRIM(I75)="",L75=""),"Suffix not translated ",
   IF(AND(TRIM(I75)&lt;&gt;"",TRIM(L75)&lt;&gt;"",TRIM(I75)&lt;&gt;TRIM(L75)),"Suffix translation &lt;&gt; lookup ", "" ))
&amp;IF(AND(TRIM(J75)="",M75=""),"Description not translated ",
   IF(AND(TRIM(J75)&lt;&gt;"",TRIM(M75)&lt;&gt;"",TRIM(J75)&lt;&gt;TRIM(M75)),"Description translation&lt;&gt; lookup ", "" ))</f>
        <v xml:space="preserve">Suffix not translated </v>
      </c>
      <c r="O75" s="6" t="s">
        <v>8574</v>
      </c>
    </row>
    <row r="76" spans="1:17" x14ac:dyDescent="0.25">
      <c r="A76" s="5" t="str">
        <f>IF(TRIM(I76)="","",E76)</f>
        <v/>
      </c>
      <c r="B76" s="5" t="str">
        <f>IF(TRIM(J76)="","",H76)</f>
        <v/>
      </c>
      <c r="C76" s="5" t="str">
        <f>LEFT(F76,FIND(".",F76,6))</f>
        <v>Exif.CanonCs.</v>
      </c>
      <c r="D76" s="5" t="str">
        <f>VLOOKUP(C76,PrefixUebersetzung,2,FALSE)</f>
        <v>Exif.CanonCs.</v>
      </c>
      <c r="E76" s="5" t="str">
        <f>MID(F76,FIND(".",F76,6)+1,99)</f>
        <v>0x001e</v>
      </c>
      <c r="F76" s="5" t="s">
        <v>56</v>
      </c>
      <c r="G76" s="5" t="s">
        <v>9665</v>
      </c>
      <c r="H76" s="6" t="s">
        <v>2138</v>
      </c>
      <c r="I76" s="7"/>
      <c r="J76" s="8"/>
      <c r="K76" s="26"/>
      <c r="M76" s="6" t="str">
        <f>IFERROR(VLOOKUP(H76,B:J,9,FALSE),"")</f>
        <v>Unbekannt</v>
      </c>
      <c r="N76" s="6" t="str">
        <f>IF(AND(TRIM(I76)="",L76=""),"Suffix not translated ",
   IF(AND(TRIM(I76)&lt;&gt;"",TRIM(L76)&lt;&gt;"",TRIM(I76)&lt;&gt;TRIM(L76)),"Suffix translation &lt;&gt; lookup ", "" ))
&amp;IF(AND(TRIM(J76)="",M76=""),"Description not translated ",
   IF(AND(TRIM(J76)&lt;&gt;"",TRIM(M76)&lt;&gt;"",TRIM(J76)&lt;&gt;TRIM(M76)),"Description translation&lt;&gt; lookup ", "" ))</f>
        <v xml:space="preserve">Suffix not translated </v>
      </c>
      <c r="O76" s="6" t="s">
        <v>8574</v>
      </c>
    </row>
    <row r="77" spans="1:17" x14ac:dyDescent="0.25">
      <c r="A77" s="5" t="str">
        <f>IF(TRIM(I77)="","",E77)</f>
        <v/>
      </c>
      <c r="B77" s="5" t="str">
        <f>IF(TRIM(J77)="","",H77)</f>
        <v/>
      </c>
      <c r="C77" s="5" t="str">
        <f>LEFT(F77,FIND(".",F77,6))</f>
        <v>Exif.CanonCs.</v>
      </c>
      <c r="D77" s="5" t="str">
        <f>VLOOKUP(C77,PrefixUebersetzung,2,FALSE)</f>
        <v>Exif.CanonCs.</v>
      </c>
      <c r="E77" s="5" t="str">
        <f>MID(F77,FIND(".",F77,6)+1,99)</f>
        <v>0x001f</v>
      </c>
      <c r="F77" s="5" t="s">
        <v>57</v>
      </c>
      <c r="G77" s="5" t="s">
        <v>9665</v>
      </c>
      <c r="H77" s="6" t="s">
        <v>2138</v>
      </c>
      <c r="I77" s="7"/>
      <c r="J77" s="8"/>
      <c r="K77" s="26"/>
      <c r="M77" s="6" t="str">
        <f>IFERROR(VLOOKUP(H77,B:J,9,FALSE),"")</f>
        <v>Unbekannt</v>
      </c>
      <c r="N77" s="6"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v>
      </c>
      <c r="O77" s="6" t="s">
        <v>8574</v>
      </c>
    </row>
    <row r="78" spans="1:17" x14ac:dyDescent="0.25">
      <c r="A78" s="5" t="str">
        <f>IF(TRIM(I78)="","",E78)</f>
        <v/>
      </c>
      <c r="B78" s="5" t="str">
        <f>IF(TRIM(J78)="","",H78)</f>
        <v/>
      </c>
      <c r="C78" s="5" t="str">
        <f>LEFT(F78,FIND(".",F78,6))</f>
        <v>Exif.CanonCs.</v>
      </c>
      <c r="D78" s="5" t="str">
        <f>VLOOKUP(C78,PrefixUebersetzung,2,FALSE)</f>
        <v>Exif.CanonCs.</v>
      </c>
      <c r="E78" s="5" t="str">
        <f>MID(F78,FIND(".",F78,6)+1,99)</f>
        <v>0x0026</v>
      </c>
      <c r="F78" s="5" t="s">
        <v>58</v>
      </c>
      <c r="G78" s="5" t="s">
        <v>9665</v>
      </c>
      <c r="H78" s="6" t="s">
        <v>2138</v>
      </c>
      <c r="I78" s="7"/>
      <c r="J78" s="8"/>
      <c r="K78" s="26"/>
      <c r="M78" s="6" t="str">
        <f>IFERROR(VLOOKUP(H78,B:J,9,FALSE),"")</f>
        <v>Unbekannt</v>
      </c>
      <c r="N78" s="6"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v>
      </c>
      <c r="O78" s="6" t="s">
        <v>8574</v>
      </c>
    </row>
    <row r="79" spans="1:17" ht="30" x14ac:dyDescent="0.25">
      <c r="A79" s="5" t="str">
        <f>IF(TRIM(I79)="","",E79)</f>
        <v>AESetting</v>
      </c>
      <c r="B79" s="5" t="str">
        <f>IF(TRIM(J79)="","",H79)</f>
        <v>AE setting</v>
      </c>
      <c r="C79" s="5" t="str">
        <f>LEFT(F79,FIND(".",F79,6))</f>
        <v>Exif.CanonCs.</v>
      </c>
      <c r="D79" s="5" t="str">
        <f>VLOOKUP(C79,PrefixUebersetzung,2,FALSE)</f>
        <v>Exif.CanonCs.</v>
      </c>
      <c r="E79" s="5" t="str">
        <f>MID(F79,FIND(".",F79,6)+1,99)</f>
        <v>AESetting</v>
      </c>
      <c r="F79" s="5" t="s">
        <v>59</v>
      </c>
      <c r="G79" s="5" t="s">
        <v>9665</v>
      </c>
      <c r="H79" s="6" t="s">
        <v>2181</v>
      </c>
      <c r="I79" s="7" t="s">
        <v>3751</v>
      </c>
      <c r="J79" s="8" t="s">
        <v>3751</v>
      </c>
      <c r="K79" s="26"/>
      <c r="N79" s="6" t="str">
        <f>IF(AND(TRIM(I79)="",L79=""),"Suffix not translated ",
   IF(AND(TRIM(I79)&lt;&gt;"",TRIM(L79)&lt;&gt;"",TRIM(I79)&lt;&gt;TRIM(L79)),"Suffix translation &lt;&gt; lookup ", "" ))
&amp;IF(AND(TRIM(J79)="",M79=""),"Description not translated ",
   IF(AND(TRIM(J79)&lt;&gt;"",TRIM(M79)&lt;&gt;"",TRIM(J79)&lt;&gt;TRIM(M79)),"Description translation&lt;&gt; lookup ", "" ))</f>
        <v/>
      </c>
      <c r="O79" s="6" t="s">
        <v>8574</v>
      </c>
      <c r="P79" s="6" t="s">
        <v>8574</v>
      </c>
      <c r="Q79" s="6" t="s">
        <v>9102</v>
      </c>
    </row>
    <row r="80" spans="1:17" x14ac:dyDescent="0.25">
      <c r="A80" s="5" t="str">
        <f>IF(TRIM(I80)="","",E80)</f>
        <v>AFPoint</v>
      </c>
      <c r="B80" s="5" t="str">
        <f>IF(TRIM(J80)="","",H80)</f>
        <v>AF point selected</v>
      </c>
      <c r="C80" s="5" t="str">
        <f>LEFT(F80,FIND(".",F80,6))</f>
        <v>Exif.CanonCs.</v>
      </c>
      <c r="D80" s="5" t="str">
        <f>VLOOKUP(C80,PrefixUebersetzung,2,FALSE)</f>
        <v>Exif.CanonCs.</v>
      </c>
      <c r="E80" s="5" t="str">
        <f>MID(F80,FIND(".",F80,6)+1,99)</f>
        <v>AFPoint</v>
      </c>
      <c r="F80" s="5" t="s">
        <v>60</v>
      </c>
      <c r="G80" s="5" t="s">
        <v>9665</v>
      </c>
      <c r="H80" s="6" t="s">
        <v>2182</v>
      </c>
      <c r="I80" s="7" t="s">
        <v>4891</v>
      </c>
      <c r="J80" s="8" t="s">
        <v>3752</v>
      </c>
      <c r="K80" s="26"/>
      <c r="L80" s="6" t="str">
        <f>IFERROR(VLOOKUP(E80,A:I,9, FALSE),"")</f>
        <v>AF Messfeld ausgewählt</v>
      </c>
      <c r="N80" s="6" t="str">
        <f>IF(AND(TRIM(I80)="",L80=""),"Suffix not translated ",
   IF(AND(TRIM(I80)&lt;&gt;"",TRIM(L80)&lt;&gt;"",TRIM(I80)&lt;&gt;TRIM(L80)),"Suffix translation &lt;&gt; lookup ", "" ))
&amp;IF(AND(TRIM(J80)="",M80=""),"Description not translated ",
   IF(AND(TRIM(J80)&lt;&gt;"",TRIM(M80)&lt;&gt;"",TRIM(J80)&lt;&gt;TRIM(M80)),"Description translation&lt;&gt; lookup ", "" ))</f>
        <v/>
      </c>
      <c r="O80" s="6" t="s">
        <v>8574</v>
      </c>
      <c r="P80" s="6" t="s">
        <v>8574</v>
      </c>
      <c r="Q80" s="6" t="s">
        <v>9121</v>
      </c>
    </row>
    <row r="81" spans="1:17" x14ac:dyDescent="0.25">
      <c r="A81" s="5" t="str">
        <f>IF(TRIM(I81)="","",E81)</f>
        <v>ColorTone</v>
      </c>
      <c r="B81" s="5" t="str">
        <f>IF(TRIM(J81)="","",H81)</f>
        <v>Color tone</v>
      </c>
      <c r="C81" s="5" t="str">
        <f>LEFT(F81,FIND(".",F81,6))</f>
        <v>Exif.CanonCs.</v>
      </c>
      <c r="D81" s="5" t="str">
        <f>VLOOKUP(C81,PrefixUebersetzung,2,FALSE)</f>
        <v>Exif.CanonCs.</v>
      </c>
      <c r="E81" s="5" t="str">
        <f>MID(F81,FIND(".",F81,6)+1,99)</f>
        <v>ColorTone</v>
      </c>
      <c r="F81" s="5" t="s">
        <v>61</v>
      </c>
      <c r="G81" s="5" t="s">
        <v>9665</v>
      </c>
      <c r="H81" s="6" t="s">
        <v>2183</v>
      </c>
      <c r="I81" s="7" t="s">
        <v>3753</v>
      </c>
      <c r="J81" s="8" t="s">
        <v>3753</v>
      </c>
      <c r="K81" s="26"/>
      <c r="N81" s="6" t="str">
        <f>IF(AND(TRIM(I81)="",L81=""),"Suffix not translated ",
   IF(AND(TRIM(I81)&lt;&gt;"",TRIM(L81)&lt;&gt;"",TRIM(I81)&lt;&gt;TRIM(L81)),"Suffix translation &lt;&gt; lookup ", "" ))
&amp;IF(AND(TRIM(J81)="",M81=""),"Description not translated ",
   IF(AND(TRIM(J81)&lt;&gt;"",TRIM(M81)&lt;&gt;"",TRIM(J81)&lt;&gt;TRIM(M81)),"Description translation&lt;&gt; lookup ", "" ))</f>
        <v/>
      </c>
      <c r="O81" s="6" t="s">
        <v>8574</v>
      </c>
      <c r="P81" s="6" t="s">
        <v>8574</v>
      </c>
      <c r="Q81" s="6" t="s">
        <v>3753</v>
      </c>
    </row>
    <row r="82" spans="1:17" x14ac:dyDescent="0.25">
      <c r="A82" s="5" t="str">
        <f>IF(TRIM(I82)="","",E82)</f>
        <v>Contrast</v>
      </c>
      <c r="B82" s="5" t="str">
        <f>IF(TRIM(J82)="","",H82)</f>
        <v>Contrast setting</v>
      </c>
      <c r="C82" s="5" t="str">
        <f>LEFT(F82,FIND(".",F82,6))</f>
        <v>Exif.CanonCs.</v>
      </c>
      <c r="D82" s="5" t="str">
        <f>VLOOKUP(C82,PrefixUebersetzung,2,FALSE)</f>
        <v>Exif.CanonCs.</v>
      </c>
      <c r="E82" s="5" t="str">
        <f>MID(F82,FIND(".",F82,6)+1,99)</f>
        <v>Contrast</v>
      </c>
      <c r="F82" s="5" t="s">
        <v>62</v>
      </c>
      <c r="G82" s="5" t="s">
        <v>9665</v>
      </c>
      <c r="H82" s="6" t="s">
        <v>2184</v>
      </c>
      <c r="I82" s="31" t="s">
        <v>3915</v>
      </c>
      <c r="J82" s="8" t="s">
        <v>4912</v>
      </c>
      <c r="K82" s="26"/>
      <c r="L82" s="6" t="str">
        <f>IFERROR(VLOOKUP(E82,A:I,9, FALSE),"")</f>
        <v>Kontrast</v>
      </c>
      <c r="M82" s="6" t="str">
        <f>IFERROR(VLOOKUP(H82,B:J,9,FALSE),"")</f>
        <v>Kontrasteinstellung</v>
      </c>
      <c r="N82" s="6" t="str">
        <f>IF(AND(TRIM(I82)="",L82=""),"Suffix not translated ",
   IF(AND(TRIM(I82)&lt;&gt;"",TRIM(L82)&lt;&gt;"",TRIM(I82)&lt;&gt;TRIM(L82)),"Suffix translation &lt;&gt; lookup ", "" ))
&amp;IF(AND(TRIM(J82)="",M82=""),"Description not translated ",
   IF(AND(TRIM(J82)&lt;&gt;"",TRIM(M82)&lt;&gt;"",TRIM(J82)&lt;&gt;TRIM(M82)),"Description translation&lt;&gt; lookup ", "" ))</f>
        <v/>
      </c>
      <c r="O82" s="6" t="s">
        <v>8574</v>
      </c>
      <c r="P82" s="6" t="s">
        <v>8574</v>
      </c>
      <c r="Q82" s="6" t="s">
        <v>9220</v>
      </c>
    </row>
    <row r="83" spans="1:17" x14ac:dyDescent="0.25">
      <c r="A83" s="5" t="str">
        <f>IF(TRIM(I83)="","",E83)</f>
        <v>DigitalZoom</v>
      </c>
      <c r="B83" s="5" t="str">
        <f>IF(TRIM(J83)="","",H83)</f>
        <v>Digital zoom</v>
      </c>
      <c r="C83" s="5" t="str">
        <f>LEFT(F83,FIND(".",F83,6))</f>
        <v>Exif.CanonCs.</v>
      </c>
      <c r="D83" s="5" t="str">
        <f>VLOOKUP(C83,PrefixUebersetzung,2,FALSE)</f>
        <v>Exif.CanonCs.</v>
      </c>
      <c r="E83" s="5" t="str">
        <f>MID(F83,FIND(".",F83,6)+1,99)</f>
        <v>DigitalZoom</v>
      </c>
      <c r="F83" s="5" t="s">
        <v>63</v>
      </c>
      <c r="G83" s="5" t="s">
        <v>9665</v>
      </c>
      <c r="H83" s="6" t="s">
        <v>2185</v>
      </c>
      <c r="I83" s="7" t="s">
        <v>3754</v>
      </c>
      <c r="J83" s="8" t="s">
        <v>3754</v>
      </c>
      <c r="K83" s="26"/>
      <c r="L83" s="6" t="str">
        <f>IFERROR(VLOOKUP(E83,A:I,9, FALSE),"")</f>
        <v>Digitaler Zoom</v>
      </c>
      <c r="M83" s="6" t="str">
        <f>IFERROR(VLOOKUP(H83,B:J,9,FALSE),"")</f>
        <v>Digitaler Zoom</v>
      </c>
      <c r="N83" s="6" t="str">
        <f>IF(AND(TRIM(I83)="",L83=""),"Suffix not translated ",
   IF(AND(TRIM(I83)&lt;&gt;"",TRIM(L83)&lt;&gt;"",TRIM(I83)&lt;&gt;TRIM(L83)),"Suffix translation &lt;&gt; lookup ", "" ))
&amp;IF(AND(TRIM(J83)="",M83=""),"Description not translated ",
   IF(AND(TRIM(J83)&lt;&gt;"",TRIM(M83)&lt;&gt;"",TRIM(J83)&lt;&gt;TRIM(M83)),"Description translation&lt;&gt; lookup ", "" ))</f>
        <v/>
      </c>
      <c r="O83" s="6" t="s">
        <v>8574</v>
      </c>
      <c r="P83" s="6" t="s">
        <v>8574</v>
      </c>
      <c r="Q83" s="6" t="s">
        <v>3754</v>
      </c>
    </row>
    <row r="84" spans="1:17" x14ac:dyDescent="0.25">
      <c r="A84" s="5" t="str">
        <f>IF(TRIM(I84)="","",E84)</f>
        <v>DisplayAperture</v>
      </c>
      <c r="B84" s="5" t="str">
        <f>IF(TRIM(J84)="","",H84)</f>
        <v>Display aperture</v>
      </c>
      <c r="C84" s="5" t="str">
        <f>LEFT(F84,FIND(".",F84,6))</f>
        <v>Exif.CanonCs.</v>
      </c>
      <c r="D84" s="5" t="str">
        <f>VLOOKUP(C84,PrefixUebersetzung,2,FALSE)</f>
        <v>Exif.CanonCs.</v>
      </c>
      <c r="E84" s="5" t="str">
        <f>MID(F84,FIND(".",F84,6)+1,99)</f>
        <v>DisplayAperture</v>
      </c>
      <c r="F84" s="5" t="s">
        <v>64</v>
      </c>
      <c r="G84" s="5" t="s">
        <v>9665</v>
      </c>
      <c r="H84" s="6" t="s">
        <v>2186</v>
      </c>
      <c r="I84" s="7" t="s">
        <v>3755</v>
      </c>
      <c r="J84" s="8" t="s">
        <v>3755</v>
      </c>
      <c r="K84" s="26"/>
      <c r="N84" s="6" t="str">
        <f>IF(AND(TRIM(I84)="",L84=""),"Suffix not translated ",
   IF(AND(TRIM(I84)&lt;&gt;"",TRIM(L84)&lt;&gt;"",TRIM(I84)&lt;&gt;TRIM(L84)),"Suffix translation &lt;&gt; lookup ", "" ))
&amp;IF(AND(TRIM(J84)="",M84=""),"Description not translated ",
   IF(AND(TRIM(J84)&lt;&gt;"",TRIM(M84)&lt;&gt;"",TRIM(J84)&lt;&gt;TRIM(M84)),"Description translation&lt;&gt; lookup ", "" ))</f>
        <v/>
      </c>
      <c r="O84" s="6" t="s">
        <v>8574</v>
      </c>
      <c r="P84" s="6" t="s">
        <v>8574</v>
      </c>
      <c r="Q84" s="6" t="s">
        <v>9252</v>
      </c>
    </row>
    <row r="85" spans="1:17" x14ac:dyDescent="0.25">
      <c r="A85" s="5" t="str">
        <f>IF(TRIM(I85)="","",E85)</f>
        <v>DriveMode</v>
      </c>
      <c r="B85" s="5" t="str">
        <f>IF(TRIM(J85)="","",H85)</f>
        <v>Drive mode setting</v>
      </c>
      <c r="C85" s="5" t="str">
        <f>LEFT(F85,FIND(".",F85,6))</f>
        <v>Exif.CanonCs.</v>
      </c>
      <c r="D85" s="5" t="str">
        <f>VLOOKUP(C85,PrefixUebersetzung,2,FALSE)</f>
        <v>Exif.CanonCs.</v>
      </c>
      <c r="E85" s="5" t="str">
        <f>MID(F85,FIND(".",F85,6)+1,99)</f>
        <v>DriveMode</v>
      </c>
      <c r="F85" s="5" t="s">
        <v>65</v>
      </c>
      <c r="G85" s="5" t="s">
        <v>9665</v>
      </c>
      <c r="H85" s="6" t="s">
        <v>2187</v>
      </c>
      <c r="I85" s="7" t="s">
        <v>5166</v>
      </c>
      <c r="J85" s="8" t="s">
        <v>3756</v>
      </c>
      <c r="K85" s="26"/>
      <c r="L85" s="6" t="str">
        <f>IFERROR(VLOOKUP(E85,A:I,9, FALSE),"")</f>
        <v>Betriebsart</v>
      </c>
      <c r="N85" s="6" t="str">
        <f>IF(AND(TRIM(I85)="",L85=""),"Suffix not translated ",
   IF(AND(TRIM(I85)&lt;&gt;"",TRIM(L85)&lt;&gt;"",TRIM(I85)&lt;&gt;TRIM(L85)),"Suffix translation &lt;&gt; lookup ", "" ))
&amp;IF(AND(TRIM(J85)="",M85=""),"Description not translated ",
   IF(AND(TRIM(J85)&lt;&gt;"",TRIM(M85)&lt;&gt;"",TRIM(J85)&lt;&gt;TRIM(M85)),"Description translation&lt;&gt; lookup ", "" ))</f>
        <v/>
      </c>
      <c r="O85" s="6" t="s">
        <v>8574</v>
      </c>
      <c r="P85" s="6" t="s">
        <v>8574</v>
      </c>
      <c r="Q85" s="6" t="s">
        <v>9256</v>
      </c>
    </row>
    <row r="86" spans="1:17" x14ac:dyDescent="0.25">
      <c r="A86" s="5" t="str">
        <f>IF(TRIM(I86)="","",E86)</f>
        <v>EasyMode</v>
      </c>
      <c r="B86" s="5" t="str">
        <f>IF(TRIM(J86)="","",H86)</f>
        <v>Easy shooting mode</v>
      </c>
      <c r="C86" s="5" t="str">
        <f>LEFT(F86,FIND(".",F86,6))</f>
        <v>Exif.CanonCs.</v>
      </c>
      <c r="D86" s="5" t="str">
        <f>VLOOKUP(C86,PrefixUebersetzung,2,FALSE)</f>
        <v>Exif.CanonCs.</v>
      </c>
      <c r="E86" s="5" t="str">
        <f>MID(F86,FIND(".",F86,6)+1,99)</f>
        <v>EasyMode</v>
      </c>
      <c r="F86" s="5" t="s">
        <v>66</v>
      </c>
      <c r="G86" s="5" t="s">
        <v>9665</v>
      </c>
      <c r="H86" s="6" t="s">
        <v>2188</v>
      </c>
      <c r="I86" s="7" t="s">
        <v>3757</v>
      </c>
      <c r="J86" s="8" t="s">
        <v>3757</v>
      </c>
      <c r="K86" s="26"/>
      <c r="N86" s="6" t="str">
        <f>IF(AND(TRIM(I86)="",L86=""),"Suffix not translated ",
   IF(AND(TRIM(I86)&lt;&gt;"",TRIM(L86)&lt;&gt;"",TRIM(I86)&lt;&gt;TRIM(L86)),"Suffix translation &lt;&gt; lookup ", "" ))
&amp;IF(AND(TRIM(J86)="",M86=""),"Description not translated ",
   IF(AND(TRIM(J86)&lt;&gt;"",TRIM(M86)&lt;&gt;"",TRIM(J86)&lt;&gt;TRIM(M86)),"Description translation&lt;&gt; lookup ", "" ))</f>
        <v/>
      </c>
      <c r="O86" s="6" t="s">
        <v>8574</v>
      </c>
      <c r="P86" s="6" t="s">
        <v>8574</v>
      </c>
      <c r="Q86" s="6" t="s">
        <v>9277</v>
      </c>
    </row>
    <row r="87" spans="1:17" x14ac:dyDescent="0.25">
      <c r="A87" s="5" t="str">
        <f>IF(TRIM(I87)="","",E87)</f>
        <v>ExposureProgram</v>
      </c>
      <c r="B87" s="5" t="str">
        <f>IF(TRIM(J87)="","",H87)</f>
        <v>Exposure mode setting</v>
      </c>
      <c r="C87" s="5" t="str">
        <f>LEFT(F87,FIND(".",F87,6))</f>
        <v>Exif.CanonCs.</v>
      </c>
      <c r="D87" s="5" t="str">
        <f>VLOOKUP(C87,PrefixUebersetzung,2,FALSE)</f>
        <v>Exif.CanonCs.</v>
      </c>
      <c r="E87" s="5" t="str">
        <f>MID(F87,FIND(".",F87,6)+1,99)</f>
        <v>ExposureProgram</v>
      </c>
      <c r="F87" s="5" t="s">
        <v>67</v>
      </c>
      <c r="G87" s="5" t="s">
        <v>9665</v>
      </c>
      <c r="H87" s="6" t="s">
        <v>2189</v>
      </c>
      <c r="I87" s="7" t="s">
        <v>4087</v>
      </c>
      <c r="J87" s="8" t="s">
        <v>3758</v>
      </c>
      <c r="K87" s="26"/>
      <c r="L87" s="6" t="str">
        <f>IFERROR(VLOOKUP(E87,A:I,9, FALSE),"")</f>
        <v>Belichtungsprogramm</v>
      </c>
      <c r="N87" s="6" t="str">
        <f>IF(AND(TRIM(I87)="",L87=""),"Suffix not translated ",
   IF(AND(TRIM(I87)&lt;&gt;"",TRIM(L87)&lt;&gt;"",TRIM(I87)&lt;&gt;TRIM(L87)),"Suffix translation &lt;&gt; lookup ", "" ))
&amp;IF(AND(TRIM(J87)="",M87=""),"Description not translated ",
   IF(AND(TRIM(J87)&lt;&gt;"",TRIM(M87)&lt;&gt;"",TRIM(J87)&lt;&gt;TRIM(M87)),"Description translation&lt;&gt; lookup ", "" ))</f>
        <v/>
      </c>
      <c r="O87" s="6" t="s">
        <v>8574</v>
      </c>
      <c r="P87" s="6" t="s">
        <v>8574</v>
      </c>
      <c r="Q87" s="6" t="s">
        <v>9285</v>
      </c>
    </row>
    <row r="88" spans="1:17" x14ac:dyDescent="0.25">
      <c r="A88" s="5" t="str">
        <f>IF(TRIM(I88)="","",E88)</f>
        <v>FlashActivity</v>
      </c>
      <c r="B88" s="5" t="str">
        <f>IF(TRIM(J88)="","",H88)</f>
        <v>Flash activity</v>
      </c>
      <c r="C88" s="5" t="str">
        <f>LEFT(F88,FIND(".",F88,6))</f>
        <v>Exif.CanonCs.</v>
      </c>
      <c r="D88" s="5" t="str">
        <f>VLOOKUP(C88,PrefixUebersetzung,2,FALSE)</f>
        <v>Exif.CanonCs.</v>
      </c>
      <c r="E88" s="5" t="str">
        <f>MID(F88,FIND(".",F88,6)+1,99)</f>
        <v>FlashActivity</v>
      </c>
      <c r="F88" s="5" t="s">
        <v>68</v>
      </c>
      <c r="G88" s="5" t="s">
        <v>9665</v>
      </c>
      <c r="H88" s="6" t="s">
        <v>2190</v>
      </c>
      <c r="I88" s="7" t="s">
        <v>4844</v>
      </c>
      <c r="J88" s="8" t="s">
        <v>3759</v>
      </c>
      <c r="K88" s="26"/>
      <c r="N88" s="6" t="str">
        <f>IF(AND(TRIM(I88)="",L88=""),"Suffix not translated ",
   IF(AND(TRIM(I88)&lt;&gt;"",TRIM(L88)&lt;&gt;"",TRIM(I88)&lt;&gt;TRIM(L88)),"Suffix translation &lt;&gt; lookup ", "" ))
&amp;IF(AND(TRIM(J88)="",M88=""),"Description not translated ",
   IF(AND(TRIM(J88)&lt;&gt;"",TRIM(M88)&lt;&gt;"",TRIM(J88)&lt;&gt;TRIM(M88)),"Description translation&lt;&gt; lookup ", "" ))</f>
        <v/>
      </c>
      <c r="O88" s="6" t="s">
        <v>8574</v>
      </c>
      <c r="P88" s="6" t="s">
        <v>8574</v>
      </c>
      <c r="Q88" s="6" t="s">
        <v>9304</v>
      </c>
    </row>
    <row r="89" spans="1:17" x14ac:dyDescent="0.25">
      <c r="A89" s="5" t="str">
        <f>IF(TRIM(I89)="","",E89)</f>
        <v>FlashDetails</v>
      </c>
      <c r="B89" s="5" t="str">
        <f>IF(TRIM(J89)="","",H89)</f>
        <v>Flash details</v>
      </c>
      <c r="C89" s="5" t="str">
        <f>LEFT(F89,FIND(".",F89,6))</f>
        <v>Exif.CanonCs.</v>
      </c>
      <c r="D89" s="5" t="str">
        <f>VLOOKUP(C89,PrefixUebersetzung,2,FALSE)</f>
        <v>Exif.CanonCs.</v>
      </c>
      <c r="E89" s="5" t="str">
        <f>MID(F89,FIND(".",F89,6)+1,99)</f>
        <v>FlashDetails</v>
      </c>
      <c r="F89" s="5" t="s">
        <v>69</v>
      </c>
      <c r="G89" s="5" t="s">
        <v>9665</v>
      </c>
      <c r="H89" s="6" t="s">
        <v>2191</v>
      </c>
      <c r="I89" s="7" t="s">
        <v>4845</v>
      </c>
      <c r="J89" s="8" t="s">
        <v>3760</v>
      </c>
      <c r="K89" s="26"/>
      <c r="N89" s="6" t="str">
        <f>IF(AND(TRIM(I89)="",L89=""),"Suffix not translated ",
   IF(AND(TRIM(I89)&lt;&gt;"",TRIM(L89)&lt;&gt;"",TRIM(I89)&lt;&gt;TRIM(L89)),"Suffix translation &lt;&gt; lookup ", "" ))
&amp;IF(AND(TRIM(J89)="",M89=""),"Description not translated ",
   IF(AND(TRIM(J89)&lt;&gt;"",TRIM(M89)&lt;&gt;"",TRIM(J89)&lt;&gt;TRIM(M89)),"Description translation&lt;&gt; lookup ", "" ))</f>
        <v/>
      </c>
      <c r="O89" s="6" t="s">
        <v>8574</v>
      </c>
      <c r="P89" s="6" t="s">
        <v>8574</v>
      </c>
      <c r="Q89" s="6" t="s">
        <v>4845</v>
      </c>
    </row>
    <row r="90" spans="1:17" x14ac:dyDescent="0.25">
      <c r="A90" s="5" t="str">
        <f>IF(TRIM(I90)="","",E90)</f>
        <v>FlashMode</v>
      </c>
      <c r="B90" s="5" t="str">
        <f>IF(TRIM(J90)="","",H90)</f>
        <v>Flash mode setting</v>
      </c>
      <c r="C90" s="5" t="str">
        <f>LEFT(F90,FIND(".",F90,6))</f>
        <v>Exif.CanonCs.</v>
      </c>
      <c r="D90" s="5" t="str">
        <f>VLOOKUP(C90,PrefixUebersetzung,2,FALSE)</f>
        <v>Exif.CanonCs.</v>
      </c>
      <c r="E90" s="5" t="str">
        <f>MID(F90,FIND(".",F90,6)+1,99)</f>
        <v>FlashMode</v>
      </c>
      <c r="F90" s="5" t="s">
        <v>70</v>
      </c>
      <c r="G90" s="5" t="s">
        <v>9665</v>
      </c>
      <c r="H90" s="6" t="s">
        <v>2192</v>
      </c>
      <c r="I90" s="7" t="s">
        <v>4317</v>
      </c>
      <c r="J90" s="8" t="s">
        <v>3761</v>
      </c>
      <c r="K90" s="26"/>
      <c r="L90" s="6" t="str">
        <f>IFERROR(VLOOKUP(E90,A:I,9, FALSE),"")</f>
        <v>Blitzmodus</v>
      </c>
      <c r="N90" s="6" t="str">
        <f>IF(AND(TRIM(I90)="",L90=""),"Suffix not translated ",
   IF(AND(TRIM(I90)&lt;&gt;"",TRIM(L90)&lt;&gt;"",TRIM(I90)&lt;&gt;TRIM(L90)),"Suffix translation &lt;&gt; lookup ", "" ))
&amp;IF(AND(TRIM(J90)="",M90=""),"Description not translated ",
   IF(AND(TRIM(J90)&lt;&gt;"",TRIM(M90)&lt;&gt;"",TRIM(J90)&lt;&gt;TRIM(M90)),"Description translation&lt;&gt; lookup ", "" ))</f>
        <v/>
      </c>
      <c r="O90" s="6" t="s">
        <v>8574</v>
      </c>
      <c r="P90" s="6" t="s">
        <v>8574</v>
      </c>
      <c r="Q90" s="6" t="s">
        <v>9318</v>
      </c>
    </row>
    <row r="91" spans="1:17" x14ac:dyDescent="0.25">
      <c r="A91" s="5" t="str">
        <f>IF(TRIM(I91)="","",E91)</f>
        <v>FocalUnits</v>
      </c>
      <c r="B91" s="5" t="str">
        <f>IF(TRIM(J91)="","",H91)</f>
        <v>Focal units</v>
      </c>
      <c r="C91" s="5" t="str">
        <f>LEFT(F91,FIND(".",F91,6))</f>
        <v>Exif.CanonCs.</v>
      </c>
      <c r="D91" s="5" t="str">
        <f>VLOOKUP(C91,PrefixUebersetzung,2,FALSE)</f>
        <v>Exif.CanonCs.</v>
      </c>
      <c r="E91" s="5" t="str">
        <f>MID(F91,FIND(".",F91,6)+1,99)</f>
        <v>FocalUnits</v>
      </c>
      <c r="F91" s="5" t="s">
        <v>71</v>
      </c>
      <c r="G91" s="5" t="s">
        <v>9665</v>
      </c>
      <c r="H91" s="6" t="s">
        <v>2193</v>
      </c>
      <c r="I91" s="7" t="s">
        <v>5123</v>
      </c>
      <c r="J91" s="8" t="s">
        <v>3762</v>
      </c>
      <c r="K91" s="26"/>
      <c r="N91" s="6" t="str">
        <f>IF(AND(TRIM(I91)="",L91=""),"Suffix not translated ",
   IF(AND(TRIM(I91)&lt;&gt;"",TRIM(L91)&lt;&gt;"",TRIM(I91)&lt;&gt;TRIM(L91)),"Suffix translation &lt;&gt; lookup ", "" ))
&amp;IF(AND(TRIM(J91)="",M91=""),"Description not translated ",
   IF(AND(TRIM(J91)&lt;&gt;"",TRIM(M91)&lt;&gt;"",TRIM(J91)&lt;&gt;TRIM(M91)),"Description translation&lt;&gt; lookup ", "" ))</f>
        <v/>
      </c>
      <c r="O91" s="6" t="s">
        <v>8574</v>
      </c>
      <c r="P91" s="6" t="s">
        <v>8574</v>
      </c>
      <c r="Q91" s="6" t="s">
        <v>3722</v>
      </c>
    </row>
    <row r="92" spans="1:17" ht="30" x14ac:dyDescent="0.25">
      <c r="A92" s="5" t="str">
        <f>IF(TRIM(I92)="","",E92)</f>
        <v>FocusContinuous</v>
      </c>
      <c r="B92" s="5" t="str">
        <f>IF(TRIM(J92)="","",H92)</f>
        <v>Focus continuous setting</v>
      </c>
      <c r="C92" s="5" t="str">
        <f>LEFT(F92,FIND(".",F92,6))</f>
        <v>Exif.CanonCs.</v>
      </c>
      <c r="D92" s="5" t="str">
        <f>VLOOKUP(C92,PrefixUebersetzung,2,FALSE)</f>
        <v>Exif.CanonCs.</v>
      </c>
      <c r="E92" s="5" t="str">
        <f>MID(F92,FIND(".",F92,6)+1,99)</f>
        <v>FocusContinuous</v>
      </c>
      <c r="F92" s="5" t="s">
        <v>72</v>
      </c>
      <c r="G92" s="5" t="s">
        <v>9665</v>
      </c>
      <c r="H92" s="6" t="s">
        <v>2194</v>
      </c>
      <c r="I92" s="7" t="s">
        <v>4197</v>
      </c>
      <c r="J92" s="8" t="s">
        <v>3763</v>
      </c>
      <c r="K92" s="26"/>
      <c r="N92" s="6" t="str">
        <f>IF(AND(TRIM(I92)="",L92=""),"Suffix not translated ",
   IF(AND(TRIM(I92)&lt;&gt;"",TRIM(L92)&lt;&gt;"",TRIM(I92)&lt;&gt;TRIM(L92)),"Suffix translation &lt;&gt; lookup ", "" ))
&amp;IF(AND(TRIM(J92)="",M92=""),"Description not translated ",
   IF(AND(TRIM(J92)&lt;&gt;"",TRIM(M92)&lt;&gt;"",TRIM(J92)&lt;&gt;TRIM(M92)),"Description translation&lt;&gt; lookup ", "" ))</f>
        <v/>
      </c>
      <c r="O92" s="6" t="s">
        <v>8574</v>
      </c>
      <c r="P92" s="6" t="s">
        <v>8574</v>
      </c>
      <c r="Q92" s="6" t="s">
        <v>9323</v>
      </c>
    </row>
    <row r="93" spans="1:17" x14ac:dyDescent="0.25">
      <c r="A93" s="5" t="str">
        <f>IF(TRIM(I93)="","",E93)</f>
        <v>FocusMode</v>
      </c>
      <c r="B93" s="5" t="str">
        <f>IF(TRIM(J93)="","",H93)</f>
        <v>Focus mode setting</v>
      </c>
      <c r="C93" s="5" t="str">
        <f>LEFT(F93,FIND(".",F93,6))</f>
        <v>Exif.CanonCs.</v>
      </c>
      <c r="D93" s="5" t="str">
        <f>VLOOKUP(C93,PrefixUebersetzung,2,FALSE)</f>
        <v>Exif.CanonCs.</v>
      </c>
      <c r="E93" s="5" t="str">
        <f>MID(F93,FIND(".",F93,6)+1,99)</f>
        <v>FocusMode</v>
      </c>
      <c r="F93" s="5" t="s">
        <v>73</v>
      </c>
      <c r="G93" s="5" t="s">
        <v>9665</v>
      </c>
      <c r="H93" s="6" t="s">
        <v>2195</v>
      </c>
      <c r="I93" s="7" t="s">
        <v>4319</v>
      </c>
      <c r="J93" s="8" t="s">
        <v>3764</v>
      </c>
      <c r="K93" s="26"/>
      <c r="L93" s="6" t="str">
        <f>IFERROR(VLOOKUP(E93,A:I,9, FALSE),"")</f>
        <v>Fokusmodus</v>
      </c>
      <c r="N93" s="6" t="str">
        <f>IF(AND(TRIM(I93)="",L93=""),"Suffix not translated ",
   IF(AND(TRIM(I93)&lt;&gt;"",TRIM(L93)&lt;&gt;"",TRIM(I93)&lt;&gt;TRIM(L93)),"Suffix translation &lt;&gt; lookup ", "" ))
&amp;IF(AND(TRIM(J93)="",M93=""),"Description not translated ",
   IF(AND(TRIM(J93)&lt;&gt;"",TRIM(M93)&lt;&gt;"",TRIM(J93)&lt;&gt;TRIM(M93)),"Description translation&lt;&gt; lookup ", "" ))</f>
        <v/>
      </c>
      <c r="O93" s="6" t="s">
        <v>8574</v>
      </c>
      <c r="P93" s="6" t="s">
        <v>8574</v>
      </c>
      <c r="Q93" s="6" t="s">
        <v>9320</v>
      </c>
    </row>
    <row r="94" spans="1:17" x14ac:dyDescent="0.25">
      <c r="A94" s="5" t="str">
        <f>IF(TRIM(I94)="","",E94)</f>
        <v>FocusType</v>
      </c>
      <c r="B94" s="5" t="str">
        <f>IF(TRIM(J94)="","",H94)</f>
        <v>Focus type setting</v>
      </c>
      <c r="C94" s="5" t="str">
        <f>LEFT(F94,FIND(".",F94,6))</f>
        <v>Exif.CanonCs.</v>
      </c>
      <c r="D94" s="5" t="str">
        <f>VLOOKUP(C94,PrefixUebersetzung,2,FALSE)</f>
        <v>Exif.CanonCs.</v>
      </c>
      <c r="E94" s="5" t="str">
        <f>MID(F94,FIND(".",F94,6)+1,99)</f>
        <v>FocusType</v>
      </c>
      <c r="F94" s="5" t="s">
        <v>74</v>
      </c>
      <c r="G94" s="5" t="s">
        <v>9665</v>
      </c>
      <c r="H94" s="6" t="s">
        <v>2196</v>
      </c>
      <c r="I94" s="7" t="s">
        <v>4846</v>
      </c>
      <c r="J94" s="8" t="s">
        <v>3765</v>
      </c>
      <c r="K94" s="26"/>
      <c r="N94" s="6" t="str">
        <f>IF(AND(TRIM(I94)="",L94=""),"Suffix not translated ",
   IF(AND(TRIM(I94)&lt;&gt;"",TRIM(L94)&lt;&gt;"",TRIM(I94)&lt;&gt;TRIM(L94)),"Suffix translation &lt;&gt; lookup ", "" ))
&amp;IF(AND(TRIM(J94)="",M94=""),"Description not translated ",
   IF(AND(TRIM(J94)&lt;&gt;"",TRIM(M94)&lt;&gt;"",TRIM(J94)&lt;&gt;TRIM(M94)),"Description translation&lt;&gt; lookup ", "" ))</f>
        <v/>
      </c>
      <c r="O94" s="6" t="s">
        <v>8574</v>
      </c>
      <c r="P94" s="6" t="s">
        <v>8574</v>
      </c>
      <c r="Q94" s="6" t="s">
        <v>9325</v>
      </c>
    </row>
    <row r="95" spans="1:17" x14ac:dyDescent="0.25">
      <c r="A95" s="5" t="str">
        <f>IF(TRIM(I95)="","",E95)</f>
        <v>ImageSize</v>
      </c>
      <c r="B95" s="5" t="str">
        <f>IF(TRIM(J95)="","",H95)</f>
        <v>Image size</v>
      </c>
      <c r="C95" s="5" t="str">
        <f>LEFT(F95,FIND(".",F95,6))</f>
        <v>Exif.CanonCs.</v>
      </c>
      <c r="D95" s="5" t="str">
        <f>VLOOKUP(C95,PrefixUebersetzung,2,FALSE)</f>
        <v>Exif.CanonCs.</v>
      </c>
      <c r="E95" s="5" t="str">
        <f>MID(F95,FIND(".",F95,6)+1,99)</f>
        <v>ImageSize</v>
      </c>
      <c r="F95" s="5" t="s">
        <v>75</v>
      </c>
      <c r="G95" s="5" t="s">
        <v>9665</v>
      </c>
      <c r="H95" s="6" t="s">
        <v>2197</v>
      </c>
      <c r="I95" s="7" t="s">
        <v>3766</v>
      </c>
      <c r="J95" s="8" t="s">
        <v>3766</v>
      </c>
      <c r="K95" s="26"/>
      <c r="L95" s="6" t="str">
        <f>IFERROR(VLOOKUP(E95,A:I,9, FALSE),"")</f>
        <v>Bildgröße</v>
      </c>
      <c r="M95" s="6" t="str">
        <f>IFERROR(VLOOKUP(H95,B:J,9,FALSE),"")</f>
        <v>Bildgröße</v>
      </c>
      <c r="N95" s="6" t="str">
        <f>IF(AND(TRIM(I95)="",L95=""),"Suffix not translated ",
   IF(AND(TRIM(I95)&lt;&gt;"",TRIM(L95)&lt;&gt;"",TRIM(I95)&lt;&gt;TRIM(L95)),"Suffix translation &lt;&gt; lookup ", "" ))
&amp;IF(AND(TRIM(J95)="",M95=""),"Description not translated ",
   IF(AND(TRIM(J95)&lt;&gt;"",TRIM(M95)&lt;&gt;"",TRIM(J95)&lt;&gt;TRIM(M95)),"Description translation&lt;&gt; lookup ", "" ))</f>
        <v/>
      </c>
      <c r="O95" s="6" t="s">
        <v>8574</v>
      </c>
      <c r="P95" s="6" t="s">
        <v>8574</v>
      </c>
      <c r="Q95" s="6" t="s">
        <v>9331</v>
      </c>
    </row>
    <row r="96" spans="1:17" x14ac:dyDescent="0.25">
      <c r="A96" s="5" t="str">
        <f>IF(TRIM(I96)="","",E96)</f>
        <v>ImageStabilization</v>
      </c>
      <c r="B96" s="5" t="str">
        <f>IF(TRIM(J96)="","",H96)</f>
        <v>Image stabilization</v>
      </c>
      <c r="C96" s="5" t="str">
        <f>LEFT(F96,FIND(".",F96,6))</f>
        <v>Exif.CanonCs.</v>
      </c>
      <c r="D96" s="5" t="str">
        <f>VLOOKUP(C96,PrefixUebersetzung,2,FALSE)</f>
        <v>Exif.CanonCs.</v>
      </c>
      <c r="E96" s="5" t="str">
        <f>MID(F96,FIND(".",F96,6)+1,99)</f>
        <v>ImageStabilization</v>
      </c>
      <c r="F96" s="5" t="s">
        <v>76</v>
      </c>
      <c r="G96" s="5" t="s">
        <v>9665</v>
      </c>
      <c r="H96" s="6" t="s">
        <v>2198</v>
      </c>
      <c r="I96" s="7" t="s">
        <v>3767</v>
      </c>
      <c r="J96" s="8" t="s">
        <v>3767</v>
      </c>
      <c r="K96" s="26"/>
      <c r="L96" s="6" t="str">
        <f>IFERROR(VLOOKUP(E96,A:I,9, FALSE),"")</f>
        <v>Bildstabilisierung</v>
      </c>
      <c r="M96" s="6" t="str">
        <f>IFERROR(VLOOKUP(H96,B:J,9,FALSE),"")</f>
        <v>Bildstabilisierung</v>
      </c>
      <c r="N96" s="6" t="str">
        <f>IF(AND(TRIM(I96)="",L96=""),"Suffix not translated ",
   IF(AND(TRIM(I96)&lt;&gt;"",TRIM(L96)&lt;&gt;"",TRIM(I96)&lt;&gt;TRIM(L96)),"Suffix translation &lt;&gt; lookup ", "" ))
&amp;IF(AND(TRIM(J96)="",M96=""),"Description not translated ",
   IF(AND(TRIM(J96)&lt;&gt;"",TRIM(M96)&lt;&gt;"",TRIM(J96)&lt;&gt;TRIM(M96)),"Description translation&lt;&gt; lookup ", "" ))</f>
        <v/>
      </c>
      <c r="O96" s="6" t="s">
        <v>8574</v>
      </c>
      <c r="P96" s="6" t="s">
        <v>8574</v>
      </c>
      <c r="Q96" s="6" t="s">
        <v>3767</v>
      </c>
    </row>
    <row r="97" spans="1:17" x14ac:dyDescent="0.25">
      <c r="A97" s="5" t="str">
        <f>IF(TRIM(I97)="","",E97)</f>
        <v>ISOSpeed</v>
      </c>
      <c r="B97" s="5" t="str">
        <f>IF(TRIM(J97)="","",H97)</f>
        <v>ISO speed setting</v>
      </c>
      <c r="C97" s="5" t="str">
        <f>LEFT(F97,FIND(".",F97,6))</f>
        <v>Exif.CanonCs.</v>
      </c>
      <c r="D97" s="5" t="str">
        <f>VLOOKUP(C97,PrefixUebersetzung,2,FALSE)</f>
        <v>Exif.CanonCs.</v>
      </c>
      <c r="E97" s="5" t="str">
        <f>MID(F97,FIND(".",F97,6)+1,99)</f>
        <v>ISOSpeed</v>
      </c>
      <c r="F97" s="5" t="s">
        <v>77</v>
      </c>
      <c r="G97" s="5" t="s">
        <v>9665</v>
      </c>
      <c r="H97" s="6" t="s">
        <v>2199</v>
      </c>
      <c r="I97" s="7" t="s">
        <v>3768</v>
      </c>
      <c r="J97" s="8" t="s">
        <v>3768</v>
      </c>
      <c r="K97" s="26"/>
      <c r="L97" s="6" t="str">
        <f>IFERROR(VLOOKUP(E97,A:I,9, FALSE),"")</f>
        <v>ISO-Empfindlichkeit</v>
      </c>
      <c r="M97" s="6" t="str">
        <f>IFERROR(VLOOKUP(H97,B:J,9,FALSE),"")</f>
        <v>ISO-Empfindlichkeit</v>
      </c>
      <c r="N97" s="6" t="str">
        <f>IF(AND(TRIM(I97)="",L97=""),"Suffix not translated ",
   IF(AND(TRIM(I97)&lt;&gt;"",TRIM(L97)&lt;&gt;"",TRIM(I97)&lt;&gt;TRIM(L97)),"Suffix translation &lt;&gt; lookup ", "" ))
&amp;IF(AND(TRIM(J97)="",M97=""),"Description not translated ",
   IF(AND(TRIM(J97)&lt;&gt;"",TRIM(M97)&lt;&gt;"",TRIM(J97)&lt;&gt;TRIM(M97)),"Description translation&lt;&gt; lookup ", "" ))</f>
        <v/>
      </c>
      <c r="O97" s="6" t="s">
        <v>8574</v>
      </c>
      <c r="P97" s="6" t="s">
        <v>8574</v>
      </c>
      <c r="Q97" s="6" t="s">
        <v>9350</v>
      </c>
    </row>
    <row r="98" spans="1:17" ht="30" x14ac:dyDescent="0.25">
      <c r="A98" s="5" t="str">
        <f>IF(TRIM(I98)="","",E98)</f>
        <v>Lens</v>
      </c>
      <c r="B98" s="5" t="str">
        <f>IF(TRIM(J98)="","",H98)</f>
        <v>'long' and 'short' focal length of lens (in 'focal units') and 'focal units' per mm</v>
      </c>
      <c r="C98" s="5" t="str">
        <f>LEFT(F98,FIND(".",F98,6))</f>
        <v>Exif.CanonCs.</v>
      </c>
      <c r="D98" s="5" t="str">
        <f>VLOOKUP(C98,PrefixUebersetzung,2,FALSE)</f>
        <v>Exif.CanonCs.</v>
      </c>
      <c r="E98" s="5" t="str">
        <f>MID(F98,FIND(".",F98,6)+1,99)</f>
        <v>Lens</v>
      </c>
      <c r="F98" s="5" t="s">
        <v>78</v>
      </c>
      <c r="G98" s="5" t="s">
        <v>9664</v>
      </c>
      <c r="H98" s="6" t="s">
        <v>2200</v>
      </c>
      <c r="I98" s="7" t="s">
        <v>3952</v>
      </c>
      <c r="J98" s="8" t="s">
        <v>3769</v>
      </c>
      <c r="K98" s="26"/>
      <c r="L98" s="6" t="str">
        <f>IFERROR(VLOOKUP(E98,A:I,9, FALSE),"")</f>
        <v>Objektiv</v>
      </c>
      <c r="N98" s="6" t="str">
        <f>IF(AND(TRIM(I98)="",L98=""),"Suffix not translated ",
   IF(AND(TRIM(I98)&lt;&gt;"",TRIM(L98)&lt;&gt;"",TRIM(I98)&lt;&gt;TRIM(L98)),"Suffix translation &lt;&gt; lookup ", "" ))
&amp;IF(AND(TRIM(J98)="",M98=""),"Description not translated ",
   IF(AND(TRIM(J98)&lt;&gt;"",TRIM(M98)&lt;&gt;"",TRIM(J98)&lt;&gt;TRIM(M98)),"Description translation&lt;&gt; lookup ", "" ))</f>
        <v/>
      </c>
      <c r="O98" s="6" t="s">
        <v>8574</v>
      </c>
      <c r="P98" s="6" t="s">
        <v>8574</v>
      </c>
    </row>
    <row r="99" spans="1:17" x14ac:dyDescent="0.25">
      <c r="A99" s="5" t="str">
        <f>IF(TRIM(I99)="","",E99)</f>
        <v>LensType</v>
      </c>
      <c r="B99" s="5" t="str">
        <f>IF(TRIM(J99)="","",H99)</f>
        <v>Lens type</v>
      </c>
      <c r="C99" s="5" t="str">
        <f>LEFT(F99,FIND(".",F99,6))</f>
        <v>Exif.CanonCs.</v>
      </c>
      <c r="D99" s="5" t="str">
        <f>VLOOKUP(C99,PrefixUebersetzung,2,FALSE)</f>
        <v>Exif.CanonCs.</v>
      </c>
      <c r="E99" s="5" t="str">
        <f>MID(F99,FIND(".",F99,6)+1,99)</f>
        <v>LensType</v>
      </c>
      <c r="F99" s="5" t="s">
        <v>79</v>
      </c>
      <c r="G99" s="5" t="s">
        <v>9665</v>
      </c>
      <c r="H99" s="6" t="s">
        <v>2201</v>
      </c>
      <c r="I99" s="7" t="s">
        <v>3770</v>
      </c>
      <c r="J99" s="8" t="s">
        <v>3770</v>
      </c>
      <c r="K99" s="26"/>
      <c r="L99" s="6" t="str">
        <f>IFERROR(VLOOKUP(E99,A:I,9, FALSE),"")</f>
        <v>Objektiv Typ</v>
      </c>
      <c r="M99" s="6" t="str">
        <f>IFERROR(VLOOKUP(H99,B:J,9,FALSE),"")</f>
        <v>Objektiv Typ</v>
      </c>
      <c r="N99" s="6" t="str">
        <f>IF(AND(TRIM(I99)="",L99=""),"Suffix not translated ",
   IF(AND(TRIM(I99)&lt;&gt;"",TRIM(L99)&lt;&gt;"",TRIM(I99)&lt;&gt;TRIM(L99)),"Suffix translation &lt;&gt; lookup ", "" ))
&amp;IF(AND(TRIM(J99)="",M99=""),"Description not translated ",
   IF(AND(TRIM(J99)&lt;&gt;"",TRIM(M99)&lt;&gt;"",TRIM(J99)&lt;&gt;TRIM(M99)),"Description translation&lt;&gt; lookup ", "" ))</f>
        <v/>
      </c>
      <c r="O99" s="6" t="s">
        <v>8574</v>
      </c>
      <c r="P99" s="6" t="s">
        <v>8574</v>
      </c>
      <c r="Q99" s="6" t="s">
        <v>9125</v>
      </c>
    </row>
    <row r="100" spans="1:17" x14ac:dyDescent="0.25">
      <c r="A100" s="5" t="str">
        <f>IF(TRIM(I100)="","",E100)</f>
        <v>Macro</v>
      </c>
      <c r="B100" s="5" t="str">
        <f>IF(TRIM(J100)="","",H100)</f>
        <v>Macro mode</v>
      </c>
      <c r="C100" s="5" t="str">
        <f>LEFT(F100,FIND(".",F100,6))</f>
        <v>Exif.CanonCs.</v>
      </c>
      <c r="D100" s="5" t="str">
        <f>VLOOKUP(C100,PrefixUebersetzung,2,FALSE)</f>
        <v>Exif.CanonCs.</v>
      </c>
      <c r="E100" s="5" t="str">
        <f>MID(F100,FIND(".",F100,6)+1,99)</f>
        <v>Macro</v>
      </c>
      <c r="F100" s="5" t="s">
        <v>80</v>
      </c>
      <c r="G100" s="5" t="s">
        <v>9665</v>
      </c>
      <c r="H100" s="6" t="s">
        <v>2202</v>
      </c>
      <c r="I100" s="7" t="s">
        <v>4198</v>
      </c>
      <c r="J100" s="8" t="s">
        <v>3771</v>
      </c>
      <c r="K100" s="26"/>
      <c r="L100" s="6" t="str">
        <f>IFERROR(VLOOKUP(E100,A:I,9, FALSE),"")</f>
        <v>Makro</v>
      </c>
      <c r="M100" s="6" t="str">
        <f>IFERROR(VLOOKUP(H100,B:J,9,FALSE),"")</f>
        <v>Makromodus</v>
      </c>
      <c r="N100" s="6" t="str">
        <f>IF(AND(TRIM(I100)="",L100=""),"Suffix not translated ",
   IF(AND(TRIM(I100)&lt;&gt;"",TRIM(L100)&lt;&gt;"",TRIM(I100)&lt;&gt;TRIM(L100)),"Suffix translation &lt;&gt; lookup ", "" ))
&amp;IF(AND(TRIM(J100)="",M100=""),"Description not translated ",
   IF(AND(TRIM(J100)&lt;&gt;"",TRIM(M100)&lt;&gt;"",TRIM(J100)&lt;&gt;TRIM(M100)),"Description translation&lt;&gt; lookup ", "" ))</f>
        <v/>
      </c>
      <c r="O100" s="6" t="s">
        <v>8574</v>
      </c>
      <c r="P100" s="6" t="s">
        <v>8574</v>
      </c>
      <c r="Q100" s="6" t="s">
        <v>3771</v>
      </c>
    </row>
    <row r="101" spans="1:17" x14ac:dyDescent="0.25">
      <c r="A101" s="5" t="str">
        <f>IF(TRIM(I101)="","",E101)</f>
        <v>ManualFlashOutput</v>
      </c>
      <c r="B101" s="5" t="str">
        <f>IF(TRIM(J101)="","",H101)</f>
        <v>Manual flash output</v>
      </c>
      <c r="C101" s="5" t="str">
        <f>LEFT(F101,FIND(".",F101,6))</f>
        <v>Exif.CanonCs.</v>
      </c>
      <c r="D101" s="5" t="str">
        <f>VLOOKUP(C101,PrefixUebersetzung,2,FALSE)</f>
        <v>Exif.CanonCs.</v>
      </c>
      <c r="E101" s="5" t="str">
        <f>MID(F101,FIND(".",F101,6)+1,99)</f>
        <v>ManualFlashOutput</v>
      </c>
      <c r="F101" s="5" t="s">
        <v>81</v>
      </c>
      <c r="G101" s="5" t="s">
        <v>9665</v>
      </c>
      <c r="H101" s="6" t="s">
        <v>2203</v>
      </c>
      <c r="I101" s="7" t="s">
        <v>4917</v>
      </c>
      <c r="J101" s="8" t="s">
        <v>3772</v>
      </c>
      <c r="K101" s="26"/>
      <c r="N101" s="6" t="str">
        <f>IF(AND(TRIM(I101)="",L101=""),"Suffix not translated ",
   IF(AND(TRIM(I101)&lt;&gt;"",TRIM(L101)&lt;&gt;"",TRIM(I101)&lt;&gt;TRIM(L101)),"Suffix translation &lt;&gt; lookup ", "" ))
&amp;IF(AND(TRIM(J101)="",M101=""),"Description not translated ",
   IF(AND(TRIM(J101)&lt;&gt;"",TRIM(M101)&lt;&gt;"",TRIM(J101)&lt;&gt;TRIM(M101)),"Description translation&lt;&gt; lookup ", "" ))</f>
        <v/>
      </c>
      <c r="O101" s="6" t="s">
        <v>8574</v>
      </c>
      <c r="P101" s="6" t="s">
        <v>8574</v>
      </c>
      <c r="Q101" s="6" t="s">
        <v>9411</v>
      </c>
    </row>
    <row r="102" spans="1:17" x14ac:dyDescent="0.25">
      <c r="A102" s="5" t="str">
        <f>IF(TRIM(I102)="","",E102)</f>
        <v>MaxAperture</v>
      </c>
      <c r="B102" s="5" t="str">
        <f>IF(TRIM(J102)="","",H102)</f>
        <v>Max aperture</v>
      </c>
      <c r="C102" s="5" t="str">
        <f>LEFT(F102,FIND(".",F102,6))</f>
        <v>Exif.CanonCs.</v>
      </c>
      <c r="D102" s="5" t="str">
        <f>VLOOKUP(C102,PrefixUebersetzung,2,FALSE)</f>
        <v>Exif.CanonCs.</v>
      </c>
      <c r="E102" s="5" t="str">
        <f>MID(F102,FIND(".",F102,6)+1,99)</f>
        <v>MaxAperture</v>
      </c>
      <c r="F102" s="5" t="s">
        <v>82</v>
      </c>
      <c r="G102" s="5" t="s">
        <v>9665</v>
      </c>
      <c r="H102" s="6" t="s">
        <v>2204</v>
      </c>
      <c r="I102" s="7" t="s">
        <v>4847</v>
      </c>
      <c r="J102" s="8" t="s">
        <v>3773</v>
      </c>
      <c r="K102" s="26"/>
      <c r="L102" s="6" t="str">
        <f>IFERROR(VLOOKUP(E102,A:I,9, FALSE),"")</f>
        <v>Blende maximal</v>
      </c>
      <c r="M102" s="6" t="str">
        <f>IFERROR(VLOOKUP(H102,B:J,9,FALSE),"")</f>
        <v>Maximale Blende</v>
      </c>
      <c r="N102" s="6" t="str">
        <f>IF(AND(TRIM(I102)="",L102=""),"Suffix not translated ",
   IF(AND(TRIM(I102)&lt;&gt;"",TRIM(L102)&lt;&gt;"",TRIM(I102)&lt;&gt;TRIM(L102)),"Suffix translation &lt;&gt; lookup ", "" ))
&amp;IF(AND(TRIM(J102)="",M102=""),"Description not translated ",
   IF(AND(TRIM(J102)&lt;&gt;"",TRIM(M102)&lt;&gt;"",TRIM(J102)&lt;&gt;TRIM(M102)),"Description translation&lt;&gt; lookup ", "" ))</f>
        <v/>
      </c>
      <c r="O102" s="6" t="s">
        <v>8574</v>
      </c>
      <c r="P102" s="6" t="s">
        <v>8574</v>
      </c>
      <c r="Q102" s="6" t="s">
        <v>3773</v>
      </c>
    </row>
    <row r="103" spans="1:17" ht="30" x14ac:dyDescent="0.25">
      <c r="A103" s="5" t="str">
        <f>IF(TRIM(I103)="","",E103)</f>
        <v>MeteringMode</v>
      </c>
      <c r="B103" s="5" t="str">
        <f>IF(TRIM(J103)="","",H103)</f>
        <v>Metering mode setting</v>
      </c>
      <c r="C103" s="5" t="str">
        <f>LEFT(F103,FIND(".",F103,6))</f>
        <v>Exif.CanonCs.</v>
      </c>
      <c r="D103" s="5" t="str">
        <f>VLOOKUP(C103,PrefixUebersetzung,2,FALSE)</f>
        <v>Exif.CanonCs.</v>
      </c>
      <c r="E103" s="5" t="str">
        <f>MID(F103,FIND(".",F103,6)+1,99)</f>
        <v>MeteringMode</v>
      </c>
      <c r="F103" s="5" t="s">
        <v>83</v>
      </c>
      <c r="G103" s="5" t="s">
        <v>9665</v>
      </c>
      <c r="H103" s="6" t="s">
        <v>2205</v>
      </c>
      <c r="I103" s="7" t="s">
        <v>3920</v>
      </c>
      <c r="J103" s="8" t="s">
        <v>3774</v>
      </c>
      <c r="K103" s="26"/>
      <c r="L103" s="6" t="str">
        <f>IFERROR(VLOOKUP(E103,A:I,9, FALSE),"")</f>
        <v>Messmethode</v>
      </c>
      <c r="N103" s="6" t="str">
        <f>IF(AND(TRIM(I103)="",L103=""),"Suffix not translated ",
   IF(AND(TRIM(I103)&lt;&gt;"",TRIM(L103)&lt;&gt;"",TRIM(I103)&lt;&gt;TRIM(L103)),"Suffix translation &lt;&gt; lookup ", "" ))
&amp;IF(AND(TRIM(J103)="",M103=""),"Description not translated ",
   IF(AND(TRIM(J103)&lt;&gt;"",TRIM(M103)&lt;&gt;"",TRIM(J103)&lt;&gt;TRIM(M103)),"Description translation&lt;&gt; lookup ", "" ))</f>
        <v/>
      </c>
      <c r="O103" s="6" t="s">
        <v>8574</v>
      </c>
      <c r="P103" s="6" t="s">
        <v>8574</v>
      </c>
      <c r="Q103" s="6" t="s">
        <v>9420</v>
      </c>
    </row>
    <row r="104" spans="1:17" x14ac:dyDescent="0.25">
      <c r="A104" s="5" t="str">
        <f>IF(TRIM(I104)="","",E104)</f>
        <v>MinAperture</v>
      </c>
      <c r="B104" s="5" t="str">
        <f>IF(TRIM(J104)="","",H104)</f>
        <v>Min aperture</v>
      </c>
      <c r="C104" s="5" t="str">
        <f>LEFT(F104,FIND(".",F104,6))</f>
        <v>Exif.CanonCs.</v>
      </c>
      <c r="D104" s="5" t="str">
        <f>VLOOKUP(C104,PrefixUebersetzung,2,FALSE)</f>
        <v>Exif.CanonCs.</v>
      </c>
      <c r="E104" s="5" t="str">
        <f>MID(F104,FIND(".",F104,6)+1,99)</f>
        <v>MinAperture</v>
      </c>
      <c r="F104" s="5" t="s">
        <v>84</v>
      </c>
      <c r="G104" s="5" t="s">
        <v>9665</v>
      </c>
      <c r="H104" s="6" t="s">
        <v>2206</v>
      </c>
      <c r="I104" s="7" t="s">
        <v>4848</v>
      </c>
      <c r="J104" s="8" t="s">
        <v>3775</v>
      </c>
      <c r="K104" s="26"/>
      <c r="N104" s="6" t="str">
        <f>IF(AND(TRIM(I104)="",L104=""),"Suffix not translated ",
   IF(AND(TRIM(I104)&lt;&gt;"",TRIM(L104)&lt;&gt;"",TRIM(I104)&lt;&gt;TRIM(L104)),"Suffix translation &lt;&gt; lookup ", "" ))
&amp;IF(AND(TRIM(J104)="",M104=""),"Description not translated ",
   IF(AND(TRIM(J104)&lt;&gt;"",TRIM(M104)&lt;&gt;"",TRIM(J104)&lt;&gt;TRIM(M104)),"Description translation&lt;&gt; lookup ", "" ))</f>
        <v/>
      </c>
      <c r="O104" s="6" t="s">
        <v>8574</v>
      </c>
      <c r="P104" s="6" t="s">
        <v>8574</v>
      </c>
      <c r="Q104" s="6" t="s">
        <v>3775</v>
      </c>
    </row>
    <row r="105" spans="1:17" x14ac:dyDescent="0.25">
      <c r="A105" s="5" t="str">
        <f>IF(TRIM(I105)="","",E105)</f>
        <v>PhotoEffect</v>
      </c>
      <c r="B105" s="5" t="str">
        <f>IF(TRIM(J105)="","",H105)</f>
        <v>Photo effect</v>
      </c>
      <c r="C105" s="5" t="str">
        <f>LEFT(F105,FIND(".",F105,6))</f>
        <v>Exif.CanonCs.</v>
      </c>
      <c r="D105" s="5" t="str">
        <f>VLOOKUP(C105,PrefixUebersetzung,2,FALSE)</f>
        <v>Exif.CanonCs.</v>
      </c>
      <c r="E105" s="5" t="str">
        <f>MID(F105,FIND(".",F105,6)+1,99)</f>
        <v>PhotoEffect</v>
      </c>
      <c r="F105" s="5" t="s">
        <v>85</v>
      </c>
      <c r="G105" s="5" t="s">
        <v>9665</v>
      </c>
      <c r="H105" s="6" t="s">
        <v>2207</v>
      </c>
      <c r="I105" s="7" t="s">
        <v>4849</v>
      </c>
      <c r="J105" s="8" t="s">
        <v>4184</v>
      </c>
      <c r="K105" s="26"/>
      <c r="N105" s="6" t="str">
        <f>IF(AND(TRIM(I105)="",L105=""),"Suffix not translated ",
   IF(AND(TRIM(I105)&lt;&gt;"",TRIM(L105)&lt;&gt;"",TRIM(I105)&lt;&gt;TRIM(L105)),"Suffix translation &lt;&gt; lookup ", "" ))
&amp;IF(AND(TRIM(J105)="",M105=""),"Description not translated ",
   IF(AND(TRIM(J105)&lt;&gt;"",TRIM(M105)&lt;&gt;"",TRIM(J105)&lt;&gt;TRIM(M105)),"Description translation&lt;&gt; lookup ", "" ))</f>
        <v/>
      </c>
      <c r="O105" s="6" t="s">
        <v>8574</v>
      </c>
      <c r="P105" s="6" t="s">
        <v>8574</v>
      </c>
      <c r="Q105" s="6" t="s">
        <v>4849</v>
      </c>
    </row>
    <row r="106" spans="1:17" x14ac:dyDescent="0.25">
      <c r="A106" s="5" t="str">
        <f>IF(TRIM(I106)="","",E106)</f>
        <v>Quality</v>
      </c>
      <c r="B106" s="5" t="str">
        <f>IF(TRIM(J106)="","",H106)</f>
        <v>Quality</v>
      </c>
      <c r="C106" s="5" t="str">
        <f>LEFT(F106,FIND(".",F106,6))</f>
        <v>Exif.CanonCs.</v>
      </c>
      <c r="D106" s="5" t="str">
        <f>VLOOKUP(C106,PrefixUebersetzung,2,FALSE)</f>
        <v>Exif.CanonCs.</v>
      </c>
      <c r="E106" s="5" t="str">
        <f>MID(F106,FIND(".",F106,6)+1,99)</f>
        <v>Quality</v>
      </c>
      <c r="F106" s="5" t="s">
        <v>86</v>
      </c>
      <c r="G106" s="5" t="s">
        <v>9665</v>
      </c>
      <c r="H106" s="6" t="s">
        <v>2208</v>
      </c>
      <c r="I106" s="7" t="s">
        <v>3776</v>
      </c>
      <c r="J106" s="8" t="s">
        <v>3776</v>
      </c>
      <c r="K106" s="26"/>
      <c r="L106" s="6" t="str">
        <f>IFERROR(VLOOKUP(E106,A:I,9, FALSE),"")</f>
        <v>Qualität</v>
      </c>
      <c r="M106" s="6" t="str">
        <f>IFERROR(VLOOKUP(H106,B:J,9,FALSE),"")</f>
        <v>Qualität</v>
      </c>
      <c r="N106" s="6" t="str">
        <f>IF(AND(TRIM(I106)="",L106=""),"Suffix not translated ",
   IF(AND(TRIM(I106)&lt;&gt;"",TRIM(L106)&lt;&gt;"",TRIM(I106)&lt;&gt;TRIM(L106)),"Suffix translation &lt;&gt; lookup ", "" ))
&amp;IF(AND(TRIM(J106)="",M106=""),"Description not translated ",
   IF(AND(TRIM(J106)&lt;&gt;"",TRIM(M106)&lt;&gt;"",TRIM(J106)&lt;&gt;TRIM(M106)),"Description translation&lt;&gt; lookup ", "" ))</f>
        <v/>
      </c>
      <c r="O106" s="6" t="s">
        <v>8574</v>
      </c>
      <c r="P106" s="6" t="s">
        <v>8574</v>
      </c>
      <c r="Q106" s="6" t="s">
        <v>9381</v>
      </c>
    </row>
    <row r="107" spans="1:17" x14ac:dyDescent="0.25">
      <c r="A107" s="5" t="str">
        <f>IF(TRIM(I107)="","",E107)</f>
        <v>Saturation</v>
      </c>
      <c r="B107" s="5" t="str">
        <f>IF(TRIM(J107)="","",H107)</f>
        <v>Saturation setting</v>
      </c>
      <c r="C107" s="5" t="str">
        <f>LEFT(F107,FIND(".",F107,6))</f>
        <v>Exif.CanonCs.</v>
      </c>
      <c r="D107" s="5" t="str">
        <f>VLOOKUP(C107,PrefixUebersetzung,2,FALSE)</f>
        <v>Exif.CanonCs.</v>
      </c>
      <c r="E107" s="5" t="str">
        <f>MID(F107,FIND(".",F107,6)+1,99)</f>
        <v>Saturation</v>
      </c>
      <c r="F107" s="5" t="s">
        <v>87</v>
      </c>
      <c r="G107" s="5" t="s">
        <v>9665</v>
      </c>
      <c r="H107" s="6" t="s">
        <v>2209</v>
      </c>
      <c r="I107" s="7" t="s">
        <v>3922</v>
      </c>
      <c r="J107" s="8" t="s">
        <v>3777</v>
      </c>
      <c r="K107" s="26"/>
      <c r="L107" s="6" t="str">
        <f>IFERROR(VLOOKUP(E107,A:I,9, FALSE),"")</f>
        <v>Sättigung</v>
      </c>
      <c r="M107" s="6" t="str">
        <f>IFERROR(VLOOKUP(H107,B:J,9,FALSE),"")</f>
        <v>Einstellung der Sättigung</v>
      </c>
      <c r="N107" s="6" t="str">
        <f>IF(AND(TRIM(I107)="",L107=""),"Suffix not translated ",
   IF(AND(TRIM(I107)&lt;&gt;"",TRIM(L107)&lt;&gt;"",TRIM(I107)&lt;&gt;TRIM(L107)),"Suffix translation &lt;&gt; lookup ", "" ))
&amp;IF(AND(TRIM(J107)="",M107=""),"Description not translated ",
   IF(AND(TRIM(J107)&lt;&gt;"",TRIM(M107)&lt;&gt;"",TRIM(J107)&lt;&gt;TRIM(M107)),"Description translation&lt;&gt; lookup ", "" ))</f>
        <v/>
      </c>
      <c r="O107" s="6" t="s">
        <v>8574</v>
      </c>
      <c r="P107" s="6" t="s">
        <v>8574</v>
      </c>
      <c r="Q107" s="6" t="s">
        <v>9474</v>
      </c>
    </row>
    <row r="108" spans="1:17" x14ac:dyDescent="0.25">
      <c r="A108" s="5" t="str">
        <f>IF(TRIM(I108)="","",E108)</f>
        <v>Selftimer</v>
      </c>
      <c r="B108" s="5" t="str">
        <f>IF(TRIM(J108)="","",H108)</f>
        <v>Self timer</v>
      </c>
      <c r="C108" s="5" t="str">
        <f>LEFT(F108,FIND(".",F108,6))</f>
        <v>Exif.CanonCs.</v>
      </c>
      <c r="D108" s="5" t="str">
        <f>VLOOKUP(C108,PrefixUebersetzung,2,FALSE)</f>
        <v>Exif.CanonCs.</v>
      </c>
      <c r="E108" s="5" t="str">
        <f>MID(F108,FIND(".",F108,6)+1,99)</f>
        <v>Selftimer</v>
      </c>
      <c r="F108" s="5" t="s">
        <v>88</v>
      </c>
      <c r="G108" s="5" t="s">
        <v>9665</v>
      </c>
      <c r="H108" s="6" t="s">
        <v>2210</v>
      </c>
      <c r="I108" s="7" t="s">
        <v>3778</v>
      </c>
      <c r="J108" s="8" t="s">
        <v>3778</v>
      </c>
      <c r="K108" s="26"/>
      <c r="L108" s="6" t="str">
        <f>IFERROR(VLOOKUP(E108,A:I,9, FALSE),"")</f>
        <v>Selbstauslöser</v>
      </c>
      <c r="M108" s="6" t="str">
        <f>IFERROR(VLOOKUP(H108,B:J,9,FALSE),"")</f>
        <v>Selbstauslöser</v>
      </c>
      <c r="N108" s="6" t="str">
        <f>IF(AND(TRIM(I108)="",L108=""),"Suffix not translated ",
   IF(AND(TRIM(I108)&lt;&gt;"",TRIM(L108)&lt;&gt;"",TRIM(I108)&lt;&gt;TRIM(L108)),"Suffix translation &lt;&gt; lookup ", "" ))
&amp;IF(AND(TRIM(J108)="",M108=""),"Description not translated ",
   IF(AND(TRIM(J108)&lt;&gt;"",TRIM(M108)&lt;&gt;"",TRIM(J108)&lt;&gt;TRIM(M108)),"Description translation&lt;&gt; lookup ", "" ))</f>
        <v/>
      </c>
      <c r="O108" s="6" t="s">
        <v>8574</v>
      </c>
      <c r="P108" s="6" t="s">
        <v>8574</v>
      </c>
      <c r="Q108" s="6" t="s">
        <v>9295</v>
      </c>
    </row>
    <row r="109" spans="1:17" x14ac:dyDescent="0.25">
      <c r="A109" s="5" t="str">
        <f>IF(TRIM(I109)="","",E109)</f>
        <v>Sharpness</v>
      </c>
      <c r="B109" s="5" t="str">
        <f>IF(TRIM(J109)="","",H109)</f>
        <v>Sharpness setting</v>
      </c>
      <c r="C109" s="5" t="str">
        <f>LEFT(F109,FIND(".",F109,6))</f>
        <v>Exif.CanonCs.</v>
      </c>
      <c r="D109" s="5" t="str">
        <f>VLOOKUP(C109,PrefixUebersetzung,2,FALSE)</f>
        <v>Exif.CanonCs.</v>
      </c>
      <c r="E109" s="5" t="str">
        <f>MID(F109,FIND(".",F109,6)+1,99)</f>
        <v>Sharpness</v>
      </c>
      <c r="F109" s="5" t="s">
        <v>89</v>
      </c>
      <c r="G109" s="5" t="s">
        <v>9665</v>
      </c>
      <c r="H109" s="6" t="s">
        <v>2211</v>
      </c>
      <c r="I109" s="7" t="s">
        <v>3804</v>
      </c>
      <c r="J109" s="8" t="s">
        <v>3779</v>
      </c>
      <c r="K109" s="26"/>
      <c r="L109" s="6" t="str">
        <f>IFERROR(VLOOKUP(E109,A:I,9, FALSE),"")</f>
        <v>Schärfe</v>
      </c>
      <c r="M109" s="6" t="str">
        <f>IFERROR(VLOOKUP(H109,B:J,9,FALSE),"")</f>
        <v>Einstellung der Schärfe</v>
      </c>
      <c r="N109" s="6" t="str">
        <f>IF(AND(TRIM(I109)="",L109=""),"Suffix not translated ",
   IF(AND(TRIM(I109)&lt;&gt;"",TRIM(L109)&lt;&gt;"",TRIM(I109)&lt;&gt;TRIM(L109)),"Suffix translation &lt;&gt; lookup ", "" ))
&amp;IF(AND(TRIM(J109)="",M109=""),"Description not translated ",
   IF(AND(TRIM(J109)&lt;&gt;"",TRIM(M109)&lt;&gt;"",TRIM(J109)&lt;&gt;TRIM(M109)),"Description translation&lt;&gt; lookup ", "" ))</f>
        <v/>
      </c>
      <c r="O109" s="6" t="s">
        <v>8574</v>
      </c>
      <c r="P109" s="6" t="s">
        <v>8574</v>
      </c>
      <c r="Q109" s="6" t="s">
        <v>9168</v>
      </c>
    </row>
    <row r="110" spans="1:17" x14ac:dyDescent="0.25">
      <c r="A110" s="5" t="str">
        <f>IF(TRIM(I110)="","",E110)</f>
        <v>ShortFocal</v>
      </c>
      <c r="B110" s="5" t="str">
        <f>IF(TRIM(J110)="","",H110)</f>
        <v>Short focal</v>
      </c>
      <c r="C110" s="5" t="str">
        <f>LEFT(F110,FIND(".",F110,6))</f>
        <v>Exif.CanonCs.</v>
      </c>
      <c r="D110" s="5" t="str">
        <f>VLOOKUP(C110,PrefixUebersetzung,2,FALSE)</f>
        <v>Exif.CanonCs.</v>
      </c>
      <c r="E110" s="5" t="str">
        <f>MID(F110,FIND(".",F110,6)+1,99)</f>
        <v>ShortFocal</v>
      </c>
      <c r="F110" s="5" t="s">
        <v>90</v>
      </c>
      <c r="G110" s="5" t="s">
        <v>9664</v>
      </c>
      <c r="H110" s="6" t="s">
        <v>2212</v>
      </c>
      <c r="I110" s="7" t="s">
        <v>4185</v>
      </c>
      <c r="J110" s="8" t="s">
        <v>6617</v>
      </c>
      <c r="K110" s="26"/>
      <c r="N110" s="6" t="str">
        <f>IF(AND(TRIM(I110)="",L110=""),"Suffix not translated ",
   IF(AND(TRIM(I110)&lt;&gt;"",TRIM(L110)&lt;&gt;"",TRIM(I110)&lt;&gt;TRIM(L110)),"Suffix translation &lt;&gt; lookup ", "" ))
&amp;IF(AND(TRIM(J110)="",M110=""),"Description not translated ",
   IF(AND(TRIM(J110)&lt;&gt;"",TRIM(M110)&lt;&gt;"",TRIM(J110)&lt;&gt;TRIM(M110)),"Description translation&lt;&gt; lookup ", "" ))</f>
        <v/>
      </c>
      <c r="O110" s="6" t="s">
        <v>8574</v>
      </c>
      <c r="P110" s="6" t="s">
        <v>8574</v>
      </c>
      <c r="Q110" s="6" t="s">
        <v>9485</v>
      </c>
    </row>
    <row r="111" spans="1:17" x14ac:dyDescent="0.25">
      <c r="A111" s="5" t="str">
        <f>IF(TRIM(I111)="","",E111)</f>
        <v>SpotMeteringMode</v>
      </c>
      <c r="B111" s="5" t="str">
        <f>IF(TRIM(J111)="","",H111)</f>
        <v>Spot metering mode</v>
      </c>
      <c r="C111" s="5" t="str">
        <f>LEFT(F111,FIND(".",F111,6))</f>
        <v>Exif.CanonCs.</v>
      </c>
      <c r="D111" s="5" t="str">
        <f>VLOOKUP(C111,PrefixUebersetzung,2,FALSE)</f>
        <v>Exif.CanonCs.</v>
      </c>
      <c r="E111" s="5" t="str">
        <f>MID(F111,FIND(".",F111,6)+1,99)</f>
        <v>SpotMeteringMode</v>
      </c>
      <c r="F111" s="5" t="s">
        <v>91</v>
      </c>
      <c r="G111" s="5" t="s">
        <v>9665</v>
      </c>
      <c r="H111" s="6" t="s">
        <v>2213</v>
      </c>
      <c r="I111" s="7" t="s">
        <v>3780</v>
      </c>
      <c r="J111" s="8" t="s">
        <v>3780</v>
      </c>
      <c r="K111" s="26"/>
      <c r="N111" s="6" t="str">
        <f>IF(AND(TRIM(I111)="",L111=""),"Suffix not translated ",
   IF(AND(TRIM(I111)&lt;&gt;"",TRIM(L111)&lt;&gt;"",TRIM(I111)&lt;&gt;TRIM(L111)),"Suffix translation &lt;&gt; lookup ", "" ))
&amp;IF(AND(TRIM(J111)="",M111=""),"Description not translated ",
   IF(AND(TRIM(J111)&lt;&gt;"",TRIM(M111)&lt;&gt;"",TRIM(J111)&lt;&gt;TRIM(M111)),"Description translation&lt;&gt; lookup ", "" ))</f>
        <v/>
      </c>
      <c r="O111" s="6" t="s">
        <v>8574</v>
      </c>
      <c r="P111" s="6" t="s">
        <v>8574</v>
      </c>
      <c r="Q111" s="6" t="s">
        <v>9496</v>
      </c>
    </row>
    <row r="112" spans="1:17" x14ac:dyDescent="0.25">
      <c r="A112" s="5" t="str">
        <f>IF(TRIM(I112)="","",E112)</f>
        <v>SRAWQuality</v>
      </c>
      <c r="B112" s="5" t="str">
        <f>IF(TRIM(J112)="","",H112)</f>
        <v>SRAW quality</v>
      </c>
      <c r="C112" s="5" t="str">
        <f>LEFT(F112,FIND(".",F112,6))</f>
        <v>Exif.CanonCs.</v>
      </c>
      <c r="D112" s="5" t="str">
        <f>VLOOKUP(C112,PrefixUebersetzung,2,FALSE)</f>
        <v>Exif.CanonCs.</v>
      </c>
      <c r="E112" s="5" t="str">
        <f>MID(F112,FIND(".",F112,6)+1,99)</f>
        <v>SRAWQuality</v>
      </c>
      <c r="F112" s="5" t="s">
        <v>92</v>
      </c>
      <c r="G112" s="5" t="s">
        <v>9665</v>
      </c>
      <c r="H112" s="6" t="s">
        <v>2214</v>
      </c>
      <c r="I112" s="7" t="s">
        <v>4186</v>
      </c>
      <c r="J112" s="8" t="s">
        <v>4186</v>
      </c>
      <c r="K112" s="26"/>
      <c r="N112" s="6" t="str">
        <f>IF(AND(TRIM(I112)="",L112=""),"Suffix not translated ",
   IF(AND(TRIM(I112)&lt;&gt;"",TRIM(L112)&lt;&gt;"",TRIM(I112)&lt;&gt;TRIM(L112)),"Suffix translation &lt;&gt; lookup ", "" ))
&amp;IF(AND(TRIM(J112)="",M112=""),"Description not translated ",
   IF(AND(TRIM(J112)&lt;&gt;"",TRIM(M112)&lt;&gt;"",TRIM(J112)&lt;&gt;TRIM(M112)),"Description translation&lt;&gt; lookup ", "" ))</f>
        <v/>
      </c>
      <c r="O112" s="6" t="s">
        <v>8574</v>
      </c>
      <c r="P112" s="6" t="s">
        <v>8574</v>
      </c>
      <c r="Q112" s="6" t="s">
        <v>9337</v>
      </c>
    </row>
    <row r="113" spans="1:17" x14ac:dyDescent="0.25">
      <c r="A113" s="5" t="str">
        <f>IF(TRIM(I113)="","",E113)</f>
        <v>ZoomSourceWidth</v>
      </c>
      <c r="B113" s="5" t="str">
        <f>IF(TRIM(J113)="","",H113)</f>
        <v>Zoom source width</v>
      </c>
      <c r="C113" s="5" t="str">
        <f>LEFT(F113,FIND(".",F113,6))</f>
        <v>Exif.CanonCs.</v>
      </c>
      <c r="D113" s="5" t="str">
        <f>VLOOKUP(C113,PrefixUebersetzung,2,FALSE)</f>
        <v>Exif.CanonCs.</v>
      </c>
      <c r="E113" s="5" t="str">
        <f>MID(F113,FIND(".",F113,6)+1,99)</f>
        <v>ZoomSourceWidth</v>
      </c>
      <c r="F113" s="5" t="s">
        <v>93</v>
      </c>
      <c r="G113" s="5" t="s">
        <v>9665</v>
      </c>
      <c r="H113" s="6" t="s">
        <v>2215</v>
      </c>
      <c r="I113" s="7" t="s">
        <v>4187</v>
      </c>
      <c r="J113" s="8" t="s">
        <v>4187</v>
      </c>
      <c r="K113" s="26"/>
      <c r="N113" s="6" t="str">
        <f>IF(AND(TRIM(I113)="",L113=""),"Suffix not translated ",
   IF(AND(TRIM(I113)&lt;&gt;"",TRIM(L113)&lt;&gt;"",TRIM(I113)&lt;&gt;TRIM(L113)),"Suffix translation &lt;&gt; lookup ", "" ))
&amp;IF(AND(TRIM(J113)="",M113=""),"Description not translated ",
   IF(AND(TRIM(J113)&lt;&gt;"",TRIM(M113)&lt;&gt;"",TRIM(J113)&lt;&gt;TRIM(M113)),"Description translation&lt;&gt; lookup ", "" ))</f>
        <v/>
      </c>
      <c r="O113" s="6" t="s">
        <v>8574</v>
      </c>
      <c r="P113" s="6" t="s">
        <v>8574</v>
      </c>
      <c r="Q113" s="6" t="s">
        <v>9569</v>
      </c>
    </row>
    <row r="114" spans="1:17" x14ac:dyDescent="0.25">
      <c r="A114" s="5" t="str">
        <f>IF(TRIM(I114)="","",E114)</f>
        <v>ZoomTargetWidth</v>
      </c>
      <c r="B114" s="5" t="str">
        <f>IF(TRIM(J114)="","",H114)</f>
        <v>Zoom target width</v>
      </c>
      <c r="C114" s="5" t="str">
        <f>LEFT(F114,FIND(".",F114,6))</f>
        <v>Exif.CanonCs.</v>
      </c>
      <c r="D114" s="5" t="str">
        <f>VLOOKUP(C114,PrefixUebersetzung,2,FALSE)</f>
        <v>Exif.CanonCs.</v>
      </c>
      <c r="E114" s="5" t="str">
        <f>MID(F114,FIND(".",F114,6)+1,99)</f>
        <v>ZoomTargetWidth</v>
      </c>
      <c r="F114" s="5" t="s">
        <v>94</v>
      </c>
      <c r="G114" s="5" t="s">
        <v>9665</v>
      </c>
      <c r="H114" s="6" t="s">
        <v>2216</v>
      </c>
      <c r="I114" s="7" t="s">
        <v>3781</v>
      </c>
      <c r="J114" s="8" t="s">
        <v>3781</v>
      </c>
      <c r="K114" s="26"/>
      <c r="N114" s="6" t="str">
        <f>IF(AND(TRIM(I114)="",L114=""),"Suffix not translated ",
   IF(AND(TRIM(I114)&lt;&gt;"",TRIM(L114)&lt;&gt;"",TRIM(I114)&lt;&gt;TRIM(L114)),"Suffix translation &lt;&gt; lookup ", "" ))
&amp;IF(AND(TRIM(J114)="",M114=""),"Description not translated ",
   IF(AND(TRIM(J114)&lt;&gt;"",TRIM(M114)&lt;&gt;"",TRIM(J114)&lt;&gt;TRIM(M114)),"Description translation&lt;&gt; lookup ", "" ))</f>
        <v/>
      </c>
      <c r="O114" s="6" t="s">
        <v>8574</v>
      </c>
      <c r="P114" s="6" t="s">
        <v>8574</v>
      </c>
      <c r="Q114" s="6" t="s">
        <v>9571</v>
      </c>
    </row>
    <row r="115" spans="1:17" x14ac:dyDescent="0.25">
      <c r="A115" s="5" t="str">
        <f>IF(TRIM(I115)="","",E115)</f>
        <v>BracketMode</v>
      </c>
      <c r="B115" s="5" t="str">
        <f>IF(TRIM(J115)="","",H115)</f>
        <v>Bracket Mode</v>
      </c>
      <c r="C115" s="5" t="str">
        <f>LEFT(F115,FIND(".",F115,6))</f>
        <v>Exif.CanonFi.</v>
      </c>
      <c r="D115" s="5" t="str">
        <f>VLOOKUP(C115,PrefixUebersetzung,2,FALSE)</f>
        <v>Exif.CanonFi.</v>
      </c>
      <c r="E115" s="5" t="str">
        <f>MID(F115,FIND(".",F115,6)+1,99)</f>
        <v>BracketMode</v>
      </c>
      <c r="F115" s="5" t="s">
        <v>95</v>
      </c>
      <c r="G115" s="5" t="s">
        <v>9665</v>
      </c>
      <c r="H115" s="6" t="s">
        <v>2217</v>
      </c>
      <c r="I115" s="7" t="s">
        <v>4850</v>
      </c>
      <c r="J115" s="8" t="s">
        <v>3782</v>
      </c>
      <c r="K115" s="26"/>
      <c r="N115" s="6" t="str">
        <f>IF(AND(TRIM(I115)="",L115=""),"Suffix not translated ",
   IF(AND(TRIM(I115)&lt;&gt;"",TRIM(L115)&lt;&gt;"",TRIM(I115)&lt;&gt;TRIM(L115)),"Suffix translation &lt;&gt; lookup ", "" ))
&amp;IF(AND(TRIM(J115)="",M115=""),"Description not translated ",
   IF(AND(TRIM(J115)&lt;&gt;"",TRIM(M115)&lt;&gt;"",TRIM(J115)&lt;&gt;TRIM(M115)),"Description translation&lt;&gt; lookup ", "" ))</f>
        <v/>
      </c>
      <c r="O115" s="6" t="s">
        <v>8574</v>
      </c>
      <c r="P115" s="6" t="s">
        <v>8574</v>
      </c>
      <c r="Q115" s="6" t="s">
        <v>9154</v>
      </c>
    </row>
    <row r="116" spans="1:17" x14ac:dyDescent="0.25">
      <c r="A116" s="5" t="str">
        <f>IF(TRIM(I116)="","",E116)</f>
        <v>BracketShotNumber</v>
      </c>
      <c r="B116" s="5" t="str">
        <f>IF(TRIM(J116)="","",H116)</f>
        <v>Bracket Shot Number</v>
      </c>
      <c r="C116" s="5" t="str">
        <f>LEFT(F116,FIND(".",F116,6))</f>
        <v>Exif.CanonFi.</v>
      </c>
      <c r="D116" s="5" t="str">
        <f>VLOOKUP(C116,PrefixUebersetzung,2,FALSE)</f>
        <v>Exif.CanonFi.</v>
      </c>
      <c r="E116" s="5" t="str">
        <f>MID(F116,FIND(".",F116,6)+1,99)</f>
        <v>BracketShotNumber</v>
      </c>
      <c r="F116" s="5" t="s">
        <v>96</v>
      </c>
      <c r="G116" s="5" t="s">
        <v>9665</v>
      </c>
      <c r="H116" s="6" t="s">
        <v>2218</v>
      </c>
      <c r="I116" s="7" t="s">
        <v>5050</v>
      </c>
      <c r="J116" s="8" t="s">
        <v>3783</v>
      </c>
      <c r="K116" s="26"/>
      <c r="N116" s="6" t="str">
        <f>IF(AND(TRIM(I116)="",L116=""),"Suffix not translated ",
   IF(AND(TRIM(I116)&lt;&gt;"",TRIM(L116)&lt;&gt;"",TRIM(I116)&lt;&gt;TRIM(L116)),"Suffix translation &lt;&gt; lookup ", "" ))
&amp;IF(AND(TRIM(J116)="",M116=""),"Description not translated ",
   IF(AND(TRIM(J116)&lt;&gt;"",TRIM(M116)&lt;&gt;"",TRIM(J116)&lt;&gt;TRIM(M116)),"Description translation&lt;&gt; lookup ", "" ))</f>
        <v/>
      </c>
      <c r="O116" s="6" t="s">
        <v>8574</v>
      </c>
      <c r="P116" s="6" t="s">
        <v>8574</v>
      </c>
      <c r="Q116" s="6" t="s">
        <v>9154</v>
      </c>
    </row>
    <row r="117" spans="1:17" x14ac:dyDescent="0.25">
      <c r="A117" s="5" t="str">
        <f>IF(TRIM(I117)="","",E117)</f>
        <v>BracketValue</v>
      </c>
      <c r="B117" s="5" t="str">
        <f>IF(TRIM(J117)="","",H117)</f>
        <v>Bracket Value</v>
      </c>
      <c r="C117" s="5" t="str">
        <f>LEFT(F117,FIND(".",F117,6))</f>
        <v>Exif.CanonFi.</v>
      </c>
      <c r="D117" s="5" t="str">
        <f>VLOOKUP(C117,PrefixUebersetzung,2,FALSE)</f>
        <v>Exif.CanonFi.</v>
      </c>
      <c r="E117" s="5" t="str">
        <f>MID(F117,FIND(".",F117,6)+1,99)</f>
        <v>BracketValue</v>
      </c>
      <c r="F117" s="5" t="s">
        <v>97</v>
      </c>
      <c r="G117" s="5" t="s">
        <v>9665</v>
      </c>
      <c r="H117" s="6" t="s">
        <v>2219</v>
      </c>
      <c r="I117" s="7" t="s">
        <v>4851</v>
      </c>
      <c r="J117" s="8" t="s">
        <v>3784</v>
      </c>
      <c r="K117" s="26"/>
      <c r="N117" s="6" t="str">
        <f>IF(AND(TRIM(I117)="",L117=""),"Suffix not translated ",
   IF(AND(TRIM(I117)&lt;&gt;"",TRIM(L117)&lt;&gt;"",TRIM(I117)&lt;&gt;TRIM(L117)),"Suffix translation &lt;&gt; lookup ", "" ))
&amp;IF(AND(TRIM(J117)="",M117=""),"Description not translated ",
   IF(AND(TRIM(J117)&lt;&gt;"",TRIM(M117)&lt;&gt;"",TRIM(J117)&lt;&gt;TRIM(M117)),"Description translation&lt;&gt; lookup ", "" ))</f>
        <v/>
      </c>
      <c r="O117" s="6" t="s">
        <v>8574</v>
      </c>
      <c r="P117" s="6" t="s">
        <v>8574</v>
      </c>
      <c r="Q117" s="6" t="s">
        <v>9154</v>
      </c>
    </row>
    <row r="118" spans="1:17" x14ac:dyDescent="0.25">
      <c r="A118" s="5" t="str">
        <f>IF(TRIM(I118)="","",E118)</f>
        <v/>
      </c>
      <c r="B118" s="5" t="str">
        <f>IF(TRIM(J118)="","",H118)</f>
        <v/>
      </c>
      <c r="C118" s="5" t="str">
        <f>LEFT(F118,FIND(".",F118,6))</f>
        <v>Exif.CanonFi.</v>
      </c>
      <c r="D118" s="5" t="str">
        <f>VLOOKUP(C118,PrefixUebersetzung,2,FALSE)</f>
        <v>Exif.CanonFi.</v>
      </c>
      <c r="E118" s="5" t="str">
        <f>MID(F118,FIND(".",F118,6)+1,99)</f>
        <v>FileNumber</v>
      </c>
      <c r="F118" s="5" t="s">
        <v>98</v>
      </c>
      <c r="G118" s="5" t="s">
        <v>9667</v>
      </c>
      <c r="H118" s="6" t="s">
        <v>2220</v>
      </c>
      <c r="I118" s="7"/>
      <c r="J118" s="8"/>
      <c r="K118" s="26"/>
      <c r="L118" s="6" t="str">
        <f>IFERROR(VLOOKUP(E118,A:I,9, FALSE),"")</f>
        <v>Dateinummer</v>
      </c>
      <c r="M118" s="6" t="str">
        <f>IFERROR(VLOOKUP(H118,B:J,9,FALSE),"")</f>
        <v>Dateinummer</v>
      </c>
      <c r="N118" s="6" t="str">
        <f>IF(AND(TRIM(I118)="",L118=""),"Suffix not translated ",
   IF(AND(TRIM(I118)&lt;&gt;"",TRIM(L118)&lt;&gt;"",TRIM(I118)&lt;&gt;TRIM(L118)),"Suffix translation &lt;&gt; lookup ", "" ))
&amp;IF(AND(TRIM(J118)="",M118=""),"Description not translated ",
   IF(AND(TRIM(J118)&lt;&gt;"",TRIM(M118)&lt;&gt;"",TRIM(J118)&lt;&gt;TRIM(M118)),"Description translation&lt;&gt; lookup ", "" ))</f>
        <v/>
      </c>
    </row>
    <row r="119" spans="1:17" x14ac:dyDescent="0.25">
      <c r="A119" s="5" t="str">
        <f>IF(TRIM(I119)="","",E119)</f>
        <v>FilterEffect</v>
      </c>
      <c r="B119" s="5" t="str">
        <f>IF(TRIM(J119)="","",H119)</f>
        <v>Filter Effect</v>
      </c>
      <c r="C119" s="5" t="str">
        <f>LEFT(F119,FIND(".",F119,6))</f>
        <v>Exif.CanonFi.</v>
      </c>
      <c r="D119" s="5" t="str">
        <f>VLOOKUP(C119,PrefixUebersetzung,2,FALSE)</f>
        <v>Exif.CanonFi.</v>
      </c>
      <c r="E119" s="5" t="str">
        <f>MID(F119,FIND(".",F119,6)+1,99)</f>
        <v>FilterEffect</v>
      </c>
      <c r="F119" s="5" t="s">
        <v>99</v>
      </c>
      <c r="G119" s="5" t="s">
        <v>9665</v>
      </c>
      <c r="H119" s="6" t="s">
        <v>2221</v>
      </c>
      <c r="I119" s="7" t="s">
        <v>4852</v>
      </c>
      <c r="J119" s="14" t="s">
        <v>4852</v>
      </c>
      <c r="K119" s="26"/>
      <c r="L119" s="6" t="str">
        <f>IFERROR(VLOOKUP(E119,A:I,9, FALSE),"")</f>
        <v>Filtereffekt</v>
      </c>
      <c r="M119" s="6" t="str">
        <f>IFERROR(VLOOKUP(H119,B:J,9,FALSE),"")</f>
        <v>Filtereffekt</v>
      </c>
      <c r="N119" s="6" t="str">
        <f>IF(AND(TRIM(I119)="",L119=""),"Suffix not translated ",
   IF(AND(TRIM(I119)&lt;&gt;"",TRIM(L119)&lt;&gt;"",TRIM(I119)&lt;&gt;TRIM(L119)),"Suffix translation &lt;&gt; lookup ", "" ))
&amp;IF(AND(TRIM(J119)="",M119=""),"Description not translated ",
   IF(AND(TRIM(J119)&lt;&gt;"",TRIM(M119)&lt;&gt;"",TRIM(J119)&lt;&gt;TRIM(M119)),"Description translation&lt;&gt; lookup ", "" ))</f>
        <v/>
      </c>
      <c r="O119" s="6" t="s">
        <v>8574</v>
      </c>
      <c r="P119" s="6" t="s">
        <v>8574</v>
      </c>
      <c r="Q119" s="6" t="s">
        <v>4053</v>
      </c>
    </row>
    <row r="120" spans="1:17" x14ac:dyDescent="0.25">
      <c r="A120" s="5" t="str">
        <f>IF(TRIM(I120)="","",E120)</f>
        <v>FlashExposureLock</v>
      </c>
      <c r="B120" s="5" t="str">
        <f>IF(TRIM(J120)="","",H120)</f>
        <v>Flash exposure lock</v>
      </c>
      <c r="C120" s="5" t="str">
        <f>LEFT(F120,FIND(".",F120,6))</f>
        <v>Exif.CanonFi.</v>
      </c>
      <c r="D120" s="5" t="str">
        <f>VLOOKUP(C120,PrefixUebersetzung,2,FALSE)</f>
        <v>Exif.CanonFi.</v>
      </c>
      <c r="E120" s="5" t="str">
        <f>MID(F120,FIND(".",F120,6)+1,99)</f>
        <v>FlashExposureLock</v>
      </c>
      <c r="F120" s="5" t="s">
        <v>100</v>
      </c>
      <c r="G120" s="5" t="s">
        <v>9665</v>
      </c>
      <c r="H120" s="6" t="s">
        <v>2222</v>
      </c>
      <c r="I120" s="7" t="s">
        <v>4188</v>
      </c>
      <c r="J120" s="8" t="s">
        <v>4188</v>
      </c>
      <c r="K120" s="26"/>
      <c r="N120" s="6" t="str">
        <f>IF(AND(TRIM(I120)="",L120=""),"Suffix not translated ",
   IF(AND(TRIM(I120)&lt;&gt;"",TRIM(L120)&lt;&gt;"",TRIM(I120)&lt;&gt;TRIM(L120)),"Suffix translation &lt;&gt; lookup ", "" ))
&amp;IF(AND(TRIM(J120)="",M120=""),"Description not translated ",
   IF(AND(TRIM(J120)&lt;&gt;"",TRIM(M120)&lt;&gt;"",TRIM(J120)&lt;&gt;TRIM(M120)),"Description translation&lt;&gt; lookup ", "" ))</f>
        <v/>
      </c>
      <c r="O120" s="6" t="s">
        <v>8574</v>
      </c>
      <c r="P120" s="6" t="s">
        <v>8574</v>
      </c>
      <c r="Q120" s="6" t="s">
        <v>9308</v>
      </c>
    </row>
    <row r="121" spans="1:17" x14ac:dyDescent="0.25">
      <c r="A121" s="5" t="str">
        <f>IF(TRIM(I121)="","",E121)</f>
        <v>FocusDistanceLower</v>
      </c>
      <c r="B121" s="5" t="str">
        <f>IF(TRIM(J121)="","",H121)</f>
        <v>Focus Distance Lower</v>
      </c>
      <c r="C121" s="5" t="str">
        <f>LEFT(F121,FIND(".",F121,6))</f>
        <v>Exif.CanonFi.</v>
      </c>
      <c r="D121" s="5" t="str">
        <f>VLOOKUP(C121,PrefixUebersetzung,2,FALSE)</f>
        <v>Exif.CanonFi.</v>
      </c>
      <c r="E121" s="5" t="str">
        <f>MID(F121,FIND(".",F121,6)+1,99)</f>
        <v>FocusDistanceLower</v>
      </c>
      <c r="F121" s="2" t="s">
        <v>6930</v>
      </c>
      <c r="G121" s="5" t="s">
        <v>9665</v>
      </c>
      <c r="H121" s="3" t="s">
        <v>6931</v>
      </c>
      <c r="I121" s="7" t="s">
        <v>7638</v>
      </c>
      <c r="J121" s="14" t="s">
        <v>7640</v>
      </c>
      <c r="K121" s="26"/>
      <c r="N121" s="6" t="str">
        <f>IF(AND(TRIM(I121)="",L121=""),"Suffix not translated ",
   IF(AND(TRIM(I121)&lt;&gt;"",TRIM(L121)&lt;&gt;"",TRIM(I121)&lt;&gt;TRIM(L121)),"Suffix translation &lt;&gt; lookup ", "" ))
&amp;IF(AND(TRIM(J121)="",M121=""),"Description not translated ",
   IF(AND(TRIM(J121)&lt;&gt;"",TRIM(M121)&lt;&gt;"",TRIM(J121)&lt;&gt;TRIM(M121)),"Description translation&lt;&gt; lookup ", "" ))</f>
        <v/>
      </c>
      <c r="O121" s="6" t="s">
        <v>8574</v>
      </c>
      <c r="P121" s="6" t="s">
        <v>8574</v>
      </c>
      <c r="Q121" s="6" t="s">
        <v>9311</v>
      </c>
    </row>
    <row r="122" spans="1:17" x14ac:dyDescent="0.25">
      <c r="A122" s="5" t="str">
        <f>IF(TRIM(I122)="","",E122)</f>
        <v>FocusDistanceUpper</v>
      </c>
      <c r="B122" s="5" t="str">
        <f>IF(TRIM(J122)="","",H122)</f>
        <v>Focus Distance Upper</v>
      </c>
      <c r="C122" s="5" t="str">
        <f>LEFT(F122,FIND(".",F122,6))</f>
        <v>Exif.CanonFi.</v>
      </c>
      <c r="D122" s="5" t="str">
        <f>VLOOKUP(C122,PrefixUebersetzung,2,FALSE)</f>
        <v>Exif.CanonFi.</v>
      </c>
      <c r="E122" s="5" t="str">
        <f>MID(F122,FIND(".",F122,6)+1,99)</f>
        <v>FocusDistanceUpper</v>
      </c>
      <c r="F122" s="2" t="s">
        <v>6932</v>
      </c>
      <c r="G122" s="5" t="s">
        <v>9665</v>
      </c>
      <c r="H122" s="3" t="s">
        <v>6933</v>
      </c>
      <c r="I122" s="7" t="s">
        <v>7639</v>
      </c>
      <c r="J122" s="14" t="s">
        <v>7641</v>
      </c>
      <c r="K122" s="26"/>
      <c r="N122" s="6" t="str">
        <f>IF(AND(TRIM(I122)="",L122=""),"Suffix not translated ",
   IF(AND(TRIM(I122)&lt;&gt;"",TRIM(L122)&lt;&gt;"",TRIM(I122)&lt;&gt;TRIM(L122)),"Suffix translation &lt;&gt; lookup ", "" ))
&amp;IF(AND(TRIM(J122)="",M122=""),"Description not translated ",
   IF(AND(TRIM(J122)&lt;&gt;"",TRIM(M122)&lt;&gt;"",TRIM(J122)&lt;&gt;TRIM(M122)),"Description translation&lt;&gt; lookup ", "" ))</f>
        <v/>
      </c>
      <c r="O122" s="6" t="s">
        <v>8574</v>
      </c>
      <c r="P122" s="6" t="s">
        <v>8574</v>
      </c>
      <c r="Q122" s="6" t="s">
        <v>9311</v>
      </c>
    </row>
    <row r="123" spans="1:17" x14ac:dyDescent="0.25">
      <c r="A123" s="5" t="str">
        <f>IF(TRIM(I123)="","",E123)</f>
        <v>LiveViewShooting</v>
      </c>
      <c r="B123" s="5" t="str">
        <f>IF(TRIM(J123)="","",H123)</f>
        <v>Live view shooting</v>
      </c>
      <c r="C123" s="5" t="str">
        <f>LEFT(F123,FIND(".",F123,6))</f>
        <v>Exif.CanonFi.</v>
      </c>
      <c r="D123" s="5" t="str">
        <f>VLOOKUP(C123,PrefixUebersetzung,2,FALSE)</f>
        <v>Exif.CanonFi.</v>
      </c>
      <c r="E123" s="5" t="str">
        <f>MID(F123,FIND(".",F123,6)+1,99)</f>
        <v>LiveViewShooting</v>
      </c>
      <c r="F123" s="5" t="s">
        <v>101</v>
      </c>
      <c r="G123" s="5" t="s">
        <v>9665</v>
      </c>
      <c r="H123" s="6" t="s">
        <v>2223</v>
      </c>
      <c r="I123" s="7" t="s">
        <v>4199</v>
      </c>
      <c r="J123" s="8" t="s">
        <v>3785</v>
      </c>
      <c r="K123" s="26"/>
      <c r="N123" s="6" t="str">
        <f>IF(AND(TRIM(I123)="",L123=""),"Suffix not translated ",
   IF(AND(TRIM(I123)&lt;&gt;"",TRIM(L123)&lt;&gt;"",TRIM(I123)&lt;&gt;TRIM(L123)),"Suffix translation &lt;&gt; lookup ", "" ))
&amp;IF(AND(TRIM(J123)="",M123=""),"Description not translated ",
   IF(AND(TRIM(J123)&lt;&gt;"",TRIM(M123)&lt;&gt;"",TRIM(J123)&lt;&gt;TRIM(M123)),"Description translation&lt;&gt; lookup ", "" ))</f>
        <v/>
      </c>
      <c r="O123" s="6" t="s">
        <v>8574</v>
      </c>
      <c r="P123" s="6" t="s">
        <v>8574</v>
      </c>
      <c r="Q123" s="6" t="s">
        <v>9256</v>
      </c>
    </row>
    <row r="124" spans="1:17" x14ac:dyDescent="0.25">
      <c r="A124" s="5" t="str">
        <f>IF(TRIM(I124)="","",E124)</f>
        <v>MacroMagnification</v>
      </c>
      <c r="B124" s="5" t="str">
        <f>IF(TRIM(J124)="","",H124)</f>
        <v>Macro magnification</v>
      </c>
      <c r="C124" s="5" t="str">
        <f>LEFT(F124,FIND(".",F124,6))</f>
        <v>Exif.CanonFi.</v>
      </c>
      <c r="D124" s="5" t="str">
        <f>VLOOKUP(C124,PrefixUebersetzung,2,FALSE)</f>
        <v>Exif.CanonFi.</v>
      </c>
      <c r="E124" s="5" t="str">
        <f>MID(F124,FIND(".",F124,6)+1,99)</f>
        <v>MacroMagnification</v>
      </c>
      <c r="F124" s="5" t="s">
        <v>102</v>
      </c>
      <c r="G124" s="5" t="s">
        <v>9665</v>
      </c>
      <c r="H124" s="6" t="s">
        <v>2224</v>
      </c>
      <c r="I124" s="7" t="s">
        <v>3786</v>
      </c>
      <c r="J124" s="8" t="s">
        <v>3786</v>
      </c>
      <c r="K124" s="26"/>
      <c r="N124" s="6" t="str">
        <f>IF(AND(TRIM(I124)="",L124=""),"Suffix not translated ",
   IF(AND(TRIM(I124)&lt;&gt;"",TRIM(L124)&lt;&gt;"",TRIM(I124)&lt;&gt;TRIM(L124)),"Suffix translation &lt;&gt; lookup ", "" ))
&amp;IF(AND(TRIM(J124)="",M124=""),"Description not translated ",
   IF(AND(TRIM(J124)&lt;&gt;"",TRIM(M124)&lt;&gt;"",TRIM(J124)&lt;&gt;TRIM(M124)),"Description translation&lt;&gt; lookup ", "" ))</f>
        <v/>
      </c>
      <c r="O124" s="6" t="s">
        <v>8574</v>
      </c>
      <c r="P124" s="6" t="s">
        <v>8574</v>
      </c>
      <c r="Q124" s="6" t="s">
        <v>9278</v>
      </c>
    </row>
    <row r="125" spans="1:17" x14ac:dyDescent="0.25">
      <c r="A125" s="5" t="str">
        <f>IF(TRIM(I125)="","",E125)</f>
        <v/>
      </c>
      <c r="B125" s="5" t="str">
        <f>IF(TRIM(J125)="","",H125)</f>
        <v>Noise Reduction</v>
      </c>
      <c r="C125" s="5" t="str">
        <f>LEFT(F125,FIND(".",F125,6))</f>
        <v>Exif.CanonFi.</v>
      </c>
      <c r="D125" s="5" t="str">
        <f>VLOOKUP(C125,PrefixUebersetzung,2,FALSE)</f>
        <v>Exif.CanonFi.</v>
      </c>
      <c r="E125" s="5" t="str">
        <f>MID(F125,FIND(".",F125,6)+1,99)</f>
        <v>NoiseReduction</v>
      </c>
      <c r="F125" s="5" t="s">
        <v>103</v>
      </c>
      <c r="G125" s="5" t="s">
        <v>9665</v>
      </c>
      <c r="H125" s="6" t="s">
        <v>2225</v>
      </c>
      <c r="I125" s="7"/>
      <c r="J125" s="8" t="s">
        <v>3787</v>
      </c>
      <c r="K125" s="26"/>
      <c r="L125" s="6" t="str">
        <f>IFERROR(VLOOKUP(E125,A:I,9, FALSE),"")</f>
        <v xml:space="preserve">Rauschreduzierung </v>
      </c>
      <c r="M125" s="6" t="str">
        <f>IFERROR(VLOOKUP(H125,B:J,9,FALSE),"")</f>
        <v xml:space="preserve">Rauschreduzierung </v>
      </c>
      <c r="N125" s="6" t="str">
        <f>IF(AND(TRIM(I125)="",L125=""),"Suffix not translated ",
   IF(AND(TRIM(I125)&lt;&gt;"",TRIM(L125)&lt;&gt;"",TRIM(I125)&lt;&gt;TRIM(L125)),"Suffix translation &lt;&gt; lookup ", "" ))
&amp;IF(AND(TRIM(J125)="",M125=""),"Description not translated ",
   IF(AND(TRIM(J125)&lt;&gt;"",TRIM(M125)&lt;&gt;"",TRIM(J125)&lt;&gt;TRIM(M125)),"Description translation&lt;&gt; lookup ", "" ))</f>
        <v/>
      </c>
      <c r="P125" s="6" t="s">
        <v>8574</v>
      </c>
      <c r="Q125" s="6" t="s">
        <v>9431</v>
      </c>
    </row>
    <row r="126" spans="1:17" x14ac:dyDescent="0.25">
      <c r="A126" s="5" t="str">
        <f>IF(TRIM(I126)="","",E126)</f>
        <v>RawJpgQuality</v>
      </c>
      <c r="B126" s="5" t="str">
        <f>IF(TRIM(J126)="","",H126)</f>
        <v>Raw Jpg Quality</v>
      </c>
      <c r="C126" s="5" t="str">
        <f>LEFT(F126,FIND(".",F126,6))</f>
        <v>Exif.CanonFi.</v>
      </c>
      <c r="D126" s="5" t="str">
        <f>VLOOKUP(C126,PrefixUebersetzung,2,FALSE)</f>
        <v>Exif.CanonFi.</v>
      </c>
      <c r="E126" s="5" t="str">
        <f>MID(F126,FIND(".",F126,6)+1,99)</f>
        <v>RawJpgQuality</v>
      </c>
      <c r="F126" s="5" t="s">
        <v>104</v>
      </c>
      <c r="G126" s="5" t="s">
        <v>9665</v>
      </c>
      <c r="H126" s="6" t="s">
        <v>2226</v>
      </c>
      <c r="I126" s="7" t="s">
        <v>4189</v>
      </c>
      <c r="J126" s="8" t="s">
        <v>4189</v>
      </c>
      <c r="K126" s="26"/>
      <c r="N126" s="6" t="str">
        <f>IF(AND(TRIM(I126)="",L126=""),"Suffix not translated ",
   IF(AND(TRIM(I126)&lt;&gt;"",TRIM(L126)&lt;&gt;"",TRIM(I126)&lt;&gt;TRIM(L126)),"Suffix translation &lt;&gt; lookup ", "" ))
&amp;IF(AND(TRIM(J126)="",M126=""),"Description not translated ",
   IF(AND(TRIM(J126)&lt;&gt;"",TRIM(M126)&lt;&gt;"",TRIM(J126)&lt;&gt;TRIM(M126)),"Description translation&lt;&gt; lookup ", "" ))</f>
        <v/>
      </c>
      <c r="O126" s="6" t="s">
        <v>8574</v>
      </c>
      <c r="P126" s="6" t="s">
        <v>8574</v>
      </c>
      <c r="Q126" s="6" t="s">
        <v>9337</v>
      </c>
    </row>
    <row r="127" spans="1:17" x14ac:dyDescent="0.25">
      <c r="A127" s="5" t="str">
        <f>IF(TRIM(I127)="","",E127)</f>
        <v>RawJpgSize</v>
      </c>
      <c r="B127" s="5" t="str">
        <f>IF(TRIM(J127)="","",H127)</f>
        <v>Raw Jpg Size</v>
      </c>
      <c r="C127" s="5" t="str">
        <f>LEFT(F127,FIND(".",F127,6))</f>
        <v>Exif.CanonFi.</v>
      </c>
      <c r="D127" s="5" t="str">
        <f>VLOOKUP(C127,PrefixUebersetzung,2,FALSE)</f>
        <v>Exif.CanonFi.</v>
      </c>
      <c r="E127" s="5" t="str">
        <f>MID(F127,FIND(".",F127,6)+1,99)</f>
        <v>RawJpgSize</v>
      </c>
      <c r="F127" s="5" t="s">
        <v>105</v>
      </c>
      <c r="G127" s="5" t="s">
        <v>9665</v>
      </c>
      <c r="H127" s="6" t="s">
        <v>2227</v>
      </c>
      <c r="I127" s="7" t="s">
        <v>4190</v>
      </c>
      <c r="J127" s="8" t="s">
        <v>4190</v>
      </c>
      <c r="K127" s="26"/>
      <c r="N127" s="6" t="str">
        <f>IF(AND(TRIM(I127)="",L127=""),"Suffix not translated ",
   IF(AND(TRIM(I127)&lt;&gt;"",TRIM(L127)&lt;&gt;"",TRIM(I127)&lt;&gt;TRIM(L127)),"Suffix translation &lt;&gt; lookup ", "" ))
&amp;IF(AND(TRIM(J127)="",M127=""),"Description not translated ",
   IF(AND(TRIM(J127)&lt;&gt;"",TRIM(M127)&lt;&gt;"",TRIM(J127)&lt;&gt;TRIM(M127)),"Description translation&lt;&gt; lookup ", "" ))</f>
        <v/>
      </c>
      <c r="O127" s="6" t="s">
        <v>8574</v>
      </c>
      <c r="P127" s="6" t="s">
        <v>8574</v>
      </c>
      <c r="Q127" s="6" t="s">
        <v>9331</v>
      </c>
    </row>
    <row r="128" spans="1:17" x14ac:dyDescent="0.25">
      <c r="A128" s="5" t="str">
        <f>IF(TRIM(I128)="","",E128)</f>
        <v>ToningEffect</v>
      </c>
      <c r="B128" s="5" t="str">
        <f>IF(TRIM(J128)="","",H128)</f>
        <v>Toning Effect</v>
      </c>
      <c r="C128" s="5" t="str">
        <f>LEFT(F128,FIND(".",F128,6))</f>
        <v>Exif.CanonFi.</v>
      </c>
      <c r="D128" s="5" t="str">
        <f>VLOOKUP(C128,PrefixUebersetzung,2,FALSE)</f>
        <v>Exif.CanonFi.</v>
      </c>
      <c r="E128" s="5" t="str">
        <f>MID(F128,FIND(".",F128,6)+1,99)</f>
        <v>ToningEffect</v>
      </c>
      <c r="F128" s="5" t="s">
        <v>106</v>
      </c>
      <c r="G128" s="5" t="s">
        <v>9665</v>
      </c>
      <c r="H128" s="6" t="s">
        <v>2228</v>
      </c>
      <c r="I128" s="7" t="s">
        <v>5093</v>
      </c>
      <c r="J128" s="14" t="s">
        <v>5093</v>
      </c>
      <c r="K128" s="26"/>
      <c r="L128" s="6" t="str">
        <f>IFERROR(VLOOKUP(E128,A:I,9, FALSE),"")</f>
        <v>Toneffekt</v>
      </c>
      <c r="M128" s="6" t="str">
        <f>IFERROR(VLOOKUP(H128,B:J,9,FALSE),"")</f>
        <v>Toneffekt</v>
      </c>
      <c r="N128" s="6" t="str">
        <f>IF(AND(TRIM(I128)="",L128=""),"Suffix not translated ",
   IF(AND(TRIM(I128)&lt;&gt;"",TRIM(L128)&lt;&gt;"",TRIM(I128)&lt;&gt;TRIM(L128)),"Suffix translation &lt;&gt; lookup ", "" ))
&amp;IF(AND(TRIM(J128)="",M128=""),"Description not translated ",
   IF(AND(TRIM(J128)&lt;&gt;"",TRIM(M128)&lt;&gt;"",TRIM(J128)&lt;&gt;TRIM(M128)),"Description translation&lt;&gt; lookup ", "" ))</f>
        <v/>
      </c>
      <c r="O128" s="6" t="s">
        <v>8574</v>
      </c>
      <c r="P128" s="6" t="s">
        <v>8574</v>
      </c>
      <c r="Q128" s="6" t="s">
        <v>4849</v>
      </c>
    </row>
    <row r="129" spans="1:17" x14ac:dyDescent="0.25">
      <c r="A129" s="5" t="str">
        <f>IF(TRIM(I129)="","",E129)</f>
        <v>WBBracketMode</v>
      </c>
      <c r="B129" s="5" t="str">
        <f>IF(TRIM(J129)="","",H129)</f>
        <v>WB Bracket Mode</v>
      </c>
      <c r="C129" s="5" t="str">
        <f>LEFT(F129,FIND(".",F129,6))</f>
        <v>Exif.CanonFi.</v>
      </c>
      <c r="D129" s="5" t="str">
        <f>VLOOKUP(C129,PrefixUebersetzung,2,FALSE)</f>
        <v>Exif.CanonFi.</v>
      </c>
      <c r="E129" s="5" t="str">
        <f>MID(F129,FIND(".",F129,6)+1,99)</f>
        <v>WBBracketMode</v>
      </c>
      <c r="F129" s="5" t="s">
        <v>107</v>
      </c>
      <c r="G129" s="5" t="s">
        <v>9665</v>
      </c>
      <c r="H129" s="6" t="s">
        <v>2229</v>
      </c>
      <c r="I129" s="7" t="s">
        <v>4200</v>
      </c>
      <c r="J129" s="8" t="s">
        <v>3788</v>
      </c>
      <c r="K129" s="26"/>
      <c r="N129" s="6" t="str">
        <f>IF(AND(TRIM(I129)="",L129=""),"Suffix not translated ",
   IF(AND(TRIM(I129)&lt;&gt;"",TRIM(L129)&lt;&gt;"",TRIM(I129)&lt;&gt;TRIM(L129)),"Suffix translation &lt;&gt; lookup ", "" ))
&amp;IF(AND(TRIM(J129)="",M129=""),"Description not translated ",
   IF(AND(TRIM(J129)&lt;&gt;"",TRIM(M129)&lt;&gt;"",TRIM(J129)&lt;&gt;TRIM(M129)),"Description translation&lt;&gt; lookup ", "" ))</f>
        <v/>
      </c>
      <c r="O129" s="6" t="s">
        <v>8574</v>
      </c>
      <c r="P129" s="6" t="s">
        <v>8574</v>
      </c>
      <c r="Q129" s="6" t="s">
        <v>9154</v>
      </c>
    </row>
    <row r="130" spans="1:17" x14ac:dyDescent="0.25">
      <c r="A130" s="5" t="str">
        <f>IF(TRIM(I130)="","",E130)</f>
        <v>WBBracketValueAB</v>
      </c>
      <c r="B130" s="5" t="str">
        <f>IF(TRIM(J130)="","",H130)</f>
        <v>WB Bracket Value AB</v>
      </c>
      <c r="C130" s="5" t="str">
        <f>LEFT(F130,FIND(".",F130,6))</f>
        <v>Exif.CanonFi.</v>
      </c>
      <c r="D130" s="5" t="str">
        <f>VLOOKUP(C130,PrefixUebersetzung,2,FALSE)</f>
        <v>Exif.CanonFi.</v>
      </c>
      <c r="E130" s="5" t="str">
        <f>MID(F130,FIND(".",F130,6)+1,99)</f>
        <v>WBBracketValueAB</v>
      </c>
      <c r="F130" s="5" t="s">
        <v>108</v>
      </c>
      <c r="G130" s="5" t="s">
        <v>9665</v>
      </c>
      <c r="H130" s="6" t="s">
        <v>2230</v>
      </c>
      <c r="I130" s="7" t="s">
        <v>3789</v>
      </c>
      <c r="J130" s="8" t="s">
        <v>3789</v>
      </c>
      <c r="K130" s="26"/>
      <c r="N130" s="6" t="str">
        <f>IF(AND(TRIM(I130)="",L130=""),"Suffix not translated ",
   IF(AND(TRIM(I130)&lt;&gt;"",TRIM(L130)&lt;&gt;"",TRIM(I130)&lt;&gt;TRIM(L130)),"Suffix translation &lt;&gt; lookup ", "" ))
&amp;IF(AND(TRIM(J130)="",M130=""),"Description not translated ",
   IF(AND(TRIM(J130)&lt;&gt;"",TRIM(M130)&lt;&gt;"",TRIM(J130)&lt;&gt;TRIM(M130)),"Description translation&lt;&gt; lookup ", "" ))</f>
        <v/>
      </c>
      <c r="O130" s="6" t="s">
        <v>8574</v>
      </c>
      <c r="P130" s="6" t="s">
        <v>8574</v>
      </c>
      <c r="Q130" s="6" t="s">
        <v>9554</v>
      </c>
    </row>
    <row r="131" spans="1:17" x14ac:dyDescent="0.25">
      <c r="A131" s="5" t="str">
        <f>IF(TRIM(I131)="","",E131)</f>
        <v>WBBracketValueGM</v>
      </c>
      <c r="B131" s="5" t="str">
        <f>IF(TRIM(J131)="","",H131)</f>
        <v>WB Bracket Value GM</v>
      </c>
      <c r="C131" s="5" t="str">
        <f>LEFT(F131,FIND(".",F131,6))</f>
        <v>Exif.CanonFi.</v>
      </c>
      <c r="D131" s="5" t="str">
        <f>VLOOKUP(C131,PrefixUebersetzung,2,FALSE)</f>
        <v>Exif.CanonFi.</v>
      </c>
      <c r="E131" s="5" t="str">
        <f>MID(F131,FIND(".",F131,6)+1,99)</f>
        <v>WBBracketValueGM</v>
      </c>
      <c r="F131" s="5" t="s">
        <v>109</v>
      </c>
      <c r="G131" s="5" t="s">
        <v>9665</v>
      </c>
      <c r="H131" s="6" t="s">
        <v>2231</v>
      </c>
      <c r="I131" s="7" t="s">
        <v>3790</v>
      </c>
      <c r="J131" s="8" t="s">
        <v>3790</v>
      </c>
      <c r="K131" s="26"/>
      <c r="N131" s="6" t="str">
        <f>IF(AND(TRIM(I131)="",L131=""),"Suffix not translated ",
   IF(AND(TRIM(I131)&lt;&gt;"",TRIM(L131)&lt;&gt;"",TRIM(I131)&lt;&gt;TRIM(L131)),"Suffix translation &lt;&gt; lookup ", "" ))
&amp;IF(AND(TRIM(J131)="",M131=""),"Description not translated ",
   IF(AND(TRIM(J131)&lt;&gt;"",TRIM(M131)&lt;&gt;"",TRIM(J131)&lt;&gt;TRIM(M131)),"Description translation&lt;&gt; lookup ", "" ))</f>
        <v/>
      </c>
      <c r="O131" s="6" t="s">
        <v>8574</v>
      </c>
      <c r="P131" s="6" t="s">
        <v>8574</v>
      </c>
      <c r="Q131" s="6" t="s">
        <v>9554</v>
      </c>
    </row>
    <row r="132" spans="1:17" x14ac:dyDescent="0.25">
      <c r="A132" s="5" t="str">
        <f>IF(TRIM(I132)="","",E132)</f>
        <v>PanoramaDirection</v>
      </c>
      <c r="B132" s="5" t="str">
        <f>IF(TRIM(J132)="","",H132)</f>
        <v>Panorama direction</v>
      </c>
      <c r="C132" s="5" t="str">
        <f>LEFT(F132,FIND(".",F132,6))</f>
        <v>Exif.CanonPa.</v>
      </c>
      <c r="D132" s="5" t="str">
        <f>VLOOKUP(C132,PrefixUebersetzung,2,FALSE)</f>
        <v>Exif.CanonPa.</v>
      </c>
      <c r="E132" s="5" t="str">
        <f>MID(F132,FIND(".",F132,6)+1,99)</f>
        <v>PanoramaDirection</v>
      </c>
      <c r="F132" s="5" t="s">
        <v>110</v>
      </c>
      <c r="G132" s="5" t="s">
        <v>9664</v>
      </c>
      <c r="H132" s="6" t="s">
        <v>2232</v>
      </c>
      <c r="I132" s="7" t="s">
        <v>3791</v>
      </c>
      <c r="J132" s="8" t="s">
        <v>3791</v>
      </c>
      <c r="K132" s="26"/>
      <c r="N132" s="6" t="str">
        <f>IF(AND(TRIM(I132)="",L132=""),"Suffix not translated ",
   IF(AND(TRIM(I132)&lt;&gt;"",TRIM(L132)&lt;&gt;"",TRIM(I132)&lt;&gt;TRIM(L132)),"Suffix translation &lt;&gt; lookup ", "" ))
&amp;IF(AND(TRIM(J132)="",M132=""),"Description not translated ",
   IF(AND(TRIM(J132)&lt;&gt;"",TRIM(M132)&lt;&gt;"",TRIM(J132)&lt;&gt;TRIM(M132)),"Description translation&lt;&gt; lookup ", "" ))</f>
        <v/>
      </c>
      <c r="O132" s="6" t="s">
        <v>8574</v>
      </c>
      <c r="P132" s="6" t="s">
        <v>8574</v>
      </c>
      <c r="Q132" s="6" t="s">
        <v>9438</v>
      </c>
    </row>
    <row r="133" spans="1:17" x14ac:dyDescent="0.25">
      <c r="A133" s="5" t="str">
        <f>IF(TRIM(I133)="","",E133)</f>
        <v>PanoramaFrame</v>
      </c>
      <c r="B133" s="5" t="str">
        <f>IF(TRIM(J133)="","",H133)</f>
        <v>Panorama frame number</v>
      </c>
      <c r="C133" s="5" t="str">
        <f>LEFT(F133,FIND(".",F133,6))</f>
        <v>Exif.CanonPa.</v>
      </c>
      <c r="D133" s="5" t="str">
        <f>VLOOKUP(C133,PrefixUebersetzung,2,FALSE)</f>
        <v>Exif.CanonPa.</v>
      </c>
      <c r="E133" s="5" t="str">
        <f>MID(F133,FIND(".",F133,6)+1,99)</f>
        <v>PanoramaFrame</v>
      </c>
      <c r="F133" s="5" t="s">
        <v>111</v>
      </c>
      <c r="G133" s="5" t="s">
        <v>9664</v>
      </c>
      <c r="H133" s="6" t="s">
        <v>2233</v>
      </c>
      <c r="I133" s="7" t="s">
        <v>3792</v>
      </c>
      <c r="J133" s="8" t="s">
        <v>3792</v>
      </c>
      <c r="K133" s="26"/>
      <c r="N133" s="6" t="str">
        <f>IF(AND(TRIM(I133)="",L133=""),"Suffix not translated ",
   IF(AND(TRIM(I133)&lt;&gt;"",TRIM(L133)&lt;&gt;"",TRIM(I133)&lt;&gt;TRIM(L133)),"Suffix translation &lt;&gt; lookup ", "" ))
&amp;IF(AND(TRIM(J133)="",M133=""),"Description not translated ",
   IF(AND(TRIM(J133)&lt;&gt;"",TRIM(M133)&lt;&gt;"",TRIM(J133)&lt;&gt;TRIM(M133)),"Description translation&lt;&gt; lookup ", "" ))</f>
        <v/>
      </c>
      <c r="O133" s="6" t="s">
        <v>8574</v>
      </c>
      <c r="P133" s="6" t="s">
        <v>8574</v>
      </c>
      <c r="Q133" s="6" t="s">
        <v>9440</v>
      </c>
    </row>
    <row r="134" spans="1:17" ht="30" x14ac:dyDescent="0.25">
      <c r="A134" s="5" t="str">
        <f>IF(TRIM(I134)="","",E134)</f>
        <v>AFPointsUsed</v>
      </c>
      <c r="B134" s="5" t="str">
        <f>IF(TRIM(J134)="","",H134)</f>
        <v>AF points used</v>
      </c>
      <c r="C134" s="5" t="str">
        <f>LEFT(F134,FIND(".",F134,6))</f>
        <v>Exif.CanonPi.</v>
      </c>
      <c r="D134" s="5" t="str">
        <f>VLOOKUP(C134,PrefixUebersetzung,2,FALSE)</f>
        <v>Exif.CanonPi.</v>
      </c>
      <c r="E134" s="5" t="str">
        <f>MID(F134,FIND(".",F134,6)+1,99)</f>
        <v>AFPointsUsed</v>
      </c>
      <c r="F134" s="5" t="s">
        <v>112</v>
      </c>
      <c r="G134" s="5" t="s">
        <v>9664</v>
      </c>
      <c r="H134" s="6" t="s">
        <v>2234</v>
      </c>
      <c r="I134" s="7" t="s">
        <v>4897</v>
      </c>
      <c r="J134" s="8" t="s">
        <v>3793</v>
      </c>
      <c r="K134" s="26"/>
      <c r="L134" s="6" t="str">
        <f>IFERROR(VLOOKUP(E134,A:I,9, FALSE),"")</f>
        <v>AF Messfelder verwendet</v>
      </c>
      <c r="M134" s="6" t="str">
        <f>IFERROR(VLOOKUP(H134,B:J,9,FALSE),"")</f>
        <v xml:space="preserve">verwendete AF-Messfelder </v>
      </c>
      <c r="N134" s="6" t="str">
        <f>IF(AND(TRIM(I134)="",L134=""),"Suffix not translated ",
   IF(AND(TRIM(I134)&lt;&gt;"",TRIM(L134)&lt;&gt;"",TRIM(I134)&lt;&gt;TRIM(L134)),"Suffix translation &lt;&gt; lookup ", "" ))
&amp;IF(AND(TRIM(J134)="",M134=""),"Description not translated ",
   IF(AND(TRIM(J134)&lt;&gt;"",TRIM(M134)&lt;&gt;"",TRIM(J134)&lt;&gt;TRIM(M134)),"Description translation&lt;&gt; lookup ", "" ))</f>
        <v/>
      </c>
      <c r="O134" s="6" t="s">
        <v>8574</v>
      </c>
      <c r="P134" s="6" t="s">
        <v>8574</v>
      </c>
      <c r="Q134" s="6" t="s">
        <v>9113</v>
      </c>
    </row>
    <row r="135" spans="1:17" x14ac:dyDescent="0.25">
      <c r="A135" s="5" t="str">
        <f>IF(TRIM(I135)="","",E135)</f>
        <v>AFPointsUsed20D</v>
      </c>
      <c r="B135" s="5" t="str">
        <f>IF(TRIM(J135)="","",H135)</f>
        <v>AF points used (20D)</v>
      </c>
      <c r="C135" s="5" t="str">
        <f>LEFT(F135,FIND(".",F135,6))</f>
        <v>Exif.CanonPi.</v>
      </c>
      <c r="D135" s="5" t="str">
        <f>VLOOKUP(C135,PrefixUebersetzung,2,FALSE)</f>
        <v>Exif.CanonPi.</v>
      </c>
      <c r="E135" s="5" t="str">
        <f>MID(F135,FIND(".",F135,6)+1,99)</f>
        <v>AFPointsUsed20D</v>
      </c>
      <c r="F135" s="5" t="s">
        <v>113</v>
      </c>
      <c r="G135" s="5" t="s">
        <v>9664</v>
      </c>
      <c r="H135" s="6" t="s">
        <v>2235</v>
      </c>
      <c r="I135" s="7" t="s">
        <v>5051</v>
      </c>
      <c r="J135" s="8" t="s">
        <v>3794</v>
      </c>
      <c r="K135" s="26"/>
      <c r="N135" s="6" t="str">
        <f>IF(AND(TRIM(I135)="",L135=""),"Suffix not translated ",
   IF(AND(TRIM(I135)&lt;&gt;"",TRIM(L135)&lt;&gt;"",TRIM(I135)&lt;&gt;TRIM(L135)),"Suffix translation &lt;&gt; lookup ", "" ))
&amp;IF(AND(TRIM(J135)="",M135=""),"Description not translated ",
   IF(AND(TRIM(J135)&lt;&gt;"",TRIM(M135)&lt;&gt;"",TRIM(J135)&lt;&gt;TRIM(M135)),"Description translation&lt;&gt; lookup ", "" ))</f>
        <v/>
      </c>
      <c r="O135" s="6" t="s">
        <v>8574</v>
      </c>
      <c r="P135" s="6" t="s">
        <v>8574</v>
      </c>
      <c r="Q135" s="6" t="s">
        <v>9122</v>
      </c>
    </row>
    <row r="136" spans="1:17" x14ac:dyDescent="0.25">
      <c r="A136" s="5" t="str">
        <f>IF(TRIM(I136)="","",E136)</f>
        <v>ImageHeight</v>
      </c>
      <c r="B136" s="5" t="str">
        <f>IF(TRIM(J136)="","",H136)</f>
        <v>Image height</v>
      </c>
      <c r="C136" s="5" t="str">
        <f>LEFT(F136,FIND(".",F136,6))</f>
        <v>Exif.CanonPi.</v>
      </c>
      <c r="D136" s="5" t="str">
        <f>VLOOKUP(C136,PrefixUebersetzung,2,FALSE)</f>
        <v>Exif.CanonPi.</v>
      </c>
      <c r="E136" s="5" t="str">
        <f>MID(F136,FIND(".",F136,6)+1,99)</f>
        <v>ImageHeight</v>
      </c>
      <c r="F136" s="5" t="s">
        <v>114</v>
      </c>
      <c r="G136" s="5" t="s">
        <v>9664</v>
      </c>
      <c r="H136" s="6" t="s">
        <v>2236</v>
      </c>
      <c r="I136" s="7" t="s">
        <v>3795</v>
      </c>
      <c r="J136" s="8" t="s">
        <v>3795</v>
      </c>
      <c r="K136" s="26"/>
      <c r="L136" s="6" t="str">
        <f>IFERROR(VLOOKUP(E136,A:I,9, FALSE),"")</f>
        <v>Bildhöhe</v>
      </c>
      <c r="M136" s="6" t="str">
        <f>IFERROR(VLOOKUP(H136,B:J,9,FALSE),"")</f>
        <v>Bildhöhe</v>
      </c>
      <c r="N136" s="6" t="str">
        <f>IF(AND(TRIM(I136)="",L136=""),"Suffix not translated ",
   IF(AND(TRIM(I136)&lt;&gt;"",TRIM(L136)&lt;&gt;"",TRIM(I136)&lt;&gt;TRIM(L136)),"Suffix translation &lt;&gt; lookup ", "" ))
&amp;IF(AND(TRIM(J136)="",M136=""),"Description not translated ",
   IF(AND(TRIM(J136)&lt;&gt;"",TRIM(M136)&lt;&gt;"",TRIM(J136)&lt;&gt;TRIM(M136)),"Description translation&lt;&gt; lookup ", "" ))</f>
        <v/>
      </c>
      <c r="O136" s="6" t="s">
        <v>8574</v>
      </c>
      <c r="P136" s="6" t="s">
        <v>8574</v>
      </c>
      <c r="Q136" s="6" t="s">
        <v>9110</v>
      </c>
    </row>
    <row r="137" spans="1:17" x14ac:dyDescent="0.25">
      <c r="A137" s="5" t="str">
        <f>IF(TRIM(I137)="","",E137)</f>
        <v>ImageHeightAsShot</v>
      </c>
      <c r="B137" s="5" t="str">
        <f>IF(TRIM(J137)="","",H137)</f>
        <v>Image height (as shot)</v>
      </c>
      <c r="C137" s="5" t="str">
        <f>LEFT(F137,FIND(".",F137,6))</f>
        <v>Exif.CanonPi.</v>
      </c>
      <c r="D137" s="5" t="str">
        <f>VLOOKUP(C137,PrefixUebersetzung,2,FALSE)</f>
        <v>Exif.CanonPi.</v>
      </c>
      <c r="E137" s="5" t="str">
        <f>MID(F137,FIND(".",F137,6)+1,99)</f>
        <v>ImageHeightAsShot</v>
      </c>
      <c r="F137" s="5" t="s">
        <v>115</v>
      </c>
      <c r="G137" s="5" t="s">
        <v>9664</v>
      </c>
      <c r="H137" s="6" t="s">
        <v>2237</v>
      </c>
      <c r="I137" s="7" t="s">
        <v>3796</v>
      </c>
      <c r="J137" s="8" t="s">
        <v>3796</v>
      </c>
      <c r="K137" s="26"/>
      <c r="N137" s="6" t="str">
        <f>IF(AND(TRIM(I137)="",L137=""),"Suffix not translated ",
   IF(AND(TRIM(I137)&lt;&gt;"",TRIM(L137)&lt;&gt;"",TRIM(I137)&lt;&gt;TRIM(L137)),"Suffix translation &lt;&gt; lookup ", "" ))
&amp;IF(AND(TRIM(J137)="",M137=""),"Description not translated ",
   IF(AND(TRIM(J137)&lt;&gt;"",TRIM(M137)&lt;&gt;"",TRIM(J137)&lt;&gt;TRIM(M137)),"Description translation&lt;&gt; lookup ", "" ))</f>
        <v/>
      </c>
      <c r="O137" s="6" t="s">
        <v>8574</v>
      </c>
      <c r="P137" s="6" t="s">
        <v>8574</v>
      </c>
      <c r="Q137" s="6" t="s">
        <v>9361</v>
      </c>
    </row>
    <row r="138" spans="1:17" x14ac:dyDescent="0.25">
      <c r="A138" s="5" t="str">
        <f>IF(TRIM(I138)="","",E138)</f>
        <v>ImageWidth</v>
      </c>
      <c r="B138" s="5" t="str">
        <f>IF(TRIM(J138)="","",H138)</f>
        <v>Image width</v>
      </c>
      <c r="C138" s="5" t="str">
        <f>LEFT(F138,FIND(".",F138,6))</f>
        <v>Exif.CanonPi.</v>
      </c>
      <c r="D138" s="5" t="str">
        <f>VLOOKUP(C138,PrefixUebersetzung,2,FALSE)</f>
        <v>Exif.CanonPi.</v>
      </c>
      <c r="E138" s="5" t="str">
        <f>MID(F138,FIND(".",F138,6)+1,99)</f>
        <v>ImageWidth</v>
      </c>
      <c r="F138" s="5" t="s">
        <v>116</v>
      </c>
      <c r="G138" s="5" t="s">
        <v>9664</v>
      </c>
      <c r="H138" s="6" t="s">
        <v>2238</v>
      </c>
      <c r="I138" s="7" t="s">
        <v>3797</v>
      </c>
      <c r="J138" s="8" t="s">
        <v>3797</v>
      </c>
      <c r="K138" s="26"/>
      <c r="L138" s="6" t="str">
        <f>IFERROR(VLOOKUP(E138,A:I,9, FALSE),"")</f>
        <v>Bildbreite</v>
      </c>
      <c r="M138" s="6" t="str">
        <f>IFERROR(VLOOKUP(H138,B:J,9,FALSE),"")</f>
        <v>Bildbreite</v>
      </c>
      <c r="N138" s="6" t="str">
        <f>IF(AND(TRIM(I138)="",L138=""),"Suffix not translated ",
   IF(AND(TRIM(I138)&lt;&gt;"",TRIM(L138)&lt;&gt;"",TRIM(I138)&lt;&gt;TRIM(L138)),"Suffix translation &lt;&gt; lookup ", "" ))
&amp;IF(AND(TRIM(J138)="",M138=""),"Description not translated ",
   IF(AND(TRIM(J138)&lt;&gt;"",TRIM(M138)&lt;&gt;"",TRIM(J138)&lt;&gt;TRIM(M138)),"Description translation&lt;&gt; lookup ", "" ))</f>
        <v/>
      </c>
      <c r="O138" s="6" t="s">
        <v>8574</v>
      </c>
      <c r="P138" s="6" t="s">
        <v>8574</v>
      </c>
      <c r="Q138" s="6" t="s">
        <v>3797</v>
      </c>
    </row>
    <row r="139" spans="1:17" x14ac:dyDescent="0.25">
      <c r="A139" s="5" t="str">
        <f>IF(TRIM(I139)="","",E139)</f>
        <v>ImageWidthAsShot</v>
      </c>
      <c r="B139" s="5" t="str">
        <f>IF(TRIM(J139)="","",H139)</f>
        <v>Image width (as shot)</v>
      </c>
      <c r="C139" s="5" t="str">
        <f>LEFT(F139,FIND(".",F139,6))</f>
        <v>Exif.CanonPi.</v>
      </c>
      <c r="D139" s="5" t="str">
        <f>VLOOKUP(C139,PrefixUebersetzung,2,FALSE)</f>
        <v>Exif.CanonPi.</v>
      </c>
      <c r="E139" s="5" t="str">
        <f>MID(F139,FIND(".",F139,6)+1,99)</f>
        <v>ImageWidthAsShot</v>
      </c>
      <c r="F139" s="5" t="s">
        <v>117</v>
      </c>
      <c r="G139" s="5" t="s">
        <v>9664</v>
      </c>
      <c r="H139" s="6" t="s">
        <v>2239</v>
      </c>
      <c r="I139" s="7" t="s">
        <v>3798</v>
      </c>
      <c r="J139" s="8" t="s">
        <v>3798</v>
      </c>
      <c r="K139" s="26"/>
      <c r="N139" s="6" t="str">
        <f>IF(AND(TRIM(I139)="",L139=""),"Suffix not translated ",
   IF(AND(TRIM(I139)&lt;&gt;"",TRIM(L139)&lt;&gt;"",TRIM(I139)&lt;&gt;TRIM(L139)),"Suffix translation &lt;&gt; lookup ", "" ))
&amp;IF(AND(TRIM(J139)="",M139=""),"Description not translated ",
   IF(AND(TRIM(J139)&lt;&gt;"",TRIM(M139)&lt;&gt;"",TRIM(J139)&lt;&gt;TRIM(M139)),"Description translation&lt;&gt; lookup ", "" ))</f>
        <v/>
      </c>
      <c r="O139" s="6" t="s">
        <v>8574</v>
      </c>
      <c r="P139" s="6" t="s">
        <v>8574</v>
      </c>
      <c r="Q139" s="6" t="s">
        <v>9366</v>
      </c>
    </row>
    <row r="140" spans="1:17" x14ac:dyDescent="0.25">
      <c r="A140" s="5" t="str">
        <f>IF(TRIM(I140)="","",E140)</f>
        <v>ColorTemperature</v>
      </c>
      <c r="B140" s="5" t="str">
        <f>IF(TRIM(J140)="","",H140)</f>
        <v>Color Temperature</v>
      </c>
      <c r="C140" s="5" t="str">
        <f>LEFT(F140,FIND(".",F140,6))</f>
        <v>Exif.CanonPr.</v>
      </c>
      <c r="D140" s="5" t="str">
        <f>VLOOKUP(C140,PrefixUebersetzung,2,FALSE)</f>
        <v>Exif.CanonPr.</v>
      </c>
      <c r="E140" s="5" t="str">
        <f>MID(F140,FIND(".",F140,6)+1,99)</f>
        <v>ColorTemperature</v>
      </c>
      <c r="F140" s="5" t="s">
        <v>118</v>
      </c>
      <c r="G140" s="5" t="s">
        <v>9665</v>
      </c>
      <c r="H140" s="6" t="s">
        <v>2240</v>
      </c>
      <c r="I140" s="7" t="s">
        <v>3799</v>
      </c>
      <c r="J140" s="8" t="s">
        <v>3799</v>
      </c>
      <c r="K140" s="26"/>
      <c r="L140" s="6" t="str">
        <f>IFERROR(VLOOKUP(E140,A:I,9, FALSE),"")</f>
        <v>Farbtemperatur</v>
      </c>
      <c r="M140" s="6" t="str">
        <f>IFERROR(VLOOKUP(H140,B:J,9,FALSE),"")</f>
        <v>Farbtemperatur</v>
      </c>
      <c r="N140" s="6" t="str">
        <f>IF(AND(TRIM(I140)="",L140=""),"Suffix not translated ",
   IF(AND(TRIM(I140)&lt;&gt;"",TRIM(L140)&lt;&gt;"",TRIM(I140)&lt;&gt;TRIM(L140)),"Suffix translation &lt;&gt; lookup ", "" ))
&amp;IF(AND(TRIM(J140)="",M140=""),"Description not translated ",
   IF(AND(TRIM(J140)&lt;&gt;"",TRIM(M140)&lt;&gt;"",TRIM(J140)&lt;&gt;TRIM(M140)),"Description translation&lt;&gt; lookup ", "" ))</f>
        <v/>
      </c>
      <c r="O140" s="6" t="s">
        <v>8574</v>
      </c>
      <c r="P140" s="6" t="s">
        <v>8574</v>
      </c>
      <c r="Q140" s="6" t="s">
        <v>3799</v>
      </c>
    </row>
    <row r="141" spans="1:17" x14ac:dyDescent="0.25">
      <c r="A141" s="5" t="str">
        <f>IF(TRIM(I141)="","",E141)</f>
        <v>DigitalGain</v>
      </c>
      <c r="B141" s="5" t="str">
        <f>IF(TRIM(J141)="","",H141)</f>
        <v>Digital gain</v>
      </c>
      <c r="C141" s="5" t="str">
        <f>LEFT(F141,FIND(".",F141,6))</f>
        <v>Exif.CanonPr.</v>
      </c>
      <c r="D141" s="5" t="str">
        <f>VLOOKUP(C141,PrefixUebersetzung,2,FALSE)</f>
        <v>Exif.CanonPr.</v>
      </c>
      <c r="E141" s="5" t="str">
        <f>MID(F141,FIND(".",F141,6)+1,99)</f>
        <v>DigitalGain</v>
      </c>
      <c r="F141" s="5" t="s">
        <v>119</v>
      </c>
      <c r="G141" s="5" t="s">
        <v>9665</v>
      </c>
      <c r="H141" s="6" t="s">
        <v>2241</v>
      </c>
      <c r="I141" s="7" t="s">
        <v>3800</v>
      </c>
      <c r="J141" s="8" t="s">
        <v>3800</v>
      </c>
      <c r="K141" s="26"/>
      <c r="N141" s="6" t="str">
        <f>IF(AND(TRIM(I141)="",L141=""),"Suffix not translated ",
   IF(AND(TRIM(I141)&lt;&gt;"",TRIM(L141)&lt;&gt;"",TRIM(I141)&lt;&gt;TRIM(L141)),"Suffix translation &lt;&gt; lookup ", "" ))
&amp;IF(AND(TRIM(J141)="",M141=""),"Description not translated ",
   IF(AND(TRIM(J141)&lt;&gt;"",TRIM(M141)&lt;&gt;"",TRIM(J141)&lt;&gt;TRIM(M141)),"Description translation&lt;&gt; lookup ", "" ))</f>
        <v/>
      </c>
      <c r="O141" s="6" t="s">
        <v>8574</v>
      </c>
      <c r="P141" s="6" t="s">
        <v>8574</v>
      </c>
      <c r="Q141" s="6" t="s">
        <v>9248</v>
      </c>
    </row>
    <row r="142" spans="1:17" x14ac:dyDescent="0.25">
      <c r="A142" s="5" t="str">
        <f>IF(TRIM(I142)="","",E142)</f>
        <v>PictureStyle</v>
      </c>
      <c r="B142" s="5" t="str">
        <f>IF(TRIM(J142)="","",H142)</f>
        <v>Picture style</v>
      </c>
      <c r="C142" s="5" t="str">
        <f>LEFT(F142,FIND(".",F142,6))</f>
        <v>Exif.CanonPr.</v>
      </c>
      <c r="D142" s="5" t="str">
        <f>VLOOKUP(C142,PrefixUebersetzung,2,FALSE)</f>
        <v>Exif.CanonPr.</v>
      </c>
      <c r="E142" s="5" t="str">
        <f>MID(F142,FIND(".",F142,6)+1,99)</f>
        <v>PictureStyle</v>
      </c>
      <c r="F142" s="5" t="s">
        <v>120</v>
      </c>
      <c r="G142" s="5" t="s">
        <v>9665</v>
      </c>
      <c r="H142" s="6" t="s">
        <v>2242</v>
      </c>
      <c r="I142" s="7" t="s">
        <v>3801</v>
      </c>
      <c r="J142" s="8" t="s">
        <v>3801</v>
      </c>
      <c r="K142" s="26"/>
      <c r="N142" s="6" t="str">
        <f>IF(AND(TRIM(I142)="",L142=""),"Suffix not translated ",
   IF(AND(TRIM(I142)&lt;&gt;"",TRIM(L142)&lt;&gt;"",TRIM(I142)&lt;&gt;TRIM(L142)),"Suffix translation &lt;&gt; lookup ", "" ))
&amp;IF(AND(TRIM(J142)="",M142=""),"Description not translated ",
   IF(AND(TRIM(J142)&lt;&gt;"",TRIM(M142)&lt;&gt;"",TRIM(J142)&lt;&gt;TRIM(M142)),"Description translation&lt;&gt; lookup ", "" ))</f>
        <v/>
      </c>
      <c r="O142" s="6" t="s">
        <v>8574</v>
      </c>
      <c r="P142" s="6" t="s">
        <v>8574</v>
      </c>
      <c r="Q142" s="6" t="s">
        <v>4012</v>
      </c>
    </row>
    <row r="143" spans="1:17" x14ac:dyDescent="0.25">
      <c r="A143" s="5" t="str">
        <f>IF(TRIM(I143)="","",E143)</f>
        <v>SensorBlueLevel</v>
      </c>
      <c r="B143" s="5" t="str">
        <f>IF(TRIM(J143)="","",H143)</f>
        <v>Sensor blue level</v>
      </c>
      <c r="C143" s="5" t="str">
        <f>LEFT(F143,FIND(".",F143,6))</f>
        <v>Exif.CanonPr.</v>
      </c>
      <c r="D143" s="5" t="str">
        <f>VLOOKUP(C143,PrefixUebersetzung,2,FALSE)</f>
        <v>Exif.CanonPr.</v>
      </c>
      <c r="E143" s="5" t="str">
        <f>MID(F143,FIND(".",F143,6)+1,99)</f>
        <v>SensorBlueLevel</v>
      </c>
      <c r="F143" s="5" t="s">
        <v>121</v>
      </c>
      <c r="G143" s="5" t="s">
        <v>9665</v>
      </c>
      <c r="H143" s="6" t="s">
        <v>2243</v>
      </c>
      <c r="I143" s="7" t="s">
        <v>3802</v>
      </c>
      <c r="J143" s="8" t="s">
        <v>3802</v>
      </c>
      <c r="K143" s="26"/>
      <c r="N143" s="6" t="str">
        <f>IF(AND(TRIM(I143)="",L143=""),"Suffix not translated ",
   IF(AND(TRIM(I143)&lt;&gt;"",TRIM(L143)&lt;&gt;"",TRIM(I143)&lt;&gt;TRIM(L143)),"Suffix translation &lt;&gt; lookup ", "" ))
&amp;IF(AND(TRIM(J143)="",M143=""),"Description not translated ",
   IF(AND(TRIM(J143)&lt;&gt;"",TRIM(M143)&lt;&gt;"",TRIM(J143)&lt;&gt;TRIM(M143)),"Description translation&lt;&gt; lookup ", "" ))</f>
        <v/>
      </c>
      <c r="O143" s="6" t="s">
        <v>8574</v>
      </c>
      <c r="P143" s="6" t="s">
        <v>8574</v>
      </c>
      <c r="Q143" s="6" t="s">
        <v>9163</v>
      </c>
    </row>
    <row r="144" spans="1:17" x14ac:dyDescent="0.25">
      <c r="A144" s="5" t="str">
        <f>IF(TRIM(I144)="","",E144)</f>
        <v>SensorRedLevel</v>
      </c>
      <c r="B144" s="5" t="str">
        <f>IF(TRIM(J144)="","",H144)</f>
        <v>Sensor red level</v>
      </c>
      <c r="C144" s="5" t="str">
        <f>LEFT(F144,FIND(".",F144,6))</f>
        <v>Exif.CanonPr.</v>
      </c>
      <c r="D144" s="5" t="str">
        <f>VLOOKUP(C144,PrefixUebersetzung,2,FALSE)</f>
        <v>Exif.CanonPr.</v>
      </c>
      <c r="E144" s="5" t="str">
        <f>MID(F144,FIND(".",F144,6)+1,99)</f>
        <v>SensorRedLevel</v>
      </c>
      <c r="F144" s="5" t="s">
        <v>122</v>
      </c>
      <c r="G144" s="5" t="s">
        <v>9665</v>
      </c>
      <c r="H144" s="6" t="s">
        <v>2244</v>
      </c>
      <c r="I144" s="7" t="s">
        <v>3803</v>
      </c>
      <c r="J144" s="8" t="s">
        <v>3803</v>
      </c>
      <c r="K144" s="26"/>
      <c r="N144" s="6" t="str">
        <f>IF(AND(TRIM(I144)="",L144=""),"Suffix not translated ",
   IF(AND(TRIM(I144)&lt;&gt;"",TRIM(L144)&lt;&gt;"",TRIM(I144)&lt;&gt;TRIM(L144)),"Suffix translation &lt;&gt; lookup ", "" ))
&amp;IF(AND(TRIM(J144)="",M144=""),"Description not translated ",
   IF(AND(TRIM(J144)&lt;&gt;"",TRIM(M144)&lt;&gt;"",TRIM(J144)&lt;&gt;TRIM(M144)),"Description translation&lt;&gt; lookup ", "" ))</f>
        <v/>
      </c>
      <c r="O144" s="6" t="s">
        <v>8574</v>
      </c>
      <c r="P144" s="6" t="s">
        <v>8574</v>
      </c>
      <c r="Q144" s="6" t="s">
        <v>9163</v>
      </c>
    </row>
    <row r="145" spans="1:17" x14ac:dyDescent="0.25">
      <c r="A145" s="5" t="str">
        <f>IF(TRIM(I145)="","",E145)</f>
        <v/>
      </c>
      <c r="B145" s="5" t="str">
        <f>IF(TRIM(J145)="","",H145)</f>
        <v>Sharpness</v>
      </c>
      <c r="C145" s="5" t="str">
        <f>LEFT(F145,FIND(".",F145,6))</f>
        <v>Exif.CanonPr.</v>
      </c>
      <c r="D145" s="5" t="str">
        <f>VLOOKUP(C145,PrefixUebersetzung,2,FALSE)</f>
        <v>Exif.CanonPr.</v>
      </c>
      <c r="E145" s="5" t="str">
        <f>MID(F145,FIND(".",F145,6)+1,99)</f>
        <v>Sharpness</v>
      </c>
      <c r="F145" s="5" t="s">
        <v>123</v>
      </c>
      <c r="G145" s="5" t="s">
        <v>9665</v>
      </c>
      <c r="H145" s="6" t="s">
        <v>2245</v>
      </c>
      <c r="I145" s="7"/>
      <c r="J145" s="8" t="s">
        <v>3804</v>
      </c>
      <c r="K145" s="26"/>
      <c r="L145" s="6" t="str">
        <f>IFERROR(VLOOKUP(E145,A:I,9, FALSE),"")</f>
        <v>Schärfe</v>
      </c>
      <c r="M145" s="6" t="str">
        <f>IFERROR(VLOOKUP(H145,B:J,9,FALSE),"")</f>
        <v>Schärfe</v>
      </c>
      <c r="N145" s="6" t="str">
        <f>IF(AND(TRIM(I145)="",L145=""),"Suffix not translated ",
   IF(AND(TRIM(I145)&lt;&gt;"",TRIM(L145)&lt;&gt;"",TRIM(I145)&lt;&gt;TRIM(L145)),"Suffix translation &lt;&gt; lookup ", "" ))
&amp;IF(AND(TRIM(J145)="",M145=""),"Description not translated ",
   IF(AND(TRIM(J145)&lt;&gt;"",TRIM(M145)&lt;&gt;"",TRIM(J145)&lt;&gt;TRIM(M145)),"Description translation&lt;&gt; lookup ", "" ))</f>
        <v/>
      </c>
      <c r="P145" s="6" t="s">
        <v>8574</v>
      </c>
      <c r="Q145" s="6" t="s">
        <v>9157</v>
      </c>
    </row>
    <row r="146" spans="1:17" x14ac:dyDescent="0.25">
      <c r="A146" s="5" t="str">
        <f>IF(TRIM(I146)="","",E146)</f>
        <v>SharpnessFrequency</v>
      </c>
      <c r="B146" s="5" t="str">
        <f>IF(TRIM(J146)="","",H146)</f>
        <v>Sharpness frequency</v>
      </c>
      <c r="C146" s="5" t="str">
        <f>LEFT(F146,FIND(".",F146,6))</f>
        <v>Exif.CanonPr.</v>
      </c>
      <c r="D146" s="5" t="str">
        <f>VLOOKUP(C146,PrefixUebersetzung,2,FALSE)</f>
        <v>Exif.CanonPr.</v>
      </c>
      <c r="E146" s="5" t="str">
        <f>MID(F146,FIND(".",F146,6)+1,99)</f>
        <v>SharpnessFrequency</v>
      </c>
      <c r="F146" s="5" t="s">
        <v>124</v>
      </c>
      <c r="G146" s="5" t="s">
        <v>9665</v>
      </c>
      <c r="H146" s="6" t="s">
        <v>2246</v>
      </c>
      <c r="I146" s="7" t="s">
        <v>3805</v>
      </c>
      <c r="J146" s="8" t="s">
        <v>3805</v>
      </c>
      <c r="K146" s="26"/>
      <c r="N146" s="6" t="str">
        <f>IF(AND(TRIM(I146)="",L146=""),"Suffix not translated ",
   IF(AND(TRIM(I146)&lt;&gt;"",TRIM(L146)&lt;&gt;"",TRIM(I146)&lt;&gt;TRIM(L146)),"Suffix translation &lt;&gt; lookup ", "" ))
&amp;IF(AND(TRIM(J146)="",M146=""),"Description not translated ",
   IF(AND(TRIM(J146)&lt;&gt;"",TRIM(M146)&lt;&gt;"",TRIM(J146)&lt;&gt;TRIM(M146)),"Description translation&lt;&gt; lookup ", "" ))</f>
        <v/>
      </c>
      <c r="O146" s="6" t="s">
        <v>8574</v>
      </c>
      <c r="P146" s="6" t="s">
        <v>8574</v>
      </c>
      <c r="Q146" s="6" t="s">
        <v>9484</v>
      </c>
    </row>
    <row r="147" spans="1:17" x14ac:dyDescent="0.25">
      <c r="A147" s="5" t="str">
        <f>IF(TRIM(I147)="","",E147)</f>
        <v>ToneCurve</v>
      </c>
      <c r="B147" s="5" t="str">
        <f>IF(TRIM(J147)="","",H147)</f>
        <v>Tone curve</v>
      </c>
      <c r="C147" s="5" t="str">
        <f>LEFT(F147,FIND(".",F147,6))</f>
        <v>Exif.CanonPr.</v>
      </c>
      <c r="D147" s="5" t="str">
        <f>VLOOKUP(C147,PrefixUebersetzung,2,FALSE)</f>
        <v>Exif.CanonPr.</v>
      </c>
      <c r="E147" s="5" t="str">
        <f>MID(F147,FIND(".",F147,6)+1,99)</f>
        <v>ToneCurve</v>
      </c>
      <c r="F147" s="5" t="s">
        <v>125</v>
      </c>
      <c r="G147" s="5" t="s">
        <v>9665</v>
      </c>
      <c r="H147" s="6" t="s">
        <v>2247</v>
      </c>
      <c r="I147" s="7" t="s">
        <v>3806</v>
      </c>
      <c r="J147" s="8" t="s">
        <v>3806</v>
      </c>
      <c r="K147" s="26"/>
      <c r="L147" s="6" t="str">
        <f>IFERROR(VLOOKUP(E147,A:I,9, FALSE),"")</f>
        <v>Tonkurve</v>
      </c>
      <c r="N147" s="6" t="str">
        <f>IF(AND(TRIM(I147)="",L147=""),"Suffix not translated ",
   IF(AND(TRIM(I147)&lt;&gt;"",TRIM(L147)&lt;&gt;"",TRIM(I147)&lt;&gt;TRIM(L147)),"Suffix translation &lt;&gt; lookup ", "" ))
&amp;IF(AND(TRIM(J147)="",M147=""),"Description not translated ",
   IF(AND(TRIM(J147)&lt;&gt;"",TRIM(M147)&lt;&gt;"",TRIM(J147)&lt;&gt;TRIM(M147)),"Description translation&lt;&gt; lookup ", "" ))</f>
        <v/>
      </c>
      <c r="O147" s="6" t="s">
        <v>8574</v>
      </c>
      <c r="P147" s="6" t="s">
        <v>8574</v>
      </c>
      <c r="Q147" s="6" t="s">
        <v>9338</v>
      </c>
    </row>
    <row r="148" spans="1:17" x14ac:dyDescent="0.25">
      <c r="A148" s="5" t="str">
        <f>IF(TRIM(I148)="","",E148)</f>
        <v>WBShiftAB</v>
      </c>
      <c r="B148" s="5" t="str">
        <f>IF(TRIM(J148)="","",H148)</f>
        <v>WBShift AB</v>
      </c>
      <c r="C148" s="5" t="str">
        <f>LEFT(F148,FIND(".",F148,6))</f>
        <v>Exif.CanonPr.</v>
      </c>
      <c r="D148" s="5" t="str">
        <f>VLOOKUP(C148,PrefixUebersetzung,2,FALSE)</f>
        <v>Exif.CanonPr.</v>
      </c>
      <c r="E148" s="5" t="str">
        <f>MID(F148,FIND(".",F148,6)+1,99)</f>
        <v>WBShiftAB</v>
      </c>
      <c r="F148" s="5" t="s">
        <v>126</v>
      </c>
      <c r="G148" s="5" t="s">
        <v>9665</v>
      </c>
      <c r="H148" s="6" t="s">
        <v>2248</v>
      </c>
      <c r="I148" s="7" t="s">
        <v>3807</v>
      </c>
      <c r="J148" s="8" t="s">
        <v>3807</v>
      </c>
      <c r="K148" s="26"/>
      <c r="N148" s="6" t="str">
        <f>IF(AND(TRIM(I148)="",L148=""),"Suffix not translated ",
   IF(AND(TRIM(I148)&lt;&gt;"",TRIM(L148)&lt;&gt;"",TRIM(I148)&lt;&gt;TRIM(L148)),"Suffix translation &lt;&gt; lookup ", "" ))
&amp;IF(AND(TRIM(J148)="",M148=""),"Description not translated ",
   IF(AND(TRIM(J148)&lt;&gt;"",TRIM(M148)&lt;&gt;"",TRIM(J148)&lt;&gt;TRIM(M148)),"Description translation&lt;&gt; lookup ", "" ))</f>
        <v/>
      </c>
      <c r="O148" s="6" t="s">
        <v>8574</v>
      </c>
      <c r="P148" s="6" t="s">
        <v>8574</v>
      </c>
      <c r="Q148" s="6" t="s">
        <v>9292</v>
      </c>
    </row>
    <row r="149" spans="1:17" x14ac:dyDescent="0.25">
      <c r="A149" s="5" t="str">
        <f>IF(TRIM(I149)="","",E149)</f>
        <v>WBShiftGM</v>
      </c>
      <c r="B149" s="5" t="str">
        <f>IF(TRIM(J149)="","",H149)</f>
        <v>WB Shift GM</v>
      </c>
      <c r="C149" s="5" t="str">
        <f>LEFT(F149,FIND(".",F149,6))</f>
        <v>Exif.CanonPr.</v>
      </c>
      <c r="D149" s="5" t="str">
        <f>VLOOKUP(C149,PrefixUebersetzung,2,FALSE)</f>
        <v>Exif.CanonPr.</v>
      </c>
      <c r="E149" s="5" t="str">
        <f>MID(F149,FIND(".",F149,6)+1,99)</f>
        <v>WBShiftGM</v>
      </c>
      <c r="F149" s="5" t="s">
        <v>127</v>
      </c>
      <c r="G149" s="5" t="s">
        <v>9665</v>
      </c>
      <c r="H149" s="6" t="s">
        <v>2249</v>
      </c>
      <c r="I149" s="7" t="s">
        <v>3808</v>
      </c>
      <c r="J149" s="8" t="s">
        <v>3808</v>
      </c>
      <c r="K149" s="26"/>
      <c r="N149" s="6" t="str">
        <f>IF(AND(TRIM(I149)="",L149=""),"Suffix not translated ",
   IF(AND(TRIM(I149)&lt;&gt;"",TRIM(L149)&lt;&gt;"",TRIM(I149)&lt;&gt;TRIM(L149)),"Suffix translation &lt;&gt; lookup ", "" ))
&amp;IF(AND(TRIM(J149)="",M149=""),"Description not translated ",
   IF(AND(TRIM(J149)&lt;&gt;"",TRIM(M149)&lt;&gt;"",TRIM(J149)&lt;&gt;TRIM(M149)),"Description translation&lt;&gt; lookup ", "" ))</f>
        <v/>
      </c>
      <c r="O149" s="6" t="s">
        <v>8574</v>
      </c>
      <c r="P149" s="6" t="s">
        <v>8574</v>
      </c>
      <c r="Q149" s="6" t="s">
        <v>9292</v>
      </c>
    </row>
    <row r="150" spans="1:17" x14ac:dyDescent="0.25">
      <c r="A150" s="5" t="str">
        <f>IF(TRIM(I150)="","",E150)</f>
        <v>WhiteBalance</v>
      </c>
      <c r="B150" s="5" t="str">
        <f>IF(TRIM(J150)="","",H150)</f>
        <v>White balance</v>
      </c>
      <c r="C150" s="5" t="str">
        <f>LEFT(F150,FIND(".",F150,6))</f>
        <v>Exif.CanonPr.</v>
      </c>
      <c r="D150" s="5" t="str">
        <f>VLOOKUP(C150,PrefixUebersetzung,2,FALSE)</f>
        <v>Exif.CanonPr.</v>
      </c>
      <c r="E150" s="5" t="str">
        <f>MID(F150,FIND(".",F150,6)+1,99)</f>
        <v>WhiteBalance</v>
      </c>
      <c r="F150" s="5" t="s">
        <v>128</v>
      </c>
      <c r="G150" s="5" t="s">
        <v>9665</v>
      </c>
      <c r="H150" s="6" t="s">
        <v>2250</v>
      </c>
      <c r="I150" s="7" t="s">
        <v>3809</v>
      </c>
      <c r="J150" s="8" t="s">
        <v>3809</v>
      </c>
      <c r="K150" s="26"/>
      <c r="L150" s="6" t="str">
        <f>IFERROR(VLOOKUP(E150,A:I,9, FALSE),"")</f>
        <v>Weißabgleich</v>
      </c>
      <c r="M150" s="6" t="str">
        <f>IFERROR(VLOOKUP(H150,B:J,9,FALSE),"")</f>
        <v>Weißabgleich</v>
      </c>
      <c r="N150" s="6" t="str">
        <f>IF(AND(TRIM(I150)="",L150=""),"Suffix not translated ",
   IF(AND(TRIM(I150)&lt;&gt;"",TRIM(L150)&lt;&gt;"",TRIM(I150)&lt;&gt;TRIM(L150)),"Suffix translation &lt;&gt; lookup ", "" ))
&amp;IF(AND(TRIM(J150)="",M150=""),"Description not translated ",
   IF(AND(TRIM(J150)&lt;&gt;"",TRIM(M150)&lt;&gt;"",TRIM(J150)&lt;&gt;TRIM(M150)),"Description translation&lt;&gt; lookup ", "" ))</f>
        <v/>
      </c>
      <c r="O150" s="6" t="s">
        <v>8574</v>
      </c>
      <c r="P150" s="6" t="s">
        <v>8574</v>
      </c>
      <c r="Q150" s="6" t="s">
        <v>9173</v>
      </c>
    </row>
    <row r="151" spans="1:17" x14ac:dyDescent="0.25">
      <c r="A151" s="5" t="str">
        <f>IF(TRIM(I151)="","",E151)</f>
        <v>WhiteBalanceBlue</v>
      </c>
      <c r="B151" s="5" t="str">
        <f>IF(TRIM(J151)="","",H151)</f>
        <v>White balance blue</v>
      </c>
      <c r="C151" s="5" t="str">
        <f>LEFT(F151,FIND(".",F151,6))</f>
        <v>Exif.CanonPr.</v>
      </c>
      <c r="D151" s="5" t="str">
        <f>VLOOKUP(C151,PrefixUebersetzung,2,FALSE)</f>
        <v>Exif.CanonPr.</v>
      </c>
      <c r="E151" s="5" t="str">
        <f>MID(F151,FIND(".",F151,6)+1,99)</f>
        <v>WhiteBalanceBlue</v>
      </c>
      <c r="F151" s="5" t="s">
        <v>129</v>
      </c>
      <c r="G151" s="5" t="s">
        <v>9665</v>
      </c>
      <c r="H151" s="6" t="s">
        <v>2251</v>
      </c>
      <c r="I151" s="7" t="s">
        <v>3810</v>
      </c>
      <c r="J151" s="8" t="s">
        <v>3810</v>
      </c>
      <c r="K151" s="26"/>
      <c r="N151" s="6" t="str">
        <f>IF(AND(TRIM(I151)="",L151=""),"Suffix not translated ",
   IF(AND(TRIM(I151)&lt;&gt;"",TRIM(L151)&lt;&gt;"",TRIM(I151)&lt;&gt;TRIM(L151)),"Suffix translation &lt;&gt; lookup ", "" ))
&amp;IF(AND(TRIM(J151)="",M151=""),"Description not translated ",
   IF(AND(TRIM(J151)&lt;&gt;"",TRIM(M151)&lt;&gt;"",TRIM(J151)&lt;&gt;TRIM(M151)),"Description translation&lt;&gt; lookup ", "" ))</f>
        <v/>
      </c>
      <c r="O151" s="6" t="s">
        <v>8574</v>
      </c>
      <c r="P151" s="6" t="s">
        <v>8574</v>
      </c>
      <c r="Q151" s="6" t="s">
        <v>9558</v>
      </c>
    </row>
    <row r="152" spans="1:17" x14ac:dyDescent="0.25">
      <c r="A152" s="5" t="str">
        <f>IF(TRIM(I152)="","",E152)</f>
        <v>WhiteBalanceRed</v>
      </c>
      <c r="B152" s="5" t="str">
        <f>IF(TRIM(J152)="","",H152)</f>
        <v>White balance red</v>
      </c>
      <c r="C152" s="5" t="str">
        <f>LEFT(F152,FIND(".",F152,6))</f>
        <v>Exif.CanonPr.</v>
      </c>
      <c r="D152" s="5" t="str">
        <f>VLOOKUP(C152,PrefixUebersetzung,2,FALSE)</f>
        <v>Exif.CanonPr.</v>
      </c>
      <c r="E152" s="5" t="str">
        <f>MID(F152,FIND(".",F152,6)+1,99)</f>
        <v>WhiteBalanceRed</v>
      </c>
      <c r="F152" s="5" t="s">
        <v>130</v>
      </c>
      <c r="G152" s="5" t="s">
        <v>9665</v>
      </c>
      <c r="H152" s="6" t="s">
        <v>2252</v>
      </c>
      <c r="I152" s="31" t="s">
        <v>3811</v>
      </c>
      <c r="J152" s="8" t="s">
        <v>3811</v>
      </c>
      <c r="K152" s="26"/>
      <c r="N152" s="6" t="str">
        <f>IF(AND(TRIM(I152)="",L152=""),"Suffix not translated ",
   IF(AND(TRIM(I152)&lt;&gt;"",TRIM(L152)&lt;&gt;"",TRIM(I152)&lt;&gt;TRIM(L152)),"Suffix translation &lt;&gt; lookup ", "" ))
&amp;IF(AND(TRIM(J152)="",M152=""),"Description not translated ",
   IF(AND(TRIM(J152)&lt;&gt;"",TRIM(M152)&lt;&gt;"",TRIM(J152)&lt;&gt;TRIM(M152)),"Description translation&lt;&gt; lookup ", "" ))</f>
        <v/>
      </c>
      <c r="O152" s="6" t="s">
        <v>8574</v>
      </c>
      <c r="P152" s="6" t="s">
        <v>8574</v>
      </c>
      <c r="Q152" s="6" t="s">
        <v>9174</v>
      </c>
    </row>
    <row r="153" spans="1:17" x14ac:dyDescent="0.25">
      <c r="A153" s="5" t="str">
        <f>IF(TRIM(I153)="","",E153)</f>
        <v/>
      </c>
      <c r="B153" s="5" t="str">
        <f>IF(TRIM(J153)="","",H153)</f>
        <v/>
      </c>
      <c r="C153" s="5" t="str">
        <f>LEFT(F153,FIND(".",F153,6))</f>
        <v>Exif.CanonSi.</v>
      </c>
      <c r="D153" s="5" t="str">
        <f>VLOOKUP(C153,PrefixUebersetzung,2,FALSE)</f>
        <v>Exif.CanonSi.</v>
      </c>
      <c r="E153" s="5" t="str">
        <f>MID(F153,FIND(".",F153,6)+1,99)</f>
        <v>0x0006</v>
      </c>
      <c r="F153" s="5" t="s">
        <v>131</v>
      </c>
      <c r="G153" s="5" t="s">
        <v>9664</v>
      </c>
      <c r="H153" s="6" t="s">
        <v>2138</v>
      </c>
      <c r="I153" s="7"/>
      <c r="J153" s="8"/>
      <c r="K153" s="26"/>
      <c r="L153" s="6" t="str">
        <f>IFERROR(VLOOKUP(E153,A:I,9, FALSE),"")</f>
        <v/>
      </c>
      <c r="M153" s="6" t="str">
        <f>IFERROR(VLOOKUP(H153,B:J,9,FALSE),"")</f>
        <v>Unbekannt</v>
      </c>
      <c r="N153" s="6" t="str">
        <f>IF(AND(TRIM(I153)="",L153=""),"Suffix not translated ",
   IF(AND(TRIM(I153)&lt;&gt;"",TRIM(L153)&lt;&gt;"",TRIM(I153)&lt;&gt;TRIM(L153)),"Suffix translation &lt;&gt; lookup ", "" ))
&amp;IF(AND(TRIM(J153)="",M153=""),"Description not translated ",
   IF(AND(TRIM(J153)&lt;&gt;"",TRIM(M153)&lt;&gt;"",TRIM(J153)&lt;&gt;TRIM(M153)),"Description translation&lt;&gt; lookup ", "" ))</f>
        <v xml:space="preserve">Suffix not translated </v>
      </c>
    </row>
    <row r="154" spans="1:17" x14ac:dyDescent="0.25">
      <c r="A154" s="5" t="str">
        <f>IF(TRIM(I154)="","",E154)</f>
        <v/>
      </c>
      <c r="B154" s="5" t="str">
        <f>IF(TRIM(J154)="","",H154)</f>
        <v/>
      </c>
      <c r="C154" s="5" t="str">
        <f>LEFT(F154,FIND(".",F154,6))</f>
        <v>Exif.CanonSi.</v>
      </c>
      <c r="D154" s="5" t="str">
        <f>VLOOKUP(C154,PrefixUebersetzung,2,FALSE)</f>
        <v>Exif.CanonSi.</v>
      </c>
      <c r="E154" s="5" t="str">
        <f>MID(F154,FIND(".",F154,6)+1,99)</f>
        <v>0x000a</v>
      </c>
      <c r="F154" s="5" t="s">
        <v>132</v>
      </c>
      <c r="G154" s="5" t="s">
        <v>9664</v>
      </c>
      <c r="H154" s="6" t="s">
        <v>2138</v>
      </c>
      <c r="I154" s="7"/>
      <c r="J154" s="8"/>
      <c r="K154" s="26"/>
      <c r="L154" s="6" t="str">
        <f>IFERROR(VLOOKUP(E154,A:I,9, FALSE),"")</f>
        <v/>
      </c>
      <c r="M154" s="6" t="str">
        <f>IFERROR(VLOOKUP(H154,B:J,9,FALSE),"")</f>
        <v>Unbekannt</v>
      </c>
      <c r="N154" s="6" t="str">
        <f>IF(AND(TRIM(I154)="",L154=""),"Suffix not translated ",
   IF(AND(TRIM(I154)&lt;&gt;"",TRIM(L154)&lt;&gt;"",TRIM(I154)&lt;&gt;TRIM(L154)),"Suffix translation &lt;&gt; lookup ", "" ))
&amp;IF(AND(TRIM(J154)="",M154=""),"Description not translated ",
   IF(AND(TRIM(J154)&lt;&gt;"",TRIM(M154)&lt;&gt;"",TRIM(J154)&lt;&gt;TRIM(M154)),"Description translation&lt;&gt; lookup ", "" ))</f>
        <v xml:space="preserve">Suffix not translated </v>
      </c>
      <c r="O154" s="6" t="s">
        <v>8574</v>
      </c>
    </row>
    <row r="155" spans="1:17" x14ac:dyDescent="0.25">
      <c r="A155" s="5" t="str">
        <f>IF(TRIM(I155)="","",E155)</f>
        <v/>
      </c>
      <c r="B155" s="5" t="str">
        <f>IF(TRIM(J155)="","",H155)</f>
        <v/>
      </c>
      <c r="C155" s="5" t="str">
        <f>LEFT(F155,FIND(".",F155,6))</f>
        <v>Exif.CanonSi.</v>
      </c>
      <c r="D155" s="5" t="str">
        <f>VLOOKUP(C155,PrefixUebersetzung,2,FALSE)</f>
        <v>Exif.CanonSi.</v>
      </c>
      <c r="E155" s="5" t="str">
        <f>MID(F155,FIND(".",F155,6)+1,99)</f>
        <v>0x000b</v>
      </c>
      <c r="F155" s="5" t="s">
        <v>133</v>
      </c>
      <c r="G155" s="5" t="s">
        <v>9664</v>
      </c>
      <c r="H155" s="6" t="s">
        <v>2138</v>
      </c>
      <c r="I155" s="7"/>
      <c r="J155" s="8"/>
      <c r="K155" s="26"/>
      <c r="M155" s="6" t="str">
        <f>IFERROR(VLOOKUP(H155,B:J,9,FALSE),"")</f>
        <v>Unbekannt</v>
      </c>
      <c r="N155" s="6" t="str">
        <f>IF(AND(TRIM(I155)="",L155=""),"Suffix not translated ",
   IF(AND(TRIM(I155)&lt;&gt;"",TRIM(L155)&lt;&gt;"",TRIM(I155)&lt;&gt;TRIM(L155)),"Suffix translation &lt;&gt; lookup ", "" ))
&amp;IF(AND(TRIM(J155)="",M155=""),"Description not translated ",
   IF(AND(TRIM(J155)&lt;&gt;"",TRIM(M155)&lt;&gt;"",TRIM(J155)&lt;&gt;TRIM(M155)),"Description translation&lt;&gt; lookup ", "" ))</f>
        <v xml:space="preserve">Suffix not translated </v>
      </c>
      <c r="O155" s="6" t="s">
        <v>8574</v>
      </c>
    </row>
    <row r="156" spans="1:17" x14ac:dyDescent="0.25">
      <c r="A156" s="5" t="str">
        <f>IF(TRIM(I156)="","",E156)</f>
        <v/>
      </c>
      <c r="B156" s="5" t="str">
        <f>IF(TRIM(J156)="","",H156)</f>
        <v/>
      </c>
      <c r="C156" s="5" t="str">
        <f>LEFT(F156,FIND(".",F156,6))</f>
        <v>Exif.CanonSi.</v>
      </c>
      <c r="D156" s="5" t="str">
        <f>VLOOKUP(C156,PrefixUebersetzung,2,FALSE)</f>
        <v>Exif.CanonSi.</v>
      </c>
      <c r="E156" s="5" t="str">
        <f>MID(F156,FIND(".",F156,6)+1,99)</f>
        <v>0x0011</v>
      </c>
      <c r="F156" s="5" t="s">
        <v>134</v>
      </c>
      <c r="G156" s="5" t="s">
        <v>9664</v>
      </c>
      <c r="H156" s="6" t="s">
        <v>2138</v>
      </c>
      <c r="I156" s="7"/>
      <c r="J156" s="8"/>
      <c r="K156" s="26"/>
      <c r="M156" s="6" t="str">
        <f>IFERROR(VLOOKUP(H156,B:J,9,FALSE),"")</f>
        <v>Unbekannt</v>
      </c>
      <c r="N156" s="6" t="str">
        <f>IF(AND(TRIM(I156)="",L156=""),"Suffix not translated ",
   IF(AND(TRIM(I156)&lt;&gt;"",TRIM(L156)&lt;&gt;"",TRIM(I156)&lt;&gt;TRIM(L156)),"Suffix translation &lt;&gt; lookup ", "" ))
&amp;IF(AND(TRIM(J156)="",M156=""),"Description not translated ",
   IF(AND(TRIM(J156)&lt;&gt;"",TRIM(M156)&lt;&gt;"",TRIM(J156)&lt;&gt;TRIM(M156)),"Description translation&lt;&gt; lookup ", "" ))</f>
        <v xml:space="preserve">Suffix not translated </v>
      </c>
      <c r="O156" s="6" t="s">
        <v>8574</v>
      </c>
    </row>
    <row r="157" spans="1:17" x14ac:dyDescent="0.25">
      <c r="A157" s="5" t="str">
        <f>IF(TRIM(I157)="","",E157)</f>
        <v/>
      </c>
      <c r="B157" s="5" t="str">
        <f>IF(TRIM(J157)="","",H157)</f>
        <v/>
      </c>
      <c r="C157" s="5" t="str">
        <f>LEFT(F157,FIND(".",F157,6))</f>
        <v>Exif.CanonSi.</v>
      </c>
      <c r="D157" s="5" t="str">
        <f>VLOOKUP(C157,PrefixUebersetzung,2,FALSE)</f>
        <v>Exif.CanonSi.</v>
      </c>
      <c r="E157" s="5" t="str">
        <f>MID(F157,FIND(".",F157,6)+1,99)</f>
        <v>0x0012</v>
      </c>
      <c r="F157" s="5" t="s">
        <v>135</v>
      </c>
      <c r="G157" s="5" t="s">
        <v>9664</v>
      </c>
      <c r="H157" s="6" t="s">
        <v>2138</v>
      </c>
      <c r="I157" s="7"/>
      <c r="J157" s="8"/>
      <c r="K157" s="26"/>
      <c r="M157" s="6" t="str">
        <f>IFERROR(VLOOKUP(H157,B:J,9,FALSE),"")</f>
        <v>Unbekannt</v>
      </c>
      <c r="N157" s="6" t="str">
        <f>IF(AND(TRIM(I157)="",L157=""),"Suffix not translated ",
   IF(AND(TRIM(I157)&lt;&gt;"",TRIM(L157)&lt;&gt;"",TRIM(I157)&lt;&gt;TRIM(L157)),"Suffix translation &lt;&gt; lookup ", "" ))
&amp;IF(AND(TRIM(J157)="",M157=""),"Description not translated ",
   IF(AND(TRIM(J157)&lt;&gt;"",TRIM(M157)&lt;&gt;"",TRIM(J157)&lt;&gt;TRIM(M157)),"Description translation&lt;&gt; lookup ", "" ))</f>
        <v xml:space="preserve">Suffix not translated </v>
      </c>
      <c r="O157" s="6" t="s">
        <v>8574</v>
      </c>
    </row>
    <row r="158" spans="1:17" x14ac:dyDescent="0.25">
      <c r="A158" s="5" t="str">
        <f>IF(TRIM(I158)="","",E158)</f>
        <v/>
      </c>
      <c r="B158" s="5" t="str">
        <f>IF(TRIM(J158)="","",H158)</f>
        <v/>
      </c>
      <c r="C158" s="5" t="str">
        <f>LEFT(F158,FIND(".",F158,6))</f>
        <v>Exif.CanonSi.</v>
      </c>
      <c r="D158" s="5" t="str">
        <f>VLOOKUP(C158,PrefixUebersetzung,2,FALSE)</f>
        <v>Exif.CanonSi.</v>
      </c>
      <c r="E158" s="5" t="str">
        <f>MID(F158,FIND(".",F158,6)+1,99)</f>
        <v>0x0014</v>
      </c>
      <c r="F158" s="5" t="s">
        <v>136</v>
      </c>
      <c r="G158" s="5" t="s">
        <v>9664</v>
      </c>
      <c r="H158" s="6" t="s">
        <v>2138</v>
      </c>
      <c r="I158" s="7"/>
      <c r="J158" s="8"/>
      <c r="K158" s="26"/>
      <c r="M158" s="6" t="str">
        <f>IFERROR(VLOOKUP(H158,B:J,9,FALSE),"")</f>
        <v>Unbekannt</v>
      </c>
      <c r="N158" s="6" t="str">
        <f>IF(AND(TRIM(I158)="",L158=""),"Suffix not translated ",
   IF(AND(TRIM(I158)&lt;&gt;"",TRIM(L158)&lt;&gt;"",TRIM(I158)&lt;&gt;TRIM(L158)),"Suffix translation &lt;&gt; lookup ", "" ))
&amp;IF(AND(TRIM(J158)="",M158=""),"Description not translated ",
   IF(AND(TRIM(J158)&lt;&gt;"",TRIM(M158)&lt;&gt;"",TRIM(J158)&lt;&gt;TRIM(M158)),"Description translation&lt;&gt; lookup ", "" ))</f>
        <v xml:space="preserve">Suffix not translated </v>
      </c>
      <c r="O158" s="6" t="s">
        <v>8574</v>
      </c>
    </row>
    <row r="159" spans="1:17" x14ac:dyDescent="0.25">
      <c r="A159" s="5" t="str">
        <f>IF(TRIM(I159)="","",E159)</f>
        <v/>
      </c>
      <c r="B159" s="5" t="str">
        <f>IF(TRIM(J159)="","",H159)</f>
        <v/>
      </c>
      <c r="C159" s="5" t="str">
        <f>LEFT(F159,FIND(".",F159,6))</f>
        <v>Exif.CanonSi.</v>
      </c>
      <c r="D159" s="5" t="str">
        <f>VLOOKUP(C159,PrefixUebersetzung,2,FALSE)</f>
        <v>Exif.CanonSi.</v>
      </c>
      <c r="E159" s="5" t="str">
        <f>MID(F159,FIND(".",F159,6)+1,99)</f>
        <v>0x0019</v>
      </c>
      <c r="F159" s="5" t="s">
        <v>137</v>
      </c>
      <c r="G159" s="5" t="s">
        <v>9664</v>
      </c>
      <c r="H159" s="6" t="s">
        <v>2138</v>
      </c>
      <c r="I159" s="7"/>
      <c r="J159" s="8"/>
      <c r="K159" s="26"/>
      <c r="M159" s="6" t="str">
        <f>IFERROR(VLOOKUP(H159,B:J,9,FALSE),"")</f>
        <v>Unbekannt</v>
      </c>
      <c r="N159" s="6" t="str">
        <f>IF(AND(TRIM(I159)="",L159=""),"Suffix not translated ",
   IF(AND(TRIM(I159)&lt;&gt;"",TRIM(L159)&lt;&gt;"",TRIM(I159)&lt;&gt;TRIM(L159)),"Suffix translation &lt;&gt; lookup ", "" ))
&amp;IF(AND(TRIM(J159)="",M159=""),"Description not translated ",
   IF(AND(TRIM(J159)&lt;&gt;"",TRIM(M159)&lt;&gt;"",TRIM(J159)&lt;&gt;TRIM(M159)),"Description translation&lt;&gt; lookup ", "" ))</f>
        <v xml:space="preserve">Suffix not translated </v>
      </c>
      <c r="O159" s="6" t="s">
        <v>8574</v>
      </c>
    </row>
    <row r="160" spans="1:17" x14ac:dyDescent="0.25">
      <c r="A160" s="5" t="str">
        <f>IF(TRIM(I160)="","",E160)</f>
        <v>AFPointUsed</v>
      </c>
      <c r="B160" s="5" t="str">
        <f>IF(TRIM(J160)="","",H160)</f>
        <v>AF point used</v>
      </c>
      <c r="C160" s="5" t="str">
        <f>LEFT(F160,FIND(".",F160,6))</f>
        <v>Exif.CanonSi.</v>
      </c>
      <c r="D160" s="5" t="str">
        <f>VLOOKUP(C160,PrefixUebersetzung,2,FALSE)</f>
        <v>Exif.CanonSi.</v>
      </c>
      <c r="E160" s="5" t="str">
        <f>MID(F160,FIND(".",F160,6)+1,99)</f>
        <v>AFPointUsed</v>
      </c>
      <c r="F160" s="5" t="s">
        <v>138</v>
      </c>
      <c r="G160" s="5" t="s">
        <v>9664</v>
      </c>
      <c r="H160" s="6" t="s">
        <v>2253</v>
      </c>
      <c r="I160" s="31" t="s">
        <v>5052</v>
      </c>
      <c r="J160" s="8" t="s">
        <v>3812</v>
      </c>
      <c r="K160" s="26"/>
      <c r="N160" s="6" t="str">
        <f>IF(AND(TRIM(I160)="",L160=""),"Suffix not translated ",
   IF(AND(TRIM(I160)&lt;&gt;"",TRIM(L160)&lt;&gt;"",TRIM(I160)&lt;&gt;TRIM(L160)),"Suffix translation &lt;&gt; lookup ", "" ))
&amp;IF(AND(TRIM(J160)="",M160=""),"Description not translated ",
   IF(AND(TRIM(J160)&lt;&gt;"",TRIM(M160)&lt;&gt;"",TRIM(J160)&lt;&gt;TRIM(M160)),"Description translation&lt;&gt; lookup ", "" ))</f>
        <v/>
      </c>
      <c r="O160" s="6" t="s">
        <v>8574</v>
      </c>
      <c r="P160" s="6" t="s">
        <v>8574</v>
      </c>
      <c r="Q160" s="6" t="s">
        <v>9109</v>
      </c>
    </row>
    <row r="161" spans="1:17" x14ac:dyDescent="0.25">
      <c r="A161" s="5" t="str">
        <f>IF(TRIM(I161)="","",E161)</f>
        <v>ApertureValue</v>
      </c>
      <c r="B161" s="5" t="str">
        <f>IF(TRIM(J161)="","",H161)</f>
        <v>Aperture</v>
      </c>
      <c r="C161" s="5" t="str">
        <f>LEFT(F161,FIND(".",F161,6))</f>
        <v>Exif.CanonSi.</v>
      </c>
      <c r="D161" s="5" t="str">
        <f>VLOOKUP(C161,PrefixUebersetzung,2,FALSE)</f>
        <v>Exif.CanonSi.</v>
      </c>
      <c r="E161" s="5" t="str">
        <f>MID(F161,FIND(".",F161,6)+1,99)</f>
        <v>ApertureValue</v>
      </c>
      <c r="F161" s="5" t="s">
        <v>139</v>
      </c>
      <c r="G161" s="5" t="s">
        <v>9664</v>
      </c>
      <c r="H161" s="6" t="s">
        <v>2254</v>
      </c>
      <c r="I161" s="31" t="s">
        <v>3813</v>
      </c>
      <c r="J161" s="8" t="s">
        <v>3813</v>
      </c>
      <c r="K161" s="26"/>
      <c r="L161" s="6" t="str">
        <f>IFERROR(VLOOKUP(E161,A:I,9, FALSE),"")</f>
        <v>Blende</v>
      </c>
      <c r="N161" s="6" t="str">
        <f>IF(AND(TRIM(I161)="",L161=""),"Suffix not translated ",
   IF(AND(TRIM(I161)&lt;&gt;"",TRIM(L161)&lt;&gt;"",TRIM(I161)&lt;&gt;TRIM(L161)),"Suffix translation &lt;&gt; lookup ", "" ))
&amp;IF(AND(TRIM(J161)="",M161=""),"Description not translated ",
   IF(AND(TRIM(J161)&lt;&gt;"",TRIM(M161)&lt;&gt;"",TRIM(J161)&lt;&gt;TRIM(M161)),"Description translation&lt;&gt; lookup ", "" ))</f>
        <v/>
      </c>
      <c r="O161" s="6" t="s">
        <v>8574</v>
      </c>
      <c r="P161" s="6" t="s">
        <v>8574</v>
      </c>
      <c r="Q161" s="6" t="s">
        <v>3813</v>
      </c>
    </row>
    <row r="162" spans="1:17" x14ac:dyDescent="0.25">
      <c r="A162" s="5" t="str">
        <f>IF(TRIM(I162)="","",E162)</f>
        <v>AutoExposureBracketing</v>
      </c>
      <c r="B162" s="5" t="str">
        <f>IF(TRIM(J162)="","",H162)</f>
        <v>Auto exposure bracketing</v>
      </c>
      <c r="C162" s="5" t="str">
        <f>LEFT(F162,FIND(".",F162,6))</f>
        <v>Exif.CanonSi.</v>
      </c>
      <c r="D162" s="5" t="str">
        <f>VLOOKUP(C162,PrefixUebersetzung,2,FALSE)</f>
        <v>Exif.CanonSi.</v>
      </c>
      <c r="E162" s="5" t="str">
        <f>MID(F162,FIND(".",F162,6)+1,99)</f>
        <v>AutoExposureBracketing</v>
      </c>
      <c r="F162" s="11" t="s">
        <v>8632</v>
      </c>
      <c r="G162" s="5" t="s">
        <v>9664</v>
      </c>
      <c r="H162" s="11" t="s">
        <v>8633</v>
      </c>
      <c r="I162" s="24" t="s">
        <v>8786</v>
      </c>
      <c r="J162" s="8" t="s">
        <v>8786</v>
      </c>
      <c r="K162" s="26"/>
      <c r="N162" s="6" t="str">
        <f>IF(AND(TRIM(I162)="",L162=""),"Suffix not translated ",
   IF(AND(TRIM(I162)&lt;&gt;"",TRIM(L162)&lt;&gt;"",TRIM(I162)&lt;&gt;TRIM(L162)),"Suffix translation &lt;&gt; lookup ", "" ))
&amp;IF(AND(TRIM(J162)="",M162=""),"Description not translated ",
   IF(AND(TRIM(J162)&lt;&gt;"",TRIM(M162)&lt;&gt;"",TRIM(J162)&lt;&gt;TRIM(M162)),"Description translation&lt;&gt; lookup ", "" ))</f>
        <v/>
      </c>
      <c r="O162" s="6" t="s">
        <v>8574</v>
      </c>
      <c r="P162" s="6" t="s">
        <v>8574</v>
      </c>
    </row>
    <row r="163" spans="1:17" x14ac:dyDescent="0.25">
      <c r="A163" s="5" t="str">
        <f>IF(TRIM(I163)="","",E163)</f>
        <v>AutoISO</v>
      </c>
      <c r="B163" s="5" t="str">
        <f>IF(TRIM(J163)="","",H163)</f>
        <v>AutoISO</v>
      </c>
      <c r="C163" s="5" t="str">
        <f>LEFT(F163,FIND(".",F163,6))</f>
        <v>Exif.CanonSi.</v>
      </c>
      <c r="D163" s="5" t="str">
        <f>VLOOKUP(C163,PrefixUebersetzung,2,FALSE)</f>
        <v>Exif.CanonSi.</v>
      </c>
      <c r="E163" s="5" t="str">
        <f>MID(F163,FIND(".",F163,6)+1,99)</f>
        <v>AutoISO</v>
      </c>
      <c r="F163" s="11" t="s">
        <v>8634</v>
      </c>
      <c r="G163" s="5" t="s">
        <v>9664</v>
      </c>
      <c r="H163" s="11" t="s">
        <v>8635</v>
      </c>
      <c r="I163" s="5" t="s">
        <v>6971</v>
      </c>
      <c r="J163" s="8" t="s">
        <v>6971</v>
      </c>
      <c r="K163" s="26"/>
      <c r="L163" s="6" t="str">
        <f>IFERROR(VLOOKUP(E163,A:I,9, FALSE),"")</f>
        <v>Auto ISO</v>
      </c>
      <c r="N163" s="6" t="str">
        <f>IF(AND(TRIM(I163)="",L163=""),"Suffix not translated ",
   IF(AND(TRIM(I163)&lt;&gt;"",TRIM(L163)&lt;&gt;"",TRIM(I163)&lt;&gt;TRIM(L163)),"Suffix translation &lt;&gt; lookup ", "" ))
&amp;IF(AND(TRIM(J163)="",M163=""),"Description not translated ",
   IF(AND(TRIM(J163)&lt;&gt;"",TRIM(M163)&lt;&gt;"",TRIM(J163)&lt;&gt;TRIM(M163)),"Description translation&lt;&gt; lookup ", "" ))</f>
        <v/>
      </c>
      <c r="O163" s="6" t="s">
        <v>8574</v>
      </c>
      <c r="P163" s="6" t="s">
        <v>8574</v>
      </c>
    </row>
    <row r="164" spans="1:17" x14ac:dyDescent="0.25">
      <c r="A164" s="5" t="str">
        <f>IF(TRIM(I164)="","",E164)</f>
        <v>AutoRotate</v>
      </c>
      <c r="B164" s="5" t="str">
        <f>IF(TRIM(J164)="","",H164)</f>
        <v>Auto rotate</v>
      </c>
      <c r="C164" s="5" t="str">
        <f>LEFT(F164,FIND(".",F164,6))</f>
        <v>Exif.CanonSi.</v>
      </c>
      <c r="D164" s="5" t="str">
        <f>VLOOKUP(C164,PrefixUebersetzung,2,FALSE)</f>
        <v>Exif.CanonSi.</v>
      </c>
      <c r="E164" s="5" t="str">
        <f>MID(F164,FIND(".",F164,6)+1,99)</f>
        <v>AutoRotate</v>
      </c>
      <c r="F164" s="11" t="s">
        <v>8636</v>
      </c>
      <c r="G164" s="5" t="s">
        <v>9665</v>
      </c>
      <c r="H164" s="11" t="s">
        <v>8637</v>
      </c>
      <c r="I164" s="7" t="s">
        <v>8741</v>
      </c>
      <c r="J164" s="14" t="s">
        <v>8741</v>
      </c>
      <c r="K164" s="26"/>
      <c r="N164" s="6" t="str">
        <f>IF(AND(TRIM(I164)="",L164=""),"Suffix not translated ",
   IF(AND(TRIM(I164)&lt;&gt;"",TRIM(L164)&lt;&gt;"",TRIM(I164)&lt;&gt;TRIM(L164)),"Suffix translation &lt;&gt; lookup ", "" ))
&amp;IF(AND(TRIM(J164)="",M164=""),"Description not translated ",
   IF(AND(TRIM(J164)&lt;&gt;"",TRIM(M164)&lt;&gt;"",TRIM(J164)&lt;&gt;TRIM(M164)),"Description translation&lt;&gt; lookup ", "" ))</f>
        <v/>
      </c>
      <c r="O164" s="6" t="s">
        <v>8574</v>
      </c>
      <c r="P164" s="6" t="s">
        <v>8574</v>
      </c>
    </row>
    <row r="165" spans="1:17" x14ac:dyDescent="0.25">
      <c r="A165" s="5" t="str">
        <f>IF(TRIM(I165)="","",E165)</f>
        <v>BulbDuration</v>
      </c>
      <c r="B165" s="5" t="str">
        <f>IF(TRIM(J165)="","",H165)</f>
        <v>Bulb duration</v>
      </c>
      <c r="C165" s="5" t="str">
        <f>LEFT(F165,FIND(".",F165,6))</f>
        <v>Exif.CanonSi.</v>
      </c>
      <c r="D165" s="5" t="str">
        <f>VLOOKUP(C165,PrefixUebersetzung,2,FALSE)</f>
        <v>Exif.CanonSi.</v>
      </c>
      <c r="E165" s="5" t="str">
        <f>MID(F165,FIND(".",F165,6)+1,99)</f>
        <v>BulbDuration</v>
      </c>
      <c r="F165" s="11" t="s">
        <v>8638</v>
      </c>
      <c r="G165" s="5" t="s">
        <v>9664</v>
      </c>
      <c r="H165" s="11" t="s">
        <v>8639</v>
      </c>
      <c r="I165" s="7" t="s">
        <v>8742</v>
      </c>
      <c r="J165" s="14" t="s">
        <v>8742</v>
      </c>
      <c r="K165" s="26"/>
      <c r="N165" s="6" t="str">
        <f>IF(AND(TRIM(I165)="",L165=""),"Suffix not translated ",
   IF(AND(TRIM(I165)&lt;&gt;"",TRIM(L165)&lt;&gt;"",TRIM(I165)&lt;&gt;TRIM(L165)),"Suffix translation &lt;&gt; lookup ", "" ))
&amp;IF(AND(TRIM(J165)="",M165=""),"Description not translated ",
   IF(AND(TRIM(J165)&lt;&gt;"",TRIM(M165)&lt;&gt;"",TRIM(J165)&lt;&gt;TRIM(M165)),"Description translation&lt;&gt; lookup ", "" ))</f>
        <v/>
      </c>
      <c r="O165" s="6" t="s">
        <v>8574</v>
      </c>
      <c r="P165" s="6" t="s">
        <v>8574</v>
      </c>
    </row>
    <row r="166" spans="1:17" x14ac:dyDescent="0.25">
      <c r="A166" s="5" t="str">
        <f>IF(TRIM(I166)="","",E166)</f>
        <v>CameraTemperature</v>
      </c>
      <c r="B166" s="5" t="str">
        <f>IF(TRIM(J166)="","",H166)</f>
        <v>Camera temperature</v>
      </c>
      <c r="C166" s="5" t="str">
        <f>LEFT(F166,FIND(".",F166,6))</f>
        <v>Exif.CanonSi.</v>
      </c>
      <c r="D166" s="5" t="str">
        <f>VLOOKUP(C166,PrefixUebersetzung,2,FALSE)</f>
        <v>Exif.CanonSi.</v>
      </c>
      <c r="E166" s="5" t="str">
        <f>MID(F166,FIND(".",F166,6)+1,99)</f>
        <v>CameraTemperature</v>
      </c>
      <c r="F166" s="11" t="s">
        <v>8640</v>
      </c>
      <c r="G166" s="5" t="s">
        <v>9665</v>
      </c>
      <c r="H166" s="11" t="s">
        <v>3022</v>
      </c>
      <c r="I166" s="7" t="s">
        <v>4427</v>
      </c>
      <c r="J166" s="8" t="s">
        <v>4427</v>
      </c>
      <c r="K166" s="26"/>
      <c r="L166" s="6" t="str">
        <f>IFERROR(VLOOKUP(E166,A:I,9, FALSE),"")</f>
        <v>Kameratemperatur</v>
      </c>
      <c r="M166" s="6" t="str">
        <f>IFERROR(VLOOKUP(H166,B:J,9,FALSE),"")</f>
        <v>Kameratemperatur</v>
      </c>
      <c r="N166" s="6" t="str">
        <f>IF(AND(TRIM(I166)="",L166=""),"Suffix not translated ",
   IF(AND(TRIM(I166)&lt;&gt;"",TRIM(L166)&lt;&gt;"",TRIM(I166)&lt;&gt;TRIM(L166)),"Suffix translation &lt;&gt; lookup ", "" ))
&amp;IF(AND(TRIM(J166)="",M166=""),"Description not translated ",
   IF(AND(TRIM(J166)&lt;&gt;"",TRIM(M166)&lt;&gt;"",TRIM(J166)&lt;&gt;TRIM(M166)),"Description translation&lt;&gt; lookup ", "" ))</f>
        <v/>
      </c>
      <c r="O166" s="6" t="s">
        <v>8574</v>
      </c>
      <c r="P166" s="6" t="s">
        <v>8574</v>
      </c>
      <c r="Q166" s="6" t="s">
        <v>4427</v>
      </c>
    </row>
    <row r="167" spans="1:17" x14ac:dyDescent="0.25">
      <c r="A167" s="5" t="str">
        <f>IF(TRIM(I167)="","",E167)</f>
        <v>CameraType</v>
      </c>
      <c r="B167" s="5" t="str">
        <f>IF(TRIM(J167)="","",H167)</f>
        <v>Camera type</v>
      </c>
      <c r="C167" s="5" t="str">
        <f>LEFT(F167,FIND(".",F167,6))</f>
        <v>Exif.CanonSi.</v>
      </c>
      <c r="D167" s="5" t="str">
        <f>VLOOKUP(C167,PrefixUebersetzung,2,FALSE)</f>
        <v>Exif.CanonSi.</v>
      </c>
      <c r="E167" s="5" t="str">
        <f>MID(F167,FIND(".",F167,6)+1,99)</f>
        <v>CameraType</v>
      </c>
      <c r="F167" s="11" t="s">
        <v>8641</v>
      </c>
      <c r="G167" s="5" t="s">
        <v>9664</v>
      </c>
      <c r="H167" s="11" t="s">
        <v>2752</v>
      </c>
      <c r="I167" s="7" t="s">
        <v>4364</v>
      </c>
      <c r="J167" s="8" t="s">
        <v>4364</v>
      </c>
      <c r="K167" s="26"/>
      <c r="L167" s="6" t="str">
        <f>IFERROR(VLOOKUP(E167,A:I,9, FALSE),"")</f>
        <v>Kameratyp</v>
      </c>
      <c r="M167" s="6" t="str">
        <f>IFERROR(VLOOKUP(H167,B:J,9,FALSE),"")</f>
        <v>Kameratyp</v>
      </c>
      <c r="N167" s="6" t="str">
        <f>IF(AND(TRIM(I167)="",L167=""),"Suffix not translated ",
   IF(AND(TRIM(I167)&lt;&gt;"",TRIM(L167)&lt;&gt;"",TRIM(I167)&lt;&gt;TRIM(L167)),"Suffix translation &lt;&gt; lookup ", "" ))
&amp;IF(AND(TRIM(J167)="",M167=""),"Description not translated ",
   IF(AND(TRIM(J167)&lt;&gt;"",TRIM(M167)&lt;&gt;"",TRIM(J167)&lt;&gt;TRIM(M167)),"Description translation&lt;&gt; lookup ", "" ))</f>
        <v/>
      </c>
      <c r="O167" s="6" t="s">
        <v>8574</v>
      </c>
      <c r="P167" s="6" t="s">
        <v>8574</v>
      </c>
      <c r="Q167" s="6" t="s">
        <v>4364</v>
      </c>
    </row>
    <row r="168" spans="1:17" x14ac:dyDescent="0.25">
      <c r="A168" s="5" t="str">
        <f>IF(TRIM(I168)="","",E168)</f>
        <v>FlashBias</v>
      </c>
      <c r="B168" s="5" t="str">
        <f>IF(TRIM(J168)="","",H168)</f>
        <v>Flash bias</v>
      </c>
      <c r="C168" s="5" t="str">
        <f>LEFT(F168,FIND(".",F168,6))</f>
        <v>Exif.CanonSi.</v>
      </c>
      <c r="D168" s="5" t="str">
        <f>VLOOKUP(C168,PrefixUebersetzung,2,FALSE)</f>
        <v>Exif.CanonSi.</v>
      </c>
      <c r="E168" s="5" t="str">
        <f>MID(F168,FIND(".",F168,6)+1,99)</f>
        <v>FlashBias</v>
      </c>
      <c r="F168" s="5" t="s">
        <v>140</v>
      </c>
      <c r="G168" s="5" t="s">
        <v>9664</v>
      </c>
      <c r="H168" s="6" t="s">
        <v>2255</v>
      </c>
      <c r="I168" s="31" t="s">
        <v>3814</v>
      </c>
      <c r="J168" s="8" t="s">
        <v>3814</v>
      </c>
      <c r="K168" s="26"/>
      <c r="L168" s="6" t="str">
        <f>IFERROR(VLOOKUP(E168,A:I,9, FALSE),"")</f>
        <v>Blitzkorrektur</v>
      </c>
      <c r="M168" s="6" t="str">
        <f>IFERROR(VLOOKUP(H168,B:J,9,FALSE),"")</f>
        <v>Blitzkorrektur</v>
      </c>
      <c r="N168" s="6" t="str">
        <f>IF(AND(TRIM(I168)="",L168=""),"Suffix not translated ",
   IF(AND(TRIM(I168)&lt;&gt;"",TRIM(L168)&lt;&gt;"",TRIM(I168)&lt;&gt;TRIM(L168)),"Suffix translation &lt;&gt; lookup ", "" ))
&amp;IF(AND(TRIM(J168)="",M168=""),"Description not translated ",
   IF(AND(TRIM(J168)&lt;&gt;"",TRIM(M168)&lt;&gt;"",TRIM(J168)&lt;&gt;TRIM(M168)),"Description translation&lt;&gt; lookup ", "" ))</f>
        <v/>
      </c>
      <c r="O168" s="6" t="s">
        <v>8574</v>
      </c>
      <c r="P168" s="6" t="s">
        <v>8574</v>
      </c>
      <c r="Q168" s="6" t="s">
        <v>9305</v>
      </c>
    </row>
    <row r="169" spans="1:17" x14ac:dyDescent="0.25">
      <c r="A169" s="5" t="str">
        <f>IF(TRIM(I169)="","",E169)</f>
        <v>FlashGuideNumber</v>
      </c>
      <c r="B169" s="5" t="str">
        <f>IF(TRIM(J169)="","",H169)</f>
        <v>Flash guide number</v>
      </c>
      <c r="C169" s="5" t="str">
        <f>LEFT(F169,FIND(".",F169,6))</f>
        <v>Exif.CanonSi.</v>
      </c>
      <c r="D169" s="5" t="str">
        <f>VLOOKUP(C169,PrefixUebersetzung,2,FALSE)</f>
        <v>Exif.CanonSi.</v>
      </c>
      <c r="E169" s="5" t="str">
        <f>MID(F169,FIND(".",F169,6)+1,99)</f>
        <v>FlashGuideNumber</v>
      </c>
      <c r="F169" s="11" t="s">
        <v>8642</v>
      </c>
      <c r="G169" s="5" t="s">
        <v>9664</v>
      </c>
      <c r="H169" s="11" t="s">
        <v>8643</v>
      </c>
      <c r="I169" s="7" t="s">
        <v>8744</v>
      </c>
      <c r="J169" s="14" t="s">
        <v>8744</v>
      </c>
      <c r="K169" s="26"/>
      <c r="N169" s="6" t="str">
        <f>IF(AND(TRIM(I169)="",L169=""),"Suffix not translated ",
   IF(AND(TRIM(I169)&lt;&gt;"",TRIM(L169)&lt;&gt;"",TRIM(I169)&lt;&gt;TRIM(L169)),"Suffix translation &lt;&gt; lookup ", "" ))
&amp;IF(AND(TRIM(J169)="",M169=""),"Description not translated ",
   IF(AND(TRIM(J169)&lt;&gt;"",TRIM(M169)&lt;&gt;"",TRIM(J169)&lt;&gt;TRIM(M169)),"Description translation&lt;&gt; lookup ", "" ))</f>
        <v/>
      </c>
      <c r="O169" s="6" t="s">
        <v>8574</v>
      </c>
      <c r="P169" s="6" t="s">
        <v>8574</v>
      </c>
    </row>
    <row r="170" spans="1:17" x14ac:dyDescent="0.25">
      <c r="A170" s="5" t="str">
        <f>IF(TRIM(I170)="","",E170)</f>
        <v/>
      </c>
      <c r="B170" s="5" t="str">
        <f>IF(TRIM(J170)="","",H170)</f>
        <v>ISO speed used</v>
      </c>
      <c r="C170" s="5" t="str">
        <f>LEFT(F170,FIND(".",F170,6))</f>
        <v>Exif.CanonSi.</v>
      </c>
      <c r="D170" s="5" t="str">
        <f>VLOOKUP(C170,PrefixUebersetzung,2,FALSE)</f>
        <v>Exif.CanonSi.</v>
      </c>
      <c r="E170" s="5" t="str">
        <f>MID(F170,FIND(".",F170,6)+1,99)</f>
        <v>ISOSpeed</v>
      </c>
      <c r="F170" s="5" t="s">
        <v>141</v>
      </c>
      <c r="G170" s="5" t="s">
        <v>9664</v>
      </c>
      <c r="H170" s="6" t="s">
        <v>2256</v>
      </c>
      <c r="J170" s="8" t="s">
        <v>3815</v>
      </c>
      <c r="K170" s="26"/>
      <c r="L170" s="6" t="str">
        <f>IFERROR(VLOOKUP(E170,A:I,9, FALSE),"")</f>
        <v>ISO-Empfindlichkeit</v>
      </c>
      <c r="N170" s="6" t="str">
        <f>IF(AND(TRIM(I170)="",L170=""),"Suffix not translated ",
   IF(AND(TRIM(I170)&lt;&gt;"",TRIM(L170)&lt;&gt;"",TRIM(I170)&lt;&gt;TRIM(L170)),"Suffix translation &lt;&gt; lookup ", "" ))
&amp;IF(AND(TRIM(J170)="",M170=""),"Description not translated ",
   IF(AND(TRIM(J170)&lt;&gt;"",TRIM(M170)&lt;&gt;"",TRIM(J170)&lt;&gt;TRIM(M170)),"Description translation&lt;&gt; lookup ", "" ))</f>
        <v/>
      </c>
      <c r="P170" s="6" t="s">
        <v>8574</v>
      </c>
      <c r="Q170" s="6" t="s">
        <v>9347</v>
      </c>
    </row>
    <row r="171" spans="1:17" x14ac:dyDescent="0.25">
      <c r="A171" s="5" t="str">
        <f>IF(TRIM(I171)="","",E171)</f>
        <v>MeasuredEV</v>
      </c>
      <c r="B171" s="5" t="str">
        <f>IF(TRIM(J171)="","",H171)</f>
        <v>Measured EV</v>
      </c>
      <c r="C171" s="5" t="str">
        <f>LEFT(F171,FIND(".",F171,6))</f>
        <v>Exif.CanonSi.</v>
      </c>
      <c r="D171" s="5" t="str">
        <f>VLOOKUP(C171,PrefixUebersetzung,2,FALSE)</f>
        <v>Exif.CanonSi.</v>
      </c>
      <c r="E171" s="5" t="str">
        <f>MID(F171,FIND(".",F171,6)+1,99)</f>
        <v>MeasuredEV</v>
      </c>
      <c r="F171" s="5" t="s">
        <v>142</v>
      </c>
      <c r="G171" s="5" t="s">
        <v>9664</v>
      </c>
      <c r="H171" s="6" t="s">
        <v>2257</v>
      </c>
      <c r="I171" s="31" t="s">
        <v>3816</v>
      </c>
      <c r="J171" s="8" t="s">
        <v>3816</v>
      </c>
      <c r="K171" s="26"/>
      <c r="N171" s="6" t="str">
        <f>IF(AND(TRIM(I171)="",L171=""),"Suffix not translated ",
   IF(AND(TRIM(I171)&lt;&gt;"",TRIM(L171)&lt;&gt;"",TRIM(I171)&lt;&gt;TRIM(L171)),"Suffix translation &lt;&gt; lookup ", "" ))
&amp;IF(AND(TRIM(J171)="",M171=""),"Description not translated ",
   IF(AND(TRIM(J171)&lt;&gt;"",TRIM(M171)&lt;&gt;"",TRIM(J171)&lt;&gt;TRIM(M171)),"Description translation&lt;&gt; lookup ", "" ))</f>
        <v/>
      </c>
      <c r="O171" s="6" t="s">
        <v>8574</v>
      </c>
      <c r="P171" s="6" t="s">
        <v>8574</v>
      </c>
    </row>
    <row r="172" spans="1:17" x14ac:dyDescent="0.25">
      <c r="A172" s="5" t="str">
        <f>IF(TRIM(I172)="","",E172)</f>
        <v>MeasuredEV2</v>
      </c>
      <c r="B172" s="5" t="str">
        <f>IF(TRIM(J172)="","",H172)</f>
        <v>Measured EV 2</v>
      </c>
      <c r="C172" s="5" t="str">
        <f>LEFT(F172,FIND(".",F172,6))</f>
        <v>Exif.CanonSi.</v>
      </c>
      <c r="D172" s="5" t="str">
        <f>VLOOKUP(C172,PrefixUebersetzung,2,FALSE)</f>
        <v>Exif.CanonSi.</v>
      </c>
      <c r="E172" s="5" t="str">
        <f>MID(F172,FIND(".",F172,6)+1,99)</f>
        <v>MeasuredEV2</v>
      </c>
      <c r="F172" s="5" t="s">
        <v>143</v>
      </c>
      <c r="G172" s="5" t="s">
        <v>9664</v>
      </c>
      <c r="H172" s="6" t="s">
        <v>2258</v>
      </c>
      <c r="I172" s="31" t="s">
        <v>3817</v>
      </c>
      <c r="J172" s="8" t="s">
        <v>3817</v>
      </c>
      <c r="K172" s="26"/>
      <c r="N172" s="6" t="str">
        <f>IF(AND(TRIM(I172)="",L172=""),"Suffix not translated ",
   IF(AND(TRIM(I172)&lt;&gt;"",TRIM(L172)&lt;&gt;"",TRIM(I172)&lt;&gt;TRIM(L172)),"Suffix translation &lt;&gt; lookup ", "" ))
&amp;IF(AND(TRIM(J172)="",M172=""),"Description not translated ",
   IF(AND(TRIM(J172)&lt;&gt;"",TRIM(M172)&lt;&gt;"",TRIM(J172)&lt;&gt;TRIM(M172)),"Description translation&lt;&gt; lookup ", "" ))</f>
        <v/>
      </c>
      <c r="O172" s="6" t="s">
        <v>8574</v>
      </c>
      <c r="P172" s="6" t="s">
        <v>8574</v>
      </c>
    </row>
    <row r="173" spans="1:17" ht="30" x14ac:dyDescent="0.25">
      <c r="A173" s="5" t="str">
        <f>IF(TRIM(I173)="","",E173)</f>
        <v>Sequence</v>
      </c>
      <c r="B173" s="5" t="str">
        <f>IF(TRIM(J173)="","",H173)</f>
        <v>Sequence number (if in a continuous burst)</v>
      </c>
      <c r="C173" s="5" t="str">
        <f>LEFT(F173,FIND(".",F173,6))</f>
        <v>Exif.CanonSi.</v>
      </c>
      <c r="D173" s="5" t="str">
        <f>VLOOKUP(C173,PrefixUebersetzung,2,FALSE)</f>
        <v>Exif.CanonSi.</v>
      </c>
      <c r="E173" s="5" t="str">
        <f>MID(F173,FIND(".",F173,6)+1,99)</f>
        <v>Sequence</v>
      </c>
      <c r="F173" s="5" t="s">
        <v>144</v>
      </c>
      <c r="G173" s="5" t="s">
        <v>9664</v>
      </c>
      <c r="H173" s="6" t="s">
        <v>2259</v>
      </c>
      <c r="I173" s="31" t="s">
        <v>3841</v>
      </c>
      <c r="J173" s="8" t="s">
        <v>3818</v>
      </c>
      <c r="K173" s="26"/>
      <c r="N173" s="6" t="str">
        <f>IF(AND(TRIM(I173)="",L173=""),"Suffix not translated ",
   IF(AND(TRIM(I173)&lt;&gt;"",TRIM(L173)&lt;&gt;"",TRIM(I173)&lt;&gt;TRIM(L173)),"Suffix translation &lt;&gt; lookup ", "" ))
&amp;IF(AND(TRIM(J173)="",M173=""),"Description not translated ",
   IF(AND(TRIM(J173)&lt;&gt;"",TRIM(M173)&lt;&gt;"",TRIM(J173)&lt;&gt;TRIM(M173)),"Description translation&lt;&gt; lookup ", "" ))</f>
        <v/>
      </c>
      <c r="O173" s="6" t="s">
        <v>8574</v>
      </c>
      <c r="P173" s="6" t="s">
        <v>8574</v>
      </c>
      <c r="Q173" s="6" t="s">
        <v>9480</v>
      </c>
    </row>
    <row r="174" spans="1:17" x14ac:dyDescent="0.25">
      <c r="A174" s="5" t="str">
        <f>IF(TRIM(I174)="","",E174)</f>
        <v>ShutterSpeedValue</v>
      </c>
      <c r="B174" s="5" t="str">
        <f>IF(TRIM(J174)="","",H174)</f>
        <v>Shutter speed</v>
      </c>
      <c r="C174" s="5" t="str">
        <f>LEFT(F174,FIND(".",F174,6))</f>
        <v>Exif.CanonSi.</v>
      </c>
      <c r="D174" s="5" t="str">
        <f>VLOOKUP(C174,PrefixUebersetzung,2,FALSE)</f>
        <v>Exif.CanonSi.</v>
      </c>
      <c r="E174" s="5" t="str">
        <f>MID(F174,FIND(".",F174,6)+1,99)</f>
        <v>ShutterSpeedValue</v>
      </c>
      <c r="F174" s="5" t="s">
        <v>145</v>
      </c>
      <c r="G174" s="5" t="s">
        <v>9664</v>
      </c>
      <c r="H174" s="6" t="s">
        <v>2260</v>
      </c>
      <c r="I174" s="31" t="s">
        <v>3819</v>
      </c>
      <c r="J174" s="8" t="s">
        <v>3819</v>
      </c>
      <c r="K174" s="26"/>
      <c r="L174" s="6" t="str">
        <f>IFERROR(VLOOKUP(E174,A:I,9, FALSE),"")</f>
        <v>Verschlusszeit</v>
      </c>
      <c r="N174" s="6" t="str">
        <f>IF(AND(TRIM(I174)="",L174=""),"Suffix not translated ",
   IF(AND(TRIM(I174)&lt;&gt;"",TRIM(L174)&lt;&gt;"",TRIM(I174)&lt;&gt;TRIM(L174)),"Suffix translation &lt;&gt; lookup ", "" ))
&amp;IF(AND(TRIM(J174)="",M174=""),"Description not translated ",
   IF(AND(TRIM(J174)&lt;&gt;"",TRIM(M174)&lt;&gt;"",TRIM(J174)&lt;&gt;TRIM(M174)),"Description translation&lt;&gt; lookup ", "" ))</f>
        <v/>
      </c>
      <c r="O174" s="6" t="s">
        <v>8574</v>
      </c>
      <c r="P174" s="6" t="s">
        <v>8574</v>
      </c>
      <c r="Q174" s="6" t="s">
        <v>9486</v>
      </c>
    </row>
    <row r="175" spans="1:17" x14ac:dyDescent="0.25">
      <c r="A175" s="5" t="str">
        <f>IF(TRIM(I175)="","",E175)</f>
        <v/>
      </c>
      <c r="B175" s="5" t="str">
        <f>IF(TRIM(J175)="","",H175)</f>
        <v>Slow shutter</v>
      </c>
      <c r="C175" s="5" t="str">
        <f>LEFT(F175,FIND(".",F175,6))</f>
        <v>Exif.CanonSi.</v>
      </c>
      <c r="D175" s="5" t="str">
        <f>VLOOKUP(C175,PrefixUebersetzung,2,FALSE)</f>
        <v>Exif.CanonSi.</v>
      </c>
      <c r="E175" s="5" t="str">
        <f>MID(F175,FIND(".",F175,6)+1,99)</f>
        <v>SlowShutter</v>
      </c>
      <c r="F175" s="11" t="s">
        <v>8644</v>
      </c>
      <c r="G175" s="5" t="s">
        <v>9664</v>
      </c>
      <c r="H175" s="11" t="s">
        <v>8645</v>
      </c>
      <c r="I175" s="7"/>
      <c r="J175" s="6" t="s">
        <v>9397</v>
      </c>
      <c r="K175" s="26"/>
      <c r="N175" s="6" t="str">
        <f>IF(AND(TRIM(I175)="",L175=""),"Suffix not translated ",
   IF(AND(TRIM(I175)&lt;&gt;"",TRIM(L175)&lt;&gt;"",TRIM(I175)&lt;&gt;TRIM(L175)),"Suffix translation &lt;&gt; lookup ", "" ))
&amp;IF(AND(TRIM(J175)="",M175=""),"Description not translated ",
   IF(AND(TRIM(J175)&lt;&gt;"",TRIM(M175)&lt;&gt;"",TRIM(J175)&lt;&gt;TRIM(M175)),"Description translation&lt;&gt; lookup ", "" ))</f>
        <v xml:space="preserve">Suffix not translated </v>
      </c>
      <c r="O175" s="6" t="s">
        <v>8574</v>
      </c>
      <c r="P175" s="6" t="s">
        <v>8574</v>
      </c>
      <c r="Q175" s="6" t="s">
        <v>9397</v>
      </c>
    </row>
    <row r="176" spans="1:17" x14ac:dyDescent="0.25">
      <c r="A176" s="5" t="str">
        <f>IF(TRIM(I176)="","",E176)</f>
        <v>SubjectDistance</v>
      </c>
      <c r="B176" s="5" t="str">
        <f>IF(TRIM(J176)="","",H176)</f>
        <v>Subject distance</v>
      </c>
      <c r="C176" s="5" t="str">
        <f>LEFT(F176,FIND(".",F176,6))</f>
        <v>Exif.CanonSi.</v>
      </c>
      <c r="D176" s="5" t="str">
        <f>VLOOKUP(C176,PrefixUebersetzung,2,FALSE)</f>
        <v>Exif.CanonSi.</v>
      </c>
      <c r="E176" s="5" t="str">
        <f>MID(F176,FIND(".",F176,6)+1,99)</f>
        <v>SubjectDistance</v>
      </c>
      <c r="F176" s="5" t="s">
        <v>146</v>
      </c>
      <c r="G176" s="5" t="s">
        <v>9664</v>
      </c>
      <c r="H176" s="6" t="s">
        <v>9611</v>
      </c>
      <c r="I176" s="7" t="s">
        <v>4292</v>
      </c>
      <c r="J176" s="8" t="s">
        <v>9612</v>
      </c>
      <c r="K176" s="26"/>
      <c r="L176" s="6" t="str">
        <f>IFERROR(VLOOKUP(E176,A:I,9, FALSE),"")</f>
        <v>Motivabstand</v>
      </c>
      <c r="N176" s="6" t="str">
        <f>IF(AND(TRIM(I176)="",L176=""),"Suffix not translated ",
   IF(AND(TRIM(I176)&lt;&gt;"",TRIM(L176)&lt;&gt;"",TRIM(I176)&lt;&gt;TRIM(L176)),"Suffix translation &lt;&gt; lookup ", "" ))
&amp;IF(AND(TRIM(J176)="",M176=""),"Description not translated ",
   IF(AND(TRIM(J176)&lt;&gt;"",TRIM(M176)&lt;&gt;"",TRIM(J176)&lt;&gt;TRIM(M176)),"Description translation&lt;&gt; lookup ", "" ))</f>
        <v/>
      </c>
      <c r="O176" s="6" t="s">
        <v>8574</v>
      </c>
      <c r="P176" s="6" t="s">
        <v>8574</v>
      </c>
    </row>
    <row r="177" spans="1:17" x14ac:dyDescent="0.25">
      <c r="A177" s="5" t="str">
        <f>IF(TRIM(I177)="","",E177)</f>
        <v>TargetAperture</v>
      </c>
      <c r="B177" s="5" t="str">
        <f>IF(TRIM(J177)="","",H177)</f>
        <v>Target Aperture</v>
      </c>
      <c r="C177" s="5" t="str">
        <f>LEFT(F177,FIND(".",F177,6))</f>
        <v>Exif.CanonSi.</v>
      </c>
      <c r="D177" s="5" t="str">
        <f>VLOOKUP(C177,PrefixUebersetzung,2,FALSE)</f>
        <v>Exif.CanonSi.</v>
      </c>
      <c r="E177" s="5" t="str">
        <f>MID(F177,FIND(".",F177,6)+1,99)</f>
        <v>TargetAperture</v>
      </c>
      <c r="F177" s="5" t="s">
        <v>147</v>
      </c>
      <c r="G177" s="5" t="s">
        <v>9664</v>
      </c>
      <c r="H177" s="6" t="s">
        <v>2261</v>
      </c>
      <c r="I177" s="31" t="s">
        <v>5053</v>
      </c>
      <c r="J177" s="8" t="s">
        <v>3820</v>
      </c>
      <c r="K177" s="26"/>
      <c r="N177" s="6" t="str">
        <f>IF(AND(TRIM(I177)="",L177=""),"Suffix not translated ",
   IF(AND(TRIM(I177)&lt;&gt;"",TRIM(L177)&lt;&gt;"",TRIM(I177)&lt;&gt;TRIM(L177)),"Suffix translation &lt;&gt; lookup ", "" ))
&amp;IF(AND(TRIM(J177)="",M177=""),"Description not translated ",
   IF(AND(TRIM(J177)&lt;&gt;"",TRIM(M177)&lt;&gt;"",TRIM(J177)&lt;&gt;TRIM(M177)),"Description translation&lt;&gt; lookup ", "" ))</f>
        <v/>
      </c>
      <c r="O177" s="6" t="s">
        <v>8574</v>
      </c>
      <c r="P177" s="6" t="s">
        <v>8574</v>
      </c>
      <c r="Q177" s="6" t="s">
        <v>9513</v>
      </c>
    </row>
    <row r="178" spans="1:17" x14ac:dyDescent="0.25">
      <c r="A178" s="5" t="str">
        <f>IF(TRIM(I178)="","",E178)</f>
        <v>TargetShutterSpeed</v>
      </c>
      <c r="B178" s="5" t="str">
        <f>IF(TRIM(J178)="","",H178)</f>
        <v>Target shutter speed</v>
      </c>
      <c r="C178" s="5" t="str">
        <f>LEFT(F178,FIND(".",F178,6))</f>
        <v>Exif.CanonSi.</v>
      </c>
      <c r="D178" s="5" t="str">
        <f>VLOOKUP(C178,PrefixUebersetzung,2,FALSE)</f>
        <v>Exif.CanonSi.</v>
      </c>
      <c r="E178" s="5" t="str">
        <f>MID(F178,FIND(".",F178,6)+1,99)</f>
        <v>TargetShutterSpeed</v>
      </c>
      <c r="F178" s="5" t="s">
        <v>148</v>
      </c>
      <c r="G178" s="5" t="s">
        <v>9664</v>
      </c>
      <c r="H178" s="6" t="s">
        <v>2262</v>
      </c>
      <c r="I178" s="31" t="s">
        <v>5054</v>
      </c>
      <c r="J178" s="8" t="s">
        <v>3821</v>
      </c>
      <c r="K178" s="26"/>
      <c r="N178" s="6" t="str">
        <f>IF(AND(TRIM(I178)="",L178=""),"Suffix not translated ",
   IF(AND(TRIM(I178)&lt;&gt;"",TRIM(L178)&lt;&gt;"",TRIM(I178)&lt;&gt;TRIM(L178)),"Suffix translation &lt;&gt; lookup ", "" ))
&amp;IF(AND(TRIM(J178)="",M178=""),"Description not translated ",
   IF(AND(TRIM(J178)&lt;&gt;"",TRIM(M178)&lt;&gt;"",TRIM(J178)&lt;&gt;TRIM(M178)),"Description translation&lt;&gt; lookup ", "" ))</f>
        <v/>
      </c>
      <c r="O178" s="6" t="s">
        <v>8574</v>
      </c>
      <c r="P178" s="6" t="s">
        <v>8574</v>
      </c>
      <c r="Q178" s="6" t="s">
        <v>9514</v>
      </c>
    </row>
    <row r="179" spans="1:17" x14ac:dyDescent="0.25">
      <c r="A179" s="5" t="str">
        <f>IF(TRIM(I179)="","",E179)</f>
        <v/>
      </c>
      <c r="B179" s="5" t="str">
        <f>IF(TRIM(J179)="","",H179)</f>
        <v>White balance setting</v>
      </c>
      <c r="C179" s="5" t="str">
        <f>LEFT(F179,FIND(".",F179,6))</f>
        <v>Exif.CanonSi.</v>
      </c>
      <c r="D179" s="5" t="str">
        <f>VLOOKUP(C179,PrefixUebersetzung,2,FALSE)</f>
        <v>Exif.CanonSi.</v>
      </c>
      <c r="E179" s="5" t="str">
        <f>MID(F179,FIND(".",F179,6)+1,99)</f>
        <v>WhiteBalance</v>
      </c>
      <c r="F179" s="5" t="s">
        <v>149</v>
      </c>
      <c r="G179" s="5" t="s">
        <v>9664</v>
      </c>
      <c r="H179" s="6" t="s">
        <v>2263</v>
      </c>
      <c r="J179" s="8" t="s">
        <v>3844</v>
      </c>
      <c r="K179" s="26"/>
      <c r="L179" s="6" t="str">
        <f>IFERROR(VLOOKUP(E179,A:I,9, FALSE),"")</f>
        <v>Weißabgleich</v>
      </c>
      <c r="M179" s="6" t="str">
        <f>IFERROR(VLOOKUP(H179,B:J,9,FALSE),"")</f>
        <v>Weißabgleich-Einstellung</v>
      </c>
      <c r="N179" s="6" t="str">
        <f>IF(AND(TRIM(I179)="",L179=""),"Suffix not translated ",
   IF(AND(TRIM(I179)&lt;&gt;"",TRIM(L179)&lt;&gt;"",TRIM(I179)&lt;&gt;TRIM(L179)),"Suffix translation &lt;&gt; lookup ", "" ))
&amp;IF(AND(TRIM(J179)="",M179=""),"Description not translated ",
   IF(AND(TRIM(J179)&lt;&gt;"",TRIM(M179)&lt;&gt;"",TRIM(J179)&lt;&gt;TRIM(M179)),"Description translation&lt;&gt; lookup ", "" ))</f>
        <v/>
      </c>
      <c r="P179" s="6" t="s">
        <v>8574</v>
      </c>
      <c r="Q179" s="6" t="s">
        <v>9559</v>
      </c>
    </row>
    <row r="180" spans="1:17" x14ac:dyDescent="0.25">
      <c r="A180" s="5" t="str">
        <f>IF(TRIM(I180)="","",E180)</f>
        <v>DaylightSavings</v>
      </c>
      <c r="B180" s="5" t="str">
        <f>IF(TRIM(J180)="","",H180)</f>
        <v>Daylight Saving Time</v>
      </c>
      <c r="C180" s="5" t="str">
        <f>LEFT(F180,FIND(".",F180,6))</f>
        <v>Exif.CanonTi.</v>
      </c>
      <c r="D180" s="5" t="str">
        <f>VLOOKUP(C180,PrefixUebersetzung,2,FALSE)</f>
        <v>Exif.CanonTi.</v>
      </c>
      <c r="E180" s="5" t="str">
        <f>MID(F180,FIND(".",F180,6)+1,99)</f>
        <v>DaylightSavings</v>
      </c>
      <c r="F180" s="2" t="s">
        <v>7995</v>
      </c>
      <c r="G180" s="5" t="s">
        <v>9668</v>
      </c>
      <c r="H180" s="3" t="s">
        <v>7996</v>
      </c>
      <c r="I180" s="7" t="s">
        <v>3980</v>
      </c>
      <c r="J180" s="8" t="s">
        <v>3980</v>
      </c>
      <c r="K180" s="26"/>
      <c r="L180" s="6" t="str">
        <f>IFERROR(VLOOKUP(E180,A:I,9, FALSE),"")</f>
        <v>Sommerzeit</v>
      </c>
      <c r="N180" s="6" t="str">
        <f>IF(AND(TRIM(I180)="",L180=""),"Suffix not translated ",
   IF(AND(TRIM(I180)&lt;&gt;"",TRIM(L180)&lt;&gt;"",TRIM(I180)&lt;&gt;TRIM(L180)),"Suffix translation &lt;&gt; lookup ", "" ))
&amp;IF(AND(TRIM(J180)="",M180=""),"Description not translated ",
   IF(AND(TRIM(J180)&lt;&gt;"",TRIM(M180)&lt;&gt;"",TRIM(J180)&lt;&gt;TRIM(M180)),"Description translation&lt;&gt; lookup ", "" ))</f>
        <v/>
      </c>
      <c r="O180" s="6" t="s">
        <v>8574</v>
      </c>
      <c r="P180" s="6" t="s">
        <v>8574</v>
      </c>
      <c r="Q180" s="6" t="s">
        <v>9234</v>
      </c>
    </row>
    <row r="181" spans="1:17" x14ac:dyDescent="0.25">
      <c r="A181" s="5" t="str">
        <f>IF(TRIM(I181)="","",E181)</f>
        <v>TimeZone</v>
      </c>
      <c r="B181" s="5" t="str">
        <f>IF(TRIM(J181)="","",H181)</f>
        <v>Time zone offset in minutes</v>
      </c>
      <c r="C181" s="5" t="str">
        <f>LEFT(F181,FIND(".",F181,6))</f>
        <v>Exif.CanonTi.</v>
      </c>
      <c r="D181" s="5" t="str">
        <f>VLOOKUP(C181,PrefixUebersetzung,2,FALSE)</f>
        <v>Exif.CanonTi.</v>
      </c>
      <c r="E181" s="5" t="str">
        <f>MID(F181,FIND(".",F181,6)+1,99)</f>
        <v>TimeZone</v>
      </c>
      <c r="F181" s="2" t="s">
        <v>7997</v>
      </c>
      <c r="G181" s="5" t="s">
        <v>9668</v>
      </c>
      <c r="H181" s="3" t="s">
        <v>7998</v>
      </c>
      <c r="I181" s="7" t="s">
        <v>3981</v>
      </c>
      <c r="J181" s="8" t="s">
        <v>3981</v>
      </c>
      <c r="K181" s="26"/>
      <c r="L181" s="6" t="str">
        <f>IFERROR(VLOOKUP(E181,A:I,9, FALSE),"")</f>
        <v>Zeitzone</v>
      </c>
      <c r="N181" s="6" t="str">
        <f>IF(AND(TRIM(I181)="",L181=""),"Suffix not translated ",
   IF(AND(TRIM(I181)&lt;&gt;"",TRIM(L181)&lt;&gt;"",TRIM(I181)&lt;&gt;TRIM(L181)),"Suffix translation &lt;&gt; lookup ", "" ))
&amp;IF(AND(TRIM(J181)="",M181=""),"Description not translated ",
   IF(AND(TRIM(J181)&lt;&gt;"",TRIM(M181)&lt;&gt;"",TRIM(J181)&lt;&gt;TRIM(M181)),"Description translation&lt;&gt; lookup ", "" ))</f>
        <v/>
      </c>
      <c r="O181" s="6" t="s">
        <v>8574</v>
      </c>
      <c r="P181" s="6" t="s">
        <v>8574</v>
      </c>
      <c r="Q181" s="6" t="s">
        <v>9542</v>
      </c>
    </row>
    <row r="182" spans="1:17" x14ac:dyDescent="0.25">
      <c r="A182" s="5" t="str">
        <f>IF(TRIM(I182)="","",E182)</f>
        <v>TimeZoneCity</v>
      </c>
      <c r="B182" s="5" t="str">
        <f>IF(TRIM(J182)="","",H182)</f>
        <v>Time zone city</v>
      </c>
      <c r="C182" s="5" t="str">
        <f>LEFT(F182,FIND(".",F182,6))</f>
        <v>Exif.CanonTi.</v>
      </c>
      <c r="D182" s="5" t="str">
        <f>VLOOKUP(C182,PrefixUebersetzung,2,FALSE)</f>
        <v>Exif.CanonTi.</v>
      </c>
      <c r="E182" s="5" t="str">
        <f>MID(F182,FIND(".",F182,6)+1,99)</f>
        <v>TimeZoneCity</v>
      </c>
      <c r="F182" s="2" t="s">
        <v>7999</v>
      </c>
      <c r="G182" s="5" t="s">
        <v>9668</v>
      </c>
      <c r="H182" s="3" t="s">
        <v>8000</v>
      </c>
      <c r="I182" s="7" t="s">
        <v>8569</v>
      </c>
      <c r="J182" s="8" t="s">
        <v>8567</v>
      </c>
      <c r="K182" s="26"/>
      <c r="N182" s="6" t="str">
        <f>IF(AND(TRIM(I182)="",L182=""),"Suffix not translated ",
   IF(AND(TRIM(I182)&lt;&gt;"",TRIM(L182)&lt;&gt;"",TRIM(I182)&lt;&gt;TRIM(L182)),"Suffix translation &lt;&gt; lookup ", "" ))
&amp;IF(AND(TRIM(J182)="",M182=""),"Description not translated ",
   IF(AND(TRIM(J182)&lt;&gt;"",TRIM(M182)&lt;&gt;"",TRIM(J182)&lt;&gt;TRIM(M182)),"Description translation&lt;&gt; lookup ", "" ))</f>
        <v/>
      </c>
      <c r="O182" s="6" t="s">
        <v>8574</v>
      </c>
      <c r="P182" s="6" t="s">
        <v>8574</v>
      </c>
      <c r="Q182" s="6" t="s">
        <v>9543</v>
      </c>
    </row>
    <row r="183" spans="1:17" x14ac:dyDescent="0.25">
      <c r="A183" s="5" t="str">
        <f>IF(TRIM(I183)="","",E183)</f>
        <v/>
      </c>
      <c r="B183" s="5" t="str">
        <f>IF(TRIM(J183)="","",H183)</f>
        <v>AF Point</v>
      </c>
      <c r="C183" s="5" t="str">
        <f>LEFT(F183,FIND(".",F183,6))</f>
        <v>Exif.Casio.</v>
      </c>
      <c r="D183" s="5" t="str">
        <f>VLOOKUP(C183,PrefixUebersetzung,2,FALSE)</f>
        <v>Exif.Casio.</v>
      </c>
      <c r="E183" s="5" t="str">
        <f>MID(F183,FIND(".",F183,6)+1,99)</f>
        <v>AFPoint</v>
      </c>
      <c r="F183" s="2" t="s">
        <v>6934</v>
      </c>
      <c r="G183" s="5" t="s">
        <v>9664</v>
      </c>
      <c r="H183" s="3" t="s">
        <v>6935</v>
      </c>
      <c r="I183" s="7"/>
      <c r="J183" s="8" t="s">
        <v>3752</v>
      </c>
      <c r="K183" s="26"/>
      <c r="L183" s="6" t="str">
        <f>IFERROR(VLOOKUP(E183,A:I,9, FALSE),"")</f>
        <v>AF Messfeld ausgewählt</v>
      </c>
      <c r="M183" s="6" t="str">
        <f>IFERROR(VLOOKUP(H183,B:J,9,FALSE),"")</f>
        <v>ausgewähltes AF-Messfeld</v>
      </c>
      <c r="N183" s="6" t="str">
        <f>IF(AND(TRIM(I183)="",L183=""),"Suffix not translated ",
   IF(AND(TRIM(I183)&lt;&gt;"",TRIM(L183)&lt;&gt;"",TRIM(I183)&lt;&gt;TRIM(L183)),"Suffix translation &lt;&gt; lookup ", "" ))
&amp;IF(AND(TRIM(J183)="",M183=""),"Description not translated ",
   IF(AND(TRIM(J183)&lt;&gt;"",TRIM(M183)&lt;&gt;"",TRIM(J183)&lt;&gt;TRIM(M183)),"Description translation&lt;&gt; lookup ", "" ))</f>
        <v/>
      </c>
      <c r="P183" s="6" t="s">
        <v>8574</v>
      </c>
      <c r="Q183" s="6" t="s">
        <v>9111</v>
      </c>
    </row>
    <row r="184" spans="1:17" x14ac:dyDescent="0.25">
      <c r="A184" s="5" t="str">
        <f>IF(TRIM(I184)="","",E184)</f>
        <v>CCDSensitivity</v>
      </c>
      <c r="B184" s="5" t="str">
        <f>IF(TRIM(J184)="","",H184)</f>
        <v>CCDSensitivity</v>
      </c>
      <c r="C184" s="5" t="str">
        <f>LEFT(F184,FIND(".",F184,6))</f>
        <v>Exif.Casio.</v>
      </c>
      <c r="D184" s="5" t="str">
        <f>VLOOKUP(C184,PrefixUebersetzung,2,FALSE)</f>
        <v>Exif.Casio.</v>
      </c>
      <c r="E184" s="5" t="str">
        <f>MID(F184,FIND(".",F184,6)+1,99)</f>
        <v>CCDSensitivity</v>
      </c>
      <c r="F184" s="2" t="s">
        <v>6936</v>
      </c>
      <c r="G184" s="5" t="s">
        <v>9664</v>
      </c>
      <c r="H184" s="3" t="s">
        <v>6937</v>
      </c>
      <c r="I184" s="7" t="s">
        <v>7642</v>
      </c>
      <c r="J184" s="8" t="s">
        <v>7642</v>
      </c>
      <c r="K184" s="26"/>
      <c r="N184" s="6" t="str">
        <f>IF(AND(TRIM(I184)="",L184=""),"Suffix not translated ",
   IF(AND(TRIM(I184)&lt;&gt;"",TRIM(L184)&lt;&gt;"",TRIM(I184)&lt;&gt;TRIM(L184)),"Suffix translation &lt;&gt; lookup ", "" ))
&amp;IF(AND(TRIM(J184)="",M184=""),"Description not translated ",
   IF(AND(TRIM(J184)&lt;&gt;"",TRIM(M184)&lt;&gt;"",TRIM(J184)&lt;&gt;TRIM(M184)),"Description translation&lt;&gt; lookup ", "" ))</f>
        <v/>
      </c>
      <c r="O184" s="6" t="s">
        <v>8574</v>
      </c>
      <c r="P184" s="6" t="s">
        <v>8574</v>
      </c>
    </row>
    <row r="185" spans="1:17" x14ac:dyDescent="0.25">
      <c r="A185" s="5" t="str">
        <f>IF(TRIM(I185)="","",E185)</f>
        <v>ColorFilter</v>
      </c>
      <c r="B185" s="5" t="str">
        <f>IF(TRIM(J185)="","",H185)</f>
        <v>Color Filter</v>
      </c>
      <c r="C185" s="5" t="str">
        <f>LEFT(F185,FIND(".",F185,6))</f>
        <v>Exif.Casio.</v>
      </c>
      <c r="D185" s="5" t="str">
        <f>VLOOKUP(C185,PrefixUebersetzung,2,FALSE)</f>
        <v>Exif.Casio.</v>
      </c>
      <c r="E185" s="5" t="str">
        <f>MID(F185,FIND(".",F185,6)+1,99)</f>
        <v>ColorFilter</v>
      </c>
      <c r="F185" s="2" t="s">
        <v>6938</v>
      </c>
      <c r="G185" s="5" t="s">
        <v>9664</v>
      </c>
      <c r="H185" s="3" t="s">
        <v>6939</v>
      </c>
      <c r="I185" s="7" t="s">
        <v>3928</v>
      </c>
      <c r="J185" s="8" t="s">
        <v>3928</v>
      </c>
      <c r="K185" s="26"/>
      <c r="L185" s="6" t="str">
        <f>IFERROR(VLOOKUP(E185,A:I,9, FALSE),"")</f>
        <v>Farbfilter</v>
      </c>
      <c r="M185" s="6" t="str">
        <f>IFERROR(VLOOKUP(H185,B:J,9,FALSE),"")</f>
        <v>Farbfilter</v>
      </c>
      <c r="N185" s="6" t="str">
        <f>IF(AND(TRIM(I185)="",L185=""),"Suffix not translated ",
   IF(AND(TRIM(I185)&lt;&gt;"",TRIM(L185)&lt;&gt;"",TRIM(I185)&lt;&gt;TRIM(L185)),"Suffix translation &lt;&gt; lookup ", "" ))
&amp;IF(AND(TRIM(J185)="",M185=""),"Description not translated ",
   IF(AND(TRIM(J185)&lt;&gt;"",TRIM(M185)&lt;&gt;"",TRIM(J185)&lt;&gt;TRIM(M185)),"Description translation&lt;&gt; lookup ", "" ))</f>
        <v/>
      </c>
      <c r="O185" s="6" t="s">
        <v>8574</v>
      </c>
      <c r="P185" s="6" t="s">
        <v>8574</v>
      </c>
      <c r="Q185" s="6" t="s">
        <v>3928</v>
      </c>
    </row>
    <row r="186" spans="1:17" x14ac:dyDescent="0.25">
      <c r="A186" s="5" t="str">
        <f>IF(TRIM(I186)="","",E186)</f>
        <v/>
      </c>
      <c r="B186" s="5" t="str">
        <f>IF(TRIM(J186)="","",H186)</f>
        <v>Contrast</v>
      </c>
      <c r="C186" s="5" t="str">
        <f>LEFT(F186,FIND(".",F186,6))</f>
        <v>Exif.Casio.</v>
      </c>
      <c r="D186" s="5" t="str">
        <f>VLOOKUP(C186,PrefixUebersetzung,2,FALSE)</f>
        <v>Exif.Casio.</v>
      </c>
      <c r="E186" s="5" t="str">
        <f>MID(F186,FIND(".",F186,6)+1,99)</f>
        <v>Contrast</v>
      </c>
      <c r="F186" s="2" t="s">
        <v>6940</v>
      </c>
      <c r="G186" s="5" t="s">
        <v>9664</v>
      </c>
      <c r="H186" s="3" t="s">
        <v>2549</v>
      </c>
      <c r="I186" s="7"/>
      <c r="J186" s="8" t="s">
        <v>3915</v>
      </c>
      <c r="K186" s="26"/>
      <c r="L186" s="6" t="str">
        <f>IFERROR(VLOOKUP(E186,A:I,9, FALSE),"")</f>
        <v>Kontrast</v>
      </c>
      <c r="M186" s="6" t="str">
        <f>IFERROR(VLOOKUP(H186,B:J,9,FALSE),"")</f>
        <v>Kontrast</v>
      </c>
      <c r="N186" s="6" t="str">
        <f>IF(AND(TRIM(I186)="",L186=""),"Suffix not translated ",
   IF(AND(TRIM(I186)&lt;&gt;"",TRIM(L186)&lt;&gt;"",TRIM(I186)&lt;&gt;TRIM(L186)),"Suffix translation &lt;&gt; lookup ", "" ))
&amp;IF(AND(TRIM(J186)="",M186=""),"Description not translated ",
   IF(AND(TRIM(J186)&lt;&gt;"",TRIM(M186)&lt;&gt;"",TRIM(J186)&lt;&gt;TRIM(M186)),"Description translation&lt;&gt; lookup ", "" ))</f>
        <v/>
      </c>
      <c r="P186" s="6" t="s">
        <v>8574</v>
      </c>
      <c r="Q186" s="6" t="s">
        <v>3915</v>
      </c>
    </row>
    <row r="187" spans="1:17" x14ac:dyDescent="0.25">
      <c r="A187" s="5" t="str">
        <f>IF(TRIM(I187)="","",E187)</f>
        <v/>
      </c>
      <c r="B187" s="5" t="str">
        <f>IF(TRIM(J187)="","",H187)</f>
        <v/>
      </c>
      <c r="C187" s="5" t="str">
        <f>LEFT(F187,FIND(".",F187,6))</f>
        <v>Exif.Casio.</v>
      </c>
      <c r="D187" s="5" t="str">
        <f>VLOOKUP(C187,PrefixUebersetzung,2,FALSE)</f>
        <v>Exif.Casio.</v>
      </c>
      <c r="E187" s="5" t="str">
        <f>MID(F187,FIND(".",F187,6)+1,99)</f>
        <v>DigitalZoom</v>
      </c>
      <c r="F187" s="2" t="s">
        <v>6941</v>
      </c>
      <c r="G187" s="5" t="s">
        <v>9667</v>
      </c>
      <c r="H187" s="3" t="s">
        <v>2185</v>
      </c>
      <c r="I187" s="7"/>
      <c r="J187" s="8"/>
      <c r="K187" s="26"/>
      <c r="L187" s="6" t="str">
        <f>IFERROR(VLOOKUP(E187,A:I,9, FALSE),"")</f>
        <v>Digitaler Zoom</v>
      </c>
      <c r="M187" s="6" t="str">
        <f>IFERROR(VLOOKUP(H187,B:J,9,FALSE),"")</f>
        <v>Digitaler Zoom</v>
      </c>
      <c r="N187" s="6" t="str">
        <f>IF(AND(TRIM(I187)="",L187=""),"Suffix not translated ",
   IF(AND(TRIM(I187)&lt;&gt;"",TRIM(L187)&lt;&gt;"",TRIM(I187)&lt;&gt;TRIM(L187)),"Suffix translation &lt;&gt; lookup ", "" ))
&amp;IF(AND(TRIM(J187)="",M187=""),"Description not translated ",
   IF(AND(TRIM(J187)&lt;&gt;"",TRIM(M187)&lt;&gt;"",TRIM(J187)&lt;&gt;TRIM(M187)),"Description translation&lt;&gt; lookup ", "" ))</f>
        <v/>
      </c>
    </row>
    <row r="188" spans="1:17" x14ac:dyDescent="0.25">
      <c r="A188" s="5" t="str">
        <f>IF(TRIM(I188)="","",E188)</f>
        <v>Enhancement</v>
      </c>
      <c r="B188" s="5" t="str">
        <f>IF(TRIM(J188)="","",H188)</f>
        <v>Enhancement</v>
      </c>
      <c r="C188" s="5" t="str">
        <f>LEFT(F188,FIND(".",F188,6))</f>
        <v>Exif.Casio.</v>
      </c>
      <c r="D188" s="5" t="str">
        <f>VLOOKUP(C188,PrefixUebersetzung,2,FALSE)</f>
        <v>Exif.Casio.</v>
      </c>
      <c r="E188" s="5" t="str">
        <f>MID(F188,FIND(".",F188,6)+1,99)</f>
        <v>Enhancement</v>
      </c>
      <c r="F188" s="2" t="s">
        <v>6942</v>
      </c>
      <c r="G188" s="5" t="s">
        <v>9664</v>
      </c>
      <c r="H188" s="3" t="s">
        <v>6943</v>
      </c>
      <c r="I188" s="7" t="s">
        <v>7643</v>
      </c>
      <c r="J188" s="8" t="s">
        <v>7643</v>
      </c>
      <c r="K188" s="26"/>
      <c r="L188" s="6" t="str">
        <f>IFERROR(VLOOKUP(E188,A:I,9, FALSE),"")</f>
        <v>Erweiterung</v>
      </c>
      <c r="M188" s="6" t="str">
        <f>IFERROR(VLOOKUP(H188,B:J,9,FALSE),"")</f>
        <v>Erweiterung</v>
      </c>
      <c r="N188" s="6" t="str">
        <f>IF(AND(TRIM(I188)="",L188=""),"Suffix not translated ",
   IF(AND(TRIM(I188)&lt;&gt;"",TRIM(L188)&lt;&gt;"",TRIM(I188)&lt;&gt;TRIM(L188)),"Suffix translation &lt;&gt; lookup ", "" ))
&amp;IF(AND(TRIM(J188)="",M188=""),"Description not translated ",
   IF(AND(TRIM(J188)&lt;&gt;"",TRIM(M188)&lt;&gt;"",TRIM(J188)&lt;&gt;TRIM(M188)),"Description translation&lt;&gt; lookup ", "" ))</f>
        <v/>
      </c>
      <c r="O188" s="6" t="s">
        <v>8574</v>
      </c>
      <c r="P188" s="6" t="s">
        <v>8574</v>
      </c>
    </row>
    <row r="189" spans="1:17" x14ac:dyDescent="0.25">
      <c r="A189" s="5" t="str">
        <f>IF(TRIM(I189)="","",E189)</f>
        <v>FirmwareDate</v>
      </c>
      <c r="B189" s="5" t="str">
        <f>IF(TRIM(J189)="","",H189)</f>
        <v>Firmware date</v>
      </c>
      <c r="C189" s="5" t="str">
        <f>LEFT(F189,FIND(".",F189,6))</f>
        <v>Exif.Casio.</v>
      </c>
      <c r="D189" s="5" t="str">
        <f>VLOOKUP(C189,PrefixUebersetzung,2,FALSE)</f>
        <v>Exif.Casio.</v>
      </c>
      <c r="E189" s="5" t="str">
        <f>MID(F189,FIND(".",F189,6)+1,99)</f>
        <v>FirmwareDate</v>
      </c>
      <c r="F189" s="2" t="s">
        <v>6944</v>
      </c>
      <c r="G189" s="5" t="s">
        <v>9666</v>
      </c>
      <c r="H189" s="3" t="s">
        <v>6945</v>
      </c>
      <c r="I189" s="7" t="s">
        <v>7645</v>
      </c>
      <c r="J189" s="14" t="s">
        <v>7645</v>
      </c>
      <c r="K189" s="26"/>
      <c r="L189" s="6" t="str">
        <f>IFERROR(VLOOKUP(E189,A:I,9, FALSE),"")</f>
        <v>Firmware Datum</v>
      </c>
      <c r="M189" s="6" t="str">
        <f>IFERROR(VLOOKUP(H189,B:J,9,FALSE),"")</f>
        <v>Firmware Datum</v>
      </c>
      <c r="N189" s="6" t="str">
        <f>IF(AND(TRIM(I189)="",L189=""),"Suffix not translated ",
   IF(AND(TRIM(I189)&lt;&gt;"",TRIM(L189)&lt;&gt;"",TRIM(I189)&lt;&gt;TRIM(L189)),"Suffix translation &lt;&gt; lookup ", "" ))
&amp;IF(AND(TRIM(J189)="",M189=""),"Description not translated ",
   IF(AND(TRIM(J189)&lt;&gt;"",TRIM(M189)&lt;&gt;"",TRIM(J189)&lt;&gt;TRIM(M189)),"Description translation&lt;&gt; lookup ", "" ))</f>
        <v/>
      </c>
      <c r="O189" s="6" t="s">
        <v>8574</v>
      </c>
      <c r="P189" s="6" t="s">
        <v>8574</v>
      </c>
    </row>
    <row r="190" spans="1:17" x14ac:dyDescent="0.25">
      <c r="A190" s="5" t="str">
        <f>IF(TRIM(I190)="","",E190)</f>
        <v>FlashIntensity</v>
      </c>
      <c r="B190" s="5" t="str">
        <f>IF(TRIM(J190)="","",H190)</f>
        <v>Flash Intensity</v>
      </c>
      <c r="C190" s="5" t="str">
        <f>LEFT(F190,FIND(".",F190,6))</f>
        <v>Exif.Casio.</v>
      </c>
      <c r="D190" s="5" t="str">
        <f>VLOOKUP(C190,PrefixUebersetzung,2,FALSE)</f>
        <v>Exif.Casio.</v>
      </c>
      <c r="E190" s="5" t="str">
        <f>MID(F190,FIND(".",F190,6)+1,99)</f>
        <v>FlashIntensity</v>
      </c>
      <c r="F190" s="2" t="s">
        <v>6946</v>
      </c>
      <c r="G190" s="5" t="s">
        <v>9664</v>
      </c>
      <c r="H190" s="3" t="s">
        <v>6947</v>
      </c>
      <c r="I190" s="7" t="s">
        <v>4010</v>
      </c>
      <c r="J190" s="8" t="s">
        <v>4010</v>
      </c>
      <c r="K190" s="26"/>
      <c r="L190" s="6" t="str">
        <f>IFERROR(VLOOKUP(E190,A:I,9, FALSE),"")</f>
        <v>Blitzintensität</v>
      </c>
      <c r="M190" s="6" t="str">
        <f>IFERROR(VLOOKUP(H190,B:J,9,FALSE),"")</f>
        <v>Blitzintensität</v>
      </c>
      <c r="N190" s="6" t="str">
        <f>IF(AND(TRIM(I190)="",L190=""),"Suffix not translated ",
   IF(AND(TRIM(I190)&lt;&gt;"",TRIM(L190)&lt;&gt;"",TRIM(I190)&lt;&gt;TRIM(L190)),"Suffix translation &lt;&gt; lookup ", "" ))
&amp;IF(AND(TRIM(J190)="",M190=""),"Description not translated ",
   IF(AND(TRIM(J190)&lt;&gt;"",TRIM(M190)&lt;&gt;"",TRIM(J190)&lt;&gt;TRIM(M190)),"Description translation&lt;&gt; lookup ", "" ))</f>
        <v/>
      </c>
      <c r="O190" s="6" t="s">
        <v>8574</v>
      </c>
      <c r="P190" s="6" t="s">
        <v>8574</v>
      </c>
      <c r="Q190" s="6" t="s">
        <v>9304</v>
      </c>
    </row>
    <row r="191" spans="1:17" x14ac:dyDescent="0.25">
      <c r="A191" s="5" t="str">
        <f>IF(TRIM(I191)="","",E191)</f>
        <v>FlashIntensity2</v>
      </c>
      <c r="B191" s="5" t="str">
        <f>IF(TRIM(J191)="","",H191)</f>
        <v/>
      </c>
      <c r="C191" s="5" t="str">
        <f>LEFT(F191,FIND(".",F191,6))</f>
        <v>Exif.Casio.</v>
      </c>
      <c r="D191" s="5" t="str">
        <f>VLOOKUP(C191,PrefixUebersetzung,2,FALSE)</f>
        <v>Exif.Casio.</v>
      </c>
      <c r="E191" s="5" t="str">
        <f>MID(F191,FIND(".",F191,6)+1,99)</f>
        <v>FlashIntensity2</v>
      </c>
      <c r="F191" s="2" t="s">
        <v>6948</v>
      </c>
      <c r="G191" s="5" t="s">
        <v>9664</v>
      </c>
      <c r="H191" s="3" t="s">
        <v>6947</v>
      </c>
      <c r="I191" s="24" t="s">
        <v>7644</v>
      </c>
      <c r="J191" s="8"/>
      <c r="K191" s="26"/>
      <c r="M191" s="6" t="str">
        <f>IFERROR(VLOOKUP(H191,B:J,9,FALSE),"")</f>
        <v>Blitzintensität</v>
      </c>
      <c r="N191" s="6" t="str">
        <f>IF(AND(TRIM(I191)="",L191=""),"Suffix not translated ",
   IF(AND(TRIM(I191)&lt;&gt;"",TRIM(L191)&lt;&gt;"",TRIM(I191)&lt;&gt;TRIM(L191)),"Suffix translation &lt;&gt; lookup ", "" ))
&amp;IF(AND(TRIM(J191)="",M191=""),"Description not translated ",
   IF(AND(TRIM(J191)&lt;&gt;"",TRIM(M191)&lt;&gt;"",TRIM(J191)&lt;&gt;TRIM(M191)),"Description translation&lt;&gt; lookup ", "" ))</f>
        <v/>
      </c>
      <c r="O191" s="6" t="s">
        <v>8574</v>
      </c>
    </row>
    <row r="192" spans="1:17" x14ac:dyDescent="0.25">
      <c r="A192" s="5" t="str">
        <f>IF(TRIM(I192)="","",E192)</f>
        <v/>
      </c>
      <c r="B192" s="5" t="str">
        <f>IF(TRIM(J192)="","",H192)</f>
        <v>Flash Mode</v>
      </c>
      <c r="C192" s="5" t="str">
        <f>LEFT(F192,FIND(".",F192,6))</f>
        <v>Exif.Casio.</v>
      </c>
      <c r="D192" s="5" t="str">
        <f>VLOOKUP(C192,PrefixUebersetzung,2,FALSE)</f>
        <v>Exif.Casio.</v>
      </c>
      <c r="E192" s="5" t="str">
        <f>MID(F192,FIND(".",F192,6)+1,99)</f>
        <v>FlashMode</v>
      </c>
      <c r="F192" s="2" t="s">
        <v>6949</v>
      </c>
      <c r="G192" s="5" t="s">
        <v>9664</v>
      </c>
      <c r="H192" s="3" t="s">
        <v>6950</v>
      </c>
      <c r="I192" s="7"/>
      <c r="J192" s="8" t="s">
        <v>4317</v>
      </c>
      <c r="K192" s="26"/>
      <c r="L192" s="6" t="str">
        <f>IFERROR(VLOOKUP(E192,A:I,9, FALSE),"")</f>
        <v>Blitzmodus</v>
      </c>
      <c r="M192" s="6" t="str">
        <f>IFERROR(VLOOKUP(H192,B:J,9,FALSE),"")</f>
        <v>Blitzmodus</v>
      </c>
      <c r="N192" s="6" t="str">
        <f>IF(AND(TRIM(I192)="",L192=""),"Suffix not translated ",
   IF(AND(TRIM(I192)&lt;&gt;"",TRIM(L192)&lt;&gt;"",TRIM(I192)&lt;&gt;TRIM(L192)),"Suffix translation &lt;&gt; lookup ", "" ))
&amp;IF(AND(TRIM(J192)="",M192=""),"Description not translated ",
   IF(AND(TRIM(J192)&lt;&gt;"",TRIM(M192)&lt;&gt;"",TRIM(J192)&lt;&gt;TRIM(M192)),"Description translation&lt;&gt; lookup ", "" ))</f>
        <v/>
      </c>
      <c r="P192" s="6" t="s">
        <v>8574</v>
      </c>
      <c r="Q192" s="6" t="s">
        <v>4317</v>
      </c>
    </row>
    <row r="193" spans="1:17" x14ac:dyDescent="0.25">
      <c r="A193" s="5" t="str">
        <f>IF(TRIM(I193)="","",E193)</f>
        <v/>
      </c>
      <c r="B193" s="5" t="str">
        <f>IF(TRIM(J193)="","",H193)</f>
        <v>Focus Mode</v>
      </c>
      <c r="C193" s="5" t="str">
        <f>LEFT(F193,FIND(".",F193,6))</f>
        <v>Exif.Casio.</v>
      </c>
      <c r="D193" s="5" t="str">
        <f>VLOOKUP(C193,PrefixUebersetzung,2,FALSE)</f>
        <v>Exif.Casio.</v>
      </c>
      <c r="E193" s="5" t="str">
        <f>MID(F193,FIND(".",F193,6)+1,99)</f>
        <v>FocusMode</v>
      </c>
      <c r="F193" s="2" t="s">
        <v>6951</v>
      </c>
      <c r="G193" s="5" t="s">
        <v>9664</v>
      </c>
      <c r="H193" s="3" t="s">
        <v>3142</v>
      </c>
      <c r="I193" s="7"/>
      <c r="J193" s="8" t="s">
        <v>4319</v>
      </c>
      <c r="K193" s="26"/>
      <c r="L193" s="6" t="str">
        <f>IFERROR(VLOOKUP(E193,A:I,9, FALSE),"")</f>
        <v>Fokusmodus</v>
      </c>
      <c r="M193" s="6" t="str">
        <f>IFERROR(VLOOKUP(H193,B:J,9,FALSE),"")</f>
        <v>Fokusmodus</v>
      </c>
      <c r="N193" s="6" t="str">
        <f>IF(AND(TRIM(I193)="",L193=""),"Suffix not translated ",
   IF(AND(TRIM(I193)&lt;&gt;"",TRIM(L193)&lt;&gt;"",TRIM(I193)&lt;&gt;TRIM(L193)),"Suffix translation &lt;&gt; lookup ", "" ))
&amp;IF(AND(TRIM(J193)="",M193=""),"Description not translated ",
   IF(AND(TRIM(J193)&lt;&gt;"",TRIM(M193)&lt;&gt;"",TRIM(J193)&lt;&gt;TRIM(M193)),"Description translation&lt;&gt; lookup ", "" ))</f>
        <v/>
      </c>
      <c r="P193" s="6" t="s">
        <v>8574</v>
      </c>
      <c r="Q193" s="6" t="s">
        <v>4319</v>
      </c>
    </row>
    <row r="194" spans="1:17" x14ac:dyDescent="0.25">
      <c r="A194" s="5" t="str">
        <f>IF(TRIM(I194)="","",E194)</f>
        <v>ISO</v>
      </c>
      <c r="B194" s="5" t="str">
        <f>IF(TRIM(J194)="","",H194)</f>
        <v>ISO</v>
      </c>
      <c r="C194" s="5" t="str">
        <f>LEFT(F194,FIND(".",F194,6))</f>
        <v>Exif.Casio.</v>
      </c>
      <c r="D194" s="5" t="str">
        <f>VLOOKUP(C194,PrefixUebersetzung,2,FALSE)</f>
        <v>Exif.Casio.</v>
      </c>
      <c r="E194" s="5" t="str">
        <f>MID(F194,FIND(".",F194,6)+1,99)</f>
        <v>ISO</v>
      </c>
      <c r="F194" s="2" t="s">
        <v>6952</v>
      </c>
      <c r="G194" s="5" t="s">
        <v>9664</v>
      </c>
      <c r="H194" s="3" t="s">
        <v>2707</v>
      </c>
      <c r="I194" s="7" t="s">
        <v>2707</v>
      </c>
      <c r="J194" s="8" t="s">
        <v>2707</v>
      </c>
      <c r="K194" s="26"/>
      <c r="L194" s="6" t="str">
        <f>IFERROR(VLOOKUP(E194,A:I,9, FALSE),"")</f>
        <v>ISO</v>
      </c>
      <c r="M194" s="6" t="str">
        <f>IFERROR(VLOOKUP(H194,B:J,9,FALSE),"")</f>
        <v>ISO</v>
      </c>
      <c r="N194" s="6" t="str">
        <f>IF(AND(TRIM(I194)="",L194=""),"Suffix not translated ",
   IF(AND(TRIM(I194)&lt;&gt;"",TRIM(L194)&lt;&gt;"",TRIM(I194)&lt;&gt;TRIM(L194)),"Suffix translation &lt;&gt; lookup ", "" ))
&amp;IF(AND(TRIM(J194)="",M194=""),"Description not translated ",
   IF(AND(TRIM(J194)&lt;&gt;"",TRIM(M194)&lt;&gt;"",TRIM(J194)&lt;&gt;TRIM(M194)),"Description translation&lt;&gt; lookup ", "" ))</f>
        <v/>
      </c>
      <c r="O194" s="6" t="s">
        <v>8574</v>
      </c>
      <c r="P194" s="6" t="s">
        <v>8574</v>
      </c>
      <c r="Q194" s="6" t="s">
        <v>9346</v>
      </c>
    </row>
    <row r="195" spans="1:17" x14ac:dyDescent="0.25">
      <c r="A195" s="5" t="str">
        <f>IF(TRIM(I195)="","",E195)</f>
        <v>ObjectDistance</v>
      </c>
      <c r="B195" s="5" t="str">
        <f>IF(TRIM(J195)="","",H195)</f>
        <v>Distance to object</v>
      </c>
      <c r="C195" s="5" t="str">
        <f>LEFT(F195,FIND(".",F195,6))</f>
        <v>Exif.Casio.</v>
      </c>
      <c r="D195" s="5" t="str">
        <f>VLOOKUP(C195,PrefixUebersetzung,2,FALSE)</f>
        <v>Exif.Casio.</v>
      </c>
      <c r="E195" s="5" t="str">
        <f>MID(F195,FIND(".",F195,6)+1,99)</f>
        <v>ObjectDistance</v>
      </c>
      <c r="F195" s="2" t="s">
        <v>6953</v>
      </c>
      <c r="G195" s="5" t="s">
        <v>9667</v>
      </c>
      <c r="H195" s="3" t="s">
        <v>6954</v>
      </c>
      <c r="I195" s="7" t="s">
        <v>7646</v>
      </c>
      <c r="J195" s="14" t="s">
        <v>7646</v>
      </c>
      <c r="K195" s="26"/>
      <c r="L195" s="6" t="str">
        <f>IFERROR(VLOOKUP(E195,A:I,9, FALSE),"")</f>
        <v>Objektabstand</v>
      </c>
      <c r="N195" s="6" t="str">
        <f>IF(AND(TRIM(I195)="",L195=""),"Suffix not translated ",
   IF(AND(TRIM(I195)&lt;&gt;"",TRIM(L195)&lt;&gt;"",TRIM(I195)&lt;&gt;TRIM(L195)),"Suffix translation &lt;&gt; lookup ", "" ))
&amp;IF(AND(TRIM(J195)="",M195=""),"Description not translated ",
   IF(AND(TRIM(J195)&lt;&gt;"",TRIM(M195)&lt;&gt;"",TRIM(J195)&lt;&gt;TRIM(M195)),"Description translation&lt;&gt; lookup ", "" ))</f>
        <v/>
      </c>
      <c r="O195" s="6" t="s">
        <v>8574</v>
      </c>
      <c r="P195" s="6" t="s">
        <v>8574</v>
      </c>
    </row>
    <row r="196" spans="1:17" x14ac:dyDescent="0.25">
      <c r="A196" s="5" t="str">
        <f>IF(TRIM(I196)="","",E196)</f>
        <v>PrintIM</v>
      </c>
      <c r="B196" s="5" t="str">
        <f>IF(TRIM(J196)="","",H196)</f>
        <v>PrintIM information</v>
      </c>
      <c r="C196" s="5" t="str">
        <f>LEFT(F196,FIND(".",F196,6))</f>
        <v>Exif.Casio.</v>
      </c>
      <c r="D196" s="5" t="str">
        <f>VLOOKUP(C196,PrefixUebersetzung,2,FALSE)</f>
        <v>Exif.Casio.</v>
      </c>
      <c r="E196" s="5" t="str">
        <f>MID(F196,FIND(".",F196,6)+1,99)</f>
        <v>PrintIM</v>
      </c>
      <c r="F196" s="2" t="s">
        <v>6955</v>
      </c>
      <c r="G196" s="5" t="s">
        <v>9669</v>
      </c>
      <c r="H196" s="3" t="s">
        <v>2535</v>
      </c>
      <c r="I196" s="7" t="s">
        <v>4211</v>
      </c>
      <c r="J196" s="13" t="s">
        <v>3908</v>
      </c>
      <c r="K196" s="26"/>
      <c r="L196" s="6" t="str">
        <f>IFERROR(VLOOKUP(E196,A:I,9, FALSE),"")</f>
        <v>PrintIM</v>
      </c>
      <c r="M196" s="6" t="str">
        <f>IFERROR(VLOOKUP(H196,B:J,9,FALSE),"")</f>
        <v>PrintIM Informationen</v>
      </c>
      <c r="N196" s="6" t="str">
        <f>IF(AND(TRIM(I196)="",L196=""),"Suffix not translated ",
   IF(AND(TRIM(I196)&lt;&gt;"",TRIM(L196)&lt;&gt;"",TRIM(I196)&lt;&gt;TRIM(L196)),"Suffix translation &lt;&gt; lookup ", "" ))
&amp;IF(AND(TRIM(J196)="",M196=""),"Description not translated ",
   IF(AND(TRIM(J196)&lt;&gt;"",TRIM(M196)&lt;&gt;"",TRIM(J196)&lt;&gt;TRIM(M196)),"Description translation&lt;&gt; lookup ", "" ))</f>
        <v/>
      </c>
      <c r="O196" s="6" t="s">
        <v>8574</v>
      </c>
      <c r="P196" s="6" t="s">
        <v>8574</v>
      </c>
      <c r="Q196" s="6" t="s">
        <v>9333</v>
      </c>
    </row>
    <row r="197" spans="1:17" x14ac:dyDescent="0.25">
      <c r="A197" s="5" t="str">
        <f>IF(TRIM(I197)="","",E197)</f>
        <v/>
      </c>
      <c r="B197" s="5" t="str">
        <f>IF(TRIM(J197)="","",H197)</f>
        <v/>
      </c>
      <c r="C197" s="5" t="str">
        <f>LEFT(F197,FIND(".",F197,6))</f>
        <v>Exif.Casio.</v>
      </c>
      <c r="D197" s="5" t="str">
        <f>VLOOKUP(C197,PrefixUebersetzung,2,FALSE)</f>
        <v>Exif.Casio.</v>
      </c>
      <c r="E197" s="5" t="str">
        <f>MID(F197,FIND(".",F197,6)+1,99)</f>
        <v>Quality</v>
      </c>
      <c r="F197" s="2" t="s">
        <v>6956</v>
      </c>
      <c r="G197" s="5" t="s">
        <v>9664</v>
      </c>
      <c r="H197" s="3" t="s">
        <v>2208</v>
      </c>
      <c r="I197" s="7"/>
      <c r="J197" s="8"/>
      <c r="K197" s="26"/>
      <c r="L197" s="6" t="str">
        <f>IFERROR(VLOOKUP(E197,A:I,9, FALSE),"")</f>
        <v>Qualität</v>
      </c>
      <c r="M197" s="6" t="str">
        <f>IFERROR(VLOOKUP(H197,B:J,9,FALSE),"")</f>
        <v>Qualität</v>
      </c>
      <c r="N197" s="6" t="str">
        <f>IF(AND(TRIM(I197)="",L197=""),"Suffix not translated ",
   IF(AND(TRIM(I197)&lt;&gt;"",TRIM(L197)&lt;&gt;"",TRIM(I197)&lt;&gt;TRIM(L197)),"Suffix translation &lt;&gt; lookup ", "" ))
&amp;IF(AND(TRIM(J197)="",M197=""),"Description not translated ",
   IF(AND(TRIM(J197)&lt;&gt;"",TRIM(M197)&lt;&gt;"",TRIM(J197)&lt;&gt;TRIM(M197)),"Description translation&lt;&gt; lookup ", "" ))</f>
        <v/>
      </c>
    </row>
    <row r="198" spans="1:17" x14ac:dyDescent="0.25">
      <c r="A198" s="5" t="str">
        <f>IF(TRIM(I198)="","",E198)</f>
        <v>RecodingMode</v>
      </c>
      <c r="B198" s="5" t="str">
        <f>IF(TRIM(J198)="","",H198)</f>
        <v>Recording Mode</v>
      </c>
      <c r="C198" s="5" t="str">
        <f>LEFT(F198,FIND(".",F198,6))</f>
        <v>Exif.Casio.</v>
      </c>
      <c r="D198" s="5" t="str">
        <f>VLOOKUP(C198,PrefixUebersetzung,2,FALSE)</f>
        <v>Exif.Casio.</v>
      </c>
      <c r="E198" s="5" t="str">
        <f>MID(F198,FIND(".",F198,6)+1,99)</f>
        <v>RecodingMode</v>
      </c>
      <c r="F198" s="2" t="s">
        <v>6957</v>
      </c>
      <c r="G198" s="5" t="s">
        <v>9664</v>
      </c>
      <c r="H198" s="3" t="s">
        <v>6958</v>
      </c>
      <c r="I198" s="7" t="s">
        <v>7910</v>
      </c>
      <c r="J198" s="14" t="s">
        <v>7910</v>
      </c>
      <c r="K198" s="26"/>
      <c r="N198" s="6" t="str">
        <f>IF(AND(TRIM(I198)="",L198=""),"Suffix not translated ",
   IF(AND(TRIM(I198)&lt;&gt;"",TRIM(L198)&lt;&gt;"",TRIM(I198)&lt;&gt;TRIM(L198)),"Suffix translation &lt;&gt; lookup ", "" ))
&amp;IF(AND(TRIM(J198)="",M198=""),"Description not translated ",
   IF(AND(TRIM(J198)&lt;&gt;"",TRIM(M198)&lt;&gt;"",TRIM(J198)&lt;&gt;TRIM(M198)),"Description translation&lt;&gt; lookup ", "" ))</f>
        <v/>
      </c>
      <c r="O198" s="6" t="s">
        <v>8574</v>
      </c>
      <c r="P198" s="6" t="s">
        <v>8574</v>
      </c>
    </row>
    <row r="199" spans="1:17" x14ac:dyDescent="0.25">
      <c r="A199" s="5" t="str">
        <f>IF(TRIM(I199)="","",E199)</f>
        <v/>
      </c>
      <c r="B199" s="5" t="str">
        <f>IF(TRIM(J199)="","",H199)</f>
        <v>Saturation</v>
      </c>
      <c r="C199" s="5" t="str">
        <f>LEFT(F199,FIND(".",F199,6))</f>
        <v>Exif.Casio.</v>
      </c>
      <c r="D199" s="5" t="str">
        <f>VLOOKUP(C199,PrefixUebersetzung,2,FALSE)</f>
        <v>Exif.Casio.</v>
      </c>
      <c r="E199" s="5" t="str">
        <f>MID(F199,FIND(".",F199,6)+1,99)</f>
        <v>Saturation</v>
      </c>
      <c r="F199" s="2" t="s">
        <v>6959</v>
      </c>
      <c r="G199" s="5" t="s">
        <v>9664</v>
      </c>
      <c r="H199" s="3" t="s">
        <v>2567</v>
      </c>
      <c r="I199" s="7"/>
      <c r="J199" s="8" t="s">
        <v>3922</v>
      </c>
      <c r="K199" s="26"/>
      <c r="L199" s="6" t="str">
        <f>IFERROR(VLOOKUP(E199,A:I,9, FALSE),"")</f>
        <v>Sättigung</v>
      </c>
      <c r="M199" s="6" t="str">
        <f>IFERROR(VLOOKUP(H199,B:J,9,FALSE),"")</f>
        <v>Sättigung</v>
      </c>
      <c r="N199" s="6" t="str">
        <f>IF(AND(TRIM(I199)="",L199=""),"Suffix not translated ",
   IF(AND(TRIM(I199)&lt;&gt;"",TRIM(L199)&lt;&gt;"",TRIM(I199)&lt;&gt;TRIM(L199)),"Suffix translation &lt;&gt; lookup ", "" ))
&amp;IF(AND(TRIM(J199)="",M199=""),"Description not translated ",
   IF(AND(TRIM(J199)&lt;&gt;"",TRIM(M199)&lt;&gt;"",TRIM(J199)&lt;&gt;TRIM(M199)),"Description translation&lt;&gt; lookup ", "" ))</f>
        <v/>
      </c>
      <c r="P199" s="6" t="s">
        <v>8574</v>
      </c>
      <c r="Q199" s="6" t="s">
        <v>9172</v>
      </c>
    </row>
    <row r="200" spans="1:17" x14ac:dyDescent="0.25">
      <c r="A200" s="5" t="str">
        <f>IF(TRIM(I200)="","",E200)</f>
        <v/>
      </c>
      <c r="B200" s="5" t="str">
        <f>IF(TRIM(J200)="","",H200)</f>
        <v/>
      </c>
      <c r="C200" s="5" t="str">
        <f>LEFT(F200,FIND(".",F200,6))</f>
        <v>Exif.Casio.</v>
      </c>
      <c r="D200" s="5" t="str">
        <f>VLOOKUP(C200,PrefixUebersetzung,2,FALSE)</f>
        <v>Exif.Casio.</v>
      </c>
      <c r="E200" s="5" t="str">
        <f>MID(F200,FIND(".",F200,6)+1,99)</f>
        <v>Sharpness</v>
      </c>
      <c r="F200" s="2" t="s">
        <v>6960</v>
      </c>
      <c r="G200" s="5" t="s">
        <v>9664</v>
      </c>
      <c r="H200" s="3" t="s">
        <v>2245</v>
      </c>
      <c r="I200" s="7"/>
      <c r="J200" s="8"/>
      <c r="K200" s="26"/>
      <c r="L200" s="6" t="str">
        <f>IFERROR(VLOOKUP(E200,A:I,9, FALSE),"")</f>
        <v>Schärfe</v>
      </c>
      <c r="M200" s="6" t="str">
        <f>IFERROR(VLOOKUP(H200,B:J,9,FALSE),"")</f>
        <v>Schärfe</v>
      </c>
      <c r="N200" s="6" t="str">
        <f>IF(AND(TRIM(I200)="",L200=""),"Suffix not translated ",
   IF(AND(TRIM(I200)&lt;&gt;"",TRIM(L200)&lt;&gt;"",TRIM(I200)&lt;&gt;TRIM(L200)),"Suffix translation &lt;&gt; lookup ", "" ))
&amp;IF(AND(TRIM(J200)="",M200=""),"Description not translated ",
   IF(AND(TRIM(J200)&lt;&gt;"",TRIM(M200)&lt;&gt;"",TRIM(J200)&lt;&gt;TRIM(M200)),"Description translation&lt;&gt; lookup ", "" ))</f>
        <v/>
      </c>
    </row>
    <row r="201" spans="1:17" x14ac:dyDescent="0.25">
      <c r="A201" s="5" t="str">
        <f>IF(TRIM(I201)="","",E201)</f>
        <v/>
      </c>
      <c r="B201" s="5" t="str">
        <f>IF(TRIM(J201)="","",H201)</f>
        <v>White balance settings</v>
      </c>
      <c r="C201" s="5" t="str">
        <f>LEFT(F201,FIND(".",F201,6))</f>
        <v>Exif.Casio.</v>
      </c>
      <c r="D201" s="5" t="str">
        <f>VLOOKUP(C201,PrefixUebersetzung,2,FALSE)</f>
        <v>Exif.Casio.</v>
      </c>
      <c r="E201" s="5" t="str">
        <f>MID(F201,FIND(".",F201,6)+1,99)</f>
        <v>WhiteBalance</v>
      </c>
      <c r="F201" s="2" t="s">
        <v>6961</v>
      </c>
      <c r="G201" s="5" t="s">
        <v>9664</v>
      </c>
      <c r="H201" s="3" t="s">
        <v>6962</v>
      </c>
      <c r="I201" s="7"/>
      <c r="J201" s="14" t="s">
        <v>7911</v>
      </c>
      <c r="K201" s="26"/>
      <c r="L201" s="6" t="str">
        <f>IFERROR(VLOOKUP(E201,A:I,9, FALSE),"")</f>
        <v>Weißabgleich</v>
      </c>
      <c r="N201" s="6" t="str">
        <f>IF(AND(TRIM(I201)="",L201=""),"Suffix not translated ",
   IF(AND(TRIM(I201)&lt;&gt;"",TRIM(L201)&lt;&gt;"",TRIM(I201)&lt;&gt;TRIM(L201)),"Suffix translation &lt;&gt; lookup ", "" ))
&amp;IF(AND(TRIM(J201)="",M201=""),"Description not translated ",
   IF(AND(TRIM(J201)&lt;&gt;"",TRIM(M201)&lt;&gt;"",TRIM(J201)&lt;&gt;TRIM(M201)),"Description translation&lt;&gt; lookup ", "" ))</f>
        <v/>
      </c>
      <c r="P201" s="6" t="s">
        <v>8574</v>
      </c>
    </row>
    <row r="202" spans="1:17" x14ac:dyDescent="0.25">
      <c r="A202" s="5" t="str">
        <f>IF(TRIM(I202)="","",E202)</f>
        <v>AFMode</v>
      </c>
      <c r="B202" s="5" t="str">
        <f>IF(TRIM(J202)="","",H202)</f>
        <v>AF Mode</v>
      </c>
      <c r="C202" s="5" t="str">
        <f>LEFT(F202,FIND(".",F202,6))</f>
        <v>Exif.Casio2.</v>
      </c>
      <c r="D202" s="5" t="str">
        <f>VLOOKUP(C202,PrefixUebersetzung,2,FALSE)</f>
        <v>Exif.Casio2.</v>
      </c>
      <c r="E202" s="5" t="str">
        <f>MID(F202,FIND(".",F202,6)+1,99)</f>
        <v>AFMode</v>
      </c>
      <c r="F202" s="2" t="s">
        <v>6963</v>
      </c>
      <c r="G202" s="5" t="s">
        <v>9664</v>
      </c>
      <c r="H202" s="3" t="s">
        <v>3132</v>
      </c>
      <c r="I202" s="7" t="s">
        <v>4928</v>
      </c>
      <c r="J202" s="8" t="s">
        <v>4928</v>
      </c>
      <c r="K202" s="26"/>
      <c r="L202" s="6" t="str">
        <f>IFERROR(VLOOKUP(E202,A:I,9, FALSE),"")</f>
        <v>AF Modus</v>
      </c>
      <c r="M202" s="6" t="str">
        <f>IFERROR(VLOOKUP(H202,B:J,9,FALSE),"")</f>
        <v>AF Modus</v>
      </c>
      <c r="N202" s="6" t="str">
        <f>IF(AND(TRIM(I202)="",L202=""),"Suffix not translated ",
   IF(AND(TRIM(I202)&lt;&gt;"",TRIM(L202)&lt;&gt;"",TRIM(I202)&lt;&gt;TRIM(L202)),"Suffix translation &lt;&gt; lookup ", "" ))
&amp;IF(AND(TRIM(J202)="",M202=""),"Description not translated ",
   IF(AND(TRIM(J202)&lt;&gt;"",TRIM(M202)&lt;&gt;"",TRIM(J202)&lt;&gt;TRIM(M202)),"Description translation&lt;&gt; lookup ", "" ))</f>
        <v/>
      </c>
      <c r="O202" s="6" t="s">
        <v>8574</v>
      </c>
      <c r="P202" s="6" t="s">
        <v>8574</v>
      </c>
      <c r="Q202" s="6" t="s">
        <v>5217</v>
      </c>
    </row>
    <row r="203" spans="1:17" x14ac:dyDescent="0.25">
      <c r="A203" s="5" t="str">
        <f>IF(TRIM(I203)="","",E203)</f>
        <v>AFPointPosition</v>
      </c>
      <c r="B203" s="5" t="str">
        <f>IF(TRIM(J203)="","",H203)</f>
        <v>AF Point Position</v>
      </c>
      <c r="C203" s="5" t="str">
        <f>LEFT(F203,FIND(".",F203,6))</f>
        <v>Exif.Casio2.</v>
      </c>
      <c r="D203" s="5" t="str">
        <f>VLOOKUP(C203,PrefixUebersetzung,2,FALSE)</f>
        <v>Exif.Casio2.</v>
      </c>
      <c r="E203" s="5" t="str">
        <f>MID(F203,FIND(".",F203,6)+1,99)</f>
        <v>AFPointPosition</v>
      </c>
      <c r="F203" s="2" t="s">
        <v>6964</v>
      </c>
      <c r="G203" s="5" t="s">
        <v>9664</v>
      </c>
      <c r="H203" s="3" t="s">
        <v>6965</v>
      </c>
      <c r="I203" s="7" t="s">
        <v>7647</v>
      </c>
      <c r="J203" s="14" t="s">
        <v>7647</v>
      </c>
      <c r="K203" s="26"/>
      <c r="L203" s="6" t="str">
        <f>IFERROR(VLOOKUP(E203,A:I,9, FALSE),"")</f>
        <v>AF-Punkt Position</v>
      </c>
      <c r="M203" s="6" t="str">
        <f>IFERROR(VLOOKUP(H203,B:J,9,FALSE),"")</f>
        <v>AF-Punkt Position</v>
      </c>
      <c r="N203" s="6" t="str">
        <f>IF(AND(TRIM(I203)="",L203=""),"Suffix not translated ",
   IF(AND(TRIM(I203)&lt;&gt;"",TRIM(L203)&lt;&gt;"",TRIM(I203)&lt;&gt;TRIM(L203)),"Suffix translation &lt;&gt; lookup ", "" ))
&amp;IF(AND(TRIM(J203)="",M203=""),"Description not translated ",
   IF(AND(TRIM(J203)&lt;&gt;"",TRIM(M203)&lt;&gt;"",TRIM(J203)&lt;&gt;TRIM(M203)),"Description translation&lt;&gt; lookup ", "" ))</f>
        <v/>
      </c>
      <c r="O203" s="6" t="s">
        <v>8574</v>
      </c>
      <c r="P203" s="6" t="s">
        <v>8574</v>
      </c>
      <c r="Q203" s="6" t="s">
        <v>9106</v>
      </c>
    </row>
    <row r="204" spans="1:17" x14ac:dyDescent="0.25">
      <c r="A204" s="5" t="str">
        <f>IF(TRIM(I204)="","",E204)</f>
        <v>ArtMode</v>
      </c>
      <c r="B204" s="5" t="str">
        <f>IF(TRIM(J204)="","",H204)</f>
        <v>Art Mode</v>
      </c>
      <c r="C204" s="5" t="str">
        <f>LEFT(F204,FIND(".",F204,6))</f>
        <v>Exif.Casio2.</v>
      </c>
      <c r="D204" s="5" t="str">
        <f>VLOOKUP(C204,PrefixUebersetzung,2,FALSE)</f>
        <v>Exif.Casio2.</v>
      </c>
      <c r="E204" s="5" t="str">
        <f>MID(F204,FIND(".",F204,6)+1,99)</f>
        <v>ArtMode</v>
      </c>
      <c r="F204" s="2" t="s">
        <v>6966</v>
      </c>
      <c r="G204" s="5" t="s">
        <v>9664</v>
      </c>
      <c r="H204" s="3" t="s">
        <v>6967</v>
      </c>
      <c r="I204" s="7" t="s">
        <v>7652</v>
      </c>
      <c r="J204" s="14" t="s">
        <v>7652</v>
      </c>
      <c r="K204" s="26"/>
      <c r="N204" s="6" t="str">
        <f>IF(AND(TRIM(I204)="",L204=""),"Suffix not translated ",
   IF(AND(TRIM(I204)&lt;&gt;"",TRIM(L204)&lt;&gt;"",TRIM(I204)&lt;&gt;TRIM(L204)),"Suffix translation &lt;&gt; lookup ", "" ))
&amp;IF(AND(TRIM(J204)="",M204=""),"Description not translated ",
   IF(AND(TRIM(J204)&lt;&gt;"",TRIM(M204)&lt;&gt;"",TRIM(J204)&lt;&gt;TRIM(M204)),"Description translation&lt;&gt; lookup ", "" ))</f>
        <v/>
      </c>
      <c r="O204" s="6" t="s">
        <v>8574</v>
      </c>
      <c r="P204" s="6" t="s">
        <v>8574</v>
      </c>
    </row>
    <row r="205" spans="1:17" x14ac:dyDescent="0.25">
      <c r="A205" s="5" t="str">
        <f>IF(TRIM(I205)="","",E205)</f>
        <v>ArtModeParameters</v>
      </c>
      <c r="B205" s="5" t="str">
        <f>IF(TRIM(J205)="","",H205)</f>
        <v>Art Mode Parameters</v>
      </c>
      <c r="C205" s="5" t="str">
        <f>LEFT(F205,FIND(".",F205,6))</f>
        <v>Exif.Casio2.</v>
      </c>
      <c r="D205" s="5" t="str">
        <f>VLOOKUP(C205,PrefixUebersetzung,2,FALSE)</f>
        <v>Exif.Casio2.</v>
      </c>
      <c r="E205" s="5" t="str">
        <f>MID(F205,FIND(".",F205,6)+1,99)</f>
        <v>ArtModeParameters</v>
      </c>
      <c r="F205" s="2" t="s">
        <v>6968</v>
      </c>
      <c r="G205" s="5" t="s">
        <v>9669</v>
      </c>
      <c r="H205" s="3" t="s">
        <v>6969</v>
      </c>
      <c r="I205" s="7" t="s">
        <v>7653</v>
      </c>
      <c r="J205" s="14" t="s">
        <v>7653</v>
      </c>
      <c r="K205" s="26"/>
      <c r="N205" s="6" t="str">
        <f>IF(AND(TRIM(I205)="",L205=""),"Suffix not translated ",
   IF(AND(TRIM(I205)&lt;&gt;"",TRIM(L205)&lt;&gt;"",TRIM(I205)&lt;&gt;TRIM(L205)),"Suffix translation &lt;&gt; lookup ", "" ))
&amp;IF(AND(TRIM(J205)="",M205=""),"Description not translated ",
   IF(AND(TRIM(J205)&lt;&gt;"",TRIM(M205)&lt;&gt;"",TRIM(J205)&lt;&gt;TRIM(M205)),"Description translation&lt;&gt; lookup ", "" ))</f>
        <v/>
      </c>
      <c r="O205" s="6" t="s">
        <v>8574</v>
      </c>
      <c r="P205" s="6" t="s">
        <v>8574</v>
      </c>
    </row>
    <row r="206" spans="1:17" x14ac:dyDescent="0.25">
      <c r="A206" s="5" t="str">
        <f>IF(TRIM(I206)="","",E206)</f>
        <v/>
      </c>
      <c r="B206" s="5" t="str">
        <f>IF(TRIM(J206)="","",H206)</f>
        <v>Auto ISO</v>
      </c>
      <c r="C206" s="5" t="str">
        <f>LEFT(F206,FIND(".",F206,6))</f>
        <v>Exif.Casio2.</v>
      </c>
      <c r="D206" s="5" t="str">
        <f>VLOOKUP(C206,PrefixUebersetzung,2,FALSE)</f>
        <v>Exif.Casio2.</v>
      </c>
      <c r="E206" s="5" t="str">
        <f>MID(F206,FIND(".",F206,6)+1,99)</f>
        <v>AutoISO</v>
      </c>
      <c r="F206" s="2" t="s">
        <v>6970</v>
      </c>
      <c r="G206" s="5" t="s">
        <v>9664</v>
      </c>
      <c r="H206" s="3" t="s">
        <v>6971</v>
      </c>
      <c r="I206" s="7"/>
      <c r="J206" s="14" t="s">
        <v>6971</v>
      </c>
      <c r="K206" s="26"/>
      <c r="L206" s="6" t="str">
        <f>IFERROR(VLOOKUP(E206,A:I,9, FALSE),"")</f>
        <v>Auto ISO</v>
      </c>
      <c r="N206" s="6" t="str">
        <f>IF(AND(TRIM(I206)="",L206=""),"Suffix not translated ",
   IF(AND(TRIM(I206)&lt;&gt;"",TRIM(L206)&lt;&gt;"",TRIM(I206)&lt;&gt;TRIM(L206)),"Suffix translation &lt;&gt; lookup ", "" ))
&amp;IF(AND(TRIM(J206)="",M206=""),"Description not translated ",
   IF(AND(TRIM(J206)&lt;&gt;"",TRIM(M206)&lt;&gt;"",TRIM(J206)&lt;&gt;TRIM(M206)),"Description translation&lt;&gt; lookup ", "" ))</f>
        <v/>
      </c>
      <c r="P206" s="6" t="s">
        <v>8574</v>
      </c>
      <c r="Q206" s="6" t="s">
        <v>9147</v>
      </c>
    </row>
    <row r="207" spans="1:17" x14ac:dyDescent="0.25">
      <c r="A207" s="5" t="str">
        <f>IF(TRIM(I207)="","",E207)</f>
        <v>BestShotMode</v>
      </c>
      <c r="B207" s="5" t="str">
        <f>IF(TRIM(J207)="","",H207)</f>
        <v>Best Shot Mode</v>
      </c>
      <c r="C207" s="5" t="str">
        <f>LEFT(F207,FIND(".",F207,6))</f>
        <v>Exif.Casio2.</v>
      </c>
      <c r="D207" s="5" t="str">
        <f>VLOOKUP(C207,PrefixUebersetzung,2,FALSE)</f>
        <v>Exif.Casio2.</v>
      </c>
      <c r="E207" s="5" t="str">
        <f>MID(F207,FIND(".",F207,6)+1,99)</f>
        <v>BestShotMode</v>
      </c>
      <c r="F207" s="2" t="s">
        <v>6972</v>
      </c>
      <c r="G207" s="5" t="s">
        <v>9664</v>
      </c>
      <c r="H207" s="3" t="s">
        <v>6973</v>
      </c>
      <c r="I207" s="7" t="s">
        <v>7654</v>
      </c>
      <c r="J207" s="14" t="s">
        <v>7654</v>
      </c>
      <c r="K207" s="26"/>
      <c r="N207" s="6" t="str">
        <f>IF(AND(TRIM(I207)="",L207=""),"Suffix not translated ",
   IF(AND(TRIM(I207)&lt;&gt;"",TRIM(L207)&lt;&gt;"",TRIM(I207)&lt;&gt;TRIM(L207)),"Suffix translation &lt;&gt; lookup ", "" ))
&amp;IF(AND(TRIM(J207)="",M207=""),"Description not translated ",
   IF(AND(TRIM(J207)&lt;&gt;"",TRIM(M207)&lt;&gt;"",TRIM(J207)&lt;&gt;TRIM(M207)),"Description translation&lt;&gt; lookup ", "" ))</f>
        <v/>
      </c>
      <c r="O207" s="6" t="s">
        <v>8574</v>
      </c>
      <c r="P207" s="6" t="s">
        <v>8574</v>
      </c>
    </row>
    <row r="208" spans="1:17" x14ac:dyDescent="0.25">
      <c r="A208" s="5" t="str">
        <f>IF(TRIM(I208)="","",E208)</f>
        <v>CaptureFrameRate</v>
      </c>
      <c r="B208" s="5" t="str">
        <f>IF(TRIM(J208)="","",H208)</f>
        <v>Capture Frame Rate</v>
      </c>
      <c r="C208" s="5" t="str">
        <f>LEFT(F208,FIND(".",F208,6))</f>
        <v>Exif.Casio2.</v>
      </c>
      <c r="D208" s="5" t="str">
        <f>VLOOKUP(C208,PrefixUebersetzung,2,FALSE)</f>
        <v>Exif.Casio2.</v>
      </c>
      <c r="E208" s="5" t="str">
        <f>MID(F208,FIND(".",F208,6)+1,99)</f>
        <v>CaptureFrameRate</v>
      </c>
      <c r="F208" s="2" t="s">
        <v>6974</v>
      </c>
      <c r="G208" s="5" t="s">
        <v>9664</v>
      </c>
      <c r="H208" s="3" t="s">
        <v>6975</v>
      </c>
      <c r="I208" s="7" t="s">
        <v>7672</v>
      </c>
      <c r="J208" s="14" t="s">
        <v>7672</v>
      </c>
      <c r="K208" s="26"/>
      <c r="N208" s="6" t="str">
        <f>IF(AND(TRIM(I208)="",L208=""),"Suffix not translated ",
   IF(AND(TRIM(I208)&lt;&gt;"",TRIM(L208)&lt;&gt;"",TRIM(I208)&lt;&gt;TRIM(L208)),"Suffix translation &lt;&gt; lookup ", "" ))
&amp;IF(AND(TRIM(J208)="",M208=""),"Description not translated ",
   IF(AND(TRIM(J208)&lt;&gt;"",TRIM(M208)&lt;&gt;"",TRIM(J208)&lt;&gt;TRIM(M208)),"Description translation&lt;&gt; lookup ", "" ))</f>
        <v/>
      </c>
      <c r="O208" s="6" t="s">
        <v>8574</v>
      </c>
      <c r="P208" s="6" t="s">
        <v>8574</v>
      </c>
    </row>
    <row r="209" spans="1:17" x14ac:dyDescent="0.25">
      <c r="A209" s="5" t="str">
        <f>IF(TRIM(I209)="","",E209)</f>
        <v/>
      </c>
      <c r="B209" s="5" t="str">
        <f>IF(TRIM(J209)="","",H209)</f>
        <v/>
      </c>
      <c r="C209" s="5" t="str">
        <f>LEFT(F209,FIND(".",F209,6))</f>
        <v>Exif.Casio2.</v>
      </c>
      <c r="D209" s="5" t="str">
        <f>VLOOKUP(C209,PrefixUebersetzung,2,FALSE)</f>
        <v>Exif.Casio2.</v>
      </c>
      <c r="E209" s="5" t="str">
        <f>MID(F209,FIND(".",F209,6)+1,99)</f>
        <v>ColorFilter</v>
      </c>
      <c r="F209" s="2" t="s">
        <v>6976</v>
      </c>
      <c r="G209" s="5" t="s">
        <v>9664</v>
      </c>
      <c r="H209" s="3" t="s">
        <v>6939</v>
      </c>
      <c r="I209" s="7"/>
      <c r="J209" s="8"/>
      <c r="K209" s="26"/>
      <c r="L209" s="6" t="str">
        <f>IFERROR(VLOOKUP(E209,A:I,9, FALSE),"")</f>
        <v>Farbfilter</v>
      </c>
      <c r="M209" s="6" t="str">
        <f>IFERROR(VLOOKUP(H209,B:J,9,FALSE),"")</f>
        <v>Farbfilter</v>
      </c>
      <c r="N209" s="6" t="str">
        <f>IF(AND(TRIM(I209)="",L209=""),"Suffix not translated ",
   IF(AND(TRIM(I209)&lt;&gt;"",TRIM(L209)&lt;&gt;"",TRIM(I209)&lt;&gt;TRIM(L209)),"Suffix translation &lt;&gt; lookup ", "" ))
&amp;IF(AND(TRIM(J209)="",M209=""),"Description not translated ",
   IF(AND(TRIM(J209)&lt;&gt;"",TRIM(M209)&lt;&gt;"",TRIM(J209)&lt;&gt;TRIM(M209)),"Description translation&lt;&gt; lookup ", "" ))</f>
        <v/>
      </c>
    </row>
    <row r="210" spans="1:17" x14ac:dyDescent="0.25">
      <c r="A210" s="5" t="str">
        <f>IF(TRIM(I210)="","",E210)</f>
        <v>ColorMode</v>
      </c>
      <c r="B210" s="5" t="str">
        <f>IF(TRIM(J210)="","",H210)</f>
        <v>Color Mode</v>
      </c>
      <c r="C210" s="5" t="str">
        <f>LEFT(F210,FIND(".",F210,6))</f>
        <v>Exif.Casio2.</v>
      </c>
      <c r="D210" s="5" t="str">
        <f>VLOOKUP(C210,PrefixUebersetzung,2,FALSE)</f>
        <v>Exif.Casio2.</v>
      </c>
      <c r="E210" s="5" t="str">
        <f>MID(F210,FIND(".",F210,6)+1,99)</f>
        <v>ColorMode</v>
      </c>
      <c r="F210" s="2" t="s">
        <v>6977</v>
      </c>
      <c r="G210" s="5" t="s">
        <v>9664</v>
      </c>
      <c r="H210" s="3" t="s">
        <v>3136</v>
      </c>
      <c r="I210" s="7" t="s">
        <v>3904</v>
      </c>
      <c r="J210" s="8" t="s">
        <v>3904</v>
      </c>
      <c r="K210" s="26"/>
      <c r="L210" s="6" t="str">
        <f>IFERROR(VLOOKUP(E210,A:I,9, FALSE),"")</f>
        <v>Farbmodus</v>
      </c>
      <c r="M210" s="6" t="str">
        <f>IFERROR(VLOOKUP(H210,B:J,9,FALSE),"")</f>
        <v>Farbmodus</v>
      </c>
      <c r="N210" s="6" t="str">
        <f>IF(AND(TRIM(I210)="",L210=""),"Suffix not translated ",
   IF(AND(TRIM(I210)&lt;&gt;"",TRIM(L210)&lt;&gt;"",TRIM(I210)&lt;&gt;TRIM(L210)),"Suffix translation &lt;&gt; lookup ", "" ))
&amp;IF(AND(TRIM(J210)="",M210=""),"Description not translated ",
   IF(AND(TRIM(J210)&lt;&gt;"",TRIM(M210)&lt;&gt;"",TRIM(J210)&lt;&gt;TRIM(M210)),"Description translation&lt;&gt; lookup ", "" ))</f>
        <v/>
      </c>
      <c r="O210" s="6" t="s">
        <v>8574</v>
      </c>
      <c r="P210" s="6" t="s">
        <v>8574</v>
      </c>
      <c r="Q210" s="6" t="s">
        <v>3904</v>
      </c>
    </row>
    <row r="211" spans="1:17" x14ac:dyDescent="0.25">
      <c r="A211" s="5" t="str">
        <f>IF(TRIM(I211)="","",E211)</f>
        <v/>
      </c>
      <c r="B211" s="5" t="str">
        <f>IF(TRIM(J211)="","",H211)</f>
        <v/>
      </c>
      <c r="C211" s="5" t="str">
        <f>LEFT(F211,FIND(".",F211,6))</f>
        <v>Exif.Casio2.</v>
      </c>
      <c r="D211" s="5" t="str">
        <f>VLOOKUP(C211,PrefixUebersetzung,2,FALSE)</f>
        <v>Exif.Casio2.</v>
      </c>
      <c r="E211" s="5" t="str">
        <f>MID(F211,FIND(".",F211,6)+1,99)</f>
        <v>Contrast</v>
      </c>
      <c r="F211" s="2" t="s">
        <v>6978</v>
      </c>
      <c r="G211" s="5" t="s">
        <v>9664</v>
      </c>
      <c r="H211" s="3" t="s">
        <v>2549</v>
      </c>
      <c r="I211" s="7"/>
      <c r="J211" s="8"/>
      <c r="K211" s="26"/>
      <c r="L211" s="6" t="str">
        <f>IFERROR(VLOOKUP(E211,A:I,9, FALSE),"")</f>
        <v>Kontrast</v>
      </c>
      <c r="M211" s="6" t="str">
        <f>IFERROR(VLOOKUP(H211,B:J,9,FALSE),"")</f>
        <v>Kontrast</v>
      </c>
      <c r="N211" s="6" t="str">
        <f>IF(AND(TRIM(I211)="",L211=""),"Suffix not translated ",
   IF(AND(TRIM(I211)&lt;&gt;"",TRIM(L211)&lt;&gt;"",TRIM(I211)&lt;&gt;TRIM(L211)),"Suffix translation &lt;&gt; lookup ", "" ))
&amp;IF(AND(TRIM(J211)="",M211=""),"Description not translated ",
   IF(AND(TRIM(J211)&lt;&gt;"",TRIM(M211)&lt;&gt;"",TRIM(J211)&lt;&gt;TRIM(M211)),"Description translation&lt;&gt; lookup ", "" ))</f>
        <v/>
      </c>
    </row>
    <row r="212" spans="1:17" x14ac:dyDescent="0.25">
      <c r="A212" s="5" t="str">
        <f>IF(TRIM(I212)="","",E212)</f>
        <v>Contrast2</v>
      </c>
      <c r="B212" s="5" t="str">
        <f>IF(TRIM(J212)="","",H212)</f>
        <v/>
      </c>
      <c r="C212" s="5" t="str">
        <f>LEFT(F212,FIND(".",F212,6))</f>
        <v>Exif.Casio2.</v>
      </c>
      <c r="D212" s="5" t="str">
        <f>VLOOKUP(C212,PrefixUebersetzung,2,FALSE)</f>
        <v>Exif.Casio2.</v>
      </c>
      <c r="E212" s="5" t="str">
        <f>MID(F212,FIND(".",F212,6)+1,99)</f>
        <v>Contrast2</v>
      </c>
      <c r="F212" s="2" t="s">
        <v>6979</v>
      </c>
      <c r="G212" s="5" t="s">
        <v>9669</v>
      </c>
      <c r="H212" s="3" t="s">
        <v>2549</v>
      </c>
      <c r="I212" s="7" t="s">
        <v>7648</v>
      </c>
      <c r="J212" s="8"/>
      <c r="K212" s="26"/>
      <c r="M212" s="6" t="str">
        <f>IFERROR(VLOOKUP(H212,B:J,9,FALSE),"")</f>
        <v>Kontrast</v>
      </c>
      <c r="N212" s="6" t="str">
        <f>IF(AND(TRIM(I212)="",L212=""),"Suffix not translated ",
   IF(AND(TRIM(I212)&lt;&gt;"",TRIM(L212)&lt;&gt;"",TRIM(I212)&lt;&gt;TRIM(L212)),"Suffix translation &lt;&gt; lookup ", "" ))
&amp;IF(AND(TRIM(J212)="",M212=""),"Description not translated ",
   IF(AND(TRIM(J212)&lt;&gt;"",TRIM(M212)&lt;&gt;"",TRIM(J212)&lt;&gt;TRIM(M212)),"Description translation&lt;&gt; lookup ", "" ))</f>
        <v/>
      </c>
      <c r="O212" s="6" t="s">
        <v>8574</v>
      </c>
    </row>
    <row r="213" spans="1:17" x14ac:dyDescent="0.25">
      <c r="A213" s="5" t="str">
        <f>IF(TRIM(I213)="","",E213)</f>
        <v/>
      </c>
      <c r="B213" s="5" t="str">
        <f>IF(TRIM(J213)="","",H213)</f>
        <v>Drive Mode</v>
      </c>
      <c r="C213" s="5" t="str">
        <f>LEFT(F213,FIND(".",F213,6))</f>
        <v>Exif.Casio2.</v>
      </c>
      <c r="D213" s="5" t="str">
        <f>VLOOKUP(C213,PrefixUebersetzung,2,FALSE)</f>
        <v>Exif.Casio2.</v>
      </c>
      <c r="E213" s="5" t="str">
        <f>MID(F213,FIND(".",F213,6)+1,99)</f>
        <v>DriveMode</v>
      </c>
      <c r="F213" s="2" t="s">
        <v>6980</v>
      </c>
      <c r="G213" s="5" t="s">
        <v>9664</v>
      </c>
      <c r="H213" s="3" t="s">
        <v>3162</v>
      </c>
      <c r="I213" s="7"/>
      <c r="J213" s="8" t="s">
        <v>5166</v>
      </c>
      <c r="K213" s="26"/>
      <c r="L213" s="6" t="str">
        <f>IFERROR(VLOOKUP(E213,A:I,9, FALSE),"")</f>
        <v>Betriebsart</v>
      </c>
      <c r="M213" s="6" t="str">
        <f>IFERROR(VLOOKUP(H213,B:J,9,FALSE),"")</f>
        <v>Betriebsart</v>
      </c>
      <c r="N213" s="6" t="str">
        <f>IF(AND(TRIM(I213)="",L213=""),"Suffix not translated ",
   IF(AND(TRIM(I213)&lt;&gt;"",TRIM(L213)&lt;&gt;"",TRIM(I213)&lt;&gt;TRIM(L213)),"Suffix translation &lt;&gt; lookup ", "" ))
&amp;IF(AND(TRIM(J213)="",M213=""),"Description not translated ",
   IF(AND(TRIM(J213)&lt;&gt;"",TRIM(M213)&lt;&gt;"",TRIM(J213)&lt;&gt;TRIM(M213)),"Description translation&lt;&gt; lookup ", "" ))</f>
        <v/>
      </c>
      <c r="P213" s="6" t="s">
        <v>8574</v>
      </c>
      <c r="Q213" s="6" t="s">
        <v>9255</v>
      </c>
    </row>
    <row r="214" spans="1:17" x14ac:dyDescent="0.25">
      <c r="A214" s="5" t="str">
        <f>IF(TRIM(I214)="","",E214)</f>
        <v/>
      </c>
      <c r="B214" s="5" t="str">
        <f>IF(TRIM(J214)="","",H214)</f>
        <v/>
      </c>
      <c r="C214" s="5" t="str">
        <f>LEFT(F214,FIND(".",F214,6))</f>
        <v>Exif.Casio2.</v>
      </c>
      <c r="D214" s="5" t="str">
        <f>VLOOKUP(C214,PrefixUebersetzung,2,FALSE)</f>
        <v>Exif.Casio2.</v>
      </c>
      <c r="E214" s="5" t="str">
        <f>MID(F214,FIND(".",F214,6)+1,99)</f>
        <v>Enhancement</v>
      </c>
      <c r="F214" s="2" t="s">
        <v>6981</v>
      </c>
      <c r="G214" s="5" t="s">
        <v>9664</v>
      </c>
      <c r="H214" s="3" t="s">
        <v>6943</v>
      </c>
      <c r="I214" s="7"/>
      <c r="J214" s="8"/>
      <c r="K214" s="26"/>
      <c r="L214" s="6" t="str">
        <f>IFERROR(VLOOKUP(E214,A:I,9, FALSE),"")</f>
        <v>Erweiterung</v>
      </c>
      <c r="M214" s="6" t="str">
        <f>IFERROR(VLOOKUP(H214,B:J,9,FALSE),"")</f>
        <v>Erweiterung</v>
      </c>
      <c r="N214" s="6" t="str">
        <f>IF(AND(TRIM(I214)="",L214=""),"Suffix not translated ",
   IF(AND(TRIM(I214)&lt;&gt;"",TRIM(L214)&lt;&gt;"",TRIM(I214)&lt;&gt;TRIM(L214)),"Suffix translation &lt;&gt; lookup ", "" ))
&amp;IF(AND(TRIM(J214)="",M214=""),"Description not translated ",
   IF(AND(TRIM(J214)&lt;&gt;"",TRIM(M214)&lt;&gt;"",TRIM(J214)&lt;&gt;TRIM(M214)),"Description translation&lt;&gt; lookup ", "" ))</f>
        <v/>
      </c>
    </row>
    <row r="215" spans="1:17" x14ac:dyDescent="0.25">
      <c r="A215" s="5" t="str">
        <f>IF(TRIM(I215)="","",E215)</f>
        <v>FaceInfo</v>
      </c>
      <c r="B215" s="5" t="str">
        <f>IF(TRIM(J215)="","",H215)</f>
        <v>Face Info</v>
      </c>
      <c r="C215" s="5" t="str">
        <f>LEFT(F215,FIND(".",F215,6))</f>
        <v>Exif.Casio2.</v>
      </c>
      <c r="D215" s="5" t="str">
        <f>VLOOKUP(C215,PrefixUebersetzung,2,FALSE)</f>
        <v>Exif.Casio2.</v>
      </c>
      <c r="E215" s="5" t="str">
        <f>MID(F215,FIND(".",F215,6)+1,99)</f>
        <v>FaceInfo</v>
      </c>
      <c r="F215" s="2" t="s">
        <v>6982</v>
      </c>
      <c r="G215" s="5" t="s">
        <v>9669</v>
      </c>
      <c r="H215" s="3" t="s">
        <v>6983</v>
      </c>
      <c r="I215" s="7" t="s">
        <v>7655</v>
      </c>
      <c r="J215" s="14" t="s">
        <v>7655</v>
      </c>
      <c r="K215" s="26"/>
      <c r="N215" s="6" t="str">
        <f>IF(AND(TRIM(I215)="",L215=""),"Suffix not translated ",
   IF(AND(TRIM(I215)&lt;&gt;"",TRIM(L215)&lt;&gt;"",TRIM(I215)&lt;&gt;TRIM(L215)),"Suffix translation &lt;&gt; lookup ", "" ))
&amp;IF(AND(TRIM(J215)="",M215=""),"Description not translated ",
   IF(AND(TRIM(J215)&lt;&gt;"",TRIM(M215)&lt;&gt;"",TRIM(J215)&lt;&gt;TRIM(M215)),"Description translation&lt;&gt; lookup ", "" ))</f>
        <v/>
      </c>
      <c r="O215" s="6" t="s">
        <v>8574</v>
      </c>
      <c r="P215" s="6" t="s">
        <v>8574</v>
      </c>
    </row>
    <row r="216" spans="1:17" x14ac:dyDescent="0.25">
      <c r="A216" s="5" t="str">
        <f>IF(TRIM(I216)="","",E216)</f>
        <v>FacesDetected</v>
      </c>
      <c r="B216" s="5" t="str">
        <f>IF(TRIM(J216)="","",H216)</f>
        <v>Faces detected</v>
      </c>
      <c r="C216" s="5" t="str">
        <f>LEFT(F216,FIND(".",F216,6))</f>
        <v>Exif.Casio2.</v>
      </c>
      <c r="D216" s="5" t="str">
        <f>VLOOKUP(C216,PrefixUebersetzung,2,FALSE)</f>
        <v>Exif.Casio2.</v>
      </c>
      <c r="E216" s="5" t="str">
        <f>MID(F216,FIND(".",F216,6)+1,99)</f>
        <v>FacesDetected</v>
      </c>
      <c r="F216" s="2" t="s">
        <v>6984</v>
      </c>
      <c r="G216" s="5" t="s">
        <v>9670</v>
      </c>
      <c r="H216" s="3" t="s">
        <v>6985</v>
      </c>
      <c r="I216" s="7" t="s">
        <v>7656</v>
      </c>
      <c r="J216" s="14" t="s">
        <v>7656</v>
      </c>
      <c r="K216" s="26"/>
      <c r="L216" s="6" t="str">
        <f>IFERROR(VLOOKUP(E216,A:I,9, FALSE),"")</f>
        <v>Gesichter erkannt</v>
      </c>
      <c r="M216" s="6" t="str">
        <f>IFERROR(VLOOKUP(H216,B:J,9,FALSE),"")</f>
        <v>Gesichter erkannt</v>
      </c>
      <c r="N216" s="6" t="str">
        <f>IF(AND(TRIM(I216)="",L216=""),"Suffix not translated ",
   IF(AND(TRIM(I216)&lt;&gt;"",TRIM(L216)&lt;&gt;"",TRIM(I216)&lt;&gt;TRIM(L216)),"Suffix translation &lt;&gt; lookup ", "" ))
&amp;IF(AND(TRIM(J216)="",M216=""),"Description not translated ",
   IF(AND(TRIM(J216)&lt;&gt;"",TRIM(M216)&lt;&gt;"",TRIM(J216)&lt;&gt;TRIM(M216)),"Description translation&lt;&gt; lookup ", "" ))</f>
        <v/>
      </c>
      <c r="O216" s="6" t="s">
        <v>8574</v>
      </c>
      <c r="P216" s="6" t="s">
        <v>8574</v>
      </c>
      <c r="Q216" s="6" t="s">
        <v>9294</v>
      </c>
    </row>
    <row r="217" spans="1:17" x14ac:dyDescent="0.25">
      <c r="A217" s="5" t="str">
        <f>IF(TRIM(I217)="","",E217)</f>
        <v/>
      </c>
      <c r="B217" s="5" t="str">
        <f>IF(TRIM(J217)="","",H217)</f>
        <v/>
      </c>
      <c r="C217" s="5" t="str">
        <f>LEFT(F217,FIND(".",F217,6))</f>
        <v>Exif.Casio2.</v>
      </c>
      <c r="D217" s="5" t="str">
        <f>VLOOKUP(C217,PrefixUebersetzung,2,FALSE)</f>
        <v>Exif.Casio2.</v>
      </c>
      <c r="E217" s="5" t="str">
        <f>MID(F217,FIND(".",F217,6)+1,99)</f>
        <v>FirmwareDate</v>
      </c>
      <c r="F217" s="2" t="s">
        <v>6986</v>
      </c>
      <c r="G217" s="5" t="s">
        <v>9666</v>
      </c>
      <c r="H217" s="3" t="s">
        <v>6987</v>
      </c>
      <c r="I217" s="7"/>
      <c r="K217" s="26"/>
      <c r="L217" s="6" t="str">
        <f>IFERROR(VLOOKUP(E217,A:I,9, FALSE),"")</f>
        <v>Firmware Datum</v>
      </c>
      <c r="M217" s="6" t="str">
        <f>IFERROR(VLOOKUP(H217,B:J,9,FALSE),"")</f>
        <v>Firmware Datum</v>
      </c>
      <c r="N217" s="6" t="str">
        <f>IF(AND(TRIM(I217)="",L217=""),"Suffix not translated ",
   IF(AND(TRIM(I217)&lt;&gt;"",TRIM(L217)&lt;&gt;"",TRIM(I217)&lt;&gt;TRIM(L217)),"Suffix translation &lt;&gt; lookup ", "" ))
&amp;IF(AND(TRIM(J217)="",M217=""),"Description not translated ",
   IF(AND(TRIM(J217)&lt;&gt;"",TRIM(M217)&lt;&gt;"",TRIM(J217)&lt;&gt;TRIM(M217)),"Description translation&lt;&gt; lookup ", "" ))</f>
        <v/>
      </c>
    </row>
    <row r="218" spans="1:17" x14ac:dyDescent="0.25">
      <c r="A218" s="5" t="str">
        <f>IF(TRIM(I218)="","",E218)</f>
        <v>FlashDistance</v>
      </c>
      <c r="B218" s="5" t="str">
        <f>IF(TRIM(J218)="","",H218)</f>
        <v>Flash Distance</v>
      </c>
      <c r="C218" s="5" t="str">
        <f>LEFT(F218,FIND(".",F218,6))</f>
        <v>Exif.Casio2.</v>
      </c>
      <c r="D218" s="5" t="str">
        <f>VLOOKUP(C218,PrefixUebersetzung,2,FALSE)</f>
        <v>Exif.Casio2.</v>
      </c>
      <c r="E218" s="5" t="str">
        <f>MID(F218,FIND(".",F218,6)+1,99)</f>
        <v>FlashDistance</v>
      </c>
      <c r="F218" s="2" t="s">
        <v>6988</v>
      </c>
      <c r="G218" s="5" t="s">
        <v>9664</v>
      </c>
      <c r="H218" s="3" t="s">
        <v>6989</v>
      </c>
      <c r="I218" s="7" t="s">
        <v>7657</v>
      </c>
      <c r="J218" s="14" t="s">
        <v>7657</v>
      </c>
      <c r="K218" s="26"/>
      <c r="N218" s="6" t="str">
        <f>IF(AND(TRIM(I218)="",L218=""),"Suffix not translated ",
   IF(AND(TRIM(I218)&lt;&gt;"",TRIM(L218)&lt;&gt;"",TRIM(I218)&lt;&gt;TRIM(L218)),"Suffix translation &lt;&gt; lookup ", "" ))
&amp;IF(AND(TRIM(J218)="",M218=""),"Description not translated ",
   IF(AND(TRIM(J218)&lt;&gt;"",TRIM(M218)&lt;&gt;"",TRIM(J218)&lt;&gt;TRIM(M218)),"Description translation&lt;&gt; lookup ", "" ))</f>
        <v/>
      </c>
      <c r="O218" s="6" t="s">
        <v>8574</v>
      </c>
      <c r="P218" s="6" t="s">
        <v>8574</v>
      </c>
    </row>
    <row r="219" spans="1:17" x14ac:dyDescent="0.25">
      <c r="A219" s="5" t="str">
        <f>IF(TRIM(I219)="","",E219)</f>
        <v/>
      </c>
      <c r="B219" s="5" t="str">
        <f>IF(TRIM(J219)="","",H219)</f>
        <v/>
      </c>
      <c r="C219" s="5" t="str">
        <f>LEFT(F219,FIND(".",F219,6))</f>
        <v>Exif.Casio2.</v>
      </c>
      <c r="D219" s="5" t="str">
        <f>VLOOKUP(C219,PrefixUebersetzung,2,FALSE)</f>
        <v>Exif.Casio2.</v>
      </c>
      <c r="E219" s="5" t="str">
        <f>MID(F219,FIND(".",F219,6)+1,99)</f>
        <v>FocalLength</v>
      </c>
      <c r="F219" s="2" t="s">
        <v>6990</v>
      </c>
      <c r="G219" s="5" t="s">
        <v>9671</v>
      </c>
      <c r="H219" s="3" t="s">
        <v>6991</v>
      </c>
      <c r="I219" s="7"/>
      <c r="J219" s="8"/>
      <c r="K219" s="26"/>
      <c r="L219" s="6" t="str">
        <f>IFERROR(VLOOKUP(E219,A:I,9, FALSE),"")</f>
        <v>Brennweite</v>
      </c>
      <c r="M219" s="6" t="str">
        <f>IFERROR(VLOOKUP(H219,B:J,9,FALSE),"")</f>
        <v>Brennweite</v>
      </c>
      <c r="N219" s="6" t="str">
        <f>IF(AND(TRIM(I219)="",L219=""),"Suffix not translated ",
   IF(AND(TRIM(I219)&lt;&gt;"",TRIM(L219)&lt;&gt;"",TRIM(I219)&lt;&gt;TRIM(L219)),"Suffix translation &lt;&gt; lookup ", "" ))
&amp;IF(AND(TRIM(J219)="",M219=""),"Description not translated ",
   IF(AND(TRIM(J219)&lt;&gt;"",TRIM(M219)&lt;&gt;"",TRIM(J219)&lt;&gt;TRIM(M219)),"Description translation&lt;&gt; lookup ", "" ))</f>
        <v/>
      </c>
    </row>
    <row r="220" spans="1:17" x14ac:dyDescent="0.25">
      <c r="A220" s="5" t="str">
        <f>IF(TRIM(I220)="","",E220)</f>
        <v/>
      </c>
      <c r="B220" s="5" t="str">
        <f>IF(TRIM(J220)="","",H220)</f>
        <v/>
      </c>
      <c r="C220" s="5" t="str">
        <f>LEFT(F220,FIND(".",F220,6))</f>
        <v>Exif.Casio2.</v>
      </c>
      <c r="D220" s="5" t="str">
        <f>VLOOKUP(C220,PrefixUebersetzung,2,FALSE)</f>
        <v>Exif.Casio2.</v>
      </c>
      <c r="E220" s="5" t="str">
        <f>MID(F220,FIND(".",F220,6)+1,99)</f>
        <v>FocusMode</v>
      </c>
      <c r="F220" s="2" t="s">
        <v>6992</v>
      </c>
      <c r="G220" s="5" t="s">
        <v>9664</v>
      </c>
      <c r="H220" s="3" t="s">
        <v>3142</v>
      </c>
      <c r="I220" s="7"/>
      <c r="J220" s="8"/>
      <c r="K220" s="26"/>
      <c r="L220" s="6" t="str">
        <f>IFERROR(VLOOKUP(E220,A:I,9, FALSE),"")</f>
        <v>Fokusmodus</v>
      </c>
      <c r="M220" s="6" t="str">
        <f>IFERROR(VLOOKUP(H220,B:J,9,FALSE),"")</f>
        <v>Fokusmodus</v>
      </c>
      <c r="N220" s="6" t="str">
        <f>IF(AND(TRIM(I220)="",L220=""),"Suffix not translated ",
   IF(AND(TRIM(I220)&lt;&gt;"",TRIM(L220)&lt;&gt;"",TRIM(I220)&lt;&gt;TRIM(L220)),"Suffix translation &lt;&gt; lookup ", "" ))
&amp;IF(AND(TRIM(J220)="",M220=""),"Description not translated ",
   IF(AND(TRIM(J220)&lt;&gt;"",TRIM(M220)&lt;&gt;"",TRIM(J220)&lt;&gt;TRIM(M220)),"Description translation&lt;&gt; lookup ", "" ))</f>
        <v/>
      </c>
    </row>
    <row r="221" spans="1:17" x14ac:dyDescent="0.25">
      <c r="A221" s="5" t="str">
        <f>IF(TRIM(I221)="","",E221)</f>
        <v>FocusMode2</v>
      </c>
      <c r="B221" s="5" t="str">
        <f>IF(TRIM(J221)="","",H221)</f>
        <v>Focus Mode2</v>
      </c>
      <c r="C221" s="5" t="str">
        <f>LEFT(F221,FIND(".",F221,6))</f>
        <v>Exif.Casio2.</v>
      </c>
      <c r="D221" s="5" t="str">
        <f>VLOOKUP(C221,PrefixUebersetzung,2,FALSE)</f>
        <v>Exif.Casio2.</v>
      </c>
      <c r="E221" s="5" t="str">
        <f>MID(F221,FIND(".",F221,6)+1,99)</f>
        <v>FocusMode2</v>
      </c>
      <c r="F221" s="2" t="s">
        <v>6993</v>
      </c>
      <c r="G221" s="5" t="s">
        <v>9664</v>
      </c>
      <c r="H221" s="3" t="s">
        <v>6994</v>
      </c>
      <c r="I221" s="7" t="s">
        <v>7658</v>
      </c>
      <c r="J221" s="14" t="s">
        <v>7658</v>
      </c>
      <c r="K221" s="26"/>
      <c r="N221" s="6" t="str">
        <f>IF(AND(TRIM(I221)="",L221=""),"Suffix not translated ",
   IF(AND(TRIM(I221)&lt;&gt;"",TRIM(L221)&lt;&gt;"",TRIM(I221)&lt;&gt;TRIM(L221)),"Suffix translation &lt;&gt; lookup ", "" ))
&amp;IF(AND(TRIM(J221)="",M221=""),"Description not translated ",
   IF(AND(TRIM(J221)&lt;&gt;"",TRIM(M221)&lt;&gt;"",TRIM(J221)&lt;&gt;TRIM(M221)),"Description translation&lt;&gt; lookup ", "" ))</f>
        <v/>
      </c>
      <c r="O221" s="6" t="s">
        <v>8574</v>
      </c>
      <c r="P221" s="6" t="s">
        <v>8574</v>
      </c>
    </row>
    <row r="222" spans="1:17" x14ac:dyDescent="0.25">
      <c r="A222" s="5" t="str">
        <f>IF(TRIM(I222)="","",E222)</f>
        <v>HometownCity</v>
      </c>
      <c r="B222" s="5" t="str">
        <f>IF(TRIM(J222)="","",H222)</f>
        <v>Home town city</v>
      </c>
      <c r="C222" s="5" t="str">
        <f>LEFT(F222,FIND(".",F222,6))</f>
        <v>Exif.Casio2.</v>
      </c>
      <c r="D222" s="5" t="str">
        <f>VLOOKUP(C222,PrefixUebersetzung,2,FALSE)</f>
        <v>Exif.Casio2.</v>
      </c>
      <c r="E222" s="5" t="str">
        <f>MID(F222,FIND(".",F222,6)+1,99)</f>
        <v>HometownCity</v>
      </c>
      <c r="F222" s="2" t="s">
        <v>6995</v>
      </c>
      <c r="G222" s="5" t="s">
        <v>9666</v>
      </c>
      <c r="H222" s="3" t="s">
        <v>6996</v>
      </c>
      <c r="I222" s="7" t="s">
        <v>7980</v>
      </c>
      <c r="J222" s="14" t="s">
        <v>7980</v>
      </c>
      <c r="K222" s="26"/>
      <c r="N222" s="6" t="str">
        <f>IF(AND(TRIM(I222)="",L222=""),"Suffix not translated ",
   IF(AND(TRIM(I222)&lt;&gt;"",TRIM(L222)&lt;&gt;"",TRIM(I222)&lt;&gt;TRIM(L222)),"Suffix translation &lt;&gt; lookup ", "" ))
&amp;IF(AND(TRIM(J222)="",M222=""),"Description not translated ",
   IF(AND(TRIM(J222)&lt;&gt;"",TRIM(M222)&lt;&gt;"",TRIM(J222)&lt;&gt;TRIM(M222)),"Description translation&lt;&gt; lookup ", "" ))</f>
        <v/>
      </c>
      <c r="O222" s="6" t="s">
        <v>8574</v>
      </c>
      <c r="P222" s="6" t="s">
        <v>8574</v>
      </c>
    </row>
    <row r="223" spans="1:17" x14ac:dyDescent="0.25">
      <c r="A223" s="5" t="str">
        <f>IF(TRIM(I223)="","",E223)</f>
        <v/>
      </c>
      <c r="B223" s="5" t="str">
        <f>IF(TRIM(J223)="","",H223)</f>
        <v/>
      </c>
      <c r="C223" s="5" t="str">
        <f>LEFT(F223,FIND(".",F223,6))</f>
        <v>Exif.Casio2.</v>
      </c>
      <c r="D223" s="5" t="str">
        <f>VLOOKUP(C223,PrefixUebersetzung,2,FALSE)</f>
        <v>Exif.Casio2.</v>
      </c>
      <c r="E223" s="5" t="str">
        <f>MID(F223,FIND(".",F223,6)+1,99)</f>
        <v>ImageSize</v>
      </c>
      <c r="F223" s="2" t="s">
        <v>6997</v>
      </c>
      <c r="G223" s="5" t="s">
        <v>9664</v>
      </c>
      <c r="H223" s="3" t="s">
        <v>6998</v>
      </c>
      <c r="I223" s="7"/>
      <c r="J223" s="8"/>
      <c r="K223" s="26"/>
      <c r="L223" s="6" t="str">
        <f>IFERROR(VLOOKUP(E223,A:I,9, FALSE),"")</f>
        <v>Bildgröße</v>
      </c>
      <c r="M223" s="6" t="str">
        <f>IFERROR(VLOOKUP(H223,B:J,9,FALSE),"")</f>
        <v>Bildgröße</v>
      </c>
      <c r="N223" s="6" t="str">
        <f>IF(AND(TRIM(I223)="",L223=""),"Suffix not translated ",
   IF(AND(TRIM(I223)&lt;&gt;"",TRIM(L223)&lt;&gt;"",TRIM(I223)&lt;&gt;TRIM(L223)),"Suffix translation &lt;&gt; lookup ", "" ))
&amp;IF(AND(TRIM(J223)="",M223=""),"Description not translated ",
   IF(AND(TRIM(J223)&lt;&gt;"",TRIM(M223)&lt;&gt;"",TRIM(J223)&lt;&gt;TRIM(M223)),"Description translation&lt;&gt; lookup ", "" ))</f>
        <v/>
      </c>
    </row>
    <row r="224" spans="1:17" x14ac:dyDescent="0.25">
      <c r="A224" s="5" t="str">
        <f>IF(TRIM(I224)="","",E224)</f>
        <v/>
      </c>
      <c r="B224" s="5" t="str">
        <f>IF(TRIM(J224)="","",H224)</f>
        <v/>
      </c>
      <c r="C224" s="5" t="str">
        <f>LEFT(F224,FIND(".",F224,6))</f>
        <v>Exif.Casio2.</v>
      </c>
      <c r="D224" s="5" t="str">
        <f>VLOOKUP(C224,PrefixUebersetzung,2,FALSE)</f>
        <v>Exif.Casio2.</v>
      </c>
      <c r="E224" s="5" t="str">
        <f>MID(F224,FIND(".",F224,6)+1,99)</f>
        <v>ImageStabilization</v>
      </c>
      <c r="F224" s="2" t="s">
        <v>6999</v>
      </c>
      <c r="G224" s="5" t="s">
        <v>9664</v>
      </c>
      <c r="H224" s="3" t="s">
        <v>3169</v>
      </c>
      <c r="I224" s="7"/>
      <c r="J224" s="8"/>
      <c r="K224" s="26"/>
      <c r="L224" s="6" t="str">
        <f>IFERROR(VLOOKUP(E224,A:I,9, FALSE),"")</f>
        <v>Bildstabilisierung</v>
      </c>
      <c r="M224" s="6" t="str">
        <f>IFERROR(VLOOKUP(H224,B:J,9,FALSE),"")</f>
        <v>Bildstabilisierung</v>
      </c>
      <c r="N224" s="6" t="str">
        <f>IF(AND(TRIM(I224)="",L224=""),"Suffix not translated ",
   IF(AND(TRIM(I224)&lt;&gt;"",TRIM(L224)&lt;&gt;"",TRIM(I224)&lt;&gt;TRIM(L224)),"Suffix translation &lt;&gt; lookup ", "" ))
&amp;IF(AND(TRIM(J224)="",M224=""),"Description not translated ",
   IF(AND(TRIM(J224)&lt;&gt;"",TRIM(M224)&lt;&gt;"",TRIM(J224)&lt;&gt;TRIM(M224)),"Description translation&lt;&gt; lookup ", "" ))</f>
        <v/>
      </c>
    </row>
    <row r="225" spans="1:17" x14ac:dyDescent="0.25">
      <c r="A225" s="5" t="str">
        <f>IF(TRIM(I225)="","",E225)</f>
        <v/>
      </c>
      <c r="B225" s="5" t="str">
        <f>IF(TRIM(J225)="","",H225)</f>
        <v/>
      </c>
      <c r="C225" s="5" t="str">
        <f>LEFT(F225,FIND(".",F225,6))</f>
        <v>Exif.Casio2.</v>
      </c>
      <c r="D225" s="5" t="str">
        <f>VLOOKUP(C225,PrefixUebersetzung,2,FALSE)</f>
        <v>Exif.Casio2.</v>
      </c>
      <c r="E225" s="5" t="str">
        <f>MID(F225,FIND(".",F225,6)+1,99)</f>
        <v>ISO</v>
      </c>
      <c r="F225" s="2" t="s">
        <v>7000</v>
      </c>
      <c r="G225" s="5" t="s">
        <v>9664</v>
      </c>
      <c r="H225" s="3" t="s">
        <v>2707</v>
      </c>
      <c r="I225" s="7"/>
      <c r="J225" s="8"/>
      <c r="K225" s="26"/>
      <c r="L225" s="6" t="str">
        <f>IFERROR(VLOOKUP(E225,A:I,9, FALSE),"")</f>
        <v>ISO</v>
      </c>
      <c r="M225" s="6" t="str">
        <f>IFERROR(VLOOKUP(H225,B:J,9,FALSE),"")</f>
        <v>ISO</v>
      </c>
      <c r="N225" s="6" t="str">
        <f>IF(AND(TRIM(I225)="",L225=""),"Suffix not translated ",
   IF(AND(TRIM(I225)&lt;&gt;"",TRIM(L225)&lt;&gt;"",TRIM(I225)&lt;&gt;TRIM(L225)),"Suffix translation &lt;&gt; lookup ", "" ))
&amp;IF(AND(TRIM(J225)="",M225=""),"Description not translated ",
   IF(AND(TRIM(J225)&lt;&gt;"",TRIM(M225)&lt;&gt;"",TRIM(J225)&lt;&gt;TRIM(M225)),"Description translation&lt;&gt; lookup ", "" ))</f>
        <v/>
      </c>
    </row>
    <row r="226" spans="1:17" x14ac:dyDescent="0.25">
      <c r="A226" s="5" t="str">
        <f>IF(TRIM(I226)="","",E226)</f>
        <v/>
      </c>
      <c r="B226" s="5" t="str">
        <f>IF(TRIM(J226)="","",H226)</f>
        <v>ISO Speed</v>
      </c>
      <c r="C226" s="5" t="str">
        <f>LEFT(F226,FIND(".",F226,6))</f>
        <v>Exif.Casio2.</v>
      </c>
      <c r="D226" s="5" t="str">
        <f>VLOOKUP(C226,PrefixUebersetzung,2,FALSE)</f>
        <v>Exif.Casio2.</v>
      </c>
      <c r="E226" s="5" t="str">
        <f>MID(F226,FIND(".",F226,6)+1,99)</f>
        <v>ISOSpeed</v>
      </c>
      <c r="F226" s="2" t="s">
        <v>7001</v>
      </c>
      <c r="G226" s="5" t="s">
        <v>9664</v>
      </c>
      <c r="H226" s="3" t="s">
        <v>7002</v>
      </c>
      <c r="I226" s="7"/>
      <c r="J226" s="14" t="s">
        <v>3768</v>
      </c>
      <c r="K226" s="26"/>
      <c r="L226" s="6" t="str">
        <f>IFERROR(VLOOKUP(E226,A:I,9, FALSE),"")</f>
        <v>ISO-Empfindlichkeit</v>
      </c>
      <c r="N226" s="6" t="str">
        <f>IF(AND(TRIM(I226)="",L226=""),"Suffix not translated ",
   IF(AND(TRIM(I226)&lt;&gt;"",TRIM(L226)&lt;&gt;"",TRIM(I226)&lt;&gt;TRIM(L226)),"Suffix translation &lt;&gt; lookup ", "" ))
&amp;IF(AND(TRIM(J226)="",M226=""),"Description not translated ",
   IF(AND(TRIM(J226)&lt;&gt;"",TRIM(M226)&lt;&gt;"",TRIM(J226)&lt;&gt;TRIM(M226)),"Description translation&lt;&gt; lookup ", "" ))</f>
        <v/>
      </c>
      <c r="P226" s="6" t="s">
        <v>8574</v>
      </c>
      <c r="Q226" s="6" t="s">
        <v>9349</v>
      </c>
    </row>
    <row r="227" spans="1:17" x14ac:dyDescent="0.25">
      <c r="A227" s="5" t="str">
        <f>IF(TRIM(I227)="","",E227)</f>
        <v>LightingMode</v>
      </c>
      <c r="B227" s="5" t="str">
        <f>IF(TRIM(J227)="","",H227)</f>
        <v>Lighting Mode</v>
      </c>
      <c r="C227" s="5" t="str">
        <f>LEFT(F227,FIND(".",F227,6))</f>
        <v>Exif.Casio2.</v>
      </c>
      <c r="D227" s="5" t="str">
        <f>VLOOKUP(C227,PrefixUebersetzung,2,FALSE)</f>
        <v>Exif.Casio2.</v>
      </c>
      <c r="E227" s="5" t="str">
        <f>MID(F227,FIND(".",F227,6)+1,99)</f>
        <v>LightingMode</v>
      </c>
      <c r="F227" s="2" t="s">
        <v>7003</v>
      </c>
      <c r="G227" s="5" t="s">
        <v>9664</v>
      </c>
      <c r="H227" s="3" t="s">
        <v>7004</v>
      </c>
      <c r="I227" s="7" t="s">
        <v>7659</v>
      </c>
      <c r="J227" s="14" t="s">
        <v>7659</v>
      </c>
      <c r="K227" s="26"/>
      <c r="N227" s="6" t="str">
        <f>IF(AND(TRIM(I227)="",L227=""),"Suffix not translated ",
   IF(AND(TRIM(I227)&lt;&gt;"",TRIM(L227)&lt;&gt;"",TRIM(I227)&lt;&gt;TRIM(L227)),"Suffix translation &lt;&gt; lookup ", "" ))
&amp;IF(AND(TRIM(J227)="",M227=""),"Description not translated ",
   IF(AND(TRIM(J227)&lt;&gt;"",TRIM(M227)&lt;&gt;"",TRIM(J227)&lt;&gt;TRIM(M227)),"Description translation&lt;&gt; lookup ", "" ))</f>
        <v/>
      </c>
      <c r="O227" s="6" t="s">
        <v>8574</v>
      </c>
      <c r="P227" s="6" t="s">
        <v>8574</v>
      </c>
    </row>
    <row r="228" spans="1:17" x14ac:dyDescent="0.25">
      <c r="A228" s="5" t="str">
        <f>IF(TRIM(I228)="","",E228)</f>
        <v/>
      </c>
      <c r="B228" s="5" t="str">
        <f>IF(TRIM(J228)="","",H228)</f>
        <v>Object Distance</v>
      </c>
      <c r="C228" s="5" t="str">
        <f>LEFT(F228,FIND(".",F228,6))</f>
        <v>Exif.Casio2.</v>
      </c>
      <c r="D228" s="5" t="str">
        <f>VLOOKUP(C228,PrefixUebersetzung,2,FALSE)</f>
        <v>Exif.Casio2.</v>
      </c>
      <c r="E228" s="5" t="str">
        <f>MID(F228,FIND(".",F228,6)+1,99)</f>
        <v>ObjectDistance</v>
      </c>
      <c r="F228" s="2" t="s">
        <v>7005</v>
      </c>
      <c r="G228" s="5" t="s">
        <v>9667</v>
      </c>
      <c r="H228" s="3" t="s">
        <v>7006</v>
      </c>
      <c r="I228" s="7"/>
      <c r="J228" s="14" t="s">
        <v>7646</v>
      </c>
      <c r="K228" s="26"/>
      <c r="L228" s="6" t="str">
        <f>IFERROR(VLOOKUP(E228,A:I,9, FALSE),"")</f>
        <v>Objektabstand</v>
      </c>
      <c r="N228" s="6" t="str">
        <f>IF(AND(TRIM(I228)="",L228=""),"Suffix not translated ",
   IF(AND(TRIM(I228)&lt;&gt;"",TRIM(L228)&lt;&gt;"",TRIM(I228)&lt;&gt;TRIM(L228)),"Suffix translation &lt;&gt; lookup ", "" ))
&amp;IF(AND(TRIM(J228)="",M228=""),"Description not translated ",
   IF(AND(TRIM(J228)&lt;&gt;"",TRIM(M228)&lt;&gt;"",TRIM(J228)&lt;&gt;TRIM(M228)),"Description translation&lt;&gt; lookup ", "" ))</f>
        <v/>
      </c>
      <c r="P228" s="6" t="s">
        <v>8574</v>
      </c>
    </row>
    <row r="229" spans="1:17" x14ac:dyDescent="0.25">
      <c r="A229" s="5" t="str">
        <f>IF(TRIM(I229)="","",E229)</f>
        <v>PortraitRefiner</v>
      </c>
      <c r="B229" s="5" t="str">
        <f>IF(TRIM(J229)="","",H229)</f>
        <v>Portrait Refiner settings</v>
      </c>
      <c r="C229" s="5" t="str">
        <f>LEFT(F229,FIND(".",F229,6))</f>
        <v>Exif.Casio2.</v>
      </c>
      <c r="D229" s="5" t="str">
        <f>VLOOKUP(C229,PrefixUebersetzung,2,FALSE)</f>
        <v>Exif.Casio2.</v>
      </c>
      <c r="E229" s="5" t="str">
        <f>MID(F229,FIND(".",F229,6)+1,99)</f>
        <v>PortraitRefiner</v>
      </c>
      <c r="F229" s="2" t="s">
        <v>7007</v>
      </c>
      <c r="G229" s="5" t="s">
        <v>9664</v>
      </c>
      <c r="H229" s="3" t="s">
        <v>7008</v>
      </c>
      <c r="I229" s="7" t="s">
        <v>7660</v>
      </c>
      <c r="J229" s="14" t="s">
        <v>7660</v>
      </c>
      <c r="K229" s="26"/>
      <c r="N229" s="6" t="str">
        <f>IF(AND(TRIM(I229)="",L229=""),"Suffix not translated ",
   IF(AND(TRIM(I229)&lt;&gt;"",TRIM(L229)&lt;&gt;"",TRIM(I229)&lt;&gt;TRIM(L229)),"Suffix translation &lt;&gt; lookup ", "" ))
&amp;IF(AND(TRIM(J229)="",M229=""),"Description not translated ",
   IF(AND(TRIM(J229)&lt;&gt;"",TRIM(M229)&lt;&gt;"",TRIM(J229)&lt;&gt;TRIM(M229)),"Description translation&lt;&gt; lookup ", "" ))</f>
        <v/>
      </c>
      <c r="O229" s="6" t="s">
        <v>8574</v>
      </c>
      <c r="P229" s="6" t="s">
        <v>8574</v>
      </c>
    </row>
    <row r="230" spans="1:17" x14ac:dyDescent="0.25">
      <c r="A230" s="5" t="str">
        <f>IF(TRIM(I230)="","",E230)</f>
        <v>PreviewImage</v>
      </c>
      <c r="B230" s="5" t="str">
        <f>IF(TRIM(J230)="","",H230)</f>
        <v>Preview Image</v>
      </c>
      <c r="C230" s="5" t="str">
        <f>LEFT(F230,FIND(".",F230,6))</f>
        <v>Exif.Casio2.</v>
      </c>
      <c r="D230" s="5" t="str">
        <f>VLOOKUP(C230,PrefixUebersetzung,2,FALSE)</f>
        <v>Exif.Casio2.</v>
      </c>
      <c r="E230" s="5" t="str">
        <f>MID(F230,FIND(".",F230,6)+1,99)</f>
        <v>PreviewImage</v>
      </c>
      <c r="F230" s="2" t="s">
        <v>7009</v>
      </c>
      <c r="G230" s="5" t="s">
        <v>9669</v>
      </c>
      <c r="H230" s="3" t="s">
        <v>7010</v>
      </c>
      <c r="I230" s="7" t="s">
        <v>4906</v>
      </c>
      <c r="J230" s="8" t="s">
        <v>4906</v>
      </c>
      <c r="K230" s="26"/>
      <c r="L230" s="6" t="str">
        <f>IFERROR(VLOOKUP(E230,A:I,9, FALSE),"")</f>
        <v>Vorschaubild</v>
      </c>
      <c r="M230" s="6" t="str">
        <f>IFERROR(VLOOKUP(H230,B:J,9,FALSE),"")</f>
        <v>Vorschaubild</v>
      </c>
      <c r="N230" s="6" t="str">
        <f>IF(AND(TRIM(I230)="",L230=""),"Suffix not translated ",
   IF(AND(TRIM(I230)&lt;&gt;"",TRIM(L230)&lt;&gt;"",TRIM(I230)&lt;&gt;TRIM(L230)),"Suffix translation &lt;&gt; lookup ", "" ))
&amp;IF(AND(TRIM(J230)="",M230=""),"Description not translated ",
   IF(AND(TRIM(J230)&lt;&gt;"",TRIM(M230)&lt;&gt;"",TRIM(J230)&lt;&gt;TRIM(M230)),"Description translation&lt;&gt; lookup ", "" ))</f>
        <v/>
      </c>
      <c r="O230" s="6" t="s">
        <v>8574</v>
      </c>
      <c r="P230" s="6" t="s">
        <v>8574</v>
      </c>
      <c r="Q230" s="6" t="s">
        <v>9183</v>
      </c>
    </row>
    <row r="231" spans="1:17" x14ac:dyDescent="0.25">
      <c r="A231" s="5" t="str">
        <f>IF(TRIM(I231)="","",E231)</f>
        <v>PreviewImageLength</v>
      </c>
      <c r="B231" s="5" t="str">
        <f>IF(TRIM(J231)="","",H231)</f>
        <v>Preview Image Length</v>
      </c>
      <c r="C231" s="5" t="str">
        <f>LEFT(F231,FIND(".",F231,6))</f>
        <v>Exif.Casio2.</v>
      </c>
      <c r="D231" s="5" t="str">
        <f>VLOOKUP(C231,PrefixUebersetzung,2,FALSE)</f>
        <v>Exif.Casio2.</v>
      </c>
      <c r="E231" s="5" t="str">
        <f>MID(F231,FIND(".",F231,6)+1,99)</f>
        <v>PreviewImageLength</v>
      </c>
      <c r="F231" s="2" t="s">
        <v>7011</v>
      </c>
      <c r="G231" s="5" t="s">
        <v>9667</v>
      </c>
      <c r="H231" s="3" t="s">
        <v>7012</v>
      </c>
      <c r="I231" s="7" t="s">
        <v>4018</v>
      </c>
      <c r="J231" s="8" t="s">
        <v>4018</v>
      </c>
      <c r="K231" s="26"/>
      <c r="L231" s="6" t="str">
        <f>IFERROR(VLOOKUP(E231,A:I,9, FALSE),"")</f>
        <v>Vorschaubild Länge</v>
      </c>
      <c r="M231" s="6" t="str">
        <f>IFERROR(VLOOKUP(H231,B:J,9,FALSE),"")</f>
        <v>Vorschaubild Länge</v>
      </c>
      <c r="N231" s="6" t="str">
        <f>IF(AND(TRIM(I231)="",L231=""),"Suffix not translated ",
   IF(AND(TRIM(I231)&lt;&gt;"",TRIM(L231)&lt;&gt;"",TRIM(I231)&lt;&gt;TRIM(L231)),"Suffix translation &lt;&gt; lookup ", "" ))
&amp;IF(AND(TRIM(J231)="",M231=""),"Description not translated ",
   IF(AND(TRIM(J231)&lt;&gt;"",TRIM(M231)&lt;&gt;"",TRIM(J231)&lt;&gt;TRIM(M231)),"Description translation&lt;&gt; lookup ", "" ))</f>
        <v/>
      </c>
      <c r="O231" s="6" t="s">
        <v>8574</v>
      </c>
      <c r="P231" s="6" t="s">
        <v>8574</v>
      </c>
      <c r="Q231" s="6" t="s">
        <v>9451</v>
      </c>
    </row>
    <row r="232" spans="1:17" x14ac:dyDescent="0.25">
      <c r="A232" s="5" t="str">
        <f>IF(TRIM(I232)="","",E232)</f>
        <v>PreviewImageSize</v>
      </c>
      <c r="B232" s="5" t="str">
        <f>IF(TRIM(J232)="","",H232)</f>
        <v>Preview Image Size</v>
      </c>
      <c r="C232" s="5" t="str">
        <f>LEFT(F232,FIND(".",F232,6))</f>
        <v>Exif.Casio2.</v>
      </c>
      <c r="D232" s="5" t="str">
        <f>VLOOKUP(C232,PrefixUebersetzung,2,FALSE)</f>
        <v>Exif.Casio2.</v>
      </c>
      <c r="E232" s="5" t="str">
        <f>MID(F232,FIND(".",F232,6)+1,99)</f>
        <v>PreviewImageSize</v>
      </c>
      <c r="F232" s="2" t="s">
        <v>7013</v>
      </c>
      <c r="G232" s="5" t="s">
        <v>9664</v>
      </c>
      <c r="H232" s="3" t="s">
        <v>7014</v>
      </c>
      <c r="I232" s="7" t="s">
        <v>4948</v>
      </c>
      <c r="J232" s="8" t="s">
        <v>4948</v>
      </c>
      <c r="K232" s="26"/>
      <c r="L232" s="6" t="str">
        <f>IFERROR(VLOOKUP(E232,A:I,9, FALSE),"")</f>
        <v>Vorschaubildgröße</v>
      </c>
      <c r="M232" s="6" t="str">
        <f>IFERROR(VLOOKUP(H232,B:J,9,FALSE),"")</f>
        <v>Vorschaubildgröße</v>
      </c>
      <c r="N232" s="6" t="str">
        <f>IF(AND(TRIM(I232)="",L232=""),"Suffix not translated ",
   IF(AND(TRIM(I232)&lt;&gt;"",TRIM(L232)&lt;&gt;"",TRIM(I232)&lt;&gt;TRIM(L232)),"Suffix translation &lt;&gt; lookup ", "" ))
&amp;IF(AND(TRIM(J232)="",M232=""),"Description not translated ",
   IF(AND(TRIM(J232)&lt;&gt;"",TRIM(M232)&lt;&gt;"",TRIM(J232)&lt;&gt;TRIM(M232)),"Description translation&lt;&gt; lookup ", "" ))</f>
        <v/>
      </c>
      <c r="O232" s="6" t="s">
        <v>8574</v>
      </c>
      <c r="P232" s="6" t="s">
        <v>8574</v>
      </c>
      <c r="Q232" s="6" t="s">
        <v>9183</v>
      </c>
    </row>
    <row r="233" spans="1:17" x14ac:dyDescent="0.25">
      <c r="A233" s="5" t="str">
        <f>IF(TRIM(I233)="","",E233)</f>
        <v>PreviewImageStart</v>
      </c>
      <c r="B233" s="5" t="str">
        <f>IF(TRIM(J233)="","",H233)</f>
        <v>Preview Image Start</v>
      </c>
      <c r="C233" s="5" t="str">
        <f>LEFT(F233,FIND(".",F233,6))</f>
        <v>Exif.Casio2.</v>
      </c>
      <c r="D233" s="5" t="str">
        <f>VLOOKUP(C233,PrefixUebersetzung,2,FALSE)</f>
        <v>Exif.Casio2.</v>
      </c>
      <c r="E233" s="5" t="str">
        <f>MID(F233,FIND(".",F233,6)+1,99)</f>
        <v>PreviewImageStart</v>
      </c>
      <c r="F233" s="2" t="s">
        <v>7015</v>
      </c>
      <c r="G233" s="5" t="s">
        <v>9667</v>
      </c>
      <c r="H233" s="3" t="s">
        <v>7016</v>
      </c>
      <c r="I233" s="7" t="s">
        <v>4019</v>
      </c>
      <c r="J233" s="8" t="s">
        <v>4019</v>
      </c>
      <c r="K233" s="26"/>
      <c r="L233" s="6" t="str">
        <f>IFERROR(VLOOKUP(E233,A:I,9, FALSE),"")</f>
        <v>Vorschaubild Start</v>
      </c>
      <c r="M233" s="6" t="str">
        <f>IFERROR(VLOOKUP(H233,B:J,9,FALSE),"")</f>
        <v>Vorschaubild Start</v>
      </c>
      <c r="N233" s="6" t="str">
        <f>IF(AND(TRIM(I233)="",L233=""),"Suffix not translated ",
   IF(AND(TRIM(I233)&lt;&gt;"",TRIM(L233)&lt;&gt;"",TRIM(I233)&lt;&gt;TRIM(L233)),"Suffix translation &lt;&gt; lookup ", "" ))
&amp;IF(AND(TRIM(J233)="",M233=""),"Description not translated ",
   IF(AND(TRIM(J233)&lt;&gt;"",TRIM(M233)&lt;&gt;"",TRIM(J233)&lt;&gt;TRIM(M233)),"Description translation&lt;&gt; lookup ", "" ))</f>
        <v/>
      </c>
      <c r="O233" s="6" t="s">
        <v>8574</v>
      </c>
      <c r="P233" s="6" t="s">
        <v>8574</v>
      </c>
      <c r="Q233" s="6" t="s">
        <v>9454</v>
      </c>
    </row>
    <row r="234" spans="1:17" x14ac:dyDescent="0.25">
      <c r="A234" s="5" t="str">
        <f>IF(TRIM(I234)="","",E234)</f>
        <v/>
      </c>
      <c r="B234" s="5" t="str">
        <f>IF(TRIM(J234)="","",H234)</f>
        <v/>
      </c>
      <c r="C234" s="5" t="str">
        <f>LEFT(F234,FIND(".",F234,6))</f>
        <v>Exif.Casio2.</v>
      </c>
      <c r="D234" s="5" t="str">
        <f>VLOOKUP(C234,PrefixUebersetzung,2,FALSE)</f>
        <v>Exif.Casio2.</v>
      </c>
      <c r="E234" s="5" t="str">
        <f>MID(F234,FIND(".",F234,6)+1,99)</f>
        <v>PrintIM</v>
      </c>
      <c r="F234" s="2" t="s">
        <v>7017</v>
      </c>
      <c r="G234" s="5" t="s">
        <v>9669</v>
      </c>
      <c r="H234" s="3" t="s">
        <v>2535</v>
      </c>
      <c r="I234" s="7"/>
      <c r="J234" s="13"/>
      <c r="K234" s="26"/>
      <c r="L234" s="6" t="str">
        <f>IFERROR(VLOOKUP(E234,A:I,9, FALSE),"")</f>
        <v>PrintIM</v>
      </c>
      <c r="M234" s="6" t="str">
        <f>IFERROR(VLOOKUP(H234,B:J,9,FALSE),"")</f>
        <v>PrintIM Informationen</v>
      </c>
      <c r="N234" s="6" t="str">
        <f>IF(AND(TRIM(I234)="",L234=""),"Suffix not translated ",
   IF(AND(TRIM(I234)&lt;&gt;"",TRIM(L234)&lt;&gt;"",TRIM(I234)&lt;&gt;TRIM(L234)),"Suffix translation &lt;&gt; lookup ", "" ))
&amp;IF(AND(TRIM(J234)="",M234=""),"Description not translated ",
   IF(AND(TRIM(J234)&lt;&gt;"",TRIM(M234)&lt;&gt;"",TRIM(J234)&lt;&gt;TRIM(M234)),"Description translation&lt;&gt; lookup ", "" ))</f>
        <v/>
      </c>
    </row>
    <row r="235" spans="1:17" x14ac:dyDescent="0.25">
      <c r="A235" s="5" t="str">
        <f>IF(TRIM(I235)="","",E235)</f>
        <v/>
      </c>
      <c r="B235" s="5" t="str">
        <f>IF(TRIM(J235)="","",H235)</f>
        <v/>
      </c>
      <c r="C235" s="5" t="str">
        <f>LEFT(F235,FIND(".",F235,6))</f>
        <v>Exif.Casio2.</v>
      </c>
      <c r="D235" s="5" t="str">
        <f>VLOOKUP(C235,PrefixUebersetzung,2,FALSE)</f>
        <v>Exif.Casio2.</v>
      </c>
      <c r="E235" s="5" t="str">
        <f>MID(F235,FIND(".",F235,6)+1,99)</f>
        <v>Quality</v>
      </c>
      <c r="F235" s="2" t="s">
        <v>7018</v>
      </c>
      <c r="G235" s="5" t="s">
        <v>9664</v>
      </c>
      <c r="H235" s="3" t="s">
        <v>2208</v>
      </c>
      <c r="I235" s="7"/>
      <c r="J235" s="8"/>
      <c r="K235" s="26"/>
      <c r="L235" s="6" t="str">
        <f>IFERROR(VLOOKUP(E235,A:I,9, FALSE),"")</f>
        <v>Qualität</v>
      </c>
      <c r="M235" s="6" t="str">
        <f>IFERROR(VLOOKUP(H235,B:J,9,FALSE),"")</f>
        <v>Qualität</v>
      </c>
      <c r="N235" s="6" t="str">
        <f>IF(AND(TRIM(I235)="",L235=""),"Suffix not translated ",
   IF(AND(TRIM(I235)&lt;&gt;"",TRIM(L235)&lt;&gt;"",TRIM(I235)&lt;&gt;TRIM(L235)),"Suffix translation &lt;&gt; lookup ", "" ))
&amp;IF(AND(TRIM(J235)="",M235=""),"Description not translated ",
   IF(AND(TRIM(J235)&lt;&gt;"",TRIM(M235)&lt;&gt;"",TRIM(J235)&lt;&gt;TRIM(M235)),"Description translation&lt;&gt; lookup ", "" ))</f>
        <v/>
      </c>
    </row>
    <row r="236" spans="1:17" x14ac:dyDescent="0.25">
      <c r="A236" s="5" t="str">
        <f>IF(TRIM(I236)="","",E236)</f>
        <v>QualityMode</v>
      </c>
      <c r="B236" s="5" t="str">
        <f>IF(TRIM(J236)="","",H236)</f>
        <v>Quality Mode</v>
      </c>
      <c r="C236" s="5" t="str">
        <f>LEFT(F236,FIND(".",F236,6))</f>
        <v>Exif.Casio2.</v>
      </c>
      <c r="D236" s="5" t="str">
        <f>VLOOKUP(C236,PrefixUebersetzung,2,FALSE)</f>
        <v>Exif.Casio2.</v>
      </c>
      <c r="E236" s="5" t="str">
        <f>MID(F236,FIND(".",F236,6)+1,99)</f>
        <v>QualityMode</v>
      </c>
      <c r="F236" s="2" t="s">
        <v>7019</v>
      </c>
      <c r="G236" s="5" t="s">
        <v>9664</v>
      </c>
      <c r="H236" s="3" t="s">
        <v>7020</v>
      </c>
      <c r="I236" s="7" t="s">
        <v>7661</v>
      </c>
      <c r="J236" s="14" t="s">
        <v>7661</v>
      </c>
      <c r="K236" s="26"/>
      <c r="N236" s="6" t="str">
        <f>IF(AND(TRIM(I236)="",L236=""),"Suffix not translated ",
   IF(AND(TRIM(I236)&lt;&gt;"",TRIM(L236)&lt;&gt;"",TRIM(I236)&lt;&gt;TRIM(L236)),"Suffix translation &lt;&gt; lookup ", "" ))
&amp;IF(AND(TRIM(J236)="",M236=""),"Description not translated ",
   IF(AND(TRIM(J236)&lt;&gt;"",TRIM(M236)&lt;&gt;"",TRIM(J236)&lt;&gt;TRIM(M236)),"Description translation&lt;&gt; lookup ", "" ))</f>
        <v/>
      </c>
      <c r="O236" s="6" t="s">
        <v>8574</v>
      </c>
      <c r="P236" s="6" t="s">
        <v>8574</v>
      </c>
    </row>
    <row r="237" spans="1:17" x14ac:dyDescent="0.25">
      <c r="A237" s="5" t="str">
        <f>IF(TRIM(I237)="","",E237)</f>
        <v>RecordMode</v>
      </c>
      <c r="B237" s="5" t="str">
        <f>IF(TRIM(J237)="","",H237)</f>
        <v>Record Mode</v>
      </c>
      <c r="C237" s="5" t="str">
        <f>LEFT(F237,FIND(".",F237,6))</f>
        <v>Exif.Casio2.</v>
      </c>
      <c r="D237" s="5" t="str">
        <f>VLOOKUP(C237,PrefixUebersetzung,2,FALSE)</f>
        <v>Exif.Casio2.</v>
      </c>
      <c r="E237" s="5" t="str">
        <f>MID(F237,FIND(".",F237,6)+1,99)</f>
        <v>RecordMode</v>
      </c>
      <c r="F237" s="2" t="s">
        <v>7021</v>
      </c>
      <c r="G237" s="5" t="s">
        <v>9664</v>
      </c>
      <c r="H237" s="3" t="s">
        <v>7022</v>
      </c>
      <c r="I237" s="7" t="s">
        <v>7649</v>
      </c>
      <c r="J237" s="14" t="s">
        <v>7649</v>
      </c>
      <c r="K237" s="26"/>
      <c r="N237" s="6" t="str">
        <f>IF(AND(TRIM(I237)="",L237=""),"Suffix not translated ",
   IF(AND(TRIM(I237)&lt;&gt;"",TRIM(L237)&lt;&gt;"",TRIM(I237)&lt;&gt;TRIM(L237)),"Suffix translation &lt;&gt; lookup ", "" ))
&amp;IF(AND(TRIM(J237)="",M237=""),"Description not translated ",
   IF(AND(TRIM(J237)&lt;&gt;"",TRIM(M237)&lt;&gt;"",TRIM(J237)&lt;&gt;TRIM(M237)),"Description translation&lt;&gt; lookup ", "" ))</f>
        <v/>
      </c>
      <c r="O237" s="6" t="s">
        <v>8574</v>
      </c>
      <c r="P237" s="6" t="s">
        <v>8574</v>
      </c>
    </row>
    <row r="238" spans="1:17" x14ac:dyDescent="0.25">
      <c r="A238" s="5" t="str">
        <f>IF(TRIM(I238)="","",E238)</f>
        <v>ReleaseMode</v>
      </c>
      <c r="B238" s="5" t="str">
        <f>IF(TRIM(J238)="","",H238)</f>
        <v>Release Mode</v>
      </c>
      <c r="C238" s="5" t="str">
        <f>LEFT(F238,FIND(".",F238,6))</f>
        <v>Exif.Casio2.</v>
      </c>
      <c r="D238" s="5" t="str">
        <f>VLOOKUP(C238,PrefixUebersetzung,2,FALSE)</f>
        <v>Exif.Casio2.</v>
      </c>
      <c r="E238" s="5" t="str">
        <f>MID(F238,FIND(".",F238,6)+1,99)</f>
        <v>ReleaseMode</v>
      </c>
      <c r="F238" s="2" t="s">
        <v>7023</v>
      </c>
      <c r="G238" s="5" t="s">
        <v>9664</v>
      </c>
      <c r="H238" s="3" t="s">
        <v>3154</v>
      </c>
      <c r="I238" s="7" t="s">
        <v>8754</v>
      </c>
      <c r="J238" s="14" t="s">
        <v>8754</v>
      </c>
      <c r="K238" s="26"/>
      <c r="L238" s="6" t="str">
        <f>IFERROR(VLOOKUP(E238,A:I,9, FALSE),"")</f>
        <v>Release-Mode</v>
      </c>
      <c r="M238" s="6" t="str">
        <f>IFERROR(VLOOKUP(H238,B:J,9,FALSE),"")</f>
        <v>Release-Mode</v>
      </c>
      <c r="N238" s="6" t="str">
        <f>IF(AND(TRIM(I238)="",L238=""),"Suffix not translated ",
   IF(AND(TRIM(I238)&lt;&gt;"",TRIM(L238)&lt;&gt;"",TRIM(I238)&lt;&gt;TRIM(L238)),"Suffix translation &lt;&gt; lookup ", "" ))
&amp;IF(AND(TRIM(J238)="",M238=""),"Description not translated ",
   IF(AND(TRIM(J238)&lt;&gt;"",TRIM(M238)&lt;&gt;"",TRIM(J238)&lt;&gt;TRIM(M238)),"Description translation&lt;&gt; lookup ", "" ))</f>
        <v/>
      </c>
      <c r="O238" s="6" t="s">
        <v>8574</v>
      </c>
      <c r="P238" s="6" t="s">
        <v>8574</v>
      </c>
      <c r="Q238" s="6" t="s">
        <v>4485</v>
      </c>
    </row>
    <row r="239" spans="1:17" x14ac:dyDescent="0.25">
      <c r="A239" s="5" t="str">
        <f>IF(TRIM(I239)="","",E239)</f>
        <v/>
      </c>
      <c r="B239" s="5" t="str">
        <f>IF(TRIM(J239)="","",H239)</f>
        <v/>
      </c>
      <c r="C239" s="5" t="str">
        <f>LEFT(F239,FIND(".",F239,6))</f>
        <v>Exif.Casio2.</v>
      </c>
      <c r="D239" s="5" t="str">
        <f>VLOOKUP(C239,PrefixUebersetzung,2,FALSE)</f>
        <v>Exif.Casio2.</v>
      </c>
      <c r="E239" s="5" t="str">
        <f>MID(F239,FIND(".",F239,6)+1,99)</f>
        <v>Saturation</v>
      </c>
      <c r="F239" s="2" t="s">
        <v>7024</v>
      </c>
      <c r="G239" s="5" t="s">
        <v>9664</v>
      </c>
      <c r="H239" s="3" t="s">
        <v>2567</v>
      </c>
      <c r="I239" s="7"/>
      <c r="J239" s="8"/>
      <c r="K239" s="26"/>
      <c r="L239" s="6" t="str">
        <f>IFERROR(VLOOKUP(E239,A:I,9, FALSE),"")</f>
        <v>Sättigung</v>
      </c>
      <c r="M239" s="6" t="str">
        <f>IFERROR(VLOOKUP(H239,B:J,9,FALSE),"")</f>
        <v>Sättigung</v>
      </c>
      <c r="N239" s="6" t="str">
        <f>IF(AND(TRIM(I239)="",L239=""),"Suffix not translated ",
   IF(AND(TRIM(I239)&lt;&gt;"",TRIM(L239)&lt;&gt;"",TRIM(I239)&lt;&gt;TRIM(L239)),"Suffix translation &lt;&gt; lookup ", "" ))
&amp;IF(AND(TRIM(J239)="",M239=""),"Description not translated ",
   IF(AND(TRIM(J239)&lt;&gt;"",TRIM(M239)&lt;&gt;"",TRIM(J239)&lt;&gt;TRIM(M239)),"Description translation&lt;&gt; lookup ", "" ))</f>
        <v/>
      </c>
    </row>
    <row r="240" spans="1:17" x14ac:dyDescent="0.25">
      <c r="A240" s="5" t="str">
        <f>IF(TRIM(I240)="","",E240)</f>
        <v>Saturation2</v>
      </c>
      <c r="B240" s="5" t="str">
        <f>IF(TRIM(J240)="","",H240)</f>
        <v/>
      </c>
      <c r="C240" s="5" t="str">
        <f>LEFT(F240,FIND(".",F240,6))</f>
        <v>Exif.Casio2.</v>
      </c>
      <c r="D240" s="5" t="str">
        <f>VLOOKUP(C240,PrefixUebersetzung,2,FALSE)</f>
        <v>Exif.Casio2.</v>
      </c>
      <c r="E240" s="5" t="str">
        <f>MID(F240,FIND(".",F240,6)+1,99)</f>
        <v>Saturation2</v>
      </c>
      <c r="F240" s="2" t="s">
        <v>7025</v>
      </c>
      <c r="G240" s="5" t="s">
        <v>9669</v>
      </c>
      <c r="H240" s="3" t="s">
        <v>2567</v>
      </c>
      <c r="I240" s="7" t="s">
        <v>7650</v>
      </c>
      <c r="J240" s="8"/>
      <c r="K240" s="26"/>
      <c r="M240" s="6" t="str">
        <f>IFERROR(VLOOKUP(H240,B:J,9,FALSE),"")</f>
        <v>Sättigung</v>
      </c>
      <c r="N240" s="6" t="str">
        <f>IF(AND(TRIM(I240)="",L240=""),"Suffix not translated ",
   IF(AND(TRIM(I240)&lt;&gt;"",TRIM(L240)&lt;&gt;"",TRIM(I240)&lt;&gt;TRIM(L240)),"Suffix translation &lt;&gt; lookup ", "" ))
&amp;IF(AND(TRIM(J240)="",M240=""),"Description not translated ",
   IF(AND(TRIM(J240)&lt;&gt;"",TRIM(M240)&lt;&gt;"",TRIM(J240)&lt;&gt;TRIM(M240)),"Description translation&lt;&gt; lookup ", "" ))</f>
        <v/>
      </c>
      <c r="O240" s="6" t="s">
        <v>8574</v>
      </c>
    </row>
    <row r="241" spans="1:17" x14ac:dyDescent="0.25">
      <c r="A241" s="5" t="str">
        <f>IF(TRIM(I241)="","",E241)</f>
        <v>SequenceNumber</v>
      </c>
      <c r="B241" s="5" t="str">
        <f>IF(TRIM(J241)="","",H241)</f>
        <v>Sequence Number</v>
      </c>
      <c r="C241" s="5" t="str">
        <f>LEFT(F241,FIND(".",F241,6))</f>
        <v>Exif.Casio2.</v>
      </c>
      <c r="D241" s="5" t="str">
        <f>VLOOKUP(C241,PrefixUebersetzung,2,FALSE)</f>
        <v>Exif.Casio2.</v>
      </c>
      <c r="E241" s="5" t="str">
        <f>MID(F241,FIND(".",F241,6)+1,99)</f>
        <v>SequenceNumber</v>
      </c>
      <c r="F241" s="2" t="s">
        <v>7026</v>
      </c>
      <c r="G241" s="5" t="s">
        <v>9664</v>
      </c>
      <c r="H241" s="3" t="s">
        <v>7027</v>
      </c>
      <c r="I241" s="7" t="s">
        <v>3841</v>
      </c>
      <c r="J241" s="8" t="s">
        <v>3841</v>
      </c>
      <c r="K241" s="26"/>
      <c r="L241" s="6" t="str">
        <f>IFERROR(VLOOKUP(E241,A:I,9, FALSE),"")</f>
        <v>Sequenznummer</v>
      </c>
      <c r="M241" s="6" t="str">
        <f>IFERROR(VLOOKUP(H241,B:J,9,FALSE),"")</f>
        <v>Sequenznummer</v>
      </c>
      <c r="N241" s="6" t="str">
        <f>IF(AND(TRIM(I241)="",L241=""),"Suffix not translated ",
   IF(AND(TRIM(I241)&lt;&gt;"",TRIM(L241)&lt;&gt;"",TRIM(I241)&lt;&gt;TRIM(L241)),"Suffix translation &lt;&gt; lookup ", "" ))
&amp;IF(AND(TRIM(J241)="",M241=""),"Description not translated ",
   IF(AND(TRIM(J241)&lt;&gt;"",TRIM(M241)&lt;&gt;"",TRIM(J241)&lt;&gt;TRIM(M241)),"Description translation&lt;&gt; lookup ", "" ))</f>
        <v/>
      </c>
      <c r="O241" s="6" t="s">
        <v>8574</v>
      </c>
      <c r="P241" s="6" t="s">
        <v>8574</v>
      </c>
      <c r="Q241" s="6" t="s">
        <v>3841</v>
      </c>
    </row>
    <row r="242" spans="1:17" x14ac:dyDescent="0.25">
      <c r="A242" s="5" t="str">
        <f>IF(TRIM(I242)="","",E242)</f>
        <v/>
      </c>
      <c r="B242" s="5" t="str">
        <f>IF(TRIM(J242)="","",H242)</f>
        <v/>
      </c>
      <c r="C242" s="5" t="str">
        <f>LEFT(F242,FIND(".",F242,6))</f>
        <v>Exif.Casio2.</v>
      </c>
      <c r="D242" s="5" t="str">
        <f>VLOOKUP(C242,PrefixUebersetzung,2,FALSE)</f>
        <v>Exif.Casio2.</v>
      </c>
      <c r="E242" s="5" t="str">
        <f>MID(F242,FIND(".",F242,6)+1,99)</f>
        <v>Sharpness</v>
      </c>
      <c r="F242" s="2" t="s">
        <v>7028</v>
      </c>
      <c r="G242" s="5" t="s">
        <v>9664</v>
      </c>
      <c r="H242" s="3" t="s">
        <v>2245</v>
      </c>
      <c r="I242" s="7"/>
      <c r="J242" s="8"/>
      <c r="K242" s="26"/>
      <c r="L242" s="6" t="str">
        <f>IFERROR(VLOOKUP(E242,A:I,9, FALSE),"")</f>
        <v>Schärfe</v>
      </c>
      <c r="M242" s="6" t="str">
        <f>IFERROR(VLOOKUP(H242,B:J,9,FALSE),"")</f>
        <v>Schärfe</v>
      </c>
      <c r="N242" s="6" t="str">
        <f>IF(AND(TRIM(I242)="",L242=""),"Suffix not translated ",
   IF(AND(TRIM(I242)&lt;&gt;"",TRIM(L242)&lt;&gt;"",TRIM(I242)&lt;&gt;TRIM(L242)),"Suffix translation &lt;&gt; lookup ", "" ))
&amp;IF(AND(TRIM(J242)="",M242=""),"Description not translated ",
   IF(AND(TRIM(J242)&lt;&gt;"",TRIM(M242)&lt;&gt;"",TRIM(J242)&lt;&gt;TRIM(M242)),"Description translation&lt;&gt; lookup ", "" ))</f>
        <v/>
      </c>
    </row>
    <row r="243" spans="1:17" x14ac:dyDescent="0.25">
      <c r="A243" s="5" t="str">
        <f>IF(TRIM(I243)="","",E243)</f>
        <v>Sharpness2</v>
      </c>
      <c r="B243" s="5" t="str">
        <f>IF(TRIM(J243)="","",H243)</f>
        <v/>
      </c>
      <c r="C243" s="5" t="str">
        <f>LEFT(F243,FIND(".",F243,6))</f>
        <v>Exif.Casio2.</v>
      </c>
      <c r="D243" s="5" t="str">
        <f>VLOOKUP(C243,PrefixUebersetzung,2,FALSE)</f>
        <v>Exif.Casio2.</v>
      </c>
      <c r="E243" s="5" t="str">
        <f>MID(F243,FIND(".",F243,6)+1,99)</f>
        <v>Sharpness2</v>
      </c>
      <c r="F243" s="2" t="s">
        <v>7029</v>
      </c>
      <c r="G243" s="5" t="s">
        <v>9669</v>
      </c>
      <c r="H243" s="3" t="s">
        <v>2245</v>
      </c>
      <c r="I243" s="7" t="s">
        <v>7651</v>
      </c>
      <c r="J243" s="8"/>
      <c r="K243" s="26"/>
      <c r="M243" s="6" t="str">
        <f>IFERROR(VLOOKUP(H243,B:J,9,FALSE),"")</f>
        <v>Schärfe</v>
      </c>
      <c r="N243" s="6" t="str">
        <f>IF(AND(TRIM(I243)="",L243=""),"Suffix not translated ",
   IF(AND(TRIM(I243)&lt;&gt;"",TRIM(L243)&lt;&gt;"",TRIM(I243)&lt;&gt;TRIM(L243)),"Suffix translation &lt;&gt; lookup ", "" ))
&amp;IF(AND(TRIM(J243)="",M243=""),"Description not translated ",
   IF(AND(TRIM(J243)&lt;&gt;"",TRIM(M243)&lt;&gt;"",TRIM(J243)&lt;&gt;TRIM(M243)),"Description translation&lt;&gt; lookup ", "" ))</f>
        <v/>
      </c>
      <c r="O243" s="6" t="s">
        <v>8574</v>
      </c>
    </row>
    <row r="244" spans="1:17" x14ac:dyDescent="0.25">
      <c r="A244" s="5" t="str">
        <f>IF(TRIM(I244)="","",E244)</f>
        <v>SpecialEffectLevel</v>
      </c>
      <c r="B244" s="5" t="str">
        <f>IF(TRIM(J244)="","",H244)</f>
        <v>Special Effect Level</v>
      </c>
      <c r="C244" s="5" t="str">
        <f>LEFT(F244,FIND(".",F244,6))</f>
        <v>Exif.Casio2.</v>
      </c>
      <c r="D244" s="5" t="str">
        <f>VLOOKUP(C244,PrefixUebersetzung,2,FALSE)</f>
        <v>Exif.Casio2.</v>
      </c>
      <c r="E244" s="5" t="str">
        <f>MID(F244,FIND(".",F244,6)+1,99)</f>
        <v>SpecialEffectLevel</v>
      </c>
      <c r="F244" s="2" t="s">
        <v>7030</v>
      </c>
      <c r="G244" s="5" t="s">
        <v>9664</v>
      </c>
      <c r="H244" s="3" t="s">
        <v>7031</v>
      </c>
      <c r="I244" s="7" t="s">
        <v>7662</v>
      </c>
      <c r="J244" s="14" t="s">
        <v>7662</v>
      </c>
      <c r="K244" s="26"/>
      <c r="N244" s="6" t="str">
        <f>IF(AND(TRIM(I244)="",L244=""),"Suffix not translated ",
   IF(AND(TRIM(I244)&lt;&gt;"",TRIM(L244)&lt;&gt;"",TRIM(I244)&lt;&gt;TRIM(L244)),"Suffix translation &lt;&gt; lookup ", "" ))
&amp;IF(AND(TRIM(J244)="",M244=""),"Description not translated ",
   IF(AND(TRIM(J244)&lt;&gt;"",TRIM(M244)&lt;&gt;"",TRIM(J244)&lt;&gt;TRIM(M244)),"Description translation&lt;&gt; lookup ", "" ))</f>
        <v/>
      </c>
      <c r="O244" s="6" t="s">
        <v>8574</v>
      </c>
      <c r="P244" s="6" t="s">
        <v>8574</v>
      </c>
    </row>
    <row r="245" spans="1:17" x14ac:dyDescent="0.25">
      <c r="A245" s="5" t="str">
        <f>IF(TRIM(I245)="","",E245)</f>
        <v>SpecialEffectMode</v>
      </c>
      <c r="B245" s="5" t="str">
        <f>IF(TRIM(J245)="","",H245)</f>
        <v>Special Effect Mode</v>
      </c>
      <c r="C245" s="5" t="str">
        <f>LEFT(F245,FIND(".",F245,6))</f>
        <v>Exif.Casio2.</v>
      </c>
      <c r="D245" s="5" t="str">
        <f>VLOOKUP(C245,PrefixUebersetzung,2,FALSE)</f>
        <v>Exif.Casio2.</v>
      </c>
      <c r="E245" s="5" t="str">
        <f>MID(F245,FIND(".",F245,6)+1,99)</f>
        <v>SpecialEffectMode</v>
      </c>
      <c r="F245" s="2" t="s">
        <v>7032</v>
      </c>
      <c r="G245" s="5" t="s">
        <v>9670</v>
      </c>
      <c r="H245" s="3" t="s">
        <v>7033</v>
      </c>
      <c r="I245" s="7" t="s">
        <v>7663</v>
      </c>
      <c r="J245" s="14" t="s">
        <v>7663</v>
      </c>
      <c r="K245" s="26"/>
      <c r="N245" s="6" t="str">
        <f>IF(AND(TRIM(I245)="",L245=""),"Suffix not translated ",
   IF(AND(TRIM(I245)&lt;&gt;"",TRIM(L245)&lt;&gt;"",TRIM(I245)&lt;&gt;TRIM(L245)),"Suffix translation &lt;&gt; lookup ", "" ))
&amp;IF(AND(TRIM(J245)="",M245=""),"Description not translated ",
   IF(AND(TRIM(J245)&lt;&gt;"",TRIM(M245)&lt;&gt;"",TRIM(J245)&lt;&gt;TRIM(M245)),"Description translation&lt;&gt; lookup ", "" ))</f>
        <v/>
      </c>
      <c r="O245" s="6" t="s">
        <v>8574</v>
      </c>
      <c r="P245" s="6" t="s">
        <v>8574</v>
      </c>
    </row>
    <row r="246" spans="1:17" x14ac:dyDescent="0.25">
      <c r="A246" s="5" t="str">
        <f>IF(TRIM(I246)="","",E246)</f>
        <v>SpecialEffectSetting</v>
      </c>
      <c r="B246" s="5" t="str">
        <f>IF(TRIM(J246)="","",H246)</f>
        <v>Special Effect Setting</v>
      </c>
      <c r="C246" s="5" t="str">
        <f>LEFT(F246,FIND(".",F246,6))</f>
        <v>Exif.Casio2.</v>
      </c>
      <c r="D246" s="5" t="str">
        <f>VLOOKUP(C246,PrefixUebersetzung,2,FALSE)</f>
        <v>Exif.Casio2.</v>
      </c>
      <c r="E246" s="5" t="str">
        <f>MID(F246,FIND(".",F246,6)+1,99)</f>
        <v>SpecialEffectSetting</v>
      </c>
      <c r="F246" s="2" t="s">
        <v>7034</v>
      </c>
      <c r="G246" s="5" t="s">
        <v>9664</v>
      </c>
      <c r="H246" s="3" t="s">
        <v>7035</v>
      </c>
      <c r="I246" s="7" t="s">
        <v>7664</v>
      </c>
      <c r="J246" s="14" t="s">
        <v>7664</v>
      </c>
      <c r="K246" s="26"/>
      <c r="N246" s="6" t="str">
        <f>IF(AND(TRIM(I246)="",L246=""),"Suffix not translated ",
   IF(AND(TRIM(I246)&lt;&gt;"",TRIM(L246)&lt;&gt;"",TRIM(I246)&lt;&gt;TRIM(L246)),"Suffix translation &lt;&gt; lookup ", "" ))
&amp;IF(AND(TRIM(J246)="",M246=""),"Description not translated ",
   IF(AND(TRIM(J246)&lt;&gt;"",TRIM(M246)&lt;&gt;"",TRIM(J246)&lt;&gt;TRIM(M246)),"Description translation&lt;&gt; lookup ", "" ))</f>
        <v/>
      </c>
      <c r="O246" s="6" t="s">
        <v>8574</v>
      </c>
      <c r="P246" s="6" t="s">
        <v>8574</v>
      </c>
    </row>
    <row r="247" spans="1:17" x14ac:dyDescent="0.25">
      <c r="A247" s="5" t="str">
        <f>IF(TRIM(I247)="","",E247)</f>
        <v>VideoQuality</v>
      </c>
      <c r="B247" s="5" t="str">
        <f>IF(TRIM(J247)="","",H247)</f>
        <v>Video Quality</v>
      </c>
      <c r="C247" s="5" t="str">
        <f>LEFT(F247,FIND(".",F247,6))</f>
        <v>Exif.Casio2.</v>
      </c>
      <c r="D247" s="5" t="str">
        <f>VLOOKUP(C247,PrefixUebersetzung,2,FALSE)</f>
        <v>Exif.Casio2.</v>
      </c>
      <c r="E247" s="5" t="str">
        <f>MID(F247,FIND(".",F247,6)+1,99)</f>
        <v>VideoQuality</v>
      </c>
      <c r="F247" s="2" t="s">
        <v>7036</v>
      </c>
      <c r="G247" s="5" t="s">
        <v>9664</v>
      </c>
      <c r="H247" s="3" t="s">
        <v>7037</v>
      </c>
      <c r="I247" s="7" t="s">
        <v>6611</v>
      </c>
      <c r="J247" s="14" t="s">
        <v>6611</v>
      </c>
      <c r="K247" s="26"/>
      <c r="L247" s="6" t="str">
        <f>IFERROR(VLOOKUP(E247,A:I,9, FALSE),"")</f>
        <v>Video Qualität</v>
      </c>
      <c r="N247" s="6" t="str">
        <f>IF(AND(TRIM(I247)="",L247=""),"Suffix not translated ",
   IF(AND(TRIM(I247)&lt;&gt;"",TRIM(L247)&lt;&gt;"",TRIM(I247)&lt;&gt;TRIM(L247)),"Suffix translation &lt;&gt; lookup ", "" ))
&amp;IF(AND(TRIM(J247)="",M247=""),"Description not translated ",
   IF(AND(TRIM(J247)&lt;&gt;"",TRIM(M247)&lt;&gt;"",TRIM(J247)&lt;&gt;TRIM(M247)),"Description translation&lt;&gt; lookup ", "" ))</f>
        <v/>
      </c>
      <c r="O247" s="6" t="s">
        <v>8574</v>
      </c>
      <c r="P247" s="6" t="s">
        <v>8574</v>
      </c>
      <c r="Q247" s="6" t="s">
        <v>9381</v>
      </c>
    </row>
    <row r="248" spans="1:17" x14ac:dyDescent="0.25">
      <c r="A248" s="5" t="str">
        <f>IF(TRIM(I248)="","",E248)</f>
        <v/>
      </c>
      <c r="B248" s="5" t="str">
        <f>IF(TRIM(J248)="","",H248)</f>
        <v/>
      </c>
      <c r="C248" s="5" t="str">
        <f>LEFT(F248,FIND(".",F248,6))</f>
        <v>Exif.Casio2.</v>
      </c>
      <c r="D248" s="5" t="str">
        <f>VLOOKUP(C248,PrefixUebersetzung,2,FALSE)</f>
        <v>Exif.Casio2.</v>
      </c>
      <c r="E248" s="5" t="str">
        <f>MID(F248,FIND(".",F248,6)+1,99)</f>
        <v>WhiteBalance</v>
      </c>
      <c r="F248" s="2" t="s">
        <v>7038</v>
      </c>
      <c r="G248" s="5" t="s">
        <v>9664</v>
      </c>
      <c r="H248" s="3" t="s">
        <v>7039</v>
      </c>
      <c r="I248" s="7"/>
      <c r="J248" s="8"/>
      <c r="K248" s="26"/>
      <c r="L248" s="6" t="str">
        <f>IFERROR(VLOOKUP(E248,A:I,9, FALSE),"")</f>
        <v>Weißabgleich</v>
      </c>
      <c r="M248" s="6" t="str">
        <f>IFERROR(VLOOKUP(H248,B:J,9,FALSE),"")</f>
        <v>Weißabgleich-Einstellung</v>
      </c>
      <c r="N248" s="6" t="str">
        <f>IF(AND(TRIM(I248)="",L248=""),"Suffix not translated ",
   IF(AND(TRIM(I248)&lt;&gt;"",TRIM(L248)&lt;&gt;"",TRIM(I248)&lt;&gt;TRIM(L248)),"Suffix translation &lt;&gt; lookup ", "" ))
&amp;IF(AND(TRIM(J248)="",M248=""),"Description not translated ",
   IF(AND(TRIM(J248)&lt;&gt;"",TRIM(M248)&lt;&gt;"",TRIM(J248)&lt;&gt;TRIM(M248)),"Description translation&lt;&gt; lookup ", "" ))</f>
        <v/>
      </c>
    </row>
    <row r="249" spans="1:17" x14ac:dyDescent="0.25">
      <c r="A249" s="5" t="str">
        <f>IF(TRIM(I249)="","",E249)</f>
        <v>WhiteBalance2</v>
      </c>
      <c r="B249" s="5" t="str">
        <f>IF(TRIM(J249)="","",H249)</f>
        <v/>
      </c>
      <c r="C249" s="5" t="str">
        <f>LEFT(F249,FIND(".",F249,6))</f>
        <v>Exif.Casio2.</v>
      </c>
      <c r="D249" s="5" t="str">
        <f>VLOOKUP(C249,PrefixUebersetzung,2,FALSE)</f>
        <v>Exif.Casio2.</v>
      </c>
      <c r="E249" s="5" t="str">
        <f>MID(F249,FIND(".",F249,6)+1,99)</f>
        <v>WhiteBalance2</v>
      </c>
      <c r="F249" s="2" t="s">
        <v>7040</v>
      </c>
      <c r="G249" s="5" t="s">
        <v>9664</v>
      </c>
      <c r="H249" s="3" t="s">
        <v>7039</v>
      </c>
      <c r="I249" s="7" t="s">
        <v>4022</v>
      </c>
      <c r="J249" s="8"/>
      <c r="K249" s="26"/>
      <c r="L249" s="6" t="str">
        <f>IFERROR(VLOOKUP(E249,A:I,9, FALSE),"")</f>
        <v>Weißabgleich 2</v>
      </c>
      <c r="M249" s="6" t="str">
        <f>IFERROR(VLOOKUP(H249,B:J,9,FALSE),"")</f>
        <v>Weißabgleich-Einstellung</v>
      </c>
      <c r="N249" s="6" t="str">
        <f>IF(AND(TRIM(I249)="",L249=""),"Suffix not translated ",
   IF(AND(TRIM(I249)&lt;&gt;"",TRIM(L249)&lt;&gt;"",TRIM(I249)&lt;&gt;TRIM(L249)),"Suffix translation &lt;&gt; lookup ", "" ))
&amp;IF(AND(TRIM(J249)="",M249=""),"Description not translated ",
   IF(AND(TRIM(J249)&lt;&gt;"",TRIM(M249)&lt;&gt;"",TRIM(J249)&lt;&gt;TRIM(M249)),"Description translation&lt;&gt; lookup ", "" ))</f>
        <v/>
      </c>
      <c r="O249" s="6" t="s">
        <v>8574</v>
      </c>
    </row>
    <row r="250" spans="1:17" x14ac:dyDescent="0.25">
      <c r="A250" s="5" t="str">
        <f>IF(TRIM(I250)="","",E250)</f>
        <v>WhiteBalanceBias</v>
      </c>
      <c r="B250" s="5" t="str">
        <f>IF(TRIM(J250)="","",H250)</f>
        <v>White Balance Bias</v>
      </c>
      <c r="C250" s="5" t="str">
        <f>LEFT(F250,FIND(".",F250,6))</f>
        <v>Exif.Casio2.</v>
      </c>
      <c r="D250" s="5" t="str">
        <f>VLOOKUP(C250,PrefixUebersetzung,2,FALSE)</f>
        <v>Exif.Casio2.</v>
      </c>
      <c r="E250" s="5" t="str">
        <f>MID(F250,FIND(".",F250,6)+1,99)</f>
        <v>WhiteBalanceBias</v>
      </c>
      <c r="F250" s="2" t="s">
        <v>7041</v>
      </c>
      <c r="G250" s="5" t="s">
        <v>9664</v>
      </c>
      <c r="H250" s="3" t="s">
        <v>7042</v>
      </c>
      <c r="I250" s="7" t="s">
        <v>4397</v>
      </c>
      <c r="J250" s="8" t="s">
        <v>4397</v>
      </c>
      <c r="K250" s="26"/>
      <c r="L250" s="6" t="str">
        <f>IFERROR(VLOOKUP(E250,A:I,9, FALSE),"")</f>
        <v>Weißabgleich Korrektur</v>
      </c>
      <c r="M250" s="6" t="str">
        <f>IFERROR(VLOOKUP(H250,B:J,9,FALSE),"")</f>
        <v>Weißabgleich Korrektur</v>
      </c>
      <c r="N250" s="6" t="str">
        <f>IF(AND(TRIM(I250)="",L250=""),"Suffix not translated ",
   IF(AND(TRIM(I250)&lt;&gt;"",TRIM(L250)&lt;&gt;"",TRIM(I250)&lt;&gt;TRIM(L250)),"Suffix translation &lt;&gt; lookup ", "" ))
&amp;IF(AND(TRIM(J250)="",M250=""),"Description not translated ",
   IF(AND(TRIM(J250)&lt;&gt;"",TRIM(M250)&lt;&gt;"",TRIM(J250)&lt;&gt;TRIM(M250)),"Description translation&lt;&gt; lookup ", "" ))</f>
        <v/>
      </c>
      <c r="O250" s="6" t="s">
        <v>8574</v>
      </c>
      <c r="P250" s="6" t="s">
        <v>8574</v>
      </c>
      <c r="Q250" s="6" t="s">
        <v>9557</v>
      </c>
    </row>
    <row r="251" spans="1:17" x14ac:dyDescent="0.25">
      <c r="A251" s="5" t="str">
        <f>IF(TRIM(I251)="","",E251)</f>
        <v/>
      </c>
      <c r="B251" s="5" t="str">
        <f>IF(TRIM(J251)="","",H251)</f>
        <v/>
      </c>
      <c r="C251" s="5" t="str">
        <f>LEFT(F251,FIND(".",F251,6))</f>
        <v>Exif.Fujifilm.</v>
      </c>
      <c r="D251" s="5" t="str">
        <f>VLOOKUP(C251,PrefixUebersetzung,2,FALSE)</f>
        <v>Exif.Fujifilm.</v>
      </c>
      <c r="E251" s="5" t="str">
        <f>MID(F251,FIND(".",F251,6)+1,99)</f>
        <v>0x1022</v>
      </c>
      <c r="F251" s="5" t="s">
        <v>150</v>
      </c>
      <c r="G251" s="5" t="s">
        <v>9664</v>
      </c>
      <c r="H251" s="6" t="s">
        <v>2138</v>
      </c>
      <c r="I251" s="7"/>
      <c r="J251" s="8"/>
      <c r="K251" s="26"/>
      <c r="L251" s="6" t="str">
        <f>IFERROR(VLOOKUP(E251,A:I,9, FALSE),"")</f>
        <v/>
      </c>
      <c r="M251" s="6" t="str">
        <f>IFERROR(VLOOKUP(H251,B:J,9,FALSE),"")</f>
        <v>Unbekannt</v>
      </c>
      <c r="N251" s="6"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v>
      </c>
      <c r="O251" s="6" t="s">
        <v>8574</v>
      </c>
    </row>
    <row r="252" spans="1:17" x14ac:dyDescent="0.25">
      <c r="A252" s="5" t="str">
        <f>IF(TRIM(I252)="","",E252)</f>
        <v/>
      </c>
      <c r="B252" s="5" t="str">
        <f>IF(TRIM(J252)="","",H252)</f>
        <v/>
      </c>
      <c r="C252" s="5" t="str">
        <f>LEFT(F252,FIND(".",F252,6))</f>
        <v>Exif.Fujifilm.</v>
      </c>
      <c r="D252" s="5" t="str">
        <f>VLOOKUP(C252,PrefixUebersetzung,2,FALSE)</f>
        <v>Exif.Fujifilm.</v>
      </c>
      <c r="E252" s="5" t="str">
        <f>MID(F252,FIND(".",F252,6)+1,99)</f>
        <v>0x1032</v>
      </c>
      <c r="F252" s="5" t="s">
        <v>151</v>
      </c>
      <c r="G252" s="5" t="s">
        <v>9664</v>
      </c>
      <c r="H252" s="6" t="s">
        <v>2138</v>
      </c>
      <c r="I252" s="7"/>
      <c r="J252" s="8"/>
      <c r="K252" s="26"/>
      <c r="L252" s="6" t="str">
        <f>IFERROR(VLOOKUP(E252,A:I,9, FALSE),"")</f>
        <v/>
      </c>
      <c r="M252" s="6" t="str">
        <f>IFERROR(VLOOKUP(H252,B:J,9,FALSE),"")</f>
        <v>Unbekannt</v>
      </c>
      <c r="N252" s="6"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v>
      </c>
      <c r="O252" s="6" t="s">
        <v>8574</v>
      </c>
    </row>
    <row r="253" spans="1:17" x14ac:dyDescent="0.25">
      <c r="A253" s="5" t="str">
        <f>IF(TRIM(I253)="","",E253)</f>
        <v/>
      </c>
      <c r="B253" s="5" t="str">
        <f>IF(TRIM(J253)="","",H253)</f>
        <v/>
      </c>
      <c r="C253" s="5" t="str">
        <f>LEFT(F253,FIND(".",F253,6))</f>
        <v>Exif.Fujifilm.</v>
      </c>
      <c r="D253" s="5" t="str">
        <f>VLOOKUP(C253,PrefixUebersetzung,2,FALSE)</f>
        <v>Exif.Fujifilm.</v>
      </c>
      <c r="E253" s="5" t="str">
        <f>MID(F253,FIND(".",F253,6)+1,99)</f>
        <v>0x1200</v>
      </c>
      <c r="F253" s="5" t="s">
        <v>152</v>
      </c>
      <c r="G253" s="5" t="s">
        <v>9664</v>
      </c>
      <c r="H253" s="6" t="s">
        <v>2138</v>
      </c>
      <c r="I253" s="7"/>
      <c r="J253" s="8"/>
      <c r="K253" s="26"/>
      <c r="M253" s="6" t="str">
        <f>IFERROR(VLOOKUP(H253,B:J,9,FALSE),"")</f>
        <v>Unbekannt</v>
      </c>
      <c r="N253" s="6" t="str">
        <f>IF(AND(TRIM(I253)="",L253=""),"Suffix not translated ",
   IF(AND(TRIM(I253)&lt;&gt;"",TRIM(L253)&lt;&gt;"",TRIM(I253)&lt;&gt;TRIM(L253)),"Suffix translation &lt;&gt; lookup ", "" ))
&amp;IF(AND(TRIM(J253)="",M253=""),"Description not translated ",
   IF(AND(TRIM(J253)&lt;&gt;"",TRIM(M253)&lt;&gt;"",TRIM(J253)&lt;&gt;TRIM(M253)),"Description translation&lt;&gt; lookup ", "" ))</f>
        <v xml:space="preserve">Suffix not translated </v>
      </c>
      <c r="O253" s="6" t="s">
        <v>8574</v>
      </c>
    </row>
    <row r="254" spans="1:17" x14ac:dyDescent="0.25">
      <c r="A254" s="5" t="str">
        <f>IF(TRIM(I254)="","",E254)</f>
        <v>BlurWarning</v>
      </c>
      <c r="B254" s="5" t="str">
        <f>IF(TRIM(J254)="","",H254)</f>
        <v>Blur warning status</v>
      </c>
      <c r="C254" s="5" t="str">
        <f>LEFT(F254,FIND(".",F254,6))</f>
        <v>Exif.Fujifilm.</v>
      </c>
      <c r="D254" s="5" t="str">
        <f>VLOOKUP(C254,PrefixUebersetzung,2,FALSE)</f>
        <v>Exif.Fujifilm.</v>
      </c>
      <c r="E254" s="5" t="str">
        <f>MID(F254,FIND(".",F254,6)+1,99)</f>
        <v>BlurWarning</v>
      </c>
      <c r="F254" s="5" t="s">
        <v>153</v>
      </c>
      <c r="G254" s="5" t="s">
        <v>9664</v>
      </c>
      <c r="H254" s="6" t="s">
        <v>2264</v>
      </c>
      <c r="I254" s="31" t="s">
        <v>3822</v>
      </c>
      <c r="J254" s="8" t="s">
        <v>3822</v>
      </c>
      <c r="K254" s="26"/>
      <c r="N254" s="6" t="str">
        <f>IF(AND(TRIM(I254)="",L254=""),"Suffix not translated ",
   IF(AND(TRIM(I254)&lt;&gt;"",TRIM(L254)&lt;&gt;"",TRIM(I254)&lt;&gt;TRIM(L254)),"Suffix translation &lt;&gt; lookup ", "" ))
&amp;IF(AND(TRIM(J254)="",M254=""),"Description not translated ",
   IF(AND(TRIM(J254)&lt;&gt;"",TRIM(M254)&lt;&gt;"",TRIM(J254)&lt;&gt;TRIM(M254)),"Description translation&lt;&gt; lookup ", "" ))</f>
        <v/>
      </c>
      <c r="O254" s="6" t="s">
        <v>8574</v>
      </c>
      <c r="P254" s="6" t="s">
        <v>8574</v>
      </c>
      <c r="Q254" s="6" t="s">
        <v>9167</v>
      </c>
    </row>
    <row r="255" spans="1:17" x14ac:dyDescent="0.25">
      <c r="A255" s="5" t="str">
        <f>IF(TRIM(I255)="","",E255)</f>
        <v>Color</v>
      </c>
      <c r="B255" s="5" t="str">
        <f>IF(TRIM(J255)="","",H255)</f>
        <v>Chroma saturation setting</v>
      </c>
      <c r="C255" s="5" t="str">
        <f>LEFT(F255,FIND(".",F255,6))</f>
        <v>Exif.Fujifilm.</v>
      </c>
      <c r="D255" s="5" t="str">
        <f>VLOOKUP(C255,PrefixUebersetzung,2,FALSE)</f>
        <v>Exif.Fujifilm.</v>
      </c>
      <c r="E255" s="5" t="str">
        <f>MID(F255,FIND(".",F255,6)+1,99)</f>
        <v>Color</v>
      </c>
      <c r="F255" s="5" t="s">
        <v>154</v>
      </c>
      <c r="G255" s="5" t="s">
        <v>9664</v>
      </c>
      <c r="H255" s="6" t="s">
        <v>2265</v>
      </c>
      <c r="I255" s="24" t="s">
        <v>4077</v>
      </c>
      <c r="J255" s="8" t="s">
        <v>3823</v>
      </c>
      <c r="K255" s="26"/>
      <c r="L255" s="6" t="str">
        <f>IFERROR(VLOOKUP(E255,A:I,9, FALSE),"")</f>
        <v>Farbe</v>
      </c>
      <c r="N255" s="6" t="str">
        <f>IF(AND(TRIM(I255)="",L255=""),"Suffix not translated ",
   IF(AND(TRIM(I255)&lt;&gt;"",TRIM(L255)&lt;&gt;"",TRIM(I255)&lt;&gt;TRIM(L255)),"Suffix translation &lt;&gt; lookup ", "" ))
&amp;IF(AND(TRIM(J255)="",M255=""),"Description not translated ",
   IF(AND(TRIM(J255)&lt;&gt;"",TRIM(M255)&lt;&gt;"",TRIM(J255)&lt;&gt;TRIM(M255)),"Description translation&lt;&gt; lookup ", "" ))</f>
        <v/>
      </c>
      <c r="O255" s="6" t="s">
        <v>8574</v>
      </c>
      <c r="P255" s="6" t="s">
        <v>8574</v>
      </c>
      <c r="Q255" s="6" t="s">
        <v>9198</v>
      </c>
    </row>
    <row r="256" spans="1:17" ht="30" x14ac:dyDescent="0.25">
      <c r="A256" s="5" t="str">
        <f>IF(TRIM(I256)="","",E256)</f>
        <v>Continuous</v>
      </c>
      <c r="B256" s="5" t="str">
        <f>IF(TRIM(J256)="","",H256)</f>
        <v>Continuous shooting or auto bracketing setting</v>
      </c>
      <c r="C256" s="5" t="str">
        <f>LEFT(F256,FIND(".",F256,6))</f>
        <v>Exif.Fujifilm.</v>
      </c>
      <c r="D256" s="5" t="str">
        <f>VLOOKUP(C256,PrefixUebersetzung,2,FALSE)</f>
        <v>Exif.Fujifilm.</v>
      </c>
      <c r="E256" s="5" t="str">
        <f>MID(F256,FIND(".",F256,6)+1,99)</f>
        <v>Continuous</v>
      </c>
      <c r="F256" s="5" t="s">
        <v>155</v>
      </c>
      <c r="G256" s="5" t="s">
        <v>9664</v>
      </c>
      <c r="H256" s="6" t="s">
        <v>2266</v>
      </c>
      <c r="I256" s="7" t="s">
        <v>4201</v>
      </c>
      <c r="J256" s="8" t="s">
        <v>3824</v>
      </c>
      <c r="K256" s="26"/>
      <c r="N256" s="6" t="str">
        <f>IF(AND(TRIM(I256)="",L256=""),"Suffix not translated ",
   IF(AND(TRIM(I256)&lt;&gt;"",TRIM(L256)&lt;&gt;"",TRIM(I256)&lt;&gt;TRIM(L256)),"Suffix translation &lt;&gt; lookup ", "" ))
&amp;IF(AND(TRIM(J256)="",M256=""),"Description not translated ",
   IF(AND(TRIM(J256)&lt;&gt;"",TRIM(M256)&lt;&gt;"",TRIM(J256)&lt;&gt;TRIM(M256)),"Description translation&lt;&gt; lookup ", "" ))</f>
        <v/>
      </c>
      <c r="O256" s="6" t="s">
        <v>8574</v>
      </c>
      <c r="P256" s="6" t="s">
        <v>8574</v>
      </c>
      <c r="Q256" s="6" t="s">
        <v>9219</v>
      </c>
    </row>
    <row r="257" spans="1:17" x14ac:dyDescent="0.25">
      <c r="A257" s="5" t="str">
        <f>IF(TRIM(I257)="","",E257)</f>
        <v>DevelopmentDynamicRange</v>
      </c>
      <c r="B257" s="5" t="str">
        <f>IF(TRIM(J257)="","",H257)</f>
        <v>Development dynamic range</v>
      </c>
      <c r="C257" s="5" t="str">
        <f>LEFT(F257,FIND(".",F257,6))</f>
        <v>Exif.Fujifilm.</v>
      </c>
      <c r="D257" s="5" t="str">
        <f>VLOOKUP(C257,PrefixUebersetzung,2,FALSE)</f>
        <v>Exif.Fujifilm.</v>
      </c>
      <c r="E257" s="5" t="str">
        <f>MID(F257,FIND(".",F257,6)+1,99)</f>
        <v>DevelopmentDynamicRange</v>
      </c>
      <c r="F257" s="5" t="s">
        <v>156</v>
      </c>
      <c r="G257" s="5" t="s">
        <v>9664</v>
      </c>
      <c r="H257" s="6" t="s">
        <v>2267</v>
      </c>
      <c r="I257" s="31" t="s">
        <v>4853</v>
      </c>
      <c r="J257" s="8" t="s">
        <v>3825</v>
      </c>
      <c r="K257" s="26"/>
      <c r="N257" s="6" t="str">
        <f>IF(AND(TRIM(I257)="",L257=""),"Suffix not translated ",
   IF(AND(TRIM(I257)&lt;&gt;"",TRIM(L257)&lt;&gt;"",TRIM(I257)&lt;&gt;TRIM(L257)),"Suffix translation &lt;&gt; lookup ", "" ))
&amp;IF(AND(TRIM(J257)="",M257=""),"Description not translated ",
   IF(AND(TRIM(J257)&lt;&gt;"",TRIM(M257)&lt;&gt;"",TRIM(J257)&lt;&gt;TRIM(M257)),"Description translation&lt;&gt; lookup ", "" ))</f>
        <v/>
      </c>
      <c r="O257" s="6" t="s">
        <v>8574</v>
      </c>
      <c r="P257" s="6" t="s">
        <v>8574</v>
      </c>
      <c r="Q257" s="6" t="s">
        <v>9246</v>
      </c>
    </row>
    <row r="258" spans="1:17" x14ac:dyDescent="0.25">
      <c r="A258" s="5" t="str">
        <f>IF(TRIM(I258)="","",E258)</f>
        <v/>
      </c>
      <c r="B258" s="5" t="str">
        <f>IF(TRIM(J258)="","",H258)</f>
        <v/>
      </c>
      <c r="C258" s="5" t="str">
        <f>LEFT(F258,FIND(".",F258,6))</f>
        <v>Exif.Fujifilm.</v>
      </c>
      <c r="D258" s="5" t="str">
        <f>VLOOKUP(C258,PrefixUebersetzung,2,FALSE)</f>
        <v>Exif.Fujifilm.</v>
      </c>
      <c r="E258" s="5" t="str">
        <f>MID(F258,FIND(".",F258,6)+1,99)</f>
        <v>DRangePriority</v>
      </c>
      <c r="F258" s="11" t="s">
        <v>8646</v>
      </c>
      <c r="G258" s="5" t="s">
        <v>9664</v>
      </c>
      <c r="H258" s="11" t="s">
        <v>8647</v>
      </c>
      <c r="I258" s="7"/>
      <c r="K258" s="26"/>
      <c r="N258" s="6" t="str">
        <f>IF(AND(TRIM(I258)="",L258=""),"Suffix not translated ",
   IF(AND(TRIM(I258)&lt;&gt;"",TRIM(L258)&lt;&gt;"",TRIM(I258)&lt;&gt;TRIM(L258)),"Suffix translation &lt;&gt; lookup ", "" ))
&amp;IF(AND(TRIM(J258)="",M258=""),"Description not translated ",
   IF(AND(TRIM(J258)&lt;&gt;"",TRIM(M258)&lt;&gt;"",TRIM(J258)&lt;&gt;TRIM(M258)),"Description translation&lt;&gt; lookup ", "" ))</f>
        <v xml:space="preserve">Suffix not translated Description not translated </v>
      </c>
      <c r="O258" s="6" t="s">
        <v>8574</v>
      </c>
      <c r="P258" s="6" t="s">
        <v>8574</v>
      </c>
    </row>
    <row r="259" spans="1:17" x14ac:dyDescent="0.25">
      <c r="A259" s="5" t="str">
        <f>IF(TRIM(I259)="","",E259)</f>
        <v/>
      </c>
      <c r="B259" s="5" t="str">
        <f>IF(TRIM(J259)="","",H259)</f>
        <v/>
      </c>
      <c r="C259" s="5" t="str">
        <f>LEFT(F259,FIND(".",F259,6))</f>
        <v>Exif.Fujifilm.</v>
      </c>
      <c r="D259" s="5" t="str">
        <f>VLOOKUP(C259,PrefixUebersetzung,2,FALSE)</f>
        <v>Exif.Fujifilm.</v>
      </c>
      <c r="E259" s="5" t="str">
        <f>MID(F259,FIND(".",F259,6)+1,99)</f>
        <v>DRangePriorityAuto</v>
      </c>
      <c r="F259" s="11" t="s">
        <v>8648</v>
      </c>
      <c r="G259" s="5" t="s">
        <v>9664</v>
      </c>
      <c r="H259" s="11" t="s">
        <v>8649</v>
      </c>
      <c r="I259" s="7"/>
      <c r="K259" s="26"/>
      <c r="N259" s="6" t="str">
        <f>IF(AND(TRIM(I259)="",L259=""),"Suffix not translated ",
   IF(AND(TRIM(I259)&lt;&gt;"",TRIM(L259)&lt;&gt;"",TRIM(I259)&lt;&gt;TRIM(L259)),"Suffix translation &lt;&gt; lookup ", "" ))
&amp;IF(AND(TRIM(J259)="",M259=""),"Description not translated ",
   IF(AND(TRIM(J259)&lt;&gt;"",TRIM(M259)&lt;&gt;"",TRIM(J259)&lt;&gt;TRIM(M259)),"Description translation&lt;&gt; lookup ", "" ))</f>
        <v xml:space="preserve">Suffix not translated Description not translated </v>
      </c>
      <c r="O259" s="6" t="s">
        <v>8574</v>
      </c>
      <c r="P259" s="6" t="s">
        <v>8574</v>
      </c>
    </row>
    <row r="260" spans="1:17" x14ac:dyDescent="0.25">
      <c r="A260" s="5" t="str">
        <f>IF(TRIM(I260)="","",E260)</f>
        <v/>
      </c>
      <c r="B260" s="5" t="str">
        <f>IF(TRIM(J260)="","",H260)</f>
        <v/>
      </c>
      <c r="C260" s="5" t="str">
        <f>LEFT(F260,FIND(".",F260,6))</f>
        <v>Exif.Fujifilm.</v>
      </c>
      <c r="D260" s="5" t="str">
        <f>VLOOKUP(C260,PrefixUebersetzung,2,FALSE)</f>
        <v>Exif.Fujifilm.</v>
      </c>
      <c r="E260" s="5" t="str">
        <f>MID(F260,FIND(".",F260,6)+1,99)</f>
        <v>DRangePriorityFixed</v>
      </c>
      <c r="F260" s="11" t="s">
        <v>8650</v>
      </c>
      <c r="G260" s="5" t="s">
        <v>9664</v>
      </c>
      <c r="H260" s="11" t="s">
        <v>8651</v>
      </c>
      <c r="I260" s="7"/>
      <c r="K260" s="26"/>
      <c r="N260" s="6" t="str">
        <f>IF(AND(TRIM(I260)="",L260=""),"Suffix not translated ",
   IF(AND(TRIM(I260)&lt;&gt;"",TRIM(L260)&lt;&gt;"",TRIM(I260)&lt;&gt;TRIM(L260)),"Suffix translation &lt;&gt; lookup ", "" ))
&amp;IF(AND(TRIM(J260)="",M260=""),"Description not translated ",
   IF(AND(TRIM(J260)&lt;&gt;"",TRIM(M260)&lt;&gt;"",TRIM(J260)&lt;&gt;TRIM(M260)),"Description translation&lt;&gt; lookup ", "" ))</f>
        <v xml:space="preserve">Suffix not translated Description not translated </v>
      </c>
      <c r="O260" s="6" t="s">
        <v>8574</v>
      </c>
      <c r="P260" s="6" t="s">
        <v>8574</v>
      </c>
    </row>
    <row r="261" spans="1:17" x14ac:dyDescent="0.25">
      <c r="A261" s="5" t="str">
        <f>IF(TRIM(I261)="","",E261)</f>
        <v>DynamicRange</v>
      </c>
      <c r="B261" s="5" t="str">
        <f>IF(TRIM(J261)="","",H261)</f>
        <v>Dynamic range</v>
      </c>
      <c r="C261" s="5" t="str">
        <f>LEFT(F261,FIND(".",F261,6))</f>
        <v>Exif.Fujifilm.</v>
      </c>
      <c r="D261" s="5" t="str">
        <f>VLOOKUP(C261,PrefixUebersetzung,2,FALSE)</f>
        <v>Exif.Fujifilm.</v>
      </c>
      <c r="E261" s="5" t="str">
        <f>MID(F261,FIND(".",F261,6)+1,99)</f>
        <v>DynamicRange</v>
      </c>
      <c r="F261" s="5" t="s">
        <v>157</v>
      </c>
      <c r="G261" s="5" t="s">
        <v>9664</v>
      </c>
      <c r="H261" s="6" t="s">
        <v>2268</v>
      </c>
      <c r="I261" s="31" t="s">
        <v>3826</v>
      </c>
      <c r="J261" s="8" t="s">
        <v>3826</v>
      </c>
      <c r="K261" s="26"/>
      <c r="N261" s="6" t="str">
        <f>IF(AND(TRIM(I261)="",L261=""),"Suffix not translated ",
   IF(AND(TRIM(I261)&lt;&gt;"",TRIM(L261)&lt;&gt;"",TRIM(I261)&lt;&gt;TRIM(L261)),"Suffix translation &lt;&gt; lookup ", "" ))
&amp;IF(AND(TRIM(J261)="",M261=""),"Description not translated ",
   IF(AND(TRIM(J261)&lt;&gt;"",TRIM(M261)&lt;&gt;"",TRIM(J261)&lt;&gt;TRIM(M261)),"Description translation&lt;&gt; lookup ", "" ))</f>
        <v/>
      </c>
      <c r="O261" s="6" t="s">
        <v>8574</v>
      </c>
      <c r="P261" s="6" t="s">
        <v>8574</v>
      </c>
      <c r="Q261" s="6" t="s">
        <v>9254</v>
      </c>
    </row>
    <row r="262" spans="1:17" x14ac:dyDescent="0.25">
      <c r="A262" s="5" t="str">
        <f>IF(TRIM(I262)="","",E262)</f>
        <v>DynamicRangeSetting</v>
      </c>
      <c r="B262" s="5" t="str">
        <f>IF(TRIM(J262)="","",H262)</f>
        <v>Dynamic range settings</v>
      </c>
      <c r="C262" s="5" t="str">
        <f>LEFT(F262,FIND(".",F262,6))</f>
        <v>Exif.Fujifilm.</v>
      </c>
      <c r="D262" s="5" t="str">
        <f>VLOOKUP(C262,PrefixUebersetzung,2,FALSE)</f>
        <v>Exif.Fujifilm.</v>
      </c>
      <c r="E262" s="5" t="str">
        <f>MID(F262,FIND(".",F262,6)+1,99)</f>
        <v>DynamicRangeSetting</v>
      </c>
      <c r="F262" s="5" t="s">
        <v>158</v>
      </c>
      <c r="G262" s="5" t="s">
        <v>9664</v>
      </c>
      <c r="H262" s="6" t="s">
        <v>2269</v>
      </c>
      <c r="I262" s="31" t="s">
        <v>3827</v>
      </c>
      <c r="J262" s="8" t="s">
        <v>3827</v>
      </c>
      <c r="K262" s="26"/>
      <c r="N262" s="6" t="str">
        <f>IF(AND(TRIM(I262)="",L262=""),"Suffix not translated ",
   IF(AND(TRIM(I262)&lt;&gt;"",TRIM(L262)&lt;&gt;"",TRIM(I262)&lt;&gt;TRIM(L262)),"Suffix translation &lt;&gt; lookup ", "" ))
&amp;IF(AND(TRIM(J262)="",M262=""),"Description not translated ",
   IF(AND(TRIM(J262)&lt;&gt;"",TRIM(M262)&lt;&gt;"",TRIM(J262)&lt;&gt;TRIM(M262)),"Description translation&lt;&gt; lookup ", "" ))</f>
        <v/>
      </c>
      <c r="O262" s="6" t="s">
        <v>8574</v>
      </c>
      <c r="P262" s="6" t="s">
        <v>8574</v>
      </c>
      <c r="Q262" s="6" t="s">
        <v>9258</v>
      </c>
    </row>
    <row r="263" spans="1:17" x14ac:dyDescent="0.25">
      <c r="A263" s="5" t="str">
        <f>IF(TRIM(I263)="","",E263)</f>
        <v>ExposureWarning</v>
      </c>
      <c r="B263" s="5" t="str">
        <f>IF(TRIM(J263)="","",H263)</f>
        <v>Auto exposure warning status</v>
      </c>
      <c r="C263" s="5" t="str">
        <f>LEFT(F263,FIND(".",F263,6))</f>
        <v>Exif.Fujifilm.</v>
      </c>
      <c r="D263" s="5" t="str">
        <f>VLOOKUP(C263,PrefixUebersetzung,2,FALSE)</f>
        <v>Exif.Fujifilm.</v>
      </c>
      <c r="E263" s="5" t="str">
        <f>MID(F263,FIND(".",F263,6)+1,99)</f>
        <v>ExposureWarning</v>
      </c>
      <c r="F263" s="5" t="s">
        <v>159</v>
      </c>
      <c r="G263" s="5" t="s">
        <v>9664</v>
      </c>
      <c r="H263" s="6" t="s">
        <v>2270</v>
      </c>
      <c r="I263" s="7" t="s">
        <v>4202</v>
      </c>
      <c r="J263" s="8" t="s">
        <v>3828</v>
      </c>
      <c r="K263" s="26"/>
      <c r="N263" s="6" t="str">
        <f>IF(AND(TRIM(I263)="",L263=""),"Suffix not translated ",
   IF(AND(TRIM(I263)&lt;&gt;"",TRIM(L263)&lt;&gt;"",TRIM(I263)&lt;&gt;TRIM(L263)),"Suffix translation &lt;&gt; lookup ", "" ))
&amp;IF(AND(TRIM(J263)="",M263=""),"Description not translated ",
   IF(AND(TRIM(J263)&lt;&gt;"",TRIM(M263)&lt;&gt;"",TRIM(J263)&lt;&gt;TRIM(M263)),"Description translation&lt;&gt; lookup ", "" ))</f>
        <v/>
      </c>
      <c r="O263" s="6" t="s">
        <v>8574</v>
      </c>
      <c r="P263" s="6" t="s">
        <v>8574</v>
      </c>
      <c r="Q263" s="6" t="s">
        <v>9149</v>
      </c>
    </row>
    <row r="264" spans="1:17" x14ac:dyDescent="0.25">
      <c r="A264" s="5" t="str">
        <f>IF(TRIM(I264)="","",E264)</f>
        <v>FileSource</v>
      </c>
      <c r="B264" s="5" t="str">
        <f>IF(TRIM(J264)="","",H264)</f>
        <v>File source</v>
      </c>
      <c r="C264" s="5" t="str">
        <f>LEFT(F264,FIND(".",F264,6))</f>
        <v>Exif.Fujifilm.</v>
      </c>
      <c r="D264" s="5" t="str">
        <f>VLOOKUP(C264,PrefixUebersetzung,2,FALSE)</f>
        <v>Exif.Fujifilm.</v>
      </c>
      <c r="E264" s="5" t="str">
        <f>MID(F264,FIND(".",F264,6)+1,99)</f>
        <v>FileSource</v>
      </c>
      <c r="F264" s="5" t="s">
        <v>160</v>
      </c>
      <c r="G264" s="5" t="s">
        <v>9666</v>
      </c>
      <c r="H264" s="6" t="s">
        <v>2271</v>
      </c>
      <c r="I264" s="31" t="s">
        <v>3829</v>
      </c>
      <c r="J264" s="8" t="s">
        <v>3829</v>
      </c>
      <c r="K264" s="26"/>
      <c r="L264" s="6" t="str">
        <f>IFERROR(VLOOKUP(E264,A:I,9, FALSE),"")</f>
        <v>Quelle der Datei</v>
      </c>
      <c r="N264" s="6" t="str">
        <f>IF(AND(TRIM(I264)="",L264=""),"Suffix not translated ",
   IF(AND(TRIM(I264)&lt;&gt;"",TRIM(L264)&lt;&gt;"",TRIM(I264)&lt;&gt;TRIM(L264)),"Suffix translation &lt;&gt; lookup ", "" ))
&amp;IF(AND(TRIM(J264)="",M264=""),"Description not translated ",
   IF(AND(TRIM(J264)&lt;&gt;"",TRIM(M264)&lt;&gt;"",TRIM(J264)&lt;&gt;TRIM(M264)),"Description translation&lt;&gt; lookup ", "" ))</f>
        <v/>
      </c>
      <c r="O264" s="6" t="s">
        <v>8574</v>
      </c>
      <c r="P264" s="6" t="s">
        <v>8574</v>
      </c>
      <c r="Q264" s="6" t="s">
        <v>9301</v>
      </c>
    </row>
    <row r="265" spans="1:17" x14ac:dyDescent="0.25">
      <c r="A265" s="5" t="str">
        <f>IF(TRIM(I265)="","",E265)</f>
        <v>FilmMode</v>
      </c>
      <c r="B265" s="5" t="str">
        <f>IF(TRIM(J265)="","",H265)</f>
        <v>Film mode</v>
      </c>
      <c r="C265" s="5" t="str">
        <f>LEFT(F265,FIND(".",F265,6))</f>
        <v>Exif.Fujifilm.</v>
      </c>
      <c r="D265" s="5" t="str">
        <f>VLOOKUP(C265,PrefixUebersetzung,2,FALSE)</f>
        <v>Exif.Fujifilm.</v>
      </c>
      <c r="E265" s="5" t="str">
        <f>MID(F265,FIND(".",F265,6)+1,99)</f>
        <v>FilmMode</v>
      </c>
      <c r="F265" s="5" t="s">
        <v>161</v>
      </c>
      <c r="G265" s="5" t="s">
        <v>9664</v>
      </c>
      <c r="H265" s="6" t="s">
        <v>2272</v>
      </c>
      <c r="I265" s="31" t="s">
        <v>4854</v>
      </c>
      <c r="J265" s="8" t="s">
        <v>4854</v>
      </c>
      <c r="K265" s="26"/>
      <c r="L265" s="6" t="str">
        <f>IFERROR(VLOOKUP(E265,A:I,9, FALSE),"")</f>
        <v>Filmmodus</v>
      </c>
      <c r="M265" s="6" t="str">
        <f>IFERROR(VLOOKUP(H265,B:J,9,FALSE),"")</f>
        <v>Filmmodus</v>
      </c>
      <c r="N265" s="6" t="str">
        <f>IF(AND(TRIM(I265)="",L265=""),"Suffix not translated ",
   IF(AND(TRIM(I265)&lt;&gt;"",TRIM(L265)&lt;&gt;"",TRIM(I265)&lt;&gt;TRIM(L265)),"Suffix translation &lt;&gt; lookup ", "" ))
&amp;IF(AND(TRIM(J265)="",M265=""),"Description not translated ",
   IF(AND(TRIM(J265)&lt;&gt;"",TRIM(M265)&lt;&gt;"",TRIM(J265)&lt;&gt;TRIM(M265)),"Description translation&lt;&gt; lookup ", "" ))</f>
        <v/>
      </c>
      <c r="O265" s="6" t="s">
        <v>8574</v>
      </c>
      <c r="P265" s="6" t="s">
        <v>8574</v>
      </c>
      <c r="Q265" s="6" t="s">
        <v>4854</v>
      </c>
    </row>
    <row r="266" spans="1:17" x14ac:dyDescent="0.25">
      <c r="A266" s="5" t="str">
        <f>IF(TRIM(I266)="","",E266)</f>
        <v>FinePixColor</v>
      </c>
      <c r="B266" s="5" t="str">
        <f>IF(TRIM(J266)="","",H266)</f>
        <v>Fuji FinePix color setting</v>
      </c>
      <c r="C266" s="5" t="str">
        <f>LEFT(F266,FIND(".",F266,6))</f>
        <v>Exif.Fujifilm.</v>
      </c>
      <c r="D266" s="5" t="str">
        <f>VLOOKUP(C266,PrefixUebersetzung,2,FALSE)</f>
        <v>Exif.Fujifilm.</v>
      </c>
      <c r="E266" s="5" t="str">
        <f>MID(F266,FIND(".",F266,6)+1,99)</f>
        <v>FinePixColor</v>
      </c>
      <c r="F266" s="5" t="s">
        <v>162</v>
      </c>
      <c r="G266" s="5" t="s">
        <v>9664</v>
      </c>
      <c r="H266" s="6" t="s">
        <v>2273</v>
      </c>
      <c r="I266" s="7" t="s">
        <v>5142</v>
      </c>
      <c r="J266" s="8" t="s">
        <v>3830</v>
      </c>
      <c r="K266" s="26"/>
      <c r="N266" s="6" t="str">
        <f>IF(AND(TRIM(I266)="",L266=""),"Suffix not translated ",
   IF(AND(TRIM(I266)&lt;&gt;"",TRIM(L266)&lt;&gt;"",TRIM(I266)&lt;&gt;TRIM(L266)),"Suffix translation &lt;&gt; lookup ", "" ))
&amp;IF(AND(TRIM(J266)="",M266=""),"Description not translated ",
   IF(AND(TRIM(J266)&lt;&gt;"",TRIM(M266)&lt;&gt;"",TRIM(J266)&lt;&gt;TRIM(M266)),"Description translation&lt;&gt; lookup ", "" ))</f>
        <v/>
      </c>
      <c r="O266" s="6" t="s">
        <v>8574</v>
      </c>
      <c r="P266" s="6" t="s">
        <v>8574</v>
      </c>
      <c r="Q266" s="6" t="s">
        <v>3830</v>
      </c>
    </row>
    <row r="267" spans="1:17" x14ac:dyDescent="0.25">
      <c r="A267" s="5" t="str">
        <f>IF(TRIM(I267)="","",E267)</f>
        <v/>
      </c>
      <c r="B267" s="5" t="str">
        <f>IF(TRIM(J267)="","",H267)</f>
        <v>Flash firing mode setting</v>
      </c>
      <c r="C267" s="5" t="str">
        <f>LEFT(F267,FIND(".",F267,6))</f>
        <v>Exif.Fujifilm.</v>
      </c>
      <c r="D267" s="5" t="str">
        <f>VLOOKUP(C267,PrefixUebersetzung,2,FALSE)</f>
        <v>Exif.Fujifilm.</v>
      </c>
      <c r="E267" s="5" t="str">
        <f>MID(F267,FIND(".",F267,6)+1,99)</f>
        <v>FlashMode</v>
      </c>
      <c r="F267" s="5" t="s">
        <v>163</v>
      </c>
      <c r="G267" s="5" t="s">
        <v>9664</v>
      </c>
      <c r="H267" s="6" t="s">
        <v>2274</v>
      </c>
      <c r="I267" s="7"/>
      <c r="J267" s="14" t="s">
        <v>5192</v>
      </c>
      <c r="K267" s="26"/>
      <c r="L267" s="6" t="str">
        <f>IFERROR(VLOOKUP(E267,A:I,9, FALSE),"")</f>
        <v>Blitzmodus</v>
      </c>
      <c r="N267" s="6" t="str">
        <f>IF(AND(TRIM(I267)="",L267=""),"Suffix not translated ",
   IF(AND(TRIM(I267)&lt;&gt;"",TRIM(L267)&lt;&gt;"",TRIM(I267)&lt;&gt;TRIM(L267)),"Suffix translation &lt;&gt; lookup ", "" ))
&amp;IF(AND(TRIM(J267)="",M267=""),"Description not translated ",
   IF(AND(TRIM(J267)&lt;&gt;"",TRIM(M267)&lt;&gt;"",TRIM(J267)&lt;&gt;TRIM(M267)),"Description translation&lt;&gt; lookup ", "" ))</f>
        <v/>
      </c>
      <c r="P267" s="6" t="s">
        <v>8574</v>
      </c>
      <c r="Q267" s="6" t="s">
        <v>3943</v>
      </c>
    </row>
    <row r="268" spans="1:17" x14ac:dyDescent="0.25">
      <c r="A268" s="5" t="str">
        <f>IF(TRIM(I268)="","",E268)</f>
        <v>FlashStrength</v>
      </c>
      <c r="B268" s="5" t="str">
        <f>IF(TRIM(J268)="","",H268)</f>
        <v>Flash firing strength compensation setting</v>
      </c>
      <c r="C268" s="5" t="str">
        <f>LEFT(F268,FIND(".",F268,6))</f>
        <v>Exif.Fujifilm.</v>
      </c>
      <c r="D268" s="5" t="str">
        <f>VLOOKUP(C268,PrefixUebersetzung,2,FALSE)</f>
        <v>Exif.Fujifilm.</v>
      </c>
      <c r="E268" s="5" t="str">
        <f>MID(F268,FIND(".",F268,6)+1,99)</f>
        <v>FlashStrength</v>
      </c>
      <c r="F268" s="5" t="s">
        <v>164</v>
      </c>
      <c r="G268" s="5" t="s">
        <v>9672</v>
      </c>
      <c r="H268" s="6" t="s">
        <v>2275</v>
      </c>
      <c r="I268" s="7" t="s">
        <v>4203</v>
      </c>
      <c r="J268" s="8" t="s">
        <v>3831</v>
      </c>
      <c r="K268" s="26"/>
      <c r="N268" s="6" t="str">
        <f>IF(AND(TRIM(I268)="",L268=""),"Suffix not translated ",
   IF(AND(TRIM(I268)&lt;&gt;"",TRIM(L268)&lt;&gt;"",TRIM(I268)&lt;&gt;TRIM(L268)),"Suffix translation &lt;&gt; lookup ", "" ))
&amp;IF(AND(TRIM(J268)="",M268=""),"Description not translated ",
   IF(AND(TRIM(J268)&lt;&gt;"",TRIM(M268)&lt;&gt;"",TRIM(J268)&lt;&gt;TRIM(M268)),"Description translation&lt;&gt; lookup ", "" ))</f>
        <v/>
      </c>
      <c r="O268" s="6" t="s">
        <v>8574</v>
      </c>
      <c r="P268" s="6" t="s">
        <v>8574</v>
      </c>
      <c r="Q268" s="6" t="s">
        <v>9316</v>
      </c>
    </row>
    <row r="269" spans="1:17" x14ac:dyDescent="0.25">
      <c r="A269" s="5" t="str">
        <f>IF(TRIM(I269)="","",E269)</f>
        <v/>
      </c>
      <c r="B269" s="5" t="str">
        <f>IF(TRIM(J269)="","",H269)</f>
        <v>Focusing mode setting</v>
      </c>
      <c r="C269" s="5" t="str">
        <f>LEFT(F269,FIND(".",F269,6))</f>
        <v>Exif.Fujifilm.</v>
      </c>
      <c r="D269" s="5" t="str">
        <f>VLOOKUP(C269,PrefixUebersetzung,2,FALSE)</f>
        <v>Exif.Fujifilm.</v>
      </c>
      <c r="E269" s="5" t="str">
        <f>MID(F269,FIND(".",F269,6)+1,99)</f>
        <v>FocusMode</v>
      </c>
      <c r="F269" s="5" t="s">
        <v>165</v>
      </c>
      <c r="G269" s="5" t="s">
        <v>9664</v>
      </c>
      <c r="H269" s="6" t="s">
        <v>2276</v>
      </c>
      <c r="I269" s="7"/>
      <c r="J269" s="8" t="s">
        <v>3764</v>
      </c>
      <c r="K269" s="26"/>
      <c r="L269" s="6" t="str">
        <f>IFERROR(VLOOKUP(E269,A:I,9, FALSE),"")</f>
        <v>Fokusmodus</v>
      </c>
      <c r="N269" s="6" t="str">
        <f>IF(AND(TRIM(I269)="",L269=""),"Suffix not translated ",
   IF(AND(TRIM(I269)&lt;&gt;"",TRIM(L269)&lt;&gt;"",TRIM(I269)&lt;&gt;TRIM(L269)),"Suffix translation &lt;&gt; lookup ", "" ))
&amp;IF(AND(TRIM(J269)="",M269=""),"Description not translated ",
   IF(AND(TRIM(J269)&lt;&gt;"",TRIM(M269)&lt;&gt;"",TRIM(J269)&lt;&gt;TRIM(M269)),"Description translation&lt;&gt; lookup ", "" ))</f>
        <v/>
      </c>
      <c r="P269" s="6" t="s">
        <v>8574</v>
      </c>
      <c r="Q269" s="6" t="s">
        <v>3764</v>
      </c>
    </row>
    <row r="270" spans="1:17" x14ac:dyDescent="0.25">
      <c r="A270" s="5" t="str">
        <f>IF(TRIM(I270)="","",E270)</f>
        <v>FocusWarning</v>
      </c>
      <c r="B270" s="5" t="str">
        <f>IF(TRIM(J270)="","",H270)</f>
        <v>Auto Focus warning status</v>
      </c>
      <c r="C270" s="5" t="str">
        <f>LEFT(F270,FIND(".",F270,6))</f>
        <v>Exif.Fujifilm.</v>
      </c>
      <c r="D270" s="5" t="str">
        <f>VLOOKUP(C270,PrefixUebersetzung,2,FALSE)</f>
        <v>Exif.Fujifilm.</v>
      </c>
      <c r="E270" s="5" t="str">
        <f>MID(F270,FIND(".",F270,6)+1,99)</f>
        <v>FocusWarning</v>
      </c>
      <c r="F270" s="5" t="s">
        <v>166</v>
      </c>
      <c r="G270" s="5" t="s">
        <v>9664</v>
      </c>
      <c r="H270" s="6" t="s">
        <v>2277</v>
      </c>
      <c r="I270" s="7" t="s">
        <v>4855</v>
      </c>
      <c r="J270" s="8" t="s">
        <v>3832</v>
      </c>
      <c r="K270" s="26"/>
      <c r="N270" s="6" t="str">
        <f>IF(AND(TRIM(I270)="",L270=""),"Suffix not translated ",
   IF(AND(TRIM(I270)&lt;&gt;"",TRIM(L270)&lt;&gt;"",TRIM(I270)&lt;&gt;TRIM(L270)),"Suffix translation &lt;&gt; lookup ", "" ))
&amp;IF(AND(TRIM(J270)="",M270=""),"Description not translated ",
   IF(AND(TRIM(J270)&lt;&gt;"",TRIM(M270)&lt;&gt;"",TRIM(J270)&lt;&gt;TRIM(M270)),"Description translation&lt;&gt; lookup ", "" ))</f>
        <v/>
      </c>
      <c r="O270" s="6" t="s">
        <v>8574</v>
      </c>
      <c r="P270" s="6" t="s">
        <v>8574</v>
      </c>
      <c r="Q270" s="6" t="s">
        <v>9148</v>
      </c>
    </row>
    <row r="271" spans="1:17" x14ac:dyDescent="0.25">
      <c r="A271" s="5" t="str">
        <f>IF(TRIM(I271)="","",E271)</f>
        <v>FrameNumber</v>
      </c>
      <c r="B271" s="5" t="str">
        <f>IF(TRIM(J271)="","",H271)</f>
        <v>Frame number</v>
      </c>
      <c r="C271" s="5" t="str">
        <f>LEFT(F271,FIND(".",F271,6))</f>
        <v>Exif.Fujifilm.</v>
      </c>
      <c r="D271" s="5" t="str">
        <f>VLOOKUP(C271,PrefixUebersetzung,2,FALSE)</f>
        <v>Exif.Fujifilm.</v>
      </c>
      <c r="E271" s="5" t="str">
        <f>MID(F271,FIND(".",F271,6)+1,99)</f>
        <v>FrameNumber</v>
      </c>
      <c r="F271" s="5" t="s">
        <v>167</v>
      </c>
      <c r="G271" s="5" t="s">
        <v>9664</v>
      </c>
      <c r="H271" s="6" t="s">
        <v>2278</v>
      </c>
      <c r="I271" s="31" t="s">
        <v>3833</v>
      </c>
      <c r="J271" s="8" t="s">
        <v>3833</v>
      </c>
      <c r="K271" s="26"/>
      <c r="L271" s="6" t="str">
        <f>IFERROR(VLOOKUP(E271,A:I,9, FALSE),"")</f>
        <v>Bildnummer</v>
      </c>
      <c r="M271" s="6" t="str">
        <f>IFERROR(VLOOKUP(H271,B:J,9,FALSE),"")</f>
        <v>Bildnummer</v>
      </c>
      <c r="N271" s="6" t="str">
        <f>IF(AND(TRIM(I271)="",L271=""),"Suffix not translated ",
   IF(AND(TRIM(I271)&lt;&gt;"",TRIM(L271)&lt;&gt;"",TRIM(I271)&lt;&gt;TRIM(L271)),"Suffix translation &lt;&gt; lookup ", "" ))
&amp;IF(AND(TRIM(J271)="",M271=""),"Description not translated ",
   IF(AND(TRIM(J271)&lt;&gt;"",TRIM(M271)&lt;&gt;"",TRIM(J271)&lt;&gt;TRIM(M271)),"Description translation&lt;&gt; lookup ", "" ))</f>
        <v/>
      </c>
      <c r="O271" s="6" t="s">
        <v>8574</v>
      </c>
      <c r="P271" s="6" t="s">
        <v>8574</v>
      </c>
      <c r="Q271" s="6" t="s">
        <v>9327</v>
      </c>
    </row>
    <row r="272" spans="1:17" x14ac:dyDescent="0.25">
      <c r="A272" s="5" t="str">
        <f>IF(TRIM(I272)="","",E272)</f>
        <v/>
      </c>
      <c r="B272" s="5" t="str">
        <f>IF(TRIM(J272)="","",H272)</f>
        <v/>
      </c>
      <c r="C272" s="5" t="str">
        <f>LEFT(F272,FIND(".",F272,6))</f>
        <v>Exif.Fujifilm.</v>
      </c>
      <c r="D272" s="5" t="str">
        <f>VLOOKUP(C272,PrefixUebersetzung,2,FALSE)</f>
        <v>Exif.Fujifilm.</v>
      </c>
      <c r="E272" s="5" t="str">
        <f>MID(F272,FIND(".",F272,6)+1,99)</f>
        <v>HighlightTone</v>
      </c>
      <c r="F272" s="11" t="s">
        <v>8652</v>
      </c>
      <c r="G272" s="5" t="s">
        <v>9668</v>
      </c>
      <c r="H272" s="11" t="s">
        <v>8653</v>
      </c>
      <c r="I272" s="7"/>
      <c r="K272" s="26"/>
      <c r="N272" s="6" t="str">
        <f>IF(AND(TRIM(I272)="",L272=""),"Suffix not translated ",
   IF(AND(TRIM(I272)&lt;&gt;"",TRIM(L272)&lt;&gt;"",TRIM(I272)&lt;&gt;TRIM(L272)),"Suffix translation &lt;&gt; lookup ", "" ))
&amp;IF(AND(TRIM(J272)="",M272=""),"Description not translated ",
   IF(AND(TRIM(J272)&lt;&gt;"",TRIM(M272)&lt;&gt;"",TRIM(J272)&lt;&gt;TRIM(M272)),"Description translation&lt;&gt; lookup ", "" ))</f>
        <v xml:space="preserve">Suffix not translated Description not translated </v>
      </c>
      <c r="O272" s="6" t="s">
        <v>8574</v>
      </c>
      <c r="P272" s="6" t="s">
        <v>8574</v>
      </c>
    </row>
    <row r="273" spans="1:17" x14ac:dyDescent="0.25">
      <c r="A273" s="5" t="str">
        <f>IF(TRIM(I273)="","",E273)</f>
        <v/>
      </c>
      <c r="B273" s="5" t="str">
        <f>IF(TRIM(J273)="","",H273)</f>
        <v>Macro mode setting</v>
      </c>
      <c r="C273" s="5" t="str">
        <f>LEFT(F273,FIND(".",F273,6))</f>
        <v>Exif.Fujifilm.</v>
      </c>
      <c r="D273" s="5" t="str">
        <f>VLOOKUP(C273,PrefixUebersetzung,2,FALSE)</f>
        <v>Exif.Fujifilm.</v>
      </c>
      <c r="E273" s="5" t="str">
        <f>MID(F273,FIND(".",F273,6)+1,99)</f>
        <v>Macro</v>
      </c>
      <c r="F273" s="5" t="s">
        <v>168</v>
      </c>
      <c r="G273" s="5" t="s">
        <v>9664</v>
      </c>
      <c r="H273" s="6" t="s">
        <v>2279</v>
      </c>
      <c r="I273" s="7"/>
      <c r="J273" s="8" t="s">
        <v>3834</v>
      </c>
      <c r="K273" s="26"/>
      <c r="L273" s="6" t="str">
        <f>IFERROR(VLOOKUP(E273,A:I,9, FALSE),"")</f>
        <v>Makro</v>
      </c>
      <c r="N273" s="6" t="str">
        <f>IF(AND(TRIM(I273)="",L273=""),"Suffix not translated ",
   IF(AND(TRIM(I273)&lt;&gt;"",TRIM(L273)&lt;&gt;"",TRIM(I273)&lt;&gt;TRIM(L273)),"Suffix translation &lt;&gt; lookup ", "" ))
&amp;IF(AND(TRIM(J273)="",M273=""),"Description not translated ",
   IF(AND(TRIM(J273)&lt;&gt;"",TRIM(M273)&lt;&gt;"",TRIM(J273)&lt;&gt;TRIM(M273)),"Description translation&lt;&gt; lookup ", "" ))</f>
        <v/>
      </c>
      <c r="P273" s="6" t="s">
        <v>8574</v>
      </c>
      <c r="Q273" s="6" t="s">
        <v>3834</v>
      </c>
    </row>
    <row r="274" spans="1:17" ht="30" x14ac:dyDescent="0.25">
      <c r="A274" s="5" t="str">
        <f>IF(TRIM(I274)="","",E274)</f>
        <v>MaxApertureAtMaxFocal</v>
      </c>
      <c r="B274" s="5" t="str">
        <f>IF(TRIM(J274)="","",H274)</f>
        <v>Maximum aperture at maximum focal</v>
      </c>
      <c r="C274" s="5" t="str">
        <f>LEFT(F274,FIND(".",F274,6))</f>
        <v>Exif.Fujifilm.</v>
      </c>
      <c r="D274" s="5" t="str">
        <f>VLOOKUP(C274,PrefixUebersetzung,2,FALSE)</f>
        <v>Exif.Fujifilm.</v>
      </c>
      <c r="E274" s="5" t="str">
        <f>MID(F274,FIND(".",F274,6)+1,99)</f>
        <v>MaxApertureAtMaxFocal</v>
      </c>
      <c r="F274" s="5" t="s">
        <v>169</v>
      </c>
      <c r="G274" s="5" t="s">
        <v>9671</v>
      </c>
      <c r="H274" s="6" t="s">
        <v>9613</v>
      </c>
      <c r="I274" s="31" t="s">
        <v>4653</v>
      </c>
      <c r="J274" s="8" t="s">
        <v>3835</v>
      </c>
      <c r="K274" s="26"/>
      <c r="L274" s="6" t="str">
        <f>IFERROR(VLOOKUP(E274,A:I,9, FALSE),"")</f>
        <v>Max Blende bei max Brennweite</v>
      </c>
      <c r="N274" s="6" t="str">
        <f>IF(AND(TRIM(I274)="",L274=""),"Suffix not translated ",
   IF(AND(TRIM(I274)&lt;&gt;"",TRIM(L274)&lt;&gt;"",TRIM(I274)&lt;&gt;TRIM(L274)),"Suffix translation &lt;&gt; lookup ", "" ))
&amp;IF(AND(TRIM(J274)="",M274=""),"Description not translated ",
   IF(AND(TRIM(J274)&lt;&gt;"",TRIM(M274)&lt;&gt;"",TRIM(J274)&lt;&gt;TRIM(M274)),"Description translation&lt;&gt; lookup ", "" ))</f>
        <v/>
      </c>
      <c r="O274" s="6" t="s">
        <v>8574</v>
      </c>
      <c r="P274" s="6" t="s">
        <v>8574</v>
      </c>
    </row>
    <row r="275" spans="1:17" ht="30" x14ac:dyDescent="0.25">
      <c r="A275" s="5" t="str">
        <f>IF(TRIM(I275)="","",E275)</f>
        <v>MaxApertureAtMinFocal</v>
      </c>
      <c r="B275" s="5" t="str">
        <f>IF(TRIM(J275)="","",H275)</f>
        <v>Maximum aperture at minimum focal</v>
      </c>
      <c r="C275" s="5" t="str">
        <f>LEFT(F275,FIND(".",F275,6))</f>
        <v>Exif.Fujifilm.</v>
      </c>
      <c r="D275" s="5" t="str">
        <f>VLOOKUP(C275,PrefixUebersetzung,2,FALSE)</f>
        <v>Exif.Fujifilm.</v>
      </c>
      <c r="E275" s="5" t="str">
        <f>MID(F275,FIND(".",F275,6)+1,99)</f>
        <v>MaxApertureAtMinFocal</v>
      </c>
      <c r="F275" s="5" t="s">
        <v>170</v>
      </c>
      <c r="G275" s="5" t="s">
        <v>9671</v>
      </c>
      <c r="H275" s="6" t="s">
        <v>9614</v>
      </c>
      <c r="I275" s="31" t="s">
        <v>4654</v>
      </c>
      <c r="J275" s="8" t="s">
        <v>5194</v>
      </c>
      <c r="K275" s="26"/>
      <c r="L275" s="6" t="str">
        <f>IFERROR(VLOOKUP(E275,A:I,9, FALSE),"")</f>
        <v>Max Blende bei min Brennweite</v>
      </c>
      <c r="N275" s="6" t="str">
        <f>IF(AND(TRIM(I275)="",L275=""),"Suffix not translated ",
   IF(AND(TRIM(I275)&lt;&gt;"",TRIM(L275)&lt;&gt;"",TRIM(I275)&lt;&gt;TRIM(L275)),"Suffix translation &lt;&gt; lookup ", "" ))
&amp;IF(AND(TRIM(J275)="",M275=""),"Description not translated ",
   IF(AND(TRIM(J275)&lt;&gt;"",TRIM(M275)&lt;&gt;"",TRIM(J275)&lt;&gt;TRIM(M275)),"Description translation&lt;&gt; lookup ", "" ))</f>
        <v/>
      </c>
      <c r="O275" s="6" t="s">
        <v>8574</v>
      </c>
      <c r="P275" s="6" t="s">
        <v>8574</v>
      </c>
    </row>
    <row r="276" spans="1:17" x14ac:dyDescent="0.25">
      <c r="A276" s="5" t="str">
        <f>IF(TRIM(I276)="","",E276)</f>
        <v>MaxFocalLength</v>
      </c>
      <c r="B276" s="5" t="str">
        <f>IF(TRIM(J276)="","",H276)</f>
        <v>Maximum focal length</v>
      </c>
      <c r="C276" s="5" t="str">
        <f>LEFT(F276,FIND(".",F276,6))</f>
        <v>Exif.Fujifilm.</v>
      </c>
      <c r="D276" s="5" t="str">
        <f>VLOOKUP(C276,PrefixUebersetzung,2,FALSE)</f>
        <v>Exif.Fujifilm.</v>
      </c>
      <c r="E276" s="5" t="str">
        <f>MID(F276,FIND(".",F276,6)+1,99)</f>
        <v>MaxFocalLength</v>
      </c>
      <c r="F276" s="5" t="s">
        <v>171</v>
      </c>
      <c r="G276" s="5" t="s">
        <v>9671</v>
      </c>
      <c r="H276" s="6" t="s">
        <v>2280</v>
      </c>
      <c r="I276" s="31" t="s">
        <v>4857</v>
      </c>
      <c r="J276" s="8" t="s">
        <v>3836</v>
      </c>
      <c r="K276" s="26"/>
      <c r="L276" s="6" t="str">
        <f>IFERROR(VLOOKUP(E276,A:I,9, FALSE),"")</f>
        <v>Brennweite maximal</v>
      </c>
      <c r="N276" s="6" t="str">
        <f>IF(AND(TRIM(I276)="",L276=""),"Suffix not translated ",
   IF(AND(TRIM(I276)&lt;&gt;"",TRIM(L276)&lt;&gt;"",TRIM(I276)&lt;&gt;TRIM(L276)),"Suffix translation &lt;&gt; lookup ", "" ))
&amp;IF(AND(TRIM(J276)="",M276=""),"Description not translated ",
   IF(AND(TRIM(J276)&lt;&gt;"",TRIM(M276)&lt;&gt;"",TRIM(J276)&lt;&gt;TRIM(M276)),"Description translation&lt;&gt; lookup ", "" ))</f>
        <v/>
      </c>
      <c r="O276" s="6" t="s">
        <v>8574</v>
      </c>
      <c r="P276" s="6" t="s">
        <v>8574</v>
      </c>
      <c r="Q276" s="6" t="s">
        <v>9310</v>
      </c>
    </row>
    <row r="277" spans="1:17" x14ac:dyDescent="0.25">
      <c r="A277" s="5" t="str">
        <f>IF(TRIM(I277)="","",E277)</f>
        <v>MinFocalLength</v>
      </c>
      <c r="B277" s="5" t="str">
        <f>IF(TRIM(J277)="","",H277)</f>
        <v>Minimum focal length</v>
      </c>
      <c r="C277" s="5" t="str">
        <f>LEFT(F277,FIND(".",F277,6))</f>
        <v>Exif.Fujifilm.</v>
      </c>
      <c r="D277" s="5" t="str">
        <f>VLOOKUP(C277,PrefixUebersetzung,2,FALSE)</f>
        <v>Exif.Fujifilm.</v>
      </c>
      <c r="E277" s="5" t="str">
        <f>MID(F277,FIND(".",F277,6)+1,99)</f>
        <v>MinFocalLength</v>
      </c>
      <c r="F277" s="5" t="s">
        <v>172</v>
      </c>
      <c r="G277" s="5" t="s">
        <v>9671</v>
      </c>
      <c r="H277" s="6" t="s">
        <v>2281</v>
      </c>
      <c r="I277" s="31" t="s">
        <v>4856</v>
      </c>
      <c r="J277" s="8" t="s">
        <v>3837</v>
      </c>
      <c r="K277" s="26"/>
      <c r="L277" s="6" t="str">
        <f>IFERROR(VLOOKUP(E277,A:I,9, FALSE),"")</f>
        <v>Brennweite minimal</v>
      </c>
      <c r="N277" s="6" t="str">
        <f>IF(AND(TRIM(I277)="",L277=""),"Suffix not translated ",
   IF(AND(TRIM(I277)&lt;&gt;"",TRIM(L277)&lt;&gt;"",TRIM(I277)&lt;&gt;TRIM(L277)),"Suffix translation &lt;&gt; lookup ", "" ))
&amp;IF(AND(TRIM(J277)="",M277=""),"Description not translated ",
   IF(AND(TRIM(J277)&lt;&gt;"",TRIM(M277)&lt;&gt;"",TRIM(J277)&lt;&gt;TRIM(M277)),"Description translation&lt;&gt; lookup ", "" ))</f>
        <v/>
      </c>
      <c r="O277" s="6" t="s">
        <v>8574</v>
      </c>
      <c r="P277" s="6" t="s">
        <v>8574</v>
      </c>
      <c r="Q277" s="6" t="s">
        <v>9421</v>
      </c>
    </row>
    <row r="278" spans="1:17" x14ac:dyDescent="0.25">
      <c r="A278" s="5" t="str">
        <f>IF(TRIM(I278)="","",E278)</f>
        <v>OrderNumber</v>
      </c>
      <c r="B278" s="5" t="str">
        <f>IF(TRIM(J278)="","",H278)</f>
        <v>Order number</v>
      </c>
      <c r="C278" s="5" t="str">
        <f>LEFT(F278,FIND(".",F278,6))</f>
        <v>Exif.Fujifilm.</v>
      </c>
      <c r="D278" s="5" t="str">
        <f>VLOOKUP(C278,PrefixUebersetzung,2,FALSE)</f>
        <v>Exif.Fujifilm.</v>
      </c>
      <c r="E278" s="5" t="str">
        <f>MID(F278,FIND(".",F278,6)+1,99)</f>
        <v>OrderNumber</v>
      </c>
      <c r="F278" s="5" t="s">
        <v>173</v>
      </c>
      <c r="G278" s="5" t="s">
        <v>9667</v>
      </c>
      <c r="H278" s="6" t="s">
        <v>2282</v>
      </c>
      <c r="I278" s="31" t="s">
        <v>3838</v>
      </c>
      <c r="J278" s="8" t="s">
        <v>3838</v>
      </c>
      <c r="K278" s="26"/>
      <c r="N278" s="6" t="str">
        <f>IF(AND(TRIM(I278)="",L278=""),"Suffix not translated ",
   IF(AND(TRIM(I278)&lt;&gt;"",TRIM(L278)&lt;&gt;"",TRIM(I278)&lt;&gt;TRIM(L278)),"Suffix translation &lt;&gt; lookup ", "" ))
&amp;IF(AND(TRIM(J278)="",M278=""),"Description not translated ",
   IF(AND(TRIM(J278)&lt;&gt;"",TRIM(M278)&lt;&gt;"",TRIM(J278)&lt;&gt;TRIM(M278)),"Description translation&lt;&gt; lookup ", "" ))</f>
        <v/>
      </c>
      <c r="O278" s="6" t="s">
        <v>8574</v>
      </c>
      <c r="P278" s="6" t="s">
        <v>8574</v>
      </c>
      <c r="Q278" s="6" t="s">
        <v>9251</v>
      </c>
    </row>
    <row r="279" spans="1:17" x14ac:dyDescent="0.25">
      <c r="A279" s="5" t="str">
        <f>IF(TRIM(I279)="","",E279)</f>
        <v>PictureMode</v>
      </c>
      <c r="B279" s="5" t="str">
        <f>IF(TRIM(J279)="","",H279)</f>
        <v>Picture mode setting</v>
      </c>
      <c r="C279" s="5" t="str">
        <f>LEFT(F279,FIND(".",F279,6))</f>
        <v>Exif.Fujifilm.</v>
      </c>
      <c r="D279" s="5" t="str">
        <f>VLOOKUP(C279,PrefixUebersetzung,2,FALSE)</f>
        <v>Exif.Fujifilm.</v>
      </c>
      <c r="E279" s="5" t="str">
        <f>MID(F279,FIND(".",F279,6)+1,99)</f>
        <v>PictureMode</v>
      </c>
      <c r="F279" s="5" t="s">
        <v>174</v>
      </c>
      <c r="G279" s="5" t="s">
        <v>9664</v>
      </c>
      <c r="H279" s="6" t="s">
        <v>2283</v>
      </c>
      <c r="I279" s="7" t="s">
        <v>4012</v>
      </c>
      <c r="J279" s="8" t="s">
        <v>3839</v>
      </c>
      <c r="K279" s="26"/>
      <c r="L279" s="6" t="str">
        <f>IFERROR(VLOOKUP(E279,A:I,9, FALSE),"")</f>
        <v>Bildmodus</v>
      </c>
      <c r="N279" s="6" t="str">
        <f>IF(AND(TRIM(I279)="",L279=""),"Suffix not translated ",
   IF(AND(TRIM(I279)&lt;&gt;"",TRIM(L279)&lt;&gt;"",TRIM(I279)&lt;&gt;TRIM(L279)),"Suffix translation &lt;&gt; lookup ", "" ))
&amp;IF(AND(TRIM(J279)="",M279=""),"Description not translated ",
   IF(AND(TRIM(J279)&lt;&gt;"",TRIM(M279)&lt;&gt;"",TRIM(J279)&lt;&gt;TRIM(M279)),"Description translation&lt;&gt; lookup ", "" ))</f>
        <v/>
      </c>
      <c r="O279" s="6" t="s">
        <v>8574</v>
      </c>
      <c r="P279" s="6" t="s">
        <v>8574</v>
      </c>
      <c r="Q279" s="6" t="s">
        <v>9449</v>
      </c>
    </row>
    <row r="280" spans="1:17" x14ac:dyDescent="0.25">
      <c r="A280" s="5" t="str">
        <f>IF(TRIM(I280)="","",E280)</f>
        <v/>
      </c>
      <c r="B280" s="5" t="str">
        <f>IF(TRIM(J280)="","",H280)</f>
        <v>Image quality setting</v>
      </c>
      <c r="C280" s="5" t="str">
        <f>LEFT(F280,FIND(".",F280,6))</f>
        <v>Exif.Fujifilm.</v>
      </c>
      <c r="D280" s="5" t="str">
        <f>VLOOKUP(C280,PrefixUebersetzung,2,FALSE)</f>
        <v>Exif.Fujifilm.</v>
      </c>
      <c r="E280" s="5" t="str">
        <f>MID(F280,FIND(".",F280,6)+1,99)</f>
        <v>Quality</v>
      </c>
      <c r="F280" s="5" t="s">
        <v>175</v>
      </c>
      <c r="G280" s="5" t="s">
        <v>9666</v>
      </c>
      <c r="H280" s="6" t="s">
        <v>2284</v>
      </c>
      <c r="I280" s="7"/>
      <c r="J280" s="8" t="s">
        <v>3840</v>
      </c>
      <c r="K280" s="26"/>
      <c r="L280" s="6" t="str">
        <f>IFERROR(VLOOKUP(E280,A:I,9, FALSE),"")</f>
        <v>Qualität</v>
      </c>
      <c r="M280" s="6" t="str">
        <f>IFERROR(VLOOKUP(H280,B:J,9,FALSE),"")</f>
        <v>Einstellung der Bildqualität</v>
      </c>
      <c r="N280" s="6" t="str">
        <f>IF(AND(TRIM(I280)="",L280=""),"Suffix not translated ",
   IF(AND(TRIM(I280)&lt;&gt;"",TRIM(L280)&lt;&gt;"",TRIM(I280)&lt;&gt;TRIM(L280)),"Suffix translation &lt;&gt; lookup ", "" ))
&amp;IF(AND(TRIM(J280)="",M280=""),"Description not translated ",
   IF(AND(TRIM(J280)&lt;&gt;"",TRIM(M280)&lt;&gt;"",TRIM(J280)&lt;&gt;TRIM(M280)),"Description translation&lt;&gt; lookup ", "" ))</f>
        <v/>
      </c>
      <c r="P280" s="6" t="s">
        <v>8574</v>
      </c>
      <c r="Q280" s="6" t="s">
        <v>9364</v>
      </c>
    </row>
    <row r="281" spans="1:17" x14ac:dyDescent="0.25">
      <c r="A281" s="5" t="str">
        <f>IF(TRIM(I281)="","",E281)</f>
        <v>Rating</v>
      </c>
      <c r="B281" s="5" t="str">
        <f>IF(TRIM(J281)="","",H281)</f>
        <v>Rating</v>
      </c>
      <c r="C281" s="5" t="str">
        <f>LEFT(F281,FIND(".",F281,6))</f>
        <v>Exif.Fujifilm.</v>
      </c>
      <c r="D281" s="5" t="str">
        <f>VLOOKUP(C281,PrefixUebersetzung,2,FALSE)</f>
        <v>Exif.Fujifilm.</v>
      </c>
      <c r="E281" s="5" t="str">
        <f>MID(F281,FIND(".",F281,6)+1,99)</f>
        <v>Rating</v>
      </c>
      <c r="F281" s="11" t="s">
        <v>8654</v>
      </c>
      <c r="G281" s="5" t="s">
        <v>9667</v>
      </c>
      <c r="H281" s="11" t="s">
        <v>8655</v>
      </c>
      <c r="I281" s="7" t="s">
        <v>4286</v>
      </c>
      <c r="J281" s="14" t="s">
        <v>4286</v>
      </c>
      <c r="K281" s="26"/>
      <c r="L281" s="6" t="str">
        <f>IFERROR(VLOOKUP(E281,A:I,9, FALSE),"")</f>
        <v>Bewertung</v>
      </c>
      <c r="N281" s="6" t="str">
        <f>IF(AND(TRIM(I281)="",L281=""),"Suffix not translated ",
   IF(AND(TRIM(I281)&lt;&gt;"",TRIM(L281)&lt;&gt;"",TRIM(I281)&lt;&gt;TRIM(L281)),"Suffix translation &lt;&gt; lookup ", "" ))
&amp;IF(AND(TRIM(J281)="",M281=""),"Description not translated ",
   IF(AND(TRIM(J281)&lt;&gt;"",TRIM(M281)&lt;&gt;"",TRIM(J281)&lt;&gt;TRIM(M281)),"Description translation&lt;&gt; lookup ", "" ))</f>
        <v/>
      </c>
      <c r="O281" s="6" t="s">
        <v>8574</v>
      </c>
      <c r="P281" s="6" t="s">
        <v>8574</v>
      </c>
      <c r="Q281" s="6" t="s">
        <v>4286</v>
      </c>
    </row>
    <row r="282" spans="1:17" x14ac:dyDescent="0.25">
      <c r="A282" s="5" t="str">
        <f>IF(TRIM(I282)="","",E282)</f>
        <v/>
      </c>
      <c r="B282" s="5" t="str">
        <f>IF(TRIM(J282)="","",H282)</f>
        <v/>
      </c>
      <c r="C282" s="5" t="str">
        <f>LEFT(F282,FIND(".",F282,6))</f>
        <v>Exif.Fujifilm.</v>
      </c>
      <c r="D282" s="5" t="str">
        <f>VLOOKUP(C282,PrefixUebersetzung,2,FALSE)</f>
        <v>Exif.Fujifilm.</v>
      </c>
      <c r="E282" s="5" t="str">
        <f>MID(F282,FIND(".",F282,6)+1,99)</f>
        <v>SequenceNumber</v>
      </c>
      <c r="F282" s="5" t="s">
        <v>176</v>
      </c>
      <c r="G282" s="5" t="s">
        <v>9664</v>
      </c>
      <c r="H282" s="6" t="s">
        <v>2285</v>
      </c>
      <c r="J282" s="8"/>
      <c r="K282" s="26"/>
      <c r="L282" s="6" t="str">
        <f>IFERROR(VLOOKUP(E282,A:I,9, FALSE),"")</f>
        <v>Sequenznummer</v>
      </c>
      <c r="M282" s="6" t="str">
        <f>IFERROR(VLOOKUP(H282,B:J,9,FALSE),"")</f>
        <v>Sequenznummer</v>
      </c>
      <c r="N282" s="6" t="str">
        <f>IF(AND(TRIM(I282)="",L282=""),"Suffix not translated ",
   IF(AND(TRIM(I282)&lt;&gt;"",TRIM(L282)&lt;&gt;"",TRIM(I282)&lt;&gt;TRIM(L282)),"Suffix translation &lt;&gt; lookup ", "" ))
&amp;IF(AND(TRIM(J282)="",M282=""),"Description not translated ",
   IF(AND(TRIM(J282)&lt;&gt;"",TRIM(M282)&lt;&gt;"",TRIM(J282)&lt;&gt;TRIM(M282)),"Description translation&lt;&gt; lookup ", "" ))</f>
        <v/>
      </c>
    </row>
    <row r="283" spans="1:17" ht="60" x14ac:dyDescent="0.25">
      <c r="A283" s="5" t="str">
        <f>IF(TRIM(I283)="","",E283)</f>
        <v/>
      </c>
      <c r="B283" s="5" t="str">
        <f>IF(TRIM(J283)="","",H283)</f>
        <v>This number is unique, and contains the date of manufacture, but is not the same as the number printed on the camera body.</v>
      </c>
      <c r="C283" s="5" t="str">
        <f>LEFT(F283,FIND(".",F283,6))</f>
        <v>Exif.Fujifilm.</v>
      </c>
      <c r="D283" s="5" t="str">
        <f>VLOOKUP(C283,PrefixUebersetzung,2,FALSE)</f>
        <v>Exif.Fujifilm.</v>
      </c>
      <c r="E283" s="5" t="str">
        <f>MID(F283,FIND(".",F283,6)+1,99)</f>
        <v>SerialNumber</v>
      </c>
      <c r="F283" s="5" t="s">
        <v>177</v>
      </c>
      <c r="G283" s="5" t="s">
        <v>9666</v>
      </c>
      <c r="H283" s="6" t="s">
        <v>2286</v>
      </c>
      <c r="I283" s="7"/>
      <c r="J283" s="8" t="s">
        <v>3842</v>
      </c>
      <c r="K283" s="26"/>
      <c r="L283" s="6" t="str">
        <f>IFERROR(VLOOKUP(E283,A:I,9, FALSE),"")</f>
        <v>Seriennummer</v>
      </c>
      <c r="M283" s="6" t="str">
        <f>IFERROR(VLOOKUP(H283,B:J,9,FALSE),"")</f>
        <v>Diese Nummer ist eindeutig und enthält das Datum der Herstellung, ist aber nicht die gleiche Nummer, wie auf dem Kameragehäuse</v>
      </c>
      <c r="N283" s="6" t="str">
        <f>IF(AND(TRIM(I283)="",L283=""),"Suffix not translated ",
   IF(AND(TRIM(I283)&lt;&gt;"",TRIM(L283)&lt;&gt;"",TRIM(I283)&lt;&gt;TRIM(L283)),"Suffix translation &lt;&gt; lookup ", "" ))
&amp;IF(AND(TRIM(J283)="",M283=""),"Description not translated ",
   IF(AND(TRIM(J283)&lt;&gt;"",TRIM(M283)&lt;&gt;"",TRIM(J283)&lt;&gt;TRIM(M283)),"Description translation&lt;&gt; lookup ", "" ))</f>
        <v/>
      </c>
      <c r="P283" s="6" t="s">
        <v>8574</v>
      </c>
    </row>
    <row r="284" spans="1:17" x14ac:dyDescent="0.25">
      <c r="A284" s="5" t="str">
        <f>IF(TRIM(I284)="","",E284)</f>
        <v/>
      </c>
      <c r="B284" s="5" t="str">
        <f>IF(TRIM(J284)="","",H284)</f>
        <v/>
      </c>
      <c r="C284" s="5" t="str">
        <f>LEFT(F284,FIND(".",F284,6))</f>
        <v>Exif.Fujifilm.</v>
      </c>
      <c r="D284" s="5" t="str">
        <f>VLOOKUP(C284,PrefixUebersetzung,2,FALSE)</f>
        <v>Exif.Fujifilm.</v>
      </c>
      <c r="E284" s="5" t="str">
        <f>MID(F284,FIND(".",F284,6)+1,99)</f>
        <v>ShadowTone</v>
      </c>
      <c r="F284" s="11" t="s">
        <v>8656</v>
      </c>
      <c r="G284" s="5" t="s">
        <v>9668</v>
      </c>
      <c r="H284" s="11" t="s">
        <v>8657</v>
      </c>
      <c r="I284" s="7"/>
      <c r="K284" s="26"/>
      <c r="N284" s="6"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c r="O284" s="6" t="s">
        <v>8574</v>
      </c>
      <c r="P284" s="6" t="s">
        <v>8574</v>
      </c>
    </row>
    <row r="285" spans="1:17" x14ac:dyDescent="0.25">
      <c r="A285" s="5" t="str">
        <f>IF(TRIM(I285)="","",E285)</f>
        <v/>
      </c>
      <c r="B285" s="5" t="str">
        <f>IF(TRIM(J285)="","",H285)</f>
        <v/>
      </c>
      <c r="C285" s="5" t="str">
        <f>LEFT(F285,FIND(".",F285,6))</f>
        <v>Exif.Fujifilm.</v>
      </c>
      <c r="D285" s="5" t="str">
        <f>VLOOKUP(C285,PrefixUebersetzung,2,FALSE)</f>
        <v>Exif.Fujifilm.</v>
      </c>
      <c r="E285" s="5" t="str">
        <f>MID(F285,FIND(".",F285,6)+1,99)</f>
        <v>Sharpness</v>
      </c>
      <c r="F285" s="5" t="s">
        <v>178</v>
      </c>
      <c r="G285" s="5" t="s">
        <v>9664</v>
      </c>
      <c r="H285" s="6" t="s">
        <v>2211</v>
      </c>
      <c r="I285" s="7"/>
      <c r="J285" s="8"/>
      <c r="K285" s="26"/>
      <c r="L285" s="6" t="str">
        <f>IFERROR(VLOOKUP(E285,A:I,9, FALSE),"")</f>
        <v>Schärfe</v>
      </c>
      <c r="M285" s="6" t="str">
        <f>IFERROR(VLOOKUP(H285,B:J,9,FALSE),"")</f>
        <v>Einstellung der Schärfe</v>
      </c>
      <c r="N285" s="6" t="str">
        <f>IF(AND(TRIM(I285)="",L285=""),"Suffix not translated ",
   IF(AND(TRIM(I285)&lt;&gt;"",TRIM(L285)&lt;&gt;"",TRIM(I285)&lt;&gt;TRIM(L285)),"Suffix translation &lt;&gt; lookup ", "" ))
&amp;IF(AND(TRIM(J285)="",M285=""),"Description not translated ",
   IF(AND(TRIM(J285)&lt;&gt;"",TRIM(M285)&lt;&gt;"",TRIM(J285)&lt;&gt;TRIM(M285)),"Description translation&lt;&gt; lookup ", "" ))</f>
        <v/>
      </c>
    </row>
    <row r="286" spans="1:17" ht="30" x14ac:dyDescent="0.25">
      <c r="A286" s="5" t="str">
        <f>IF(TRIM(I286)="","",E286)</f>
        <v>SlowSync</v>
      </c>
      <c r="B286" s="5" t="str">
        <f>IF(TRIM(J286)="","",H286)</f>
        <v>Slow synchro mode setting</v>
      </c>
      <c r="C286" s="5" t="str">
        <f>LEFT(F286,FIND(".",F286,6))</f>
        <v>Exif.Fujifilm.</v>
      </c>
      <c r="D286" s="5" t="str">
        <f>VLOOKUP(C286,PrefixUebersetzung,2,FALSE)</f>
        <v>Exif.Fujifilm.</v>
      </c>
      <c r="E286" s="5" t="str">
        <f>MID(F286,FIND(".",F286,6)+1,99)</f>
        <v>SlowSync</v>
      </c>
      <c r="F286" s="5" t="s">
        <v>179</v>
      </c>
      <c r="G286" s="5" t="s">
        <v>9664</v>
      </c>
      <c r="H286" s="6" t="s">
        <v>2287</v>
      </c>
      <c r="I286" s="31" t="s">
        <v>4204</v>
      </c>
      <c r="J286" s="8" t="s">
        <v>3843</v>
      </c>
      <c r="K286" s="26"/>
      <c r="N286" s="6" t="str">
        <f>IF(AND(TRIM(I286)="",L286=""),"Suffix not translated ",
   IF(AND(TRIM(I286)&lt;&gt;"",TRIM(L286)&lt;&gt;"",TRIM(I286)&lt;&gt;TRIM(L286)),"Suffix translation &lt;&gt; lookup ", "" ))
&amp;IF(AND(TRIM(J286)="",M286=""),"Description not translated ",
   IF(AND(TRIM(J286)&lt;&gt;"",TRIM(M286)&lt;&gt;"",TRIM(J286)&lt;&gt;TRIM(M286)),"Description translation&lt;&gt; lookup ", "" ))</f>
        <v/>
      </c>
      <c r="O286" s="6" t="s">
        <v>8574</v>
      </c>
      <c r="P286" s="6" t="s">
        <v>8574</v>
      </c>
      <c r="Q286" s="6" t="s">
        <v>9490</v>
      </c>
    </row>
    <row r="287" spans="1:17" x14ac:dyDescent="0.25">
      <c r="A287" s="5" t="str">
        <f>IF(TRIM(I287)="","",E287)</f>
        <v/>
      </c>
      <c r="B287" s="5" t="str">
        <f>IF(TRIM(J287)="","",H287)</f>
        <v/>
      </c>
      <c r="C287" s="5" t="str">
        <f>LEFT(F287,FIND(".",F287,6))</f>
        <v>Exif.Fujifilm.</v>
      </c>
      <c r="D287" s="5" t="str">
        <f>VLOOKUP(C287,PrefixUebersetzung,2,FALSE)</f>
        <v>Exif.Fujifilm.</v>
      </c>
      <c r="E287" s="5" t="str">
        <f>MID(F287,FIND(".",F287,6)+1,99)</f>
        <v>Tone</v>
      </c>
      <c r="F287" s="28" t="s">
        <v>180</v>
      </c>
      <c r="G287" s="5" t="s">
        <v>9664</v>
      </c>
      <c r="H287" s="9" t="s">
        <v>2184</v>
      </c>
      <c r="I287" s="7"/>
      <c r="J287" s="8"/>
      <c r="K287" s="26"/>
      <c r="M287" s="6" t="str">
        <f>IFERROR(VLOOKUP(H287,B:J,9,FALSE),"")</f>
        <v>Kontrasteinstellung</v>
      </c>
      <c r="N287" s="6" t="str">
        <f>IF(AND(TRIM(I287)="",L287=""),"Suffix not translated ",
   IF(AND(TRIM(I287)&lt;&gt;"",TRIM(L287)&lt;&gt;"",TRIM(I287)&lt;&gt;TRIM(L287)),"Suffix translation &lt;&gt; lookup ", "" ))
&amp;IF(AND(TRIM(J287)="",M287=""),"Description not translated ",
   IF(AND(TRIM(J287)&lt;&gt;"",TRIM(M287)&lt;&gt;"",TRIM(J287)&lt;&gt;TRIM(M287)),"Description translation&lt;&gt; lookup ", "" ))</f>
        <v xml:space="preserve">Suffix not translated </v>
      </c>
      <c r="O287" s="6" t="s">
        <v>8574</v>
      </c>
    </row>
    <row r="288" spans="1:17" ht="30" x14ac:dyDescent="0.25">
      <c r="A288" s="5" t="str">
        <f>IF(TRIM(I288)="","",E288)</f>
        <v>Version</v>
      </c>
      <c r="B288" s="5" t="str">
        <f>IF(TRIM(J288)="","",H288)</f>
        <v>Fujifilm Makernote version</v>
      </c>
      <c r="C288" s="5" t="str">
        <f>LEFT(F288,FIND(".",F288,6))</f>
        <v>Exif.Fujifilm.</v>
      </c>
      <c r="D288" s="5" t="str">
        <f>VLOOKUP(C288,PrefixUebersetzung,2,FALSE)</f>
        <v>Exif.Fujifilm.</v>
      </c>
      <c r="E288" s="5" t="str">
        <f>MID(F288,FIND(".",F288,6)+1,99)</f>
        <v>Version</v>
      </c>
      <c r="F288" s="5" t="s">
        <v>181</v>
      </c>
      <c r="G288" s="5" t="s">
        <v>9669</v>
      </c>
      <c r="H288" s="6" t="s">
        <v>2288</v>
      </c>
      <c r="I288" s="7" t="s">
        <v>2688</v>
      </c>
      <c r="J288" s="8" t="s">
        <v>5220</v>
      </c>
      <c r="K288" s="26"/>
      <c r="L288" s="6" t="str">
        <f>IFERROR(VLOOKUP(E288,A:I,9, FALSE),"")</f>
        <v>Version</v>
      </c>
      <c r="N288" s="6" t="str">
        <f>IF(AND(TRIM(I288)="",L288=""),"Suffix not translated ",
   IF(AND(TRIM(I288)&lt;&gt;"",TRIM(L288)&lt;&gt;"",TRIM(I288)&lt;&gt;TRIM(L288)),"Suffix translation &lt;&gt; lookup ", "" ))
&amp;IF(AND(TRIM(J288)="",M288=""),"Description not translated ",
   IF(AND(TRIM(J288)&lt;&gt;"",TRIM(M288)&lt;&gt;"",TRIM(J288)&lt;&gt;TRIM(M288)),"Description translation&lt;&gt; lookup ", "" ))</f>
        <v/>
      </c>
      <c r="O288" s="6" t="s">
        <v>8574</v>
      </c>
      <c r="P288" s="6" t="s">
        <v>8574</v>
      </c>
      <c r="Q288" s="6" t="s">
        <v>9330</v>
      </c>
    </row>
    <row r="289" spans="1:17" x14ac:dyDescent="0.25">
      <c r="A289" s="5" t="str">
        <f>IF(TRIM(I289)="","",E289)</f>
        <v/>
      </c>
      <c r="B289" s="5" t="str">
        <f>IF(TRIM(J289)="","",H289)</f>
        <v/>
      </c>
      <c r="C289" s="5" t="str">
        <f>LEFT(F289,FIND(".",F289,6))</f>
        <v>Exif.Fujifilm.</v>
      </c>
      <c r="D289" s="5" t="str">
        <f>VLOOKUP(C289,PrefixUebersetzung,2,FALSE)</f>
        <v>Exif.Fujifilm.</v>
      </c>
      <c r="E289" s="5" t="str">
        <f>MID(F289,FIND(".",F289,6)+1,99)</f>
        <v>WhiteBalance</v>
      </c>
      <c r="F289" s="5" t="s">
        <v>182</v>
      </c>
      <c r="G289" s="5" t="s">
        <v>9664</v>
      </c>
      <c r="H289" s="6" t="s">
        <v>2263</v>
      </c>
      <c r="I289" s="7"/>
      <c r="J289" s="8"/>
      <c r="K289" s="26"/>
      <c r="L289" s="6" t="str">
        <f>IFERROR(VLOOKUP(E289,A:I,9, FALSE),"")</f>
        <v>Weißabgleich</v>
      </c>
      <c r="M289" s="6" t="str">
        <f>IFERROR(VLOOKUP(H289,B:J,9,FALSE),"")</f>
        <v>Weißabgleich-Einstellung</v>
      </c>
      <c r="N289" s="6" t="str">
        <f>IF(AND(TRIM(I289)="",L289=""),"Suffix not translated ",
   IF(AND(TRIM(I289)&lt;&gt;"",TRIM(L289)&lt;&gt;"",TRIM(I289)&lt;&gt;TRIM(L289)),"Suffix translation &lt;&gt; lookup ", "" ))
&amp;IF(AND(TRIM(J289)="",M289=""),"Description not translated ",
   IF(AND(TRIM(J289)&lt;&gt;"",TRIM(M289)&lt;&gt;"",TRIM(J289)&lt;&gt;TRIM(M289)),"Description translation&lt;&gt; lookup ", "" ))</f>
        <v/>
      </c>
    </row>
    <row r="290" spans="1:17" ht="45" x14ac:dyDescent="0.25">
      <c r="A290" s="5" t="str">
        <f>IF(TRIM(I290)="","",E290)</f>
        <v>GPSAltitude</v>
      </c>
      <c r="B290" s="5" t="str">
        <f>IF(TRIM(J290)="","",H290)</f>
        <v>Indicates the altitude based on the reference in GPSAltitudeRef. Altitude is expressed as one RATIONAL value. The reference unit is meters.</v>
      </c>
      <c r="C290" s="5" t="str">
        <f>LEFT(F290,FIND(".",F290,6))</f>
        <v>Exif.GPSInfo.</v>
      </c>
      <c r="D290" s="5" t="str">
        <f>VLOOKUP(C290,PrefixUebersetzung,2,FALSE)</f>
        <v>Exif.GPSInfo.</v>
      </c>
      <c r="E290" s="5" t="str">
        <f>MID(F290,FIND(".",F290,6)+1,99)</f>
        <v>GPSAltitude</v>
      </c>
      <c r="F290" s="5" t="s">
        <v>183</v>
      </c>
      <c r="G290" s="5" t="s">
        <v>9671</v>
      </c>
      <c r="H290" s="6" t="s">
        <v>2289</v>
      </c>
      <c r="I290" s="7" t="s">
        <v>4220</v>
      </c>
      <c r="J290" s="8" t="s">
        <v>3845</v>
      </c>
      <c r="K290" s="26"/>
      <c r="L290" s="6" t="str">
        <f>IFERROR(VLOOKUP(E290,A:I,9, FALSE),"")</f>
        <v>GPS Höhe</v>
      </c>
      <c r="N290" s="6" t="str">
        <f>IF(AND(TRIM(I290)="",L290=""),"Suffix not translated ",
   IF(AND(TRIM(I290)&lt;&gt;"",TRIM(L290)&lt;&gt;"",TRIM(I290)&lt;&gt;TRIM(L290)),"Suffix translation &lt;&gt; lookup ", "" ))
&amp;IF(AND(TRIM(J290)="",M290=""),"Description not translated ",
   IF(AND(TRIM(J290)&lt;&gt;"",TRIM(M290)&lt;&gt;"",TRIM(J290)&lt;&gt;TRIM(M290)),"Description translation&lt;&gt; lookup ", "" ))</f>
        <v/>
      </c>
      <c r="O290" s="6" t="s">
        <v>8574</v>
      </c>
      <c r="P290" s="6" t="s">
        <v>8574</v>
      </c>
    </row>
    <row r="291" spans="1:17" ht="120" x14ac:dyDescent="0.25">
      <c r="A291" s="5" t="str">
        <f>IF(TRIM(I291)="","",E291)</f>
        <v>GPSAltitudeRef</v>
      </c>
      <c r="B291" s="5" t="str">
        <f>IF(TRIM(J291)="","",H291)</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291" s="5" t="str">
        <f>LEFT(F291,FIND(".",F291,6))</f>
        <v>Exif.GPSInfo.</v>
      </c>
      <c r="D291" s="5" t="str">
        <f>VLOOKUP(C291,PrefixUebersetzung,2,FALSE)</f>
        <v>Exif.GPSInfo.</v>
      </c>
      <c r="E291" s="5" t="str">
        <f>MID(F291,FIND(".",F291,6)+1,99)</f>
        <v>GPSAltitudeRef</v>
      </c>
      <c r="F291" s="5" t="s">
        <v>184</v>
      </c>
      <c r="G291" s="5" t="s">
        <v>9670</v>
      </c>
      <c r="H291" s="6" t="s">
        <v>2290</v>
      </c>
      <c r="I291" s="7" t="s">
        <v>4221</v>
      </c>
      <c r="J291" s="8" t="s">
        <v>3846</v>
      </c>
      <c r="K291" s="26"/>
      <c r="L291" s="6" t="str">
        <f>IFERROR(VLOOKUP(E291,A:I,9, FALSE),"")</f>
        <v>GPS Höhenreferenz</v>
      </c>
      <c r="N291" s="6" t="str">
        <f>IF(AND(TRIM(I291)="",L291=""),"Suffix not translated ",
   IF(AND(TRIM(I291)&lt;&gt;"",TRIM(L291)&lt;&gt;"",TRIM(I291)&lt;&gt;TRIM(L291)),"Suffix translation &lt;&gt; lookup ", "" ))
&amp;IF(AND(TRIM(J291)="",M291=""),"Description not translated ",
   IF(AND(TRIM(J291)&lt;&gt;"",TRIM(M291)&lt;&gt;"",TRIM(J291)&lt;&gt;TRIM(M291)),"Description translation&lt;&gt; lookup ", "" ))</f>
        <v/>
      </c>
      <c r="O291" s="6" t="s">
        <v>8574</v>
      </c>
      <c r="P291" s="6" t="s">
        <v>8574</v>
      </c>
    </row>
    <row r="292" spans="1:17" ht="45" x14ac:dyDescent="0.25">
      <c r="A292" s="5" t="str">
        <f>IF(TRIM(I292)="","",E292)</f>
        <v>GPSAreaInformation</v>
      </c>
      <c r="B292" s="5" t="str">
        <f>IF(TRIM(J292)="","",H292)</f>
        <v>A character string recording the name of the GPS area.The string encoding is defined using the same scheme as UserComment.</v>
      </c>
      <c r="C292" s="5" t="str">
        <f>LEFT(F292,FIND(".",F292,6))</f>
        <v>Exif.GPSInfo.</v>
      </c>
      <c r="D292" s="5" t="str">
        <f>VLOOKUP(C292,PrefixUebersetzung,2,FALSE)</f>
        <v>Exif.GPSInfo.</v>
      </c>
      <c r="E292" s="5" t="str">
        <f>MID(F292,FIND(".",F292,6)+1,99)</f>
        <v>GPSAreaInformation</v>
      </c>
      <c r="F292" s="5" t="s">
        <v>185</v>
      </c>
      <c r="G292" s="5" t="s">
        <v>9673</v>
      </c>
      <c r="H292" s="6" t="s">
        <v>9713</v>
      </c>
      <c r="I292" s="7" t="s">
        <v>4222</v>
      </c>
      <c r="J292" s="8" t="s">
        <v>9615</v>
      </c>
      <c r="K292" s="26"/>
      <c r="L292" s="6" t="str">
        <f>IFERROR(VLOOKUP(E292,A:I,9, FALSE),"")</f>
        <v>GPS Bereichsinformation</v>
      </c>
      <c r="N292" s="6" t="str">
        <f>IF(AND(TRIM(I292)="",L292=""),"Suffix not translated ",
   IF(AND(TRIM(I292)&lt;&gt;"",TRIM(L292)&lt;&gt;"",TRIM(I292)&lt;&gt;TRIM(L292)),"Suffix translation &lt;&gt; lookup ", "" ))
&amp;IF(AND(TRIM(J292)="",M292=""),"Description not translated ",
   IF(AND(TRIM(J292)&lt;&gt;"",TRIM(M292)&lt;&gt;"",TRIM(J292)&lt;&gt;TRIM(M292)),"Description translation&lt;&gt; lookup ", "" ))</f>
        <v/>
      </c>
      <c r="O292" s="6" t="s">
        <v>8574</v>
      </c>
      <c r="P292" s="6" t="s">
        <v>8574</v>
      </c>
    </row>
    <row r="293" spans="1:17" ht="45" x14ac:dyDescent="0.25">
      <c r="A293" s="5" t="str">
        <f>IF(TRIM(I293)="","",E293)</f>
        <v>GPSDateStamp</v>
      </c>
      <c r="B293" s="5" t="str">
        <f>IF(TRIM(J293)="","",H293)</f>
        <v>A character string recording date and time information relative to UTC (Coordinated Universal Time). The format is "YYYY:MM:DD.".</v>
      </c>
      <c r="C293" s="5" t="str">
        <f>LEFT(F293,FIND(".",F293,6))</f>
        <v>Exif.GPSInfo.</v>
      </c>
      <c r="D293" s="5" t="str">
        <f>VLOOKUP(C293,PrefixUebersetzung,2,FALSE)</f>
        <v>Exif.GPSInfo.</v>
      </c>
      <c r="E293" s="5" t="str">
        <f>MID(F293,FIND(".",F293,6)+1,99)</f>
        <v>GPSDateStamp</v>
      </c>
      <c r="F293" s="5" t="s">
        <v>186</v>
      </c>
      <c r="G293" s="5" t="s">
        <v>9666</v>
      </c>
      <c r="H293" s="6" t="s">
        <v>2291</v>
      </c>
      <c r="I293" s="7" t="s">
        <v>4223</v>
      </c>
      <c r="J293" s="8" t="s">
        <v>3847</v>
      </c>
      <c r="K293" s="26"/>
      <c r="L293" s="6" t="str">
        <f>IFERROR(VLOOKUP(E293,A:I,9, FALSE),"")</f>
        <v>GPS Datum/Zeit</v>
      </c>
      <c r="N293" s="6" t="str">
        <f>IF(AND(TRIM(I293)="",L293=""),"Suffix not translated ",
   IF(AND(TRIM(I293)&lt;&gt;"",TRIM(L293)&lt;&gt;"",TRIM(I293)&lt;&gt;TRIM(L293)),"Suffix translation &lt;&gt; lookup ", "" ))
&amp;IF(AND(TRIM(J293)="",M293=""),"Description not translated ",
   IF(AND(TRIM(J293)&lt;&gt;"",TRIM(M293)&lt;&gt;"",TRIM(J293)&lt;&gt;TRIM(M293)),"Description translation&lt;&gt; lookup ", "" ))</f>
        <v/>
      </c>
      <c r="O293" s="6" t="s">
        <v>8574</v>
      </c>
      <c r="P293" s="6" t="s">
        <v>8574</v>
      </c>
    </row>
    <row r="294" spans="1:17" ht="30" x14ac:dyDescent="0.25">
      <c r="A294" s="5" t="str">
        <f>IF(TRIM(I294)="","",E294)</f>
        <v>GPSDestBearing</v>
      </c>
      <c r="B294" s="5" t="str">
        <f>IF(TRIM(J294)="","",H294)</f>
        <v>Indicates the bearing to the destination point. The range of values is from 0.00 to 359.99.</v>
      </c>
      <c r="C294" s="5" t="str">
        <f>LEFT(F294,FIND(".",F294,6))</f>
        <v>Exif.GPSInfo.</v>
      </c>
      <c r="D294" s="5" t="str">
        <f>VLOOKUP(C294,PrefixUebersetzung,2,FALSE)</f>
        <v>Exif.GPSInfo.</v>
      </c>
      <c r="E294" s="5" t="str">
        <f>MID(F294,FIND(".",F294,6)+1,99)</f>
        <v>GPSDestBearing</v>
      </c>
      <c r="F294" s="5" t="s">
        <v>187</v>
      </c>
      <c r="G294" s="5" t="s">
        <v>9671</v>
      </c>
      <c r="H294" s="6" t="s">
        <v>2292</v>
      </c>
      <c r="I294" s="7" t="s">
        <v>4224</v>
      </c>
      <c r="J294" s="8" t="s">
        <v>3848</v>
      </c>
      <c r="K294" s="26"/>
      <c r="L294" s="6" t="str">
        <f>IFERROR(VLOOKUP(E294,A:I,9, FALSE),"")</f>
        <v>GPS Peilung</v>
      </c>
      <c r="N294" s="6" t="str">
        <f>IF(AND(TRIM(I294)="",L294=""),"Suffix not translated ",
   IF(AND(TRIM(I294)&lt;&gt;"",TRIM(L294)&lt;&gt;"",TRIM(I294)&lt;&gt;TRIM(L294)),"Suffix translation &lt;&gt; lookup ", "" ))
&amp;IF(AND(TRIM(J294)="",M294=""),"Description not translated ",
   IF(AND(TRIM(J294)&lt;&gt;"",TRIM(M294)&lt;&gt;"",TRIM(J294)&lt;&gt;TRIM(M294)),"Description translation&lt;&gt; lookup ", "" ))</f>
        <v/>
      </c>
      <c r="O294" s="6" t="s">
        <v>8574</v>
      </c>
      <c r="P294" s="6" t="s">
        <v>8574</v>
      </c>
    </row>
    <row r="295" spans="1:17" ht="45" x14ac:dyDescent="0.25">
      <c r="A295" s="5" t="str">
        <f>IF(TRIM(I295)="","",E295)</f>
        <v>GPSDestBearingRef</v>
      </c>
      <c r="B295" s="5" t="str">
        <f>IF(TRIM(J295)="","",H295)</f>
        <v>Indicates the reference used for giving the bearing to the destination point. "T" denotes true direction and "M" is magnetic direction.</v>
      </c>
      <c r="C295" s="5" t="str">
        <f>LEFT(F295,FIND(".",F295,6))</f>
        <v>Exif.GPSInfo.</v>
      </c>
      <c r="D295" s="5" t="str">
        <f>VLOOKUP(C295,PrefixUebersetzung,2,FALSE)</f>
        <v>Exif.GPSInfo.</v>
      </c>
      <c r="E295" s="5" t="str">
        <f>MID(F295,FIND(".",F295,6)+1,99)</f>
        <v>GPSDestBearingRef</v>
      </c>
      <c r="F295" s="5" t="s">
        <v>188</v>
      </c>
      <c r="G295" s="5" t="s">
        <v>9666</v>
      </c>
      <c r="H295" s="6" t="s">
        <v>2293</v>
      </c>
      <c r="I295" s="7" t="s">
        <v>4973</v>
      </c>
      <c r="J295" s="8" t="s">
        <v>3849</v>
      </c>
      <c r="K295" s="26"/>
      <c r="L295" s="6" t="str">
        <f>IFERROR(VLOOKUP(E295,A:I,9, FALSE),"")</f>
        <v>GPS Peilung Referenz</v>
      </c>
      <c r="N295" s="6" t="str">
        <f>IF(AND(TRIM(I295)="",L295=""),"Suffix not translated ",
   IF(AND(TRIM(I295)&lt;&gt;"",TRIM(L295)&lt;&gt;"",TRIM(I295)&lt;&gt;TRIM(L295)),"Suffix translation &lt;&gt; lookup ", "" ))
&amp;IF(AND(TRIM(J295)="",M295=""),"Description not translated ",
   IF(AND(TRIM(J295)&lt;&gt;"",TRIM(M295)&lt;&gt;"",TRIM(J295)&lt;&gt;TRIM(M295)),"Description translation&lt;&gt; lookup ", "" ))</f>
        <v/>
      </c>
      <c r="O295" s="6" t="s">
        <v>8574</v>
      </c>
      <c r="P295" s="6" t="s">
        <v>8574</v>
      </c>
    </row>
    <row r="296" spans="1:17" x14ac:dyDescent="0.25">
      <c r="A296" s="5" t="str">
        <f>IF(TRIM(I296)="","",E296)</f>
        <v>GPSDestDistance</v>
      </c>
      <c r="B296" s="5" t="str">
        <f>IF(TRIM(J296)="","",H296)</f>
        <v>Indicates the distance to the destination point.</v>
      </c>
      <c r="C296" s="5" t="str">
        <f>LEFT(F296,FIND(".",F296,6))</f>
        <v>Exif.GPSInfo.</v>
      </c>
      <c r="D296" s="5" t="str">
        <f>VLOOKUP(C296,PrefixUebersetzung,2,FALSE)</f>
        <v>Exif.GPSInfo.</v>
      </c>
      <c r="E296" s="5" t="str">
        <f>MID(F296,FIND(".",F296,6)+1,99)</f>
        <v>GPSDestDistance</v>
      </c>
      <c r="F296" s="5" t="s">
        <v>189</v>
      </c>
      <c r="G296" s="5" t="s">
        <v>9671</v>
      </c>
      <c r="H296" s="6" t="s">
        <v>2294</v>
      </c>
      <c r="I296" s="7" t="s">
        <v>4225</v>
      </c>
      <c r="J296" s="8" t="s">
        <v>3850</v>
      </c>
      <c r="K296" s="26"/>
      <c r="L296" s="6" t="str">
        <f>IFERROR(VLOOKUP(E296,A:I,9, FALSE),"")</f>
        <v>GPS Zielentfernung</v>
      </c>
      <c r="N296" s="6" t="str">
        <f>IF(AND(TRIM(I296)="",L296=""),"Suffix not translated ",
   IF(AND(TRIM(I296)&lt;&gt;"",TRIM(L296)&lt;&gt;"",TRIM(I296)&lt;&gt;TRIM(L296)),"Suffix translation &lt;&gt; lookup ", "" ))
&amp;IF(AND(TRIM(J296)="",M296=""),"Description not translated ",
   IF(AND(TRIM(J296)&lt;&gt;"",TRIM(M296)&lt;&gt;"",TRIM(J296)&lt;&gt;TRIM(M296)),"Description translation&lt;&gt; lookup ", "" ))</f>
        <v/>
      </c>
      <c r="O296" s="6" t="s">
        <v>8574</v>
      </c>
      <c r="P296" s="6" t="s">
        <v>8574</v>
      </c>
      <c r="Q296" s="6" t="s">
        <v>9370</v>
      </c>
    </row>
    <row r="297" spans="1:17" ht="45" x14ac:dyDescent="0.25">
      <c r="A297" s="5" t="str">
        <f>IF(TRIM(I297)="","",E297)</f>
        <v>GPSDestDistanceRef</v>
      </c>
      <c r="B297" s="5" t="str">
        <f>IF(TRIM(J297)="","",H297)</f>
        <v>Indicates the unit used to express the distance to the destination point. "K", "M" and "N" represent kilometers, miles and knots.</v>
      </c>
      <c r="C297" s="5" t="str">
        <f>LEFT(F297,FIND(".",F297,6))</f>
        <v>Exif.GPSInfo.</v>
      </c>
      <c r="D297" s="5" t="str">
        <f>VLOOKUP(C297,PrefixUebersetzung,2,FALSE)</f>
        <v>Exif.GPSInfo.</v>
      </c>
      <c r="E297" s="5" t="str">
        <f>MID(F297,FIND(".",F297,6)+1,99)</f>
        <v>GPSDestDistanceRef</v>
      </c>
      <c r="F297" s="5" t="s">
        <v>190</v>
      </c>
      <c r="G297" s="5" t="s">
        <v>9666</v>
      </c>
      <c r="H297" s="6" t="s">
        <v>2295</v>
      </c>
      <c r="I297" s="7" t="s">
        <v>4974</v>
      </c>
      <c r="J297" s="8" t="s">
        <v>3851</v>
      </c>
      <c r="K297" s="26"/>
      <c r="L297" s="6" t="str">
        <f>IFERROR(VLOOKUP(E297,A:I,9, FALSE),"")</f>
        <v>GPS Zielentfernung Referenz</v>
      </c>
      <c r="N297" s="6" t="str">
        <f>IF(AND(TRIM(I297)="",L297=""),"Suffix not translated ",
   IF(AND(TRIM(I297)&lt;&gt;"",TRIM(L297)&lt;&gt;"",TRIM(I297)&lt;&gt;TRIM(L297)),"Suffix translation &lt;&gt; lookup ", "" ))
&amp;IF(AND(TRIM(J297)="",M297=""),"Description not translated ",
   IF(AND(TRIM(J297)&lt;&gt;"",TRIM(M297)&lt;&gt;"",TRIM(J297)&lt;&gt;TRIM(M297)),"Description translation&lt;&gt; lookup ", "" ))</f>
        <v/>
      </c>
      <c r="O297" s="6" t="s">
        <v>8574</v>
      </c>
      <c r="P297" s="6" t="s">
        <v>8574</v>
      </c>
    </row>
    <row r="298" spans="1:17" ht="120" x14ac:dyDescent="0.25">
      <c r="A298" s="5" t="str">
        <f>IF(TRIM(I298)="","",E298)</f>
        <v>GPSDestLatitude</v>
      </c>
      <c r="B298" s="5" t="str">
        <f>IF(TRIM(J298)="","",H298)</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298" s="5" t="str">
        <f>LEFT(F298,FIND(".",F298,6))</f>
        <v>Exif.GPSInfo.</v>
      </c>
      <c r="D298" s="5" t="str">
        <f>VLOOKUP(C298,PrefixUebersetzung,2,FALSE)</f>
        <v>Exif.GPSInfo.</v>
      </c>
      <c r="E298" s="5" t="str">
        <f>MID(F298,FIND(".",F298,6)+1,99)</f>
        <v>GPSDestLatitude</v>
      </c>
      <c r="F298" s="5" t="s">
        <v>191</v>
      </c>
      <c r="G298" s="5" t="s">
        <v>9671</v>
      </c>
      <c r="H298" s="6" t="s">
        <v>2296</v>
      </c>
      <c r="I298" s="7" t="s">
        <v>4975</v>
      </c>
      <c r="J298" s="8" t="s">
        <v>6621</v>
      </c>
      <c r="K298" s="26"/>
      <c r="L298" s="6" t="str">
        <f>IFERROR(VLOOKUP(E298,A:I,9, FALSE),"")</f>
        <v>GPS Ziel Breite</v>
      </c>
      <c r="N298" s="6" t="str">
        <f>IF(AND(TRIM(I298)="",L298=""),"Suffix not translated ",
   IF(AND(TRIM(I298)&lt;&gt;"",TRIM(L298)&lt;&gt;"",TRIM(I298)&lt;&gt;TRIM(L298)),"Suffix translation &lt;&gt; lookup ", "" ))
&amp;IF(AND(TRIM(J298)="",M298=""),"Description not translated ",
   IF(AND(TRIM(J298)&lt;&gt;"",TRIM(M298)&lt;&gt;"",TRIM(J298)&lt;&gt;TRIM(M298)),"Description translation&lt;&gt; lookup ", "" ))</f>
        <v/>
      </c>
      <c r="O298" s="6" t="s">
        <v>8574</v>
      </c>
      <c r="P298" s="6" t="s">
        <v>8574</v>
      </c>
    </row>
    <row r="299" spans="1:17" ht="45" x14ac:dyDescent="0.25">
      <c r="A299" s="5" t="str">
        <f>IF(TRIM(I299)="","",E299)</f>
        <v>GPSDestLatitudeRef</v>
      </c>
      <c r="B299" s="5" t="str">
        <f>IF(TRIM(J299)="","",H299)</f>
        <v>Indicates whether the latitude of the destination point is north or south latitude. The ASCII value "N" indicates north latitude, and "S" is south latitude.</v>
      </c>
      <c r="C299" s="5" t="str">
        <f>LEFT(F299,FIND(".",F299,6))</f>
        <v>Exif.GPSInfo.</v>
      </c>
      <c r="D299" s="5" t="str">
        <f>VLOOKUP(C299,PrefixUebersetzung,2,FALSE)</f>
        <v>Exif.GPSInfo.</v>
      </c>
      <c r="E299" s="5" t="str">
        <f>MID(F299,FIND(".",F299,6)+1,99)</f>
        <v>GPSDestLatitudeRef</v>
      </c>
      <c r="F299" s="5" t="s">
        <v>192</v>
      </c>
      <c r="G299" s="5" t="s">
        <v>9666</v>
      </c>
      <c r="H299" s="6" t="s">
        <v>2297</v>
      </c>
      <c r="I299" s="7" t="s">
        <v>5055</v>
      </c>
      <c r="J299" s="8" t="s">
        <v>3852</v>
      </c>
      <c r="K299" s="26"/>
      <c r="N299" s="6" t="str">
        <f>IF(AND(TRIM(I299)="",L299=""),"Suffix not translated ",
   IF(AND(TRIM(I299)&lt;&gt;"",TRIM(L299)&lt;&gt;"",TRIM(I299)&lt;&gt;TRIM(L299)),"Suffix translation &lt;&gt; lookup ", "" ))
&amp;IF(AND(TRIM(J299)="",M299=""),"Description not translated ",
   IF(AND(TRIM(J299)&lt;&gt;"",TRIM(M299)&lt;&gt;"",TRIM(J299)&lt;&gt;TRIM(M299)),"Description translation&lt;&gt; lookup ", "" ))</f>
        <v/>
      </c>
      <c r="O299" s="6" t="s">
        <v>8574</v>
      </c>
      <c r="P299" s="6" t="s">
        <v>8574</v>
      </c>
    </row>
    <row r="300" spans="1:17" ht="135" x14ac:dyDescent="0.25">
      <c r="A300" s="5" t="str">
        <f>IF(TRIM(I300)="","",E300)</f>
        <v>GPSDestLongitude</v>
      </c>
      <c r="B300" s="5" t="str">
        <f>IF(TRIM(J300)="","",H300)</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300" s="5" t="str">
        <f>LEFT(F300,FIND(".",F300,6))</f>
        <v>Exif.GPSInfo.</v>
      </c>
      <c r="D300" s="5" t="str">
        <f>VLOOKUP(C300,PrefixUebersetzung,2,FALSE)</f>
        <v>Exif.GPSInfo.</v>
      </c>
      <c r="E300" s="5" t="str">
        <f>MID(F300,FIND(".",F300,6)+1,99)</f>
        <v>GPSDestLongitude</v>
      </c>
      <c r="F300" s="5" t="s">
        <v>193</v>
      </c>
      <c r="G300" s="5" t="s">
        <v>9671</v>
      </c>
      <c r="H300" s="6" t="s">
        <v>2298</v>
      </c>
      <c r="I300" s="7" t="s">
        <v>4976</v>
      </c>
      <c r="J300" s="8" t="s">
        <v>6620</v>
      </c>
      <c r="K300" s="26"/>
      <c r="L300" s="6" t="str">
        <f>IFERROR(VLOOKUP(E300,A:I,9, FALSE),"")</f>
        <v>GPS Ziel Länge</v>
      </c>
      <c r="N300" s="6" t="str">
        <f>IF(AND(TRIM(I300)="",L300=""),"Suffix not translated ",
   IF(AND(TRIM(I300)&lt;&gt;"",TRIM(L300)&lt;&gt;"",TRIM(I300)&lt;&gt;TRIM(L300)),"Suffix translation &lt;&gt; lookup ", "" ))
&amp;IF(AND(TRIM(J300)="",M300=""),"Description not translated ",
   IF(AND(TRIM(J300)&lt;&gt;"",TRIM(M300)&lt;&gt;"",TRIM(J300)&lt;&gt;TRIM(M300)),"Description translation&lt;&gt; lookup ", "" ))</f>
        <v/>
      </c>
      <c r="O300" s="6" t="s">
        <v>8574</v>
      </c>
      <c r="P300" s="6" t="s">
        <v>8574</v>
      </c>
    </row>
    <row r="301" spans="1:17" ht="45" x14ac:dyDescent="0.25">
      <c r="A301" s="5" t="str">
        <f>IF(TRIM(I301)="","",E301)</f>
        <v>GPSDestLongitudeRef</v>
      </c>
      <c r="B301" s="5" t="str">
        <f>IF(TRIM(J301)="","",H301)</f>
        <v>Indicates whether the longitude of the destination point is east or west longitude. ASCII "E" indicates east longitude, and "W" is west longitude.</v>
      </c>
      <c r="C301" s="5" t="str">
        <f>LEFT(F301,FIND(".",F301,6))</f>
        <v>Exif.GPSInfo.</v>
      </c>
      <c r="D301" s="5" t="str">
        <f>VLOOKUP(C301,PrefixUebersetzung,2,FALSE)</f>
        <v>Exif.GPSInfo.</v>
      </c>
      <c r="E301" s="5" t="str">
        <f>MID(F301,FIND(".",F301,6)+1,99)</f>
        <v>GPSDestLongitudeRef</v>
      </c>
      <c r="F301" s="5" t="s">
        <v>194</v>
      </c>
      <c r="G301" s="5" t="s">
        <v>9666</v>
      </c>
      <c r="H301" s="6" t="s">
        <v>2299</v>
      </c>
      <c r="I301" s="7" t="s">
        <v>5056</v>
      </c>
      <c r="J301" s="8" t="s">
        <v>3853</v>
      </c>
      <c r="K301" s="26"/>
      <c r="N301" s="6" t="str">
        <f>IF(AND(TRIM(I301)="",L301=""),"Suffix not translated ",
   IF(AND(TRIM(I301)&lt;&gt;"",TRIM(L301)&lt;&gt;"",TRIM(I301)&lt;&gt;TRIM(L301)),"Suffix translation &lt;&gt; lookup ", "" ))
&amp;IF(AND(TRIM(J301)="",M301=""),"Description not translated ",
   IF(AND(TRIM(J301)&lt;&gt;"",TRIM(M301)&lt;&gt;"",TRIM(J301)&lt;&gt;TRIM(M301)),"Description translation&lt;&gt; lookup ", "" ))</f>
        <v/>
      </c>
      <c r="O301" s="6" t="s">
        <v>8574</v>
      </c>
      <c r="P301" s="6" t="s">
        <v>8574</v>
      </c>
    </row>
    <row r="302" spans="1:17" ht="30" x14ac:dyDescent="0.25">
      <c r="A302" s="5" t="str">
        <f>IF(TRIM(I302)="","",E302)</f>
        <v>GPSDifferential</v>
      </c>
      <c r="B302" s="5" t="str">
        <f>IF(TRIM(J302)="","",H302)</f>
        <v>Indicates whether differential correction is applied to the GPS receiver.</v>
      </c>
      <c r="C302" s="5" t="str">
        <f>LEFT(F302,FIND(".",F302,6))</f>
        <v>Exif.GPSInfo.</v>
      </c>
      <c r="D302" s="5" t="str">
        <f>VLOOKUP(C302,PrefixUebersetzung,2,FALSE)</f>
        <v>Exif.GPSInfo.</v>
      </c>
      <c r="E302" s="5" t="str">
        <f>MID(F302,FIND(".",F302,6)+1,99)</f>
        <v>GPSDifferential</v>
      </c>
      <c r="F302" s="5" t="s">
        <v>195</v>
      </c>
      <c r="G302" s="5" t="s">
        <v>9664</v>
      </c>
      <c r="H302" s="6" t="s">
        <v>2300</v>
      </c>
      <c r="I302" s="7" t="s">
        <v>4226</v>
      </c>
      <c r="J302" s="8" t="s">
        <v>6618</v>
      </c>
      <c r="K302" s="26"/>
      <c r="L302" s="6" t="str">
        <f>IFERROR(VLOOKUP(E302,A:I,9, FALSE),"")</f>
        <v>GPS Differential</v>
      </c>
      <c r="N302" s="6" t="str">
        <f>IF(AND(TRIM(I302)="",L302=""),"Suffix not translated ",
   IF(AND(TRIM(I302)&lt;&gt;"",TRIM(L302)&lt;&gt;"",TRIM(I302)&lt;&gt;TRIM(L302)),"Suffix translation &lt;&gt; lookup ", "" ))
&amp;IF(AND(TRIM(J302)="",M302=""),"Description not translated ",
   IF(AND(TRIM(J302)&lt;&gt;"",TRIM(M302)&lt;&gt;"",TRIM(J302)&lt;&gt;TRIM(M302)),"Description translation&lt;&gt; lookup ", "" ))</f>
        <v/>
      </c>
      <c r="O302" s="6" t="s">
        <v>8574</v>
      </c>
      <c r="P302" s="6" t="s">
        <v>8574</v>
      </c>
    </row>
    <row r="303" spans="1:17" ht="60" x14ac:dyDescent="0.25">
      <c r="A303" s="5" t="str">
        <f>IF(TRIM(I303)="","",E303)</f>
        <v>GPSDOP</v>
      </c>
      <c r="B303" s="5" t="str">
        <f>IF(TRIM(J303)="","",H303)</f>
        <v>Indicates the GPS DOP (data degree of precision). An HDOP value is written during two-dimensional measurement, and PDOP during three-dimensional measurement.</v>
      </c>
      <c r="C303" s="5" t="str">
        <f>LEFT(F303,FIND(".",F303,6))</f>
        <v>Exif.GPSInfo.</v>
      </c>
      <c r="D303" s="5" t="str">
        <f>VLOOKUP(C303,PrefixUebersetzung,2,FALSE)</f>
        <v>Exif.GPSInfo.</v>
      </c>
      <c r="E303" s="5" t="str">
        <f>MID(F303,FIND(".",F303,6)+1,99)</f>
        <v>GPSDOP</v>
      </c>
      <c r="F303" s="5" t="s">
        <v>196</v>
      </c>
      <c r="G303" s="5" t="s">
        <v>9671</v>
      </c>
      <c r="H303" s="6" t="s">
        <v>2301</v>
      </c>
      <c r="I303" s="7" t="s">
        <v>4227</v>
      </c>
      <c r="J303" s="8" t="s">
        <v>3854</v>
      </c>
      <c r="K303" s="26"/>
      <c r="L303" s="6" t="str">
        <f>IFERROR(VLOOKUP(E303,A:I,9, FALSE),"")</f>
        <v>GPS Datengenauigkeit</v>
      </c>
      <c r="N303" s="6" t="str">
        <f>IF(AND(TRIM(I303)="",L303=""),"Suffix not translated ",
   IF(AND(TRIM(I303)&lt;&gt;"",TRIM(L303)&lt;&gt;"",TRIM(I303)&lt;&gt;TRIM(L303)),"Suffix translation &lt;&gt; lookup ", "" ))
&amp;IF(AND(TRIM(J303)="",M303=""),"Description not translated ",
   IF(AND(TRIM(J303)&lt;&gt;"",TRIM(M303)&lt;&gt;"",TRIM(J303)&lt;&gt;TRIM(M303)),"Description translation&lt;&gt; lookup ", "" ))</f>
        <v/>
      </c>
      <c r="O303" s="6" t="s">
        <v>8574</v>
      </c>
      <c r="P303" s="6" t="s">
        <v>8574</v>
      </c>
    </row>
    <row r="304" spans="1:17" ht="45" x14ac:dyDescent="0.25">
      <c r="A304" s="5" t="str">
        <f>IF(TRIM(I304)="","",E304)</f>
        <v>GPSImgDirection</v>
      </c>
      <c r="B304" s="5" t="str">
        <f>IF(TRIM(J304)="","",H304)</f>
        <v>Indicates the direction of the image when it was captured. The range of values is from 0.00 to 359.99.</v>
      </c>
      <c r="C304" s="5" t="str">
        <f>LEFT(F304,FIND(".",F304,6))</f>
        <v>Exif.GPSInfo.</v>
      </c>
      <c r="D304" s="5" t="str">
        <f>VLOOKUP(C304,PrefixUebersetzung,2,FALSE)</f>
        <v>Exif.GPSInfo.</v>
      </c>
      <c r="E304" s="5" t="str">
        <f>MID(F304,FIND(".",F304,6)+1,99)</f>
        <v>GPSImgDirection</v>
      </c>
      <c r="F304" s="5" t="s">
        <v>197</v>
      </c>
      <c r="G304" s="5" t="s">
        <v>9671</v>
      </c>
      <c r="H304" s="6" t="s">
        <v>2302</v>
      </c>
      <c r="I304" s="7" t="s">
        <v>4228</v>
      </c>
      <c r="J304" s="8" t="s">
        <v>3855</v>
      </c>
      <c r="K304" s="26"/>
      <c r="L304" s="6" t="str">
        <f>IFERROR(VLOOKUP(E304,A:I,9, FALSE),"")</f>
        <v>GPS Bildrichtung</v>
      </c>
      <c r="N304" s="6" t="str">
        <f>IF(AND(TRIM(I304)="",L304=""),"Suffix not translated ",
   IF(AND(TRIM(I304)&lt;&gt;"",TRIM(L304)&lt;&gt;"",TRIM(I304)&lt;&gt;TRIM(L304)),"Suffix translation &lt;&gt; lookup ", "" ))
&amp;IF(AND(TRIM(J304)="",M304=""),"Description not translated ",
   IF(AND(TRIM(J304)&lt;&gt;"",TRIM(M304)&lt;&gt;"",TRIM(J304)&lt;&gt;TRIM(M304)),"Description translation&lt;&gt; lookup ", "" ))</f>
        <v/>
      </c>
      <c r="O304" s="6" t="s">
        <v>8574</v>
      </c>
      <c r="P304" s="6" t="s">
        <v>8574</v>
      </c>
    </row>
    <row r="305" spans="1:17" ht="45" x14ac:dyDescent="0.25">
      <c r="A305" s="5" t="str">
        <f>IF(TRIM(I305)="","",E305)</f>
        <v>GPSImgDirectionRef</v>
      </c>
      <c r="B305" s="5" t="str">
        <f>IF(TRIM(J305)="","",H305)</f>
        <v>Indicates the reference for giving the direction of the image when it is captured. "T" denotes true direction and "M" is magnetic direction.</v>
      </c>
      <c r="C305" s="5" t="str">
        <f>LEFT(F305,FIND(".",F305,6))</f>
        <v>Exif.GPSInfo.</v>
      </c>
      <c r="D305" s="5" t="str">
        <f>VLOOKUP(C305,PrefixUebersetzung,2,FALSE)</f>
        <v>Exif.GPSInfo.</v>
      </c>
      <c r="E305" s="5" t="str">
        <f>MID(F305,FIND(".",F305,6)+1,99)</f>
        <v>GPSImgDirectionRef</v>
      </c>
      <c r="F305" s="5" t="s">
        <v>198</v>
      </c>
      <c r="G305" s="5" t="s">
        <v>9666</v>
      </c>
      <c r="H305" s="6" t="s">
        <v>2303</v>
      </c>
      <c r="I305" s="7" t="s">
        <v>4977</v>
      </c>
      <c r="J305" s="8" t="s">
        <v>3856</v>
      </c>
      <c r="K305" s="26"/>
      <c r="L305" s="6" t="str">
        <f>IFERROR(VLOOKUP(E305,A:I,9, FALSE),"")</f>
        <v>GPS Bildrichtung Referenz</v>
      </c>
      <c r="N305" s="6" t="str">
        <f>IF(AND(TRIM(I305)="",L305=""),"Suffix not translated ",
   IF(AND(TRIM(I305)&lt;&gt;"",TRIM(L305)&lt;&gt;"",TRIM(I305)&lt;&gt;TRIM(L305)),"Suffix translation &lt;&gt; lookup ", "" ))
&amp;IF(AND(TRIM(J305)="",M305=""),"Description not translated ",
   IF(AND(TRIM(J305)&lt;&gt;"",TRIM(M305)&lt;&gt;"",TRIM(J305)&lt;&gt;TRIM(M305)),"Description translation&lt;&gt; lookup ", "" ))</f>
        <v/>
      </c>
      <c r="O305" s="6" t="s">
        <v>8574</v>
      </c>
      <c r="P305" s="6" t="s">
        <v>8574</v>
      </c>
    </row>
    <row r="306" spans="1:17" ht="120" x14ac:dyDescent="0.25">
      <c r="A306" s="5" t="str">
        <f>IF(TRIM(I306)="","",E306)</f>
        <v>GPSLatitude</v>
      </c>
      <c r="B306" s="5" t="str">
        <f>IF(TRIM(J306)="","",H306)</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306" s="5" t="str">
        <f>LEFT(F306,FIND(".",F306,6))</f>
        <v>Exif.GPSInfo.</v>
      </c>
      <c r="D306" s="5" t="str">
        <f>VLOOKUP(C306,PrefixUebersetzung,2,FALSE)</f>
        <v>Exif.GPSInfo.</v>
      </c>
      <c r="E306" s="5" t="str">
        <f>MID(F306,FIND(".",F306,6)+1,99)</f>
        <v>GPSLatitude</v>
      </c>
      <c r="F306" s="5" t="s">
        <v>199</v>
      </c>
      <c r="G306" s="5" t="s">
        <v>9671</v>
      </c>
      <c r="H306" s="6" t="s">
        <v>2304</v>
      </c>
      <c r="I306" s="7" t="s">
        <v>4229</v>
      </c>
      <c r="J306" s="8" t="s">
        <v>6619</v>
      </c>
      <c r="K306" s="26"/>
      <c r="L306" s="6" t="str">
        <f>IFERROR(VLOOKUP(E306,A:I,9, FALSE),"")</f>
        <v>GPS Breite</v>
      </c>
      <c r="N306" s="6" t="str">
        <f>IF(AND(TRIM(I306)="",L306=""),"Suffix not translated ",
   IF(AND(TRIM(I306)&lt;&gt;"",TRIM(L306)&lt;&gt;"",TRIM(I306)&lt;&gt;TRIM(L306)),"Suffix translation &lt;&gt; lookup ", "" ))
&amp;IF(AND(TRIM(J306)="",M306=""),"Description not translated ",
   IF(AND(TRIM(J306)&lt;&gt;"",TRIM(M306)&lt;&gt;"",TRIM(J306)&lt;&gt;TRIM(M306)),"Description translation&lt;&gt; lookup ", "" ))</f>
        <v/>
      </c>
      <c r="O306" s="6" t="s">
        <v>8574</v>
      </c>
      <c r="P306" s="6" t="s">
        <v>8574</v>
      </c>
    </row>
    <row r="307" spans="1:17" ht="45" x14ac:dyDescent="0.25">
      <c r="A307" s="5" t="str">
        <f>IF(TRIM(I307)="","",E307)</f>
        <v>GPSLatitudeRef</v>
      </c>
      <c r="B307" s="5" t="str">
        <f>IF(TRIM(J307)="","",H307)</f>
        <v>Indicates whether the latitude is north or south latitude. The ASCII value 'N' indicates north latitude, and 'S' is south latitude.</v>
      </c>
      <c r="C307" s="5" t="str">
        <f>LEFT(F307,FIND(".",F307,6))</f>
        <v>Exif.GPSInfo.</v>
      </c>
      <c r="D307" s="5" t="str">
        <f>VLOOKUP(C307,PrefixUebersetzung,2,FALSE)</f>
        <v>Exif.GPSInfo.</v>
      </c>
      <c r="E307" s="5" t="str">
        <f>MID(F307,FIND(".",F307,6)+1,99)</f>
        <v>GPSLatitudeRef</v>
      </c>
      <c r="F307" s="5" t="s">
        <v>200</v>
      </c>
      <c r="G307" s="5" t="s">
        <v>9666</v>
      </c>
      <c r="H307" s="6" t="s">
        <v>2305</v>
      </c>
      <c r="I307" s="7" t="s">
        <v>5057</v>
      </c>
      <c r="J307" s="8" t="s">
        <v>3857</v>
      </c>
      <c r="K307" s="26"/>
      <c r="N307" s="6" t="str">
        <f>IF(AND(TRIM(I307)="",L307=""),"Suffix not translated ",
   IF(AND(TRIM(I307)&lt;&gt;"",TRIM(L307)&lt;&gt;"",TRIM(I307)&lt;&gt;TRIM(L307)),"Suffix translation &lt;&gt; lookup ", "" ))
&amp;IF(AND(TRIM(J307)="",M307=""),"Description not translated ",
   IF(AND(TRIM(J307)&lt;&gt;"",TRIM(M307)&lt;&gt;"",TRIM(J307)&lt;&gt;TRIM(M307)),"Description translation&lt;&gt; lookup ", "" ))</f>
        <v/>
      </c>
      <c r="O307" s="6" t="s">
        <v>8574</v>
      </c>
      <c r="P307" s="6" t="s">
        <v>8574</v>
      </c>
    </row>
    <row r="308" spans="1:17" ht="120" x14ac:dyDescent="0.25">
      <c r="A308" s="5" t="str">
        <f>IF(TRIM(I308)="","",E308)</f>
        <v>GPSLongitude</v>
      </c>
      <c r="B308" s="5" t="str">
        <f>IF(TRIM(J308)="","",H308)</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308" s="5" t="str">
        <f>LEFT(F308,FIND(".",F308,6))</f>
        <v>Exif.GPSInfo.</v>
      </c>
      <c r="D308" s="5" t="str">
        <f>VLOOKUP(C308,PrefixUebersetzung,2,FALSE)</f>
        <v>Exif.GPSInfo.</v>
      </c>
      <c r="E308" s="5" t="str">
        <f>MID(F308,FIND(".",F308,6)+1,99)</f>
        <v>GPSLongitude</v>
      </c>
      <c r="F308" s="5" t="s">
        <v>201</v>
      </c>
      <c r="G308" s="5" t="s">
        <v>9671</v>
      </c>
      <c r="H308" s="6" t="s">
        <v>2306</v>
      </c>
      <c r="I308" s="7" t="s">
        <v>4230</v>
      </c>
      <c r="J308" s="8" t="s">
        <v>6622</v>
      </c>
      <c r="K308" s="26"/>
      <c r="L308" s="6" t="str">
        <f>IFERROR(VLOOKUP(E308,A:I,9, FALSE),"")</f>
        <v>GPS Länge</v>
      </c>
      <c r="N308" s="6" t="str">
        <f>IF(AND(TRIM(I308)="",L308=""),"Suffix not translated ",
   IF(AND(TRIM(I308)&lt;&gt;"",TRIM(L308)&lt;&gt;"",TRIM(I308)&lt;&gt;TRIM(L308)),"Suffix translation &lt;&gt; lookup ", "" ))
&amp;IF(AND(TRIM(J308)="",M308=""),"Description not translated ",
   IF(AND(TRIM(J308)&lt;&gt;"",TRIM(M308)&lt;&gt;"",TRIM(J308)&lt;&gt;TRIM(M308)),"Description translation&lt;&gt; lookup ", "" ))</f>
        <v/>
      </c>
      <c r="O308" s="6" t="s">
        <v>8574</v>
      </c>
      <c r="P308" s="6" t="s">
        <v>8574</v>
      </c>
    </row>
    <row r="309" spans="1:17" ht="45" x14ac:dyDescent="0.25">
      <c r="A309" s="5" t="str">
        <f>IF(TRIM(I309)="","",E309)</f>
        <v>GPSLongitudeRef</v>
      </c>
      <c r="B309" s="5" t="str">
        <f>IF(TRIM(J309)="","",H309)</f>
        <v>Indicates whether the longitude is east or west longitude. ASCII 'E' indicates east longitude, and 'W' is west longitude.</v>
      </c>
      <c r="C309" s="5" t="str">
        <f>LEFT(F309,FIND(".",F309,6))</f>
        <v>Exif.GPSInfo.</v>
      </c>
      <c r="D309" s="5" t="str">
        <f>VLOOKUP(C309,PrefixUebersetzung,2,FALSE)</f>
        <v>Exif.GPSInfo.</v>
      </c>
      <c r="E309" s="5" t="str">
        <f>MID(F309,FIND(".",F309,6)+1,99)</f>
        <v>GPSLongitudeRef</v>
      </c>
      <c r="F309" s="5" t="s">
        <v>202</v>
      </c>
      <c r="G309" s="5" t="s">
        <v>9666</v>
      </c>
      <c r="H309" s="6" t="s">
        <v>2307</v>
      </c>
      <c r="I309" s="7" t="s">
        <v>5058</v>
      </c>
      <c r="J309" s="8" t="s">
        <v>3858</v>
      </c>
      <c r="K309" s="26"/>
      <c r="N309" s="6" t="str">
        <f>IF(AND(TRIM(I309)="",L309=""),"Suffix not translated ",
   IF(AND(TRIM(I309)&lt;&gt;"",TRIM(L309)&lt;&gt;"",TRIM(I309)&lt;&gt;TRIM(L309)),"Suffix translation &lt;&gt; lookup ", "" ))
&amp;IF(AND(TRIM(J309)="",M309=""),"Description not translated ",
   IF(AND(TRIM(J309)&lt;&gt;"",TRIM(M309)&lt;&gt;"",TRIM(J309)&lt;&gt;TRIM(M309)),"Description translation&lt;&gt; lookup ", "" ))</f>
        <v/>
      </c>
      <c r="O309" s="6" t="s">
        <v>8574</v>
      </c>
      <c r="P309" s="6" t="s">
        <v>8574</v>
      </c>
    </row>
    <row r="310" spans="1:17" ht="60" x14ac:dyDescent="0.25">
      <c r="A310" s="5" t="str">
        <f>IF(TRIM(I310)="","",E310)</f>
        <v>GPSMapDatum</v>
      </c>
      <c r="B310" s="5" t="str">
        <f>IF(TRIM(J310)="","",H310)</f>
        <v>Indicates the geodetic survey data used by the GPS receiver. If the survey data is restricted to Japan, the value of this tag is "TOKYO" or "WGS-84".</v>
      </c>
      <c r="C310" s="5" t="str">
        <f>LEFT(F310,FIND(".",F310,6))</f>
        <v>Exif.GPSInfo.</v>
      </c>
      <c r="D310" s="5" t="str">
        <f>VLOOKUP(C310,PrefixUebersetzung,2,FALSE)</f>
        <v>Exif.GPSInfo.</v>
      </c>
      <c r="E310" s="5" t="str">
        <f>MID(F310,FIND(".",F310,6)+1,99)</f>
        <v>GPSMapDatum</v>
      </c>
      <c r="F310" s="5" t="s">
        <v>203</v>
      </c>
      <c r="G310" s="5" t="s">
        <v>9666</v>
      </c>
      <c r="H310" s="6" t="s">
        <v>2308</v>
      </c>
      <c r="I310" s="7" t="s">
        <v>4231</v>
      </c>
      <c r="J310" s="8" t="s">
        <v>3859</v>
      </c>
      <c r="K310" s="26"/>
      <c r="L310" s="6" t="str">
        <f>IFERROR(VLOOKUP(E310,A:I,9, FALSE),"")</f>
        <v>GPS Vermessungsdaten</v>
      </c>
      <c r="N310" s="6" t="str">
        <f>IF(AND(TRIM(I310)="",L310=""),"Suffix not translated ",
   IF(AND(TRIM(I310)&lt;&gt;"",TRIM(L310)&lt;&gt;"",TRIM(I310)&lt;&gt;TRIM(L310)),"Suffix translation &lt;&gt; lookup ", "" ))
&amp;IF(AND(TRIM(J310)="",M310=""),"Description not translated ",
   IF(AND(TRIM(J310)&lt;&gt;"",TRIM(M310)&lt;&gt;"",TRIM(J310)&lt;&gt;TRIM(M310)),"Description translation&lt;&gt; lookup ", "" ))</f>
        <v/>
      </c>
      <c r="O310" s="6" t="s">
        <v>8574</v>
      </c>
      <c r="P310" s="6" t="s">
        <v>8574</v>
      </c>
    </row>
    <row r="311" spans="1:17" ht="45" x14ac:dyDescent="0.25">
      <c r="A311" s="5" t="str">
        <f>IF(TRIM(I311)="","",E311)</f>
        <v>GPSMeasureMode</v>
      </c>
      <c r="B311" s="5" t="str">
        <f>IF(TRIM(J311)="","",H311)</f>
        <v>Indicates the GPS measurement mode. "2" means two-dimensional measurement and "3" means three-dimensional measurement is in progress.</v>
      </c>
      <c r="C311" s="5" t="str">
        <f>LEFT(F311,FIND(".",F311,6))</f>
        <v>Exif.GPSInfo.</v>
      </c>
      <c r="D311" s="5" t="str">
        <f>VLOOKUP(C311,PrefixUebersetzung,2,FALSE)</f>
        <v>Exif.GPSInfo.</v>
      </c>
      <c r="E311" s="5" t="str">
        <f>MID(F311,FIND(".",F311,6)+1,99)</f>
        <v>GPSMeasureMode</v>
      </c>
      <c r="F311" s="5" t="s">
        <v>204</v>
      </c>
      <c r="G311" s="5" t="s">
        <v>9666</v>
      </c>
      <c r="H311" s="6" t="s">
        <v>2309</v>
      </c>
      <c r="I311" s="7" t="s">
        <v>4534</v>
      </c>
      <c r="J311" s="8" t="s">
        <v>3860</v>
      </c>
      <c r="K311" s="26"/>
      <c r="L311" s="6" t="str">
        <f>IFERROR(VLOOKUP(E311,A:I,9, FALSE),"")</f>
        <v>GPS Messmethode</v>
      </c>
      <c r="N311" s="6" t="str">
        <f>IF(AND(TRIM(I311)="",L311=""),"Suffix not translated ",
   IF(AND(TRIM(I311)&lt;&gt;"",TRIM(L311)&lt;&gt;"",TRIM(I311)&lt;&gt;TRIM(L311)),"Suffix translation &lt;&gt; lookup ", "" ))
&amp;IF(AND(TRIM(J311)="",M311=""),"Description not translated ",
   IF(AND(TRIM(J311)&lt;&gt;"",TRIM(M311)&lt;&gt;"",TRIM(J311)&lt;&gt;TRIM(M311)),"Description translation&lt;&gt; lookup ", "" ))</f>
        <v/>
      </c>
      <c r="O311" s="6" t="s">
        <v>8574</v>
      </c>
      <c r="P311" s="6" t="s">
        <v>8574</v>
      </c>
    </row>
    <row r="312" spans="1:17" ht="45" x14ac:dyDescent="0.25">
      <c r="A312" s="5" t="str">
        <f>IF(TRIM(I312)="","",E312)</f>
        <v>GPSProcessingMethod</v>
      </c>
      <c r="B312" s="5" t="str">
        <f>IF(TRIM(J312)="","",H312)</f>
        <v>A character string recording the name of the method used for location finding. The string encoding is defined using the same scheme as UserComment.</v>
      </c>
      <c r="C312" s="5" t="str">
        <f>LEFT(F312,FIND(".",F312,6))</f>
        <v>Exif.GPSInfo.</v>
      </c>
      <c r="D312" s="5" t="str">
        <f>VLOOKUP(C312,PrefixUebersetzung,2,FALSE)</f>
        <v>Exif.GPSInfo.</v>
      </c>
      <c r="E312" s="5" t="str">
        <f>MID(F312,FIND(".",F312,6)+1,99)</f>
        <v>GPSProcessingMethod</v>
      </c>
      <c r="F312" s="5" t="s">
        <v>205</v>
      </c>
      <c r="G312" s="5" t="s">
        <v>9673</v>
      </c>
      <c r="H312" s="6" t="s">
        <v>9616</v>
      </c>
      <c r="I312" s="7" t="s">
        <v>4232</v>
      </c>
      <c r="J312" s="8" t="s">
        <v>9617</v>
      </c>
      <c r="K312" s="26"/>
      <c r="L312" s="6" t="str">
        <f>IFERROR(VLOOKUP(E312,A:I,9, FALSE),"")</f>
        <v>GPS Ortungsmethode</v>
      </c>
      <c r="N312" s="6" t="str">
        <f>IF(AND(TRIM(I312)="",L312=""),"Suffix not translated ",
   IF(AND(TRIM(I312)&lt;&gt;"",TRIM(L312)&lt;&gt;"",TRIM(I312)&lt;&gt;TRIM(L312)),"Suffix translation &lt;&gt; lookup ", "" ))
&amp;IF(AND(TRIM(J312)="",M312=""),"Description not translated ",
   IF(AND(TRIM(J312)&lt;&gt;"",TRIM(M312)&lt;&gt;"",TRIM(J312)&lt;&gt;TRIM(M312)),"Description translation&lt;&gt; lookup ", "" ))</f>
        <v/>
      </c>
      <c r="O312" s="6" t="s">
        <v>8574</v>
      </c>
      <c r="P312" s="6" t="s">
        <v>8574</v>
      </c>
    </row>
    <row r="313" spans="1:17" ht="120" x14ac:dyDescent="0.25">
      <c r="A313" s="5" t="str">
        <f>IF(TRIM(I313)="","",E313)</f>
        <v>GPSSatellites</v>
      </c>
      <c r="B313" s="5" t="str">
        <f>IF(TRIM(J313)="","",H313)</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313" s="5" t="str">
        <f>LEFT(F313,FIND(".",F313,6))</f>
        <v>Exif.GPSInfo.</v>
      </c>
      <c r="D313" s="5" t="str">
        <f>VLOOKUP(C313,PrefixUebersetzung,2,FALSE)</f>
        <v>Exif.GPSInfo.</v>
      </c>
      <c r="E313" s="5" t="str">
        <f>MID(F313,FIND(".",F313,6)+1,99)</f>
        <v>GPSSatellites</v>
      </c>
      <c r="F313" s="5" t="s">
        <v>206</v>
      </c>
      <c r="G313" s="5" t="s">
        <v>9666</v>
      </c>
      <c r="H313" s="6" t="s">
        <v>2310</v>
      </c>
      <c r="I313" s="7" t="s">
        <v>4233</v>
      </c>
      <c r="J313" s="14" t="s">
        <v>3861</v>
      </c>
      <c r="K313" s="26"/>
      <c r="L313" s="6" t="str">
        <f>IFERROR(VLOOKUP(E313,A:I,9, FALSE),"")</f>
        <v>GPS Satelliten</v>
      </c>
      <c r="N313" s="6" t="str">
        <f>IF(AND(TRIM(I313)="",L313=""),"Suffix not translated ",
   IF(AND(TRIM(I313)&lt;&gt;"",TRIM(L313)&lt;&gt;"",TRIM(I313)&lt;&gt;TRIM(L313)),"Suffix translation &lt;&gt; lookup ", "" ))
&amp;IF(AND(TRIM(J313)="",M313=""),"Description not translated ",
   IF(AND(TRIM(J313)&lt;&gt;"",TRIM(M313)&lt;&gt;"",TRIM(J313)&lt;&gt;TRIM(M313)),"Description translation&lt;&gt; lookup ", "" ))</f>
        <v/>
      </c>
      <c r="O313" s="6" t="s">
        <v>8574</v>
      </c>
      <c r="P313" s="6" t="s">
        <v>8574</v>
      </c>
    </row>
    <row r="314" spans="1:17" ht="30" x14ac:dyDescent="0.25">
      <c r="A314" s="5" t="str">
        <f>IF(TRIM(I314)="","",E314)</f>
        <v>GPSSpeed</v>
      </c>
      <c r="B314" s="5" t="str">
        <f>IF(TRIM(J314)="","",H314)</f>
        <v>Indicates the speed of GPS receiver movement.</v>
      </c>
      <c r="C314" s="5" t="str">
        <f>LEFT(F314,FIND(".",F314,6))</f>
        <v>Exif.GPSInfo.</v>
      </c>
      <c r="D314" s="5" t="str">
        <f>VLOOKUP(C314,PrefixUebersetzung,2,FALSE)</f>
        <v>Exif.GPSInfo.</v>
      </c>
      <c r="E314" s="5" t="str">
        <f>MID(F314,FIND(".",F314,6)+1,99)</f>
        <v>GPSSpeed</v>
      </c>
      <c r="F314" s="5" t="s">
        <v>207</v>
      </c>
      <c r="G314" s="5" t="s">
        <v>9671</v>
      </c>
      <c r="H314" s="6" t="s">
        <v>2311</v>
      </c>
      <c r="I314" s="7" t="s">
        <v>4234</v>
      </c>
      <c r="J314" s="8" t="s">
        <v>3862</v>
      </c>
      <c r="K314" s="26"/>
      <c r="L314" s="6" t="str">
        <f>IFERROR(VLOOKUP(E314,A:I,9, FALSE),"")</f>
        <v>GPS Geschwindigkeit</v>
      </c>
      <c r="N314" s="6" t="str">
        <f>IF(AND(TRIM(I314)="",L314=""),"Suffix not translated ",
   IF(AND(TRIM(I314)&lt;&gt;"",TRIM(L314)&lt;&gt;"",TRIM(I314)&lt;&gt;TRIM(L314)),"Suffix translation &lt;&gt; lookup ", "" ))
&amp;IF(AND(TRIM(J314)="",M314=""),"Description not translated ",
   IF(AND(TRIM(J314)&lt;&gt;"",TRIM(M314)&lt;&gt;"",TRIM(J314)&lt;&gt;TRIM(M314)),"Description translation&lt;&gt; lookup ", "" ))</f>
        <v/>
      </c>
      <c r="O314" s="6" t="s">
        <v>8574</v>
      </c>
      <c r="P314" s="6" t="s">
        <v>8574</v>
      </c>
      <c r="Q314" s="6" t="s">
        <v>9375</v>
      </c>
    </row>
    <row r="315" spans="1:17" ht="60" x14ac:dyDescent="0.25">
      <c r="A315" s="5" t="str">
        <f>IF(TRIM(I315)="","",E315)</f>
        <v>GPSSpeedRef</v>
      </c>
      <c r="B315" s="5" t="str">
        <f>IF(TRIM(J315)="","",H315)</f>
        <v>Indicates the unit used to express the GPS receiver speed of movement. "K" "M" and "N" represents kilometers per hour, miles per hour, and knots.</v>
      </c>
      <c r="C315" s="5" t="str">
        <f>LEFT(F315,FIND(".",F315,6))</f>
        <v>Exif.GPSInfo.</v>
      </c>
      <c r="D315" s="5" t="str">
        <f>VLOOKUP(C315,PrefixUebersetzung,2,FALSE)</f>
        <v>Exif.GPSInfo.</v>
      </c>
      <c r="E315" s="5" t="str">
        <f>MID(F315,FIND(".",F315,6)+1,99)</f>
        <v>GPSSpeedRef</v>
      </c>
      <c r="F315" s="5" t="s">
        <v>208</v>
      </c>
      <c r="G315" s="5" t="s">
        <v>9666</v>
      </c>
      <c r="H315" s="6" t="s">
        <v>2312</v>
      </c>
      <c r="I315" s="7" t="s">
        <v>5059</v>
      </c>
      <c r="J315" s="8" t="s">
        <v>3863</v>
      </c>
      <c r="K315" s="26"/>
      <c r="L315" s="6" t="str">
        <f>IFERROR(VLOOKUP(E315,A:I,9, FALSE),"")</f>
        <v>GPS Geschwindigkeit Referenz</v>
      </c>
      <c r="N315" s="6" t="str">
        <f>IF(AND(TRIM(I315)="",L315=""),"Suffix not translated ",
   IF(AND(TRIM(I315)&lt;&gt;"",TRIM(L315)&lt;&gt;"",TRIM(I315)&lt;&gt;TRIM(L315)),"Suffix translation &lt;&gt; lookup ", "" ))
&amp;IF(AND(TRIM(J315)="",M315=""),"Description not translated ",
   IF(AND(TRIM(J315)&lt;&gt;"",TRIM(M315)&lt;&gt;"",TRIM(J315)&lt;&gt;TRIM(M315)),"Description translation&lt;&gt; lookup ", "" ))</f>
        <v/>
      </c>
      <c r="O315" s="6" t="s">
        <v>8574</v>
      </c>
      <c r="P315" s="6" t="s">
        <v>8574</v>
      </c>
    </row>
    <row r="316" spans="1:17" ht="60" x14ac:dyDescent="0.25">
      <c r="A316" s="5" t="str">
        <f>IF(TRIM(I316)="","",E316)</f>
        <v>GPSStatus</v>
      </c>
      <c r="B316" s="5" t="str">
        <f>IF(TRIM(J316)="","",H316)</f>
        <v>Indicates the status of the GPS receiver when the image is recorded. "A" means measurement is in progress, and "V" means the measurement is Interoperability.</v>
      </c>
      <c r="C316" s="5" t="str">
        <f>LEFT(F316,FIND(".",F316,6))</f>
        <v>Exif.GPSInfo.</v>
      </c>
      <c r="D316" s="5" t="str">
        <f>VLOOKUP(C316,PrefixUebersetzung,2,FALSE)</f>
        <v>Exif.GPSInfo.</v>
      </c>
      <c r="E316" s="5" t="str">
        <f>MID(F316,FIND(".",F316,6)+1,99)</f>
        <v>GPSStatus</v>
      </c>
      <c r="F316" s="5" t="s">
        <v>209</v>
      </c>
      <c r="G316" s="5" t="s">
        <v>9666</v>
      </c>
      <c r="H316" s="6" t="s">
        <v>2313</v>
      </c>
      <c r="I316" s="7" t="s">
        <v>4235</v>
      </c>
      <c r="J316" s="8" t="s">
        <v>3864</v>
      </c>
      <c r="K316" s="26"/>
      <c r="L316" s="6" t="str">
        <f>IFERROR(VLOOKUP(E316,A:I,9, FALSE),"")</f>
        <v>GPS Status</v>
      </c>
      <c r="N316" s="6" t="str">
        <f>IF(AND(TRIM(I316)="",L316=""),"Suffix not translated ",
   IF(AND(TRIM(I316)&lt;&gt;"",TRIM(L316)&lt;&gt;"",TRIM(I316)&lt;&gt;TRIM(L316)),"Suffix translation &lt;&gt; lookup ", "" ))
&amp;IF(AND(TRIM(J316)="",M316=""),"Description not translated ",
   IF(AND(TRIM(J316)&lt;&gt;"",TRIM(M316)&lt;&gt;"",TRIM(J316)&lt;&gt;TRIM(M316)),"Description translation&lt;&gt; lookup ", "" ))</f>
        <v/>
      </c>
      <c r="O316" s="6" t="s">
        <v>8574</v>
      </c>
      <c r="P316" s="6" t="s">
        <v>8574</v>
      </c>
    </row>
    <row r="317" spans="1:17" ht="60" x14ac:dyDescent="0.25">
      <c r="A317" s="5" t="str">
        <f>IF(TRIM(I317)="","",E317)</f>
        <v>GPSTimeStamp</v>
      </c>
      <c r="B317" s="5" t="str">
        <f>IF(TRIM(J317)="","",H317)</f>
        <v>Indicates the time as UTC (Coordinated Universal Time). &lt;TimeStamp&gt; is expressed as three RATIONAL values giving the hour, minute, and second (atomic clock).</v>
      </c>
      <c r="C317" s="5" t="str">
        <f>LEFT(F317,FIND(".",F317,6))</f>
        <v>Exif.GPSInfo.</v>
      </c>
      <c r="D317" s="5" t="str">
        <f>VLOOKUP(C317,PrefixUebersetzung,2,FALSE)</f>
        <v>Exif.GPSInfo.</v>
      </c>
      <c r="E317" s="5" t="str">
        <f>MID(F317,FIND(".",F317,6)+1,99)</f>
        <v>GPSTimeStamp</v>
      </c>
      <c r="F317" s="5" t="s">
        <v>210</v>
      </c>
      <c r="G317" s="5" t="s">
        <v>9671</v>
      </c>
      <c r="H317" s="6" t="s">
        <v>2314</v>
      </c>
      <c r="I317" s="7" t="s">
        <v>4236</v>
      </c>
      <c r="J317" s="8" t="s">
        <v>3865</v>
      </c>
      <c r="K317" s="26"/>
      <c r="L317" s="6" t="str">
        <f>IFERROR(VLOOKUP(E317,A:I,9, FALSE),"")</f>
        <v>GPS Zeit</v>
      </c>
      <c r="N317" s="6" t="str">
        <f>IF(AND(TRIM(I317)="",L317=""),"Suffix not translated ",
   IF(AND(TRIM(I317)&lt;&gt;"",TRIM(L317)&lt;&gt;"",TRIM(I317)&lt;&gt;TRIM(L317)),"Suffix translation &lt;&gt; lookup ", "" ))
&amp;IF(AND(TRIM(J317)="",M317=""),"Description not translated ",
   IF(AND(TRIM(J317)&lt;&gt;"",TRIM(M317)&lt;&gt;"",TRIM(J317)&lt;&gt;TRIM(M317)),"Description translation&lt;&gt; lookup ", "" ))</f>
        <v/>
      </c>
      <c r="O317" s="6" t="s">
        <v>8574</v>
      </c>
      <c r="P317" s="6" t="s">
        <v>8574</v>
      </c>
    </row>
    <row r="318" spans="1:17" ht="30" x14ac:dyDescent="0.25">
      <c r="A318" s="5" t="str">
        <f>IF(TRIM(I318)="","",E318)</f>
        <v>GPSTrack</v>
      </c>
      <c r="B318" s="5" t="str">
        <f>IF(TRIM(J318)="","",H318)</f>
        <v>Indicates the direction of GPS receiver movement. The range of values is from 0.00 to 359.99.</v>
      </c>
      <c r="C318" s="5" t="str">
        <f>LEFT(F318,FIND(".",F318,6))</f>
        <v>Exif.GPSInfo.</v>
      </c>
      <c r="D318" s="5" t="str">
        <f>VLOOKUP(C318,PrefixUebersetzung,2,FALSE)</f>
        <v>Exif.GPSInfo.</v>
      </c>
      <c r="E318" s="5" t="str">
        <f>MID(F318,FIND(".",F318,6)+1,99)</f>
        <v>GPSTrack</v>
      </c>
      <c r="F318" s="5" t="s">
        <v>211</v>
      </c>
      <c r="G318" s="5" t="s">
        <v>9671</v>
      </c>
      <c r="H318" s="6" t="s">
        <v>2315</v>
      </c>
      <c r="I318" s="7" t="s">
        <v>4237</v>
      </c>
      <c r="J318" s="14" t="s">
        <v>3866</v>
      </c>
      <c r="K318" s="26"/>
      <c r="L318" s="6" t="str">
        <f>IFERROR(VLOOKUP(E318,A:I,9, FALSE),"")</f>
        <v>GPS Richtung der Bewegung</v>
      </c>
      <c r="N318" s="6" t="str">
        <f>IF(AND(TRIM(I318)="",L318=""),"Suffix not translated ",
   IF(AND(TRIM(I318)&lt;&gt;"",TRIM(L318)&lt;&gt;"",TRIM(I318)&lt;&gt;TRIM(L318)),"Suffix translation &lt;&gt; lookup ", "" ))
&amp;IF(AND(TRIM(J318)="",M318=""),"Description not translated ",
   IF(AND(TRIM(J318)&lt;&gt;"",TRIM(M318)&lt;&gt;"",TRIM(J318)&lt;&gt;TRIM(M318)),"Description translation&lt;&gt; lookup ", "" ))</f>
        <v/>
      </c>
      <c r="O318" s="6" t="s">
        <v>8574</v>
      </c>
      <c r="P318" s="6" t="s">
        <v>8574</v>
      </c>
    </row>
    <row r="319" spans="1:17" ht="45" x14ac:dyDescent="0.25">
      <c r="A319" s="5" t="str">
        <f>IF(TRIM(I319)="","",E319)</f>
        <v>GPSTrackRef</v>
      </c>
      <c r="B319" s="5" t="str">
        <f>IF(TRIM(J319)="","",H319)</f>
        <v>Indicates the reference for giving the direction of GPS receiver movement. "T" denotes true direction and "M" is magnetic direction.</v>
      </c>
      <c r="C319" s="5" t="str">
        <f>LEFT(F319,FIND(".",F319,6))</f>
        <v>Exif.GPSInfo.</v>
      </c>
      <c r="D319" s="5" t="str">
        <f>VLOOKUP(C319,PrefixUebersetzung,2,FALSE)</f>
        <v>Exif.GPSInfo.</v>
      </c>
      <c r="E319" s="5" t="str">
        <f>MID(F319,FIND(".",F319,6)+1,99)</f>
        <v>GPSTrackRef</v>
      </c>
      <c r="F319" s="5" t="s">
        <v>212</v>
      </c>
      <c r="G319" s="5" t="s">
        <v>9666</v>
      </c>
      <c r="H319" s="6" t="s">
        <v>2316</v>
      </c>
      <c r="I319" s="7" t="s">
        <v>4978</v>
      </c>
      <c r="J319" s="8" t="s">
        <v>3867</v>
      </c>
      <c r="K319" s="26"/>
      <c r="L319" s="6" t="str">
        <f>IFERROR(VLOOKUP(E319,A:I,9, FALSE),"")</f>
        <v>GPS Richtung der Bewegung Referenz</v>
      </c>
      <c r="N319" s="6" t="str">
        <f>IF(AND(TRIM(I319)="",L319=""),"Suffix not translated ",
   IF(AND(TRIM(I319)&lt;&gt;"",TRIM(L319)&lt;&gt;"",TRIM(I319)&lt;&gt;TRIM(L319)),"Suffix translation &lt;&gt; lookup ", "" ))
&amp;IF(AND(TRIM(J319)="",M319=""),"Description not translated ",
   IF(AND(TRIM(J319)&lt;&gt;"",TRIM(M319)&lt;&gt;"",TRIM(J319)&lt;&gt;TRIM(M319)),"Description translation&lt;&gt; lookup ", "" ))</f>
        <v/>
      </c>
      <c r="O319" s="6" t="s">
        <v>8574</v>
      </c>
      <c r="P319" s="6" t="s">
        <v>8574</v>
      </c>
    </row>
    <row r="320" spans="1:17" ht="90" x14ac:dyDescent="0.25">
      <c r="A320" s="5" t="str">
        <f>IF(TRIM(I320)="","",E320)</f>
        <v>GPSVersionID</v>
      </c>
      <c r="B320" s="5" t="str">
        <f>IF(TRIM(J320)="","",H320)</f>
        <v>Indicates the version of &lt;GPSInfoIFD&gt;. The version is given as 2.0.0.0. This tag is mandatory when &lt;GPSInfo&gt; tag is present. (Note: The &lt;GPSVersionID&gt; tag is given in bytes, unlike the &lt;ExifVersion&gt; tag. When the version is 2.0.0.0, the tag value is 02000000.H).</v>
      </c>
      <c r="C320" s="5" t="str">
        <f>LEFT(F320,FIND(".",F320,6))</f>
        <v>Exif.GPSInfo.</v>
      </c>
      <c r="D320" s="5" t="str">
        <f>VLOOKUP(C320,PrefixUebersetzung,2,FALSE)</f>
        <v>Exif.GPSInfo.</v>
      </c>
      <c r="E320" s="5" t="str">
        <f>MID(F320,FIND(".",F320,6)+1,99)</f>
        <v>GPSVersionID</v>
      </c>
      <c r="F320" s="5" t="s">
        <v>213</v>
      </c>
      <c r="G320" s="5" t="s">
        <v>9670</v>
      </c>
      <c r="H320" s="6" t="s">
        <v>2317</v>
      </c>
      <c r="I320" s="7" t="s">
        <v>4238</v>
      </c>
      <c r="J320" s="8" t="s">
        <v>3868</v>
      </c>
      <c r="K320" s="26"/>
      <c r="L320" s="6" t="str">
        <f>IFERROR(VLOOKUP(E320,A:I,9, FALSE),"")</f>
        <v>GPS Version</v>
      </c>
      <c r="N320" s="6" t="str">
        <f>IF(AND(TRIM(I320)="",L320=""),"Suffix not translated ",
   IF(AND(TRIM(I320)&lt;&gt;"",TRIM(L320)&lt;&gt;"",TRIM(I320)&lt;&gt;TRIM(L320)),"Suffix translation &lt;&gt; lookup ", "" ))
&amp;IF(AND(TRIM(J320)="",M320=""),"Description not translated ",
   IF(AND(TRIM(J320)&lt;&gt;"",TRIM(M320)&lt;&gt;"",TRIM(J320)&lt;&gt;TRIM(M320)),"Description translation&lt;&gt; lookup ", "" ))</f>
        <v/>
      </c>
      <c r="O320" s="6" t="s">
        <v>8574</v>
      </c>
      <c r="P320" s="6" t="s">
        <v>8574</v>
      </c>
    </row>
    <row r="321" spans="1:17" ht="75" x14ac:dyDescent="0.25">
      <c r="A321" s="5" t="str">
        <f>IF(TRIM(I321)="","",E321)</f>
        <v>ActiveArea</v>
      </c>
      <c r="B321" s="5" t="str">
        <f>IF(TRIM(J321)="","",H321)</f>
        <v>This rectangle defines the active (non-masked) pixels of the sensor. The order of the rectangle coordinates is: top, left, bottom, right.</v>
      </c>
      <c r="C321" s="5" t="str">
        <f>LEFT(F321,FIND(".",F321,6))</f>
        <v>Exif.Image.</v>
      </c>
      <c r="D321" s="5" t="str">
        <f>VLOOKUP(C321,PrefixUebersetzung,2,FALSE)</f>
        <v>Exif.Image (Bild).</v>
      </c>
      <c r="E321" s="5" t="str">
        <f>MID(F321,FIND(".",F321,6)+1,99)</f>
        <v>ActiveArea</v>
      </c>
      <c r="F321" s="5" t="s">
        <v>214</v>
      </c>
      <c r="G321" s="5" t="s">
        <v>9664</v>
      </c>
      <c r="H321" s="6" t="s">
        <v>2318</v>
      </c>
      <c r="I321" s="7" t="s">
        <v>4239</v>
      </c>
      <c r="J321" s="8" t="s">
        <v>3869</v>
      </c>
      <c r="K321" s="26"/>
      <c r="L321" s="6" t="str">
        <f>IFERROR(VLOOKUP(E321,A:I,9, FALSE),"")</f>
        <v>Aktiver Bereich</v>
      </c>
      <c r="M321" s="6" t="str">
        <f>IFERROR(VLOOKUP(H321,B:J,9,FALSE),"")</f>
        <v>Dieses Rechteck definiert die aktive (nicht maskierten) Pixel des Sensors. Die Reihenfolge der Rechteck-Koordinaten ist: oben, links, unten, rechts.</v>
      </c>
      <c r="N321" s="6" t="str">
        <f>IF(AND(TRIM(I321)="",L321=""),"Suffix not translated ",
   IF(AND(TRIM(I321)&lt;&gt;"",TRIM(L321)&lt;&gt;"",TRIM(I321)&lt;&gt;TRIM(L321)),"Suffix translation &lt;&gt; lookup ", "" ))
&amp;IF(AND(TRIM(J321)="",M321=""),"Description not translated ",
   IF(AND(TRIM(J321)&lt;&gt;"",TRIM(M321)&lt;&gt;"",TRIM(J321)&lt;&gt;TRIM(M321)),"Description translation&lt;&gt; lookup ", "" ))</f>
        <v/>
      </c>
      <c r="O321" s="6" t="s">
        <v>8574</v>
      </c>
      <c r="P321" s="6" t="s">
        <v>8574</v>
      </c>
    </row>
    <row r="322" spans="1:17" ht="285" x14ac:dyDescent="0.25">
      <c r="A322" s="5" t="str">
        <f>IF(TRIM(I322)="","",E322)</f>
        <v>AnalogBalance</v>
      </c>
      <c r="B322" s="5" t="str">
        <f>IF(TRIM(J322)="","",H322)</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322" s="5" t="str">
        <f>LEFT(F322,FIND(".",F322,6))</f>
        <v>Exif.Image.</v>
      </c>
      <c r="D322" s="5" t="str">
        <f>VLOOKUP(C322,PrefixUebersetzung,2,FALSE)</f>
        <v>Exif.Image (Bild).</v>
      </c>
      <c r="E322" s="5" t="str">
        <f>MID(F322,FIND(".",F322,6)+1,99)</f>
        <v>AnalogBalance</v>
      </c>
      <c r="F322" s="5" t="s">
        <v>215</v>
      </c>
      <c r="G322" s="5" t="s">
        <v>9671</v>
      </c>
      <c r="H322" s="6" t="s">
        <v>2319</v>
      </c>
      <c r="I322" s="7" t="s">
        <v>4240</v>
      </c>
      <c r="J322" s="8" t="s">
        <v>6623</v>
      </c>
      <c r="K322" s="26"/>
      <c r="L322" s="6" t="str">
        <f>IFERROR(VLOOKUP(E322,A:I,9, FALSE),"")</f>
        <v>Analog Ausgleich</v>
      </c>
      <c r="M322" s="6" t="str">
        <f>IFERROR(INDEX(J:J,MATCH(TRUE,INDEX(B:B=H322,0),0)),"")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322" s="6" t="str">
        <f>IF(AND(TRIM(I322)="",L322=""),"Suffix not translated ",
   IF(AND(TRIM(I322)&lt;&gt;"",TRIM(L322)&lt;&gt;"",TRIM(I322)&lt;&gt;TRIM(L322)),"Suffix translation &lt;&gt; lookup ", "" ))
&amp;IF(AND(TRIM(J322)="",M322=""),"Description not translated ",
   IF(AND(TRIM(J322)&lt;&gt;"",TRIM(M322)&lt;&gt;"",TRIM(J322)&lt;&gt;TRIM(M322)),"Description translation&lt;&gt; lookup ", "" ))</f>
        <v/>
      </c>
      <c r="O322" s="6" t="s">
        <v>8574</v>
      </c>
      <c r="P322" s="6" t="s">
        <v>8574</v>
      </c>
    </row>
    <row r="323" spans="1:17" ht="150" x14ac:dyDescent="0.25">
      <c r="A323" s="5" t="str">
        <f>IF(TRIM(I323)="","",E323)</f>
        <v>AntiAliasStrength</v>
      </c>
      <c r="B323" s="5" t="str">
        <f>IF(TRIM(J323)="","",H323)</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323" s="5" t="str">
        <f>LEFT(F323,FIND(".",F323,6))</f>
        <v>Exif.Image.</v>
      </c>
      <c r="D323" s="5" t="str">
        <f>VLOOKUP(C323,PrefixUebersetzung,2,FALSE)</f>
        <v>Exif.Image (Bild).</v>
      </c>
      <c r="E323" s="5" t="str">
        <f>MID(F323,FIND(".",F323,6)+1,99)</f>
        <v>AntiAliasStrength</v>
      </c>
      <c r="F323" s="5" t="s">
        <v>216</v>
      </c>
      <c r="G323" s="5" t="s">
        <v>9671</v>
      </c>
      <c r="H323" s="6" t="s">
        <v>2320</v>
      </c>
      <c r="I323" s="7" t="s">
        <v>4824</v>
      </c>
      <c r="J323" s="8" t="s">
        <v>3870</v>
      </c>
      <c r="K323" s="26"/>
      <c r="L323" s="6" t="str">
        <f>IFERROR(VLOOKUP(E323,A:I,9, FALSE),"")</f>
        <v>Anti-Alias Stärke</v>
      </c>
      <c r="M323" s="6" t="str">
        <f>IFERROR(INDEX(J:J,MATCH(TRUE,INDEX(B:B=H323,0),0)),"")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323" s="6" t="str">
        <f>IF(AND(TRIM(I323)="",L323=""),"Suffix not translated ",
   IF(AND(TRIM(I323)&lt;&gt;"",TRIM(L323)&lt;&gt;"",TRIM(I323)&lt;&gt;TRIM(L323)),"Suffix translation &lt;&gt; lookup ", "" ))
&amp;IF(AND(TRIM(J323)="",M323=""),"Description not translated ",
   IF(AND(TRIM(J323)&lt;&gt;"",TRIM(M323)&lt;&gt;"",TRIM(J323)&lt;&gt;TRIM(M323)),"Description translation&lt;&gt; lookup ", "" ))</f>
        <v/>
      </c>
      <c r="O323" s="6" t="s">
        <v>8574</v>
      </c>
      <c r="P323" s="6" t="s">
        <v>8574</v>
      </c>
    </row>
    <row r="324" spans="1:17" x14ac:dyDescent="0.25">
      <c r="A324" s="5" t="str">
        <f>IF(TRIM(I324)="","",E324)</f>
        <v/>
      </c>
      <c r="B324" s="5" t="str">
        <f>IF(TRIM(J324)="","",H324)</f>
        <v>The lens aperture.</v>
      </c>
      <c r="C324" s="5" t="str">
        <f>LEFT(F324,FIND(".",F324,6))</f>
        <v>Exif.Image.</v>
      </c>
      <c r="D324" s="5" t="str">
        <f>VLOOKUP(C324,PrefixUebersetzung,2,FALSE)</f>
        <v>Exif.Image (Bild).</v>
      </c>
      <c r="E324" s="5" t="str">
        <f>MID(F324,FIND(".",F324,6)+1,99)</f>
        <v>ApertureValue</v>
      </c>
      <c r="F324" s="5" t="s">
        <v>217</v>
      </c>
      <c r="G324" s="5" t="s">
        <v>9671</v>
      </c>
      <c r="H324" s="6" t="s">
        <v>2321</v>
      </c>
      <c r="I324" s="7"/>
      <c r="J324" s="8" t="s">
        <v>5193</v>
      </c>
      <c r="K324" s="26"/>
      <c r="L324" s="6" t="str">
        <f>IFERROR(VLOOKUP(E324,A:I,9, FALSE),"")</f>
        <v>Blende</v>
      </c>
      <c r="M324" s="6" t="str">
        <f>IFERROR(VLOOKUP(H324,B:J,9,FALSE),"")</f>
        <v>Blendenöffnung</v>
      </c>
      <c r="N324" s="6" t="str">
        <f>IF(AND(TRIM(I324)="",L324=""),"Suffix not translated ",
   IF(AND(TRIM(I324)&lt;&gt;"",TRIM(L324)&lt;&gt;"",TRIM(I324)&lt;&gt;TRIM(L324)),"Suffix translation &lt;&gt; lookup ", "" ))
&amp;IF(AND(TRIM(J324)="",M324=""),"Description not translated ",
   IF(AND(TRIM(J324)&lt;&gt;"",TRIM(M324)&lt;&gt;"",TRIM(J324)&lt;&gt;TRIM(M324)),"Description translation&lt;&gt; lookup ", "" ))</f>
        <v/>
      </c>
      <c r="P324" s="6" t="s">
        <v>8574</v>
      </c>
      <c r="Q324" s="6" t="s">
        <v>3775</v>
      </c>
    </row>
    <row r="325" spans="1:17" ht="180" x14ac:dyDescent="0.25">
      <c r="A325" s="5" t="str">
        <f>IF(TRIM(I325)="","",E325)</f>
        <v>Artist</v>
      </c>
      <c r="B325" s="5" t="str">
        <f>IF(TRIM(J325)="","",H325)</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325" s="5" t="str">
        <f>LEFT(F325,FIND(".",F325,6))</f>
        <v>Exif.Image.</v>
      </c>
      <c r="D325" s="5" t="str">
        <f>VLOOKUP(C325,PrefixUebersetzung,2,FALSE)</f>
        <v>Exif.Image (Bild).</v>
      </c>
      <c r="E325" s="5" t="str">
        <f>MID(F325,FIND(".",F325,6)+1,99)</f>
        <v>Artist</v>
      </c>
      <c r="F325" s="5" t="s">
        <v>218</v>
      </c>
      <c r="G325" s="5" t="s">
        <v>9666</v>
      </c>
      <c r="H325" s="6" t="s">
        <v>2322</v>
      </c>
      <c r="I325" s="7" t="s">
        <v>4241</v>
      </c>
      <c r="J325" s="8" t="s">
        <v>3871</v>
      </c>
      <c r="K325" s="26"/>
      <c r="L325" s="6" t="str">
        <f>IFERROR(VLOOKUP(E325,A:I,9, FALSE),"")</f>
        <v>Künstler</v>
      </c>
      <c r="M325" s="6" t="str">
        <f>IFERROR(INDEX(J:J,MATCH(TRUE,INDEX(B:B=H325,0),0)),"")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325" s="6" t="str">
        <f>IF(AND(TRIM(I325)="",L325=""),"Suffix not translated ",
   IF(AND(TRIM(I325)&lt;&gt;"",TRIM(L325)&lt;&gt;"",TRIM(I325)&lt;&gt;TRIM(L325)),"Suffix translation &lt;&gt; lookup ", "" ))
&amp;IF(AND(TRIM(J325)="",M325=""),"Description not translated ",
   IF(AND(TRIM(J325)&lt;&gt;"",TRIM(M325)&lt;&gt;"",TRIM(J325)&lt;&gt;TRIM(M325)),"Description translation&lt;&gt; lookup ", "" ))</f>
        <v/>
      </c>
      <c r="O325" s="6" t="s">
        <v>8574</v>
      </c>
      <c r="P325" s="6" t="s">
        <v>8574</v>
      </c>
    </row>
    <row r="326" spans="1:17" ht="315" x14ac:dyDescent="0.25">
      <c r="A326" s="5" t="str">
        <f>IF(TRIM(I326)="","",E326)</f>
        <v>AsShotICCProfile</v>
      </c>
      <c r="B326" s="5" t="str">
        <f>IF(TRIM(J326)="","",H326)</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326" s="5" t="str">
        <f>LEFT(F326,FIND(".",F326,6))</f>
        <v>Exif.Image.</v>
      </c>
      <c r="D326" s="5" t="str">
        <f>VLOOKUP(C326,PrefixUebersetzung,2,FALSE)</f>
        <v>Exif.Image (Bild).</v>
      </c>
      <c r="E326" s="5" t="str">
        <f>MID(F326,FIND(".",F326,6)+1,99)</f>
        <v>AsShotICCProfile</v>
      </c>
      <c r="F326" s="5" t="s">
        <v>219</v>
      </c>
      <c r="G326" s="5" t="s">
        <v>9669</v>
      </c>
      <c r="H326" s="6" t="s">
        <v>2323</v>
      </c>
      <c r="I326" s="7" t="s">
        <v>4242</v>
      </c>
      <c r="J326" s="8" t="s">
        <v>3872</v>
      </c>
      <c r="K326" s="26"/>
      <c r="L326" s="6" t="str">
        <f>IFERROR(VLOOKUP(E326,A:I,9, FALSE),"")</f>
        <v>AsShot ICC Profil</v>
      </c>
      <c r="M326" s="6" t="str">
        <f>IFERROR(INDEX(J:J,MATCH(TRUE,INDEX(B:B=H326,0),0)),"")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326" s="6" t="str">
        <f>IF(AND(TRIM(I326)="",L326=""),"Suffix not translated ",
   IF(AND(TRIM(I326)&lt;&gt;"",TRIM(L326)&lt;&gt;"",TRIM(I326)&lt;&gt;TRIM(L326)),"Suffix translation &lt;&gt; lookup ", "" ))
&amp;IF(AND(TRIM(J326)="",M326=""),"Description not translated ",
   IF(AND(TRIM(J326)&lt;&gt;"",TRIM(M326)&lt;&gt;"",TRIM(J326)&lt;&gt;TRIM(M326)),"Description translation&lt;&gt; lookup ", "" ))</f>
        <v/>
      </c>
      <c r="O326" s="6" t="s">
        <v>8574</v>
      </c>
      <c r="P326" s="6" t="s">
        <v>8574</v>
      </c>
    </row>
    <row r="327" spans="1:17" ht="120" x14ac:dyDescent="0.25">
      <c r="A327" s="5" t="str">
        <f>IF(TRIM(I327)="","",E327)</f>
        <v>AsShotNeutral</v>
      </c>
      <c r="B327" s="5" t="str">
        <f>IF(TRIM(J327)="","",H327)</f>
        <v>Specifies the selected white balance at time of capture, encoded as the coordinates of a perfectly neutral color in linear reference space values. The inclusion of this tag precludes the inclusion of the AsShotWhiteXY tag.</v>
      </c>
      <c r="C327" s="5" t="str">
        <f>LEFT(F327,FIND(".",F327,6))</f>
        <v>Exif.Image.</v>
      </c>
      <c r="D327" s="5" t="str">
        <f>VLOOKUP(C327,PrefixUebersetzung,2,FALSE)</f>
        <v>Exif.Image (Bild).</v>
      </c>
      <c r="E327" s="5" t="str">
        <f>MID(F327,FIND(".",F327,6)+1,99)</f>
        <v>AsShotNeutral</v>
      </c>
      <c r="F327" s="5" t="s">
        <v>220</v>
      </c>
      <c r="G327" s="5" t="s">
        <v>9664</v>
      </c>
      <c r="H327" s="6" t="s">
        <v>2324</v>
      </c>
      <c r="I327" s="7" t="s">
        <v>4243</v>
      </c>
      <c r="J327" s="8" t="s">
        <v>3873</v>
      </c>
      <c r="K327" s="26"/>
      <c r="L327" s="6" t="str">
        <f>IFERROR(VLOOKUP(E327,A:I,9, FALSE),"")</f>
        <v>AsShot Neutral</v>
      </c>
      <c r="M327" s="6" t="str">
        <f>IFERROR(VLOOKUP(H327,B:J,9,FALSE),"")</f>
        <v>Gibt den ausgewählten Weißabgleich zum Zeitpunkt der Aufnahme, kodiert als  die Koordinaten einer vollkommen neutrale Farbe im linearen Bezugsraum. Die Einbeziehung dieses Tags setzt die Einbeziehung des AsShotWhiteXY Tags voraus.</v>
      </c>
      <c r="N327" s="6" t="str">
        <f>IF(AND(TRIM(I327)="",L327=""),"Suffix not translated ",
   IF(AND(TRIM(I327)&lt;&gt;"",TRIM(L327)&lt;&gt;"",TRIM(I327)&lt;&gt;TRIM(L327)),"Suffix translation &lt;&gt; lookup ", "" ))
&amp;IF(AND(TRIM(J327)="",M327=""),"Description not translated ",
   IF(AND(TRIM(J327)&lt;&gt;"",TRIM(M327)&lt;&gt;"",TRIM(J327)&lt;&gt;TRIM(M327)),"Description translation&lt;&gt; lookup ", "" ))</f>
        <v/>
      </c>
      <c r="O327" s="6" t="s">
        <v>8574</v>
      </c>
      <c r="P327" s="6" t="s">
        <v>8574</v>
      </c>
    </row>
    <row r="328" spans="1:17" ht="240" x14ac:dyDescent="0.25">
      <c r="A328" s="5" t="str">
        <f>IF(TRIM(I328)="","",E328)</f>
        <v>AsShotPreProfileMatrix</v>
      </c>
      <c r="B328" s="5" t="str">
        <f>IF(TRIM(J328)="","",H328)</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328" s="5" t="str">
        <f>LEFT(F328,FIND(".",F328,6))</f>
        <v>Exif.Image.</v>
      </c>
      <c r="D328" s="5" t="str">
        <f>VLOOKUP(C328,PrefixUebersetzung,2,FALSE)</f>
        <v>Exif.Image (Bild).</v>
      </c>
      <c r="E328" s="5" t="str">
        <f>MID(F328,FIND(".",F328,6)+1,99)</f>
        <v>AsShotPreProfileMatrix</v>
      </c>
      <c r="F328" s="5" t="s">
        <v>221</v>
      </c>
      <c r="G328" s="5" t="s">
        <v>9672</v>
      </c>
      <c r="H328" s="6" t="s">
        <v>2325</v>
      </c>
      <c r="I328" s="7" t="s">
        <v>4244</v>
      </c>
      <c r="J328" s="8" t="s">
        <v>3874</v>
      </c>
      <c r="K328" s="26"/>
      <c r="L328" s="6" t="str">
        <f>IFERROR(VLOOKUP(E328,A:I,9, FALSE),"")</f>
        <v>AsShot PreProfil Matrix</v>
      </c>
      <c r="M328" s="6" t="str">
        <f>IFERROR(INDEX(J:J,MATCH(TRUE,INDEX(B:B=H328,0),0)),"")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328" s="6" t="str">
        <f>IF(AND(TRIM(I328)="",L328=""),"Suffix not translated ",
   IF(AND(TRIM(I328)&lt;&gt;"",TRIM(L328)&lt;&gt;"",TRIM(I328)&lt;&gt;TRIM(L328)),"Suffix translation &lt;&gt; lookup ", "" ))
&amp;IF(AND(TRIM(J328)="",M328=""),"Description not translated ",
   IF(AND(TRIM(J328)&lt;&gt;"",TRIM(M328)&lt;&gt;"",TRIM(J328)&lt;&gt;TRIM(M328)),"Description translation&lt;&gt; lookup ", "" ))</f>
        <v/>
      </c>
      <c r="O328" s="6" t="s">
        <v>8574</v>
      </c>
      <c r="P328" s="6" t="s">
        <v>8574</v>
      </c>
    </row>
    <row r="329" spans="1:17" ht="45" x14ac:dyDescent="0.25">
      <c r="A329" s="5" t="str">
        <f>IF(TRIM(I329)="","",E329)</f>
        <v>AsShotProfileName</v>
      </c>
      <c r="B329" s="5" t="str">
        <f>IF(TRIM(J329)="","",H329)</f>
        <v>A UTF-8 encoded string containing the name of the "as shot" camera profile, if any.</v>
      </c>
      <c r="C329" s="5" t="str">
        <f>LEFT(F329,FIND(".",F329,6))</f>
        <v>Exif.Image.</v>
      </c>
      <c r="D329" s="5" t="str">
        <f>VLOOKUP(C329,PrefixUebersetzung,2,FALSE)</f>
        <v>Exif.Image (Bild).</v>
      </c>
      <c r="E329" s="5" t="str">
        <f>MID(F329,FIND(".",F329,6)+1,99)</f>
        <v>AsShotProfileName</v>
      </c>
      <c r="F329" s="5" t="s">
        <v>222</v>
      </c>
      <c r="G329" s="5" t="s">
        <v>9670</v>
      </c>
      <c r="H329" s="6" t="s">
        <v>2326</v>
      </c>
      <c r="I329" s="7" t="s">
        <v>4245</v>
      </c>
      <c r="J329" s="8" t="s">
        <v>3875</v>
      </c>
      <c r="K329" s="26"/>
      <c r="L329" s="6" t="str">
        <f>IFERROR(VLOOKUP(E329,A:I,9, FALSE),"")</f>
        <v>AsShot Profil Name</v>
      </c>
      <c r="M329" s="6" t="str">
        <f>IFERROR(VLOOKUP(H329,B:J,9,FALSE),"")</f>
        <v>Ein UTF-8-codierte Zeichenfolge mit dem Namen des "As Shot"-Kamera-Profil, falls vorhanden.</v>
      </c>
      <c r="N329" s="6" t="str">
        <f>IF(AND(TRIM(I329)="",L329=""),"Suffix not translated ",
   IF(AND(TRIM(I329)&lt;&gt;"",TRIM(L329)&lt;&gt;"",TRIM(I329)&lt;&gt;TRIM(L329)),"Suffix translation &lt;&gt; lookup ", "" ))
&amp;IF(AND(TRIM(J329)="",M329=""),"Description not translated ",
   IF(AND(TRIM(J329)&lt;&gt;"",TRIM(M329)&lt;&gt;"",TRIM(J329)&lt;&gt;TRIM(M329)),"Description translation&lt;&gt; lookup ", "" ))</f>
        <v/>
      </c>
      <c r="O329" s="6" t="s">
        <v>8574</v>
      </c>
      <c r="P329" s="6" t="s">
        <v>8574</v>
      </c>
    </row>
    <row r="330" spans="1:17" ht="90" x14ac:dyDescent="0.25">
      <c r="A330" s="5" t="str">
        <f>IF(TRIM(I330)="","",E330)</f>
        <v>AsShotWhiteXY</v>
      </c>
      <c r="B330" s="5" t="str">
        <f>IF(TRIM(J330)="","",H330)</f>
        <v>Specifies the selected white balance at time of capture, encoded as x-y chromaticity coordinates. The inclusion of this tag precludes the inclusion of the AsShotNeutral tag.</v>
      </c>
      <c r="C330" s="5" t="str">
        <f>LEFT(F330,FIND(".",F330,6))</f>
        <v>Exif.Image.</v>
      </c>
      <c r="D330" s="5" t="str">
        <f>VLOOKUP(C330,PrefixUebersetzung,2,FALSE)</f>
        <v>Exif.Image (Bild).</v>
      </c>
      <c r="E330" s="5" t="str">
        <f>MID(F330,FIND(".",F330,6)+1,99)</f>
        <v>AsShotWhiteXY</v>
      </c>
      <c r="F330" s="5" t="s">
        <v>223</v>
      </c>
      <c r="G330" s="5" t="s">
        <v>9671</v>
      </c>
      <c r="H330" s="6" t="s">
        <v>2327</v>
      </c>
      <c r="I330" s="7" t="s">
        <v>4246</v>
      </c>
      <c r="J330" s="8" t="s">
        <v>3876</v>
      </c>
      <c r="K330" s="26"/>
      <c r="L330" s="6" t="str">
        <f>IFERROR(VLOOKUP(E330,A:I,9, FALSE),"")</f>
        <v>AsShot Weiß XY</v>
      </c>
      <c r="M330" s="6" t="str">
        <f>IFERROR(VLOOKUP(H330,B:J,9,FALSE),"")</f>
        <v>Gibt den ausgewählten Weißabgleich zum Zeitpunkt der Aufnahme, als xy Farbwertkoordinaten kodiert. Die Einbeziehung dieses Tags setzt die Einbeziehung des AsShotNeutral Tags voraus.</v>
      </c>
      <c r="N330" s="6" t="str">
        <f>IF(AND(TRIM(I330)="",L330=""),"Suffix not translated ",
   IF(AND(TRIM(I330)&lt;&gt;"",TRIM(L330)&lt;&gt;"",TRIM(I330)&lt;&gt;TRIM(L330)),"Suffix translation &lt;&gt; lookup ", "" ))
&amp;IF(AND(TRIM(J330)="",M330=""),"Description not translated ",
   IF(AND(TRIM(J330)&lt;&gt;"",TRIM(M330)&lt;&gt;"",TRIM(J330)&lt;&gt;TRIM(M330)),"Description translation&lt;&gt; lookup ", "" ))</f>
        <v/>
      </c>
      <c r="O330" s="6" t="s">
        <v>8574</v>
      </c>
      <c r="P330" s="6" t="s">
        <v>8574</v>
      </c>
    </row>
    <row r="331" spans="1:17" ht="409.5" x14ac:dyDescent="0.25">
      <c r="A331" s="5" t="str">
        <f>IF(TRIM(I331)="","",E331)</f>
        <v>BaselineExposure</v>
      </c>
      <c r="B331" s="5" t="str">
        <f>IF(TRIM(J331)="","",H331)</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331" s="5" t="str">
        <f>LEFT(F331,FIND(".",F331,6))</f>
        <v>Exif.Image.</v>
      </c>
      <c r="D331" s="5" t="str">
        <f>VLOOKUP(C331,PrefixUebersetzung,2,FALSE)</f>
        <v>Exif.Image (Bild).</v>
      </c>
      <c r="E331" s="5" t="str">
        <f>MID(F331,FIND(".",F331,6)+1,99)</f>
        <v>BaselineExposure</v>
      </c>
      <c r="F331" s="5" t="s">
        <v>224</v>
      </c>
      <c r="G331" s="5" t="s">
        <v>9672</v>
      </c>
      <c r="H331" s="6" t="s">
        <v>2328</v>
      </c>
      <c r="I331" s="7" t="s">
        <v>4826</v>
      </c>
      <c r="J331" s="8" t="s">
        <v>6624</v>
      </c>
      <c r="K331" s="26"/>
      <c r="L331" s="6" t="str">
        <f>IFERROR(VLOOKUP(E331,A:I,9, FALSE),"")</f>
        <v>Basis-Belichtung</v>
      </c>
      <c r="M331" s="6" t="str">
        <f>IFERROR(INDEX(J:J,MATCH(TRUE,INDEX(B:B=H331,0),0)),"")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331" s="6" t="str">
        <f>IF(AND(TRIM(I331)="",L331=""),"Suffix not translated ",
   IF(AND(TRIM(I331)&lt;&gt;"",TRIM(L331)&lt;&gt;"",TRIM(I331)&lt;&gt;TRIM(L331)),"Suffix translation &lt;&gt; lookup ", "" ))
&amp;IF(AND(TRIM(J331)="",M331=""),"Description not translated ",
   IF(AND(TRIM(J331)&lt;&gt;"",TRIM(M331)&lt;&gt;"",TRIM(J331)&lt;&gt;TRIM(M331)),"Description translation&lt;&gt; lookup ", "" ))</f>
        <v/>
      </c>
      <c r="O331" s="6" t="s">
        <v>8574</v>
      </c>
      <c r="P331" s="6" t="s">
        <v>8574</v>
      </c>
    </row>
    <row r="332" spans="1:17" ht="165" x14ac:dyDescent="0.25">
      <c r="A332" s="5" t="str">
        <f>IF(TRIM(I332)="","",E332)</f>
        <v>BaselineNoise</v>
      </c>
      <c r="B332" s="5" t="str">
        <f>IF(TRIM(J332)="","",H332)</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332" s="5" t="str">
        <f>LEFT(F332,FIND(".",F332,6))</f>
        <v>Exif.Image.</v>
      </c>
      <c r="D332" s="5" t="str">
        <f>VLOOKUP(C332,PrefixUebersetzung,2,FALSE)</f>
        <v>Exif.Image (Bild).</v>
      </c>
      <c r="E332" s="5" t="str">
        <f>MID(F332,FIND(".",F332,6)+1,99)</f>
        <v>BaselineNoise</v>
      </c>
      <c r="F332" s="5" t="s">
        <v>225</v>
      </c>
      <c r="G332" s="5" t="s">
        <v>9671</v>
      </c>
      <c r="H332" s="6" t="s">
        <v>2329</v>
      </c>
      <c r="I332" s="7" t="s">
        <v>4827</v>
      </c>
      <c r="J332" s="8" t="s">
        <v>3877</v>
      </c>
      <c r="K332" s="26"/>
      <c r="L332" s="6" t="str">
        <f>IFERROR(VLOOKUP(E332,A:I,9, FALSE),"")</f>
        <v>Basis-Rauschen</v>
      </c>
      <c r="M332" s="6" t="str">
        <f>IFERROR(INDEX(J:J,MATCH(TRUE,INDEX(B:B=H332,0),0)),"")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332" s="6" t="str">
        <f>IF(AND(TRIM(I332)="",L332=""),"Suffix not translated ",
   IF(AND(TRIM(I332)&lt;&gt;"",TRIM(L332)&lt;&gt;"",TRIM(I332)&lt;&gt;TRIM(L332)),"Suffix translation &lt;&gt; lookup ", "" ))
&amp;IF(AND(TRIM(J332)="",M332=""),"Description not translated ",
   IF(AND(TRIM(J332)&lt;&gt;"",TRIM(M332)&lt;&gt;"",TRIM(J332)&lt;&gt;TRIM(M332)),"Description translation&lt;&gt; lookup ", "" ))</f>
        <v/>
      </c>
      <c r="O332" s="6" t="s">
        <v>8574</v>
      </c>
      <c r="P332" s="6" t="s">
        <v>8574</v>
      </c>
    </row>
    <row r="333" spans="1:17" ht="150" x14ac:dyDescent="0.25">
      <c r="A333" s="5" t="str">
        <f>IF(TRIM(I333)="","",E333)</f>
        <v>BaselineSharpness</v>
      </c>
      <c r="B333" s="5" t="str">
        <f>IF(TRIM(J333)="","",H333)</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333" s="5" t="str">
        <f>LEFT(F333,FIND(".",F333,6))</f>
        <v>Exif.Image.</v>
      </c>
      <c r="D333" s="5" t="str">
        <f>VLOOKUP(C333,PrefixUebersetzung,2,FALSE)</f>
        <v>Exif.Image (Bild).</v>
      </c>
      <c r="E333" s="5" t="str">
        <f>MID(F333,FIND(".",F333,6)+1,99)</f>
        <v>BaselineSharpness</v>
      </c>
      <c r="F333" s="5" t="s">
        <v>226</v>
      </c>
      <c r="G333" s="5" t="s">
        <v>9671</v>
      </c>
      <c r="H333" s="6" t="s">
        <v>2330</v>
      </c>
      <c r="I333" s="7" t="s">
        <v>4828</v>
      </c>
      <c r="J333" s="8" t="s">
        <v>3878</v>
      </c>
      <c r="K333" s="26"/>
      <c r="L333" s="6" t="str">
        <f>IFERROR(VLOOKUP(E333,A:I,9, FALSE),"")</f>
        <v>Basis-Schärfe</v>
      </c>
      <c r="M333" s="6" t="str">
        <f>IFERROR(INDEX(J:J,MATCH(TRUE,INDEX(B:B=H333,0),0)),"")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333" s="6" t="str">
        <f>IF(AND(TRIM(I333)="",L333=""),"Suffix not translated ",
   IF(AND(TRIM(I333)&lt;&gt;"",TRIM(L333)&lt;&gt;"",TRIM(I333)&lt;&gt;TRIM(L333)),"Suffix translation &lt;&gt; lookup ", "" ))
&amp;IF(AND(TRIM(J333)="",M333=""),"Description not translated ",
   IF(AND(TRIM(J333)&lt;&gt;"",TRIM(M333)&lt;&gt;"",TRIM(J333)&lt;&gt;TRIM(M333)),"Description translation&lt;&gt; lookup ", "" ))</f>
        <v/>
      </c>
      <c r="O333" s="6" t="s">
        <v>8574</v>
      </c>
      <c r="P333" s="6" t="s">
        <v>8574</v>
      </c>
    </row>
    <row r="334" spans="1:17" ht="45" x14ac:dyDescent="0.25">
      <c r="A334" s="5" t="str">
        <f>IF(TRIM(I334)="","",E334)</f>
        <v>BatteryLevel</v>
      </c>
      <c r="B334" s="5" t="str">
        <f>IF(TRIM(J334)="","",H334)</f>
        <v>Contains a value of the battery level as a fraction or string</v>
      </c>
      <c r="C334" s="5" t="str">
        <f>LEFT(F334,FIND(".",F334,6))</f>
        <v>Exif.Image.</v>
      </c>
      <c r="D334" s="5" t="str">
        <f>VLOOKUP(C334,PrefixUebersetzung,2,FALSE)</f>
        <v>Exif.Image (Bild).</v>
      </c>
      <c r="E334" s="5" t="str">
        <f>MID(F334,FIND(".",F334,6)+1,99)</f>
        <v>BatteryLevel</v>
      </c>
      <c r="F334" s="5" t="s">
        <v>227</v>
      </c>
      <c r="G334" s="5" t="s">
        <v>9671</v>
      </c>
      <c r="H334" s="6" t="s">
        <v>2331</v>
      </c>
      <c r="I334" s="24" t="s">
        <v>5660</v>
      </c>
      <c r="J334" s="8" t="s">
        <v>3879</v>
      </c>
      <c r="K334" s="26"/>
      <c r="L334" s="6" t="str">
        <f>IFERROR(VLOOKUP(E334,A:I,9, FALSE),"")</f>
        <v>Batterie Ladezustand</v>
      </c>
      <c r="M334" s="6" t="str">
        <f>IFERROR(VLOOKUP(H334,B:J,9,FALSE),"")</f>
        <v>Enthält einen Wert des Ladezustandes der Batterie als einen Bruch oder Zeichenkette.</v>
      </c>
      <c r="N334" s="6" t="str">
        <f>IF(AND(TRIM(I334)="",L334=""),"Suffix not translated ",
   IF(AND(TRIM(I334)&lt;&gt;"",TRIM(L334)&lt;&gt;"",TRIM(I334)&lt;&gt;TRIM(L334)),"Suffix translation &lt;&gt; lookup ", "" ))
&amp;IF(AND(TRIM(J334)="",M334=""),"Description not translated ",
   IF(AND(TRIM(J334)&lt;&gt;"",TRIM(M334)&lt;&gt;"",TRIM(J334)&lt;&gt;TRIM(M334)),"Description translation&lt;&gt; lookup ", "" ))</f>
        <v/>
      </c>
      <c r="O334" s="6" t="s">
        <v>8574</v>
      </c>
      <c r="P334" s="6" t="s">
        <v>8574</v>
      </c>
    </row>
    <row r="335" spans="1:17" ht="210" x14ac:dyDescent="0.25">
      <c r="A335" s="5" t="str">
        <f>IF(TRIM(I335)="","",E335)</f>
        <v/>
      </c>
      <c r="B335" s="5" t="str">
        <f>IF(TRIM(J335)="","",H335)</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335" s="5" t="str">
        <f>LEFT(F335,FIND(".",F335,6))</f>
        <v>Exif.Image.</v>
      </c>
      <c r="D335" s="5" t="str">
        <f>VLOOKUP(C335,PrefixUebersetzung,2,FALSE)</f>
        <v>Exif.Image (Bild).</v>
      </c>
      <c r="E335" s="5" t="str">
        <f>MID(F335,FIND(".",F335,6)+1,99)</f>
        <v>BayerGreenSplit</v>
      </c>
      <c r="F335" s="5" t="s">
        <v>228</v>
      </c>
      <c r="G335" s="5" t="s">
        <v>9667</v>
      </c>
      <c r="H335" s="6" t="s">
        <v>2332</v>
      </c>
      <c r="I335" s="7"/>
      <c r="J335" s="8" t="s">
        <v>6625</v>
      </c>
      <c r="K335" s="26"/>
      <c r="L335" s="6" t="str">
        <f>IFERROR(VLOOKUP(E335,A:I,9, FALSE),"")</f>
        <v/>
      </c>
      <c r="M335" s="6" t="str">
        <f>IFERROR(INDEX(J:J,MATCH(TRUE,INDEX(B:B=H335,0),0)),"")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335" s="6" t="str">
        <f>IF(AND(TRIM(I335)="",L335=""),"Suffix not translated ",
   IF(AND(TRIM(I335)&lt;&gt;"",TRIM(L335)&lt;&gt;"",TRIM(I335)&lt;&gt;TRIM(L335)),"Suffix translation &lt;&gt; lookup ", "" ))
&amp;IF(AND(TRIM(J335)="",M335=""),"Description not translated ",
   IF(AND(TRIM(J335)&lt;&gt;"",TRIM(M335)&lt;&gt;"",TRIM(J335)&lt;&gt;TRIM(M335)),"Description translation&lt;&gt; lookup ", "" ))</f>
        <v xml:space="preserve">Suffix not translated </v>
      </c>
      <c r="O335" s="6" t="s">
        <v>8574</v>
      </c>
      <c r="P335" s="6" t="s">
        <v>8574</v>
      </c>
    </row>
    <row r="336" spans="1:17" ht="180" x14ac:dyDescent="0.25">
      <c r="A336" s="5" t="str">
        <f>IF(TRIM(I336)="","",E336)</f>
        <v>BestQualityScale</v>
      </c>
      <c r="B336" s="5" t="str">
        <f>IF(TRIM(J336)="","",H336)</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336" s="5" t="str">
        <f>LEFT(F336,FIND(".",F336,6))</f>
        <v>Exif.Image.</v>
      </c>
      <c r="D336" s="5" t="str">
        <f>VLOOKUP(C336,PrefixUebersetzung,2,FALSE)</f>
        <v>Exif.Image (Bild).</v>
      </c>
      <c r="E336" s="5" t="str">
        <f>MID(F336,FIND(".",F336,6)+1,99)</f>
        <v>BestQualityScale</v>
      </c>
      <c r="F336" s="5" t="s">
        <v>229</v>
      </c>
      <c r="G336" s="5" t="s">
        <v>9671</v>
      </c>
      <c r="H336" s="6" t="s">
        <v>2333</v>
      </c>
      <c r="I336" s="7" t="s">
        <v>4247</v>
      </c>
      <c r="J336" s="8" t="s">
        <v>3880</v>
      </c>
      <c r="K336" s="26"/>
      <c r="L336" s="6" t="str">
        <f>IFERROR(VLOOKUP(E336,A:I,9, FALSE),"")</f>
        <v>Beste Qualität Verhältnis</v>
      </c>
      <c r="M336" s="6" t="str">
        <f>IFERROR(INDEX(J:J,MATCH(TRUE,INDEX(B:B=H336,0),0)),"")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336" s="6" t="str">
        <f>IF(AND(TRIM(I336)="",L336=""),"Suffix not translated ",
   IF(AND(TRIM(I336)&lt;&gt;"",TRIM(L336)&lt;&gt;"",TRIM(I336)&lt;&gt;TRIM(L336)),"Suffix translation &lt;&gt; lookup ", "" ))
&amp;IF(AND(TRIM(J336)="",M336=""),"Description not translated ",
   IF(AND(TRIM(J336)&lt;&gt;"",TRIM(M336)&lt;&gt;"",TRIM(J336)&lt;&gt;TRIM(M336)),"Description translation&lt;&gt; lookup ", "" ))</f>
        <v/>
      </c>
      <c r="O336" s="6" t="s">
        <v>8574</v>
      </c>
      <c r="P336" s="6" t="s">
        <v>8574</v>
      </c>
    </row>
    <row r="337" spans="1:17" ht="120" x14ac:dyDescent="0.25">
      <c r="A337" s="5" t="str">
        <f>IF(TRIM(I337)="","",E337)</f>
        <v>BitsPerSample</v>
      </c>
      <c r="B337" s="5" t="str">
        <f>IF(TRIM(J337)="","",H337)</f>
        <v>The number of bits per image component. In this standard each component of the image is 8 bits, so the value for this tag is 8. See also &lt;SamplesPerPixel&gt;. In JPEG compressed data a JPEG marker is used instead of this tag.</v>
      </c>
      <c r="C337" s="5" t="str">
        <f>LEFT(F337,FIND(".",F337,6))</f>
        <v>Exif.Image.</v>
      </c>
      <c r="D337" s="5" t="str">
        <f>VLOOKUP(C337,PrefixUebersetzung,2,FALSE)</f>
        <v>Exif.Image (Bild).</v>
      </c>
      <c r="E337" s="5" t="str">
        <f>MID(F337,FIND(".",F337,6)+1,99)</f>
        <v>BitsPerSample</v>
      </c>
      <c r="F337" s="5" t="s">
        <v>230</v>
      </c>
      <c r="G337" s="5" t="s">
        <v>9664</v>
      </c>
      <c r="H337" s="6" t="s">
        <v>2334</v>
      </c>
      <c r="I337" s="23" t="s">
        <v>6338</v>
      </c>
      <c r="J337" s="8" t="s">
        <v>3881</v>
      </c>
      <c r="K337" s="26"/>
      <c r="L337" s="6" t="str">
        <f>IFERROR(VLOOKUP(E337,A:I,9, FALSE),"")</f>
        <v>Bits pro Probe</v>
      </c>
      <c r="M337" s="6" t="str">
        <f>IFERROR(VLOOKUP(H337,B:J,9,FALSE),"")</f>
        <v>Die Anzahl der Bits pro Bildkomponente. In dieser Norm enthält das Tag den Wert 8, wenn jede Komponente des Bildes 8 Bit ist. Siehe auch &lt;SamplesPerPixel&gt;. In JPEG komprimierten Daten wird ein JPEG Marker anstelle dieses Tags verwendet.</v>
      </c>
      <c r="N337" s="6" t="str">
        <f>IF(AND(TRIM(I337)="",L337=""),"Suffix not translated ",
   IF(AND(TRIM(I337)&lt;&gt;"",TRIM(L337)&lt;&gt;"",TRIM(I337)&lt;&gt;TRIM(L337)),"Suffix translation &lt;&gt; lookup ", "" ))
&amp;IF(AND(TRIM(J337)="",M337=""),"Description not translated ",
   IF(AND(TRIM(J337)&lt;&gt;"",TRIM(M337)&lt;&gt;"",TRIM(J337)&lt;&gt;TRIM(M337)),"Description translation&lt;&gt; lookup ", "" ))</f>
        <v/>
      </c>
      <c r="O337" s="6" t="s">
        <v>8574</v>
      </c>
      <c r="P337" s="6" t="s">
        <v>8574</v>
      </c>
    </row>
    <row r="338" spans="1:17" ht="120" x14ac:dyDescent="0.25">
      <c r="A338" s="5" t="str">
        <f>IF(TRIM(I338)="","",E338)</f>
        <v>BlackLevel</v>
      </c>
      <c r="B338" s="5" t="str">
        <f>IF(TRIM(J338)="","",H338)</f>
        <v>Specifies the zero light (a.k.a. thermal black or black current) encoding level, as a repeating pattern. The origin of this pattern is the top-left corner of the ActiveArea rectangle. The values are stored in row-column-sample scan order.</v>
      </c>
      <c r="C338" s="5" t="str">
        <f>LEFT(F338,FIND(".",F338,6))</f>
        <v>Exif.Image.</v>
      </c>
      <c r="D338" s="5" t="str">
        <f>VLOOKUP(C338,PrefixUebersetzung,2,FALSE)</f>
        <v>Exif.Image (Bild).</v>
      </c>
      <c r="E338" s="5" t="str">
        <f>MID(F338,FIND(".",F338,6)+1,99)</f>
        <v>BlackLevel</v>
      </c>
      <c r="F338" s="5" t="s">
        <v>231</v>
      </c>
      <c r="G338" s="5" t="s">
        <v>9671</v>
      </c>
      <c r="H338" s="6" t="s">
        <v>2335</v>
      </c>
      <c r="I338" s="7" t="s">
        <v>5146</v>
      </c>
      <c r="J338" s="14" t="s">
        <v>9595</v>
      </c>
      <c r="K338" s="26"/>
      <c r="L338" s="6" t="str">
        <f>IFERROR(VLOOKUP(E338,A:I,9, FALSE),"")</f>
        <v>Schwarzwert</v>
      </c>
      <c r="M338" s="6" t="str">
        <f>IFERROR(VLOOKUP(H338,B:J,9,FALSE),"")</f>
        <v>Gibt die Kodierungs-Ebene für Null-Licht (auch: thermisch schwarz oder Schwarz-Strom) als ein sich wiederholendes Muster an. Der Ursprung dieses Musters ist die linke obere Ecke des ActiveArea-Rechtecks. Die Werte sind in Zeilen-Spalten-Abtast-Reihenfolge gespeichert.</v>
      </c>
      <c r="N338" s="6" t="str">
        <f>IF(AND(TRIM(I338)="",L338=""),"Suffix not translated ",
   IF(AND(TRIM(I338)&lt;&gt;"",TRIM(L338)&lt;&gt;"",TRIM(I338)&lt;&gt;TRIM(L338)),"Suffix translation &lt;&gt; lookup ", "" ))
&amp;IF(AND(TRIM(J338)="",M338=""),"Description not translated ",
   IF(AND(TRIM(J338)&lt;&gt;"",TRIM(M338)&lt;&gt;"",TRIM(J338)&lt;&gt;TRIM(M338)),"Description translation&lt;&gt; lookup ", "" ))</f>
        <v/>
      </c>
      <c r="O338" s="6" t="s">
        <v>8574</v>
      </c>
      <c r="P338" s="6" t="s">
        <v>8574</v>
      </c>
    </row>
    <row r="339" spans="1:17" ht="135" x14ac:dyDescent="0.25">
      <c r="A339" s="5" t="str">
        <f>IF(TRIM(I339)="","",E339)</f>
        <v>BlackLevelDeltaH</v>
      </c>
      <c r="B339" s="5" t="str">
        <f>IF(TRIM(J339)="","",H339)</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339" s="5" t="str">
        <f>LEFT(F339,FIND(".",F339,6))</f>
        <v>Exif.Image.</v>
      </c>
      <c r="D339" s="5" t="str">
        <f>VLOOKUP(C339,PrefixUebersetzung,2,FALSE)</f>
        <v>Exif.Image (Bild).</v>
      </c>
      <c r="E339" s="5" t="str">
        <f>MID(F339,FIND(".",F339,6)+1,99)</f>
        <v>BlackLevelDeltaH</v>
      </c>
      <c r="F339" s="5" t="s">
        <v>232</v>
      </c>
      <c r="G339" s="5" t="s">
        <v>9672</v>
      </c>
      <c r="H339" s="6" t="s">
        <v>2336</v>
      </c>
      <c r="I339" s="7" t="s">
        <v>5268</v>
      </c>
      <c r="J339" s="14" t="s">
        <v>5438</v>
      </c>
      <c r="K339" s="26"/>
      <c r="L339" s="6" t="str">
        <f>IFERROR(VLOOKUP(E339,A:I,9, FALSE),"")</f>
        <v>Schwarzwert Delta H</v>
      </c>
      <c r="M339" s="6" t="str">
        <f>IFERROR(INDEX(J:J,MATCH(TRUE,INDEX(B:B=H339,0),0)),"")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339" s="6" t="str">
        <f>IF(AND(TRIM(I339)="",L339=""),"Suffix not translated ",
   IF(AND(TRIM(I339)&lt;&gt;"",TRIM(L339)&lt;&gt;"",TRIM(I339)&lt;&gt;TRIM(L339)),"Suffix translation &lt;&gt; lookup ", "" ))
&amp;IF(AND(TRIM(J339)="",M339=""),"Description not translated ",
   IF(AND(TRIM(J339)&lt;&gt;"",TRIM(M339)&lt;&gt;"",TRIM(J339)&lt;&gt;TRIM(M339)),"Description translation&lt;&gt; lookup ", "" ))</f>
        <v/>
      </c>
      <c r="O339" s="6" t="s">
        <v>8574</v>
      </c>
      <c r="P339" s="6" t="s">
        <v>8574</v>
      </c>
    </row>
    <row r="340" spans="1:17" ht="135" x14ac:dyDescent="0.25">
      <c r="A340" s="5" t="str">
        <f>IF(TRIM(I340)="","",E340)</f>
        <v>BlackLevelDeltaV</v>
      </c>
      <c r="B340" s="5" t="str">
        <f>IF(TRIM(J340)="","",H340)</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340" s="5" t="str">
        <f>LEFT(F340,FIND(".",F340,6))</f>
        <v>Exif.Image.</v>
      </c>
      <c r="D340" s="5" t="str">
        <f>VLOOKUP(C340,PrefixUebersetzung,2,FALSE)</f>
        <v>Exif.Image (Bild).</v>
      </c>
      <c r="E340" s="5" t="str">
        <f>MID(F340,FIND(".",F340,6)+1,99)</f>
        <v>BlackLevelDeltaV</v>
      </c>
      <c r="F340" s="5" t="s">
        <v>233</v>
      </c>
      <c r="G340" s="5" t="s">
        <v>9672</v>
      </c>
      <c r="H340" s="6" t="s">
        <v>2337</v>
      </c>
      <c r="I340" s="7" t="s">
        <v>5147</v>
      </c>
      <c r="J340" s="14" t="s">
        <v>5439</v>
      </c>
      <c r="K340" s="26"/>
      <c r="L340" s="6" t="str">
        <f>IFERROR(VLOOKUP(E340,A:I,9, FALSE),"")</f>
        <v>Schwarzwert Delta V</v>
      </c>
      <c r="M340" s="6" t="str">
        <f>IFERROR(INDEX(J:J,MATCH(TRUE,INDEX(B:B=H340,0),0)),"")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340" s="6" t="str">
        <f>IF(AND(TRIM(I340)="",L340=""),"Suffix not translated ",
   IF(AND(TRIM(I340)&lt;&gt;"",TRIM(L340)&lt;&gt;"",TRIM(I340)&lt;&gt;TRIM(L340)),"Suffix translation &lt;&gt; lookup ", "" ))
&amp;IF(AND(TRIM(J340)="",M340=""),"Description not translated ",
   IF(AND(TRIM(J340)&lt;&gt;"",TRIM(M340)&lt;&gt;"",TRIM(J340)&lt;&gt;TRIM(M340)),"Description translation&lt;&gt; lookup ", "" ))</f>
        <v/>
      </c>
      <c r="O340" s="6" t="s">
        <v>8574</v>
      </c>
      <c r="P340" s="6" t="s">
        <v>8574</v>
      </c>
    </row>
    <row r="341" spans="1:17" ht="45" x14ac:dyDescent="0.25">
      <c r="A341" s="5" t="str">
        <f>IF(TRIM(I341)="","",E341)</f>
        <v>BlackLevelRepeatDim</v>
      </c>
      <c r="B341" s="5" t="str">
        <f>IF(TRIM(J341)="","",H341)</f>
        <v>Specifies repeat pattern size for the BlackLevel tag.</v>
      </c>
      <c r="C341" s="5" t="str">
        <f>LEFT(F341,FIND(".",F341,6))</f>
        <v>Exif.Image.</v>
      </c>
      <c r="D341" s="5" t="str">
        <f>VLOOKUP(C341,PrefixUebersetzung,2,FALSE)</f>
        <v>Exif.Image (Bild).</v>
      </c>
      <c r="E341" s="5" t="str">
        <f>MID(F341,FIND(".",F341,6)+1,99)</f>
        <v>BlackLevelRepeatDim</v>
      </c>
      <c r="F341" s="5" t="s">
        <v>234</v>
      </c>
      <c r="G341" s="5" t="s">
        <v>9664</v>
      </c>
      <c r="H341" s="6" t="s">
        <v>2338</v>
      </c>
      <c r="I341" s="7" t="s">
        <v>5148</v>
      </c>
      <c r="J341" s="14" t="s">
        <v>5437</v>
      </c>
      <c r="K341" s="26"/>
      <c r="L341" s="6" t="str">
        <f>IFERROR(VLOOKUP(E341,A:I,9, FALSE),"")</f>
        <v>Schwarzwert Wiederholungs-Muster Größe</v>
      </c>
      <c r="M341" s="6" t="str">
        <f>IFERROR(VLOOKUP(H341,B:J,9,FALSE),"")</f>
        <v>Gibt Größe des Wiederholungs-Musters für den Schwarzwert an.</v>
      </c>
      <c r="N341" s="6" t="str">
        <f>IF(AND(TRIM(I341)="",L341=""),"Suffix not translated ",
   IF(AND(TRIM(I341)&lt;&gt;"",TRIM(L341)&lt;&gt;"",TRIM(I341)&lt;&gt;TRIM(L341)),"Suffix translation &lt;&gt; lookup ", "" ))
&amp;IF(AND(TRIM(J341)="",M341=""),"Description not translated ",
   IF(AND(TRIM(J341)&lt;&gt;"",TRIM(M341)&lt;&gt;"",TRIM(J341)&lt;&gt;TRIM(M341)),"Description translation&lt;&gt; lookup ", "" ))</f>
        <v/>
      </c>
      <c r="O341" s="6" t="s">
        <v>8574</v>
      </c>
      <c r="P341" s="6" t="s">
        <v>8574</v>
      </c>
    </row>
    <row r="342" spans="1:17" x14ac:dyDescent="0.25">
      <c r="A342" s="5" t="str">
        <f>IF(TRIM(I342)="","",E342)</f>
        <v>BrightnessValue</v>
      </c>
      <c r="B342" s="5" t="str">
        <f>IF(TRIM(J342)="","",H342)</f>
        <v>The value of brightness.</v>
      </c>
      <c r="C342" s="5" t="str">
        <f>LEFT(F342,FIND(".",F342,6))</f>
        <v>Exif.Image.</v>
      </c>
      <c r="D342" s="5" t="str">
        <f>VLOOKUP(C342,PrefixUebersetzung,2,FALSE)</f>
        <v>Exif.Image (Bild).</v>
      </c>
      <c r="E342" s="5" t="str">
        <f>MID(F342,FIND(".",F342,6)+1,99)</f>
        <v>BrightnessValue</v>
      </c>
      <c r="F342" s="5" t="s">
        <v>235</v>
      </c>
      <c r="G342" s="5" t="s">
        <v>9672</v>
      </c>
      <c r="H342" s="6" t="s">
        <v>2339</v>
      </c>
      <c r="I342" s="7" t="s">
        <v>3984</v>
      </c>
      <c r="J342" s="14" t="s">
        <v>3984</v>
      </c>
      <c r="K342" s="26"/>
      <c r="L342" s="6" t="str">
        <f>IFERROR(VLOOKUP(E342,A:I,9, FALSE),"")</f>
        <v>Helligkeitswert</v>
      </c>
      <c r="M342" s="6" t="str">
        <f>IFERROR(VLOOKUP(H342,B:J,9,FALSE),"")</f>
        <v>Helligkeitswert</v>
      </c>
      <c r="N342" s="6" t="str">
        <f>IF(AND(TRIM(I342)="",L342=""),"Suffix not translated ",
   IF(AND(TRIM(I342)&lt;&gt;"",TRIM(L342)&lt;&gt;"",TRIM(I342)&lt;&gt;TRIM(L342)),"Suffix translation &lt;&gt; lookup ", "" ))
&amp;IF(AND(TRIM(J342)="",M342=""),"Description not translated ",
   IF(AND(TRIM(J342)&lt;&gt;"",TRIM(M342)&lt;&gt;"",TRIM(J342)&lt;&gt;TRIM(M342)),"Description translation&lt;&gt; lookup ", "" ))</f>
        <v/>
      </c>
      <c r="O342" s="6" t="s">
        <v>8574</v>
      </c>
      <c r="P342" s="6" t="s">
        <v>8574</v>
      </c>
      <c r="Q342" s="6" t="s">
        <v>6716</v>
      </c>
    </row>
    <row r="343" spans="1:17" ht="105" x14ac:dyDescent="0.25">
      <c r="A343" s="5" t="str">
        <f>IF(TRIM(I343)="","",E343)</f>
        <v>CalibrationIlluminant1</v>
      </c>
      <c r="B343" s="5" t="str">
        <f>IF(TRIM(J343)="","",H343)</f>
        <v>The illuminant used for the first set of color calibration tags (ColorMatrix1, CameraCalibration1, ReductionMatrix1). The legal values for this tag are the same as the legal values for the LightSource EXIF tag.</v>
      </c>
      <c r="C343" s="5" t="str">
        <f>LEFT(F343,FIND(".",F343,6))</f>
        <v>Exif.Image.</v>
      </c>
      <c r="D343" s="5" t="str">
        <f>VLOOKUP(C343,PrefixUebersetzung,2,FALSE)</f>
        <v>Exif.Image (Bild).</v>
      </c>
      <c r="E343" s="5" t="str">
        <f>MID(F343,FIND(".",F343,6)+1,99)</f>
        <v>CalibrationIlluminant1</v>
      </c>
      <c r="F343" s="5" t="s">
        <v>236</v>
      </c>
      <c r="G343" s="5" t="s">
        <v>9664</v>
      </c>
      <c r="H343" s="6" t="s">
        <v>2340</v>
      </c>
      <c r="I343" s="7" t="s">
        <v>5176</v>
      </c>
      <c r="J343" s="14" t="s">
        <v>5180</v>
      </c>
      <c r="K343" s="26"/>
      <c r="L343" s="6" t="str">
        <f>IFERROR(VLOOKUP(E343,A:I,9, FALSE),"")</f>
        <v>Kalibrierung Lichtart 1</v>
      </c>
      <c r="M343" s="6" t="str">
        <f>IFERROR(VLOOKUP(H343,B:J,9,FALSE),"")</f>
        <v>Das Leuchtmittel für den ersten Satz des Farbkalibrierung Tags (ColorMatrix1, CameraCalibration1, ReductionMatrix1) verwendet. Die zulässigen Werte für diese Variable sind die gleichen wie die gesetzlichen Werte für die LightSource EXIF-Tag.</v>
      </c>
      <c r="N343" s="6" t="str">
        <f>IF(AND(TRIM(I343)="",L343=""),"Suffix not translated ",
   IF(AND(TRIM(I343)&lt;&gt;"",TRIM(L343)&lt;&gt;"",TRIM(I343)&lt;&gt;TRIM(L343)),"Suffix translation &lt;&gt; lookup ", "" ))
&amp;IF(AND(TRIM(J343)="",M343=""),"Description not translated ",
   IF(AND(TRIM(J343)&lt;&gt;"",TRIM(M343)&lt;&gt;"",TRIM(J343)&lt;&gt;TRIM(M343)),"Description translation&lt;&gt; lookup ", "" ))</f>
        <v/>
      </c>
      <c r="O343" s="6" t="s">
        <v>8574</v>
      </c>
      <c r="P343" s="6" t="s">
        <v>8574</v>
      </c>
    </row>
    <row r="344" spans="1:17" ht="165" x14ac:dyDescent="0.25">
      <c r="A344" s="5" t="str">
        <f>IF(TRIM(I344)="","",E344)</f>
        <v>CalibrationIlluminant2</v>
      </c>
      <c r="B344" s="5" t="str">
        <f>IF(TRIM(J344)="","",H344)</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v>
      </c>
      <c r="C344" s="5" t="str">
        <f>LEFT(F344,FIND(".",F344,6))</f>
        <v>Exif.Image.</v>
      </c>
      <c r="D344" s="5" t="str">
        <f>VLOOKUP(C344,PrefixUebersetzung,2,FALSE)</f>
        <v>Exif.Image (Bild).</v>
      </c>
      <c r="E344" s="5" t="str">
        <f>MID(F344,FIND(".",F344,6)+1,99)</f>
        <v>CalibrationIlluminant2</v>
      </c>
      <c r="F344" s="5" t="s">
        <v>237</v>
      </c>
      <c r="G344" s="5" t="s">
        <v>9664</v>
      </c>
      <c r="H344" s="6" t="s">
        <v>2341</v>
      </c>
      <c r="I344" s="7" t="s">
        <v>5177</v>
      </c>
      <c r="J344" s="14" t="s">
        <v>6626</v>
      </c>
      <c r="K344" s="26"/>
      <c r="L344" s="6" t="str">
        <f>IFERROR(VLOOKUP(E344,A:I,9, FALSE),"")</f>
        <v>Kalibrierung Lichtart 2</v>
      </c>
      <c r="M344" s="6" t="str">
        <f>IFERROR(INDEX(J:J,MATCH(TRUE,INDEX(B:B=H344,0),0)),"")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v>
      </c>
      <c r="N344" s="6" t="str">
        <f>IF(AND(TRIM(I344)="",L344=""),"Suffix not translated ",
   IF(AND(TRIM(I344)&lt;&gt;"",TRIM(L344)&lt;&gt;"",TRIM(I344)&lt;&gt;TRIM(L344)),"Suffix translation &lt;&gt; lookup ", "" ))
&amp;IF(AND(TRIM(J344)="",M344=""),"Description not translated ",
   IF(AND(TRIM(J344)&lt;&gt;"",TRIM(M344)&lt;&gt;"",TRIM(J344)&lt;&gt;TRIM(M344)),"Description translation&lt;&gt; lookup ", "" ))</f>
        <v/>
      </c>
      <c r="O344" s="6" t="s">
        <v>8574</v>
      </c>
      <c r="P344" s="6" t="s">
        <v>8574</v>
      </c>
    </row>
    <row r="345" spans="1:17" ht="150" x14ac:dyDescent="0.25">
      <c r="A345" s="5" t="str">
        <f>IF(TRIM(I345)="","",E345)</f>
        <v>CameraCalibration1</v>
      </c>
      <c r="B345" s="5" t="str">
        <f>IF(TRIM(J345)="","",H345)</f>
        <v/>
      </c>
      <c r="C345" s="5" t="str">
        <f>LEFT(F345,FIND(".",F345,6))</f>
        <v>Exif.Image.</v>
      </c>
      <c r="D345" s="5" t="str">
        <f>VLOOKUP(C345,PrefixUebersetzung,2,FALSE)</f>
        <v>Exif.Image (Bild).</v>
      </c>
      <c r="E345" s="5" t="str">
        <f>MID(F345,FIND(".",F345,6)+1,99)</f>
        <v>CameraCalibration1</v>
      </c>
      <c r="F345" s="5" t="s">
        <v>238</v>
      </c>
      <c r="G345" s="5" t="s">
        <v>9672</v>
      </c>
      <c r="H345" s="6" t="s">
        <v>8076</v>
      </c>
      <c r="I345" s="7" t="s">
        <v>5080</v>
      </c>
      <c r="K345" s="26"/>
      <c r="L345" s="6" t="str">
        <f>IFERROR(VLOOKUP(E345,A:I,9, FALSE),"")</f>
        <v>Kamerakalibrierung 1</v>
      </c>
      <c r="M345" s="6" t="str">
        <f>IFERROR(INDEX(J:J,MATCH(TRUE,INDEX(B:B=H345,0),0)),"")</f>
        <v/>
      </c>
      <c r="N345" s="6"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Description not translated </v>
      </c>
      <c r="O345" s="6" t="s">
        <v>8574</v>
      </c>
      <c r="P345" s="6" t="s">
        <v>8574</v>
      </c>
    </row>
    <row r="346" spans="1:17" ht="150" x14ac:dyDescent="0.25">
      <c r="A346" s="5" t="str">
        <f>IF(TRIM(I346)="","",E346)</f>
        <v>CameraCalibration2</v>
      </c>
      <c r="B346" s="5" t="str">
        <f>IF(TRIM(J346)="","",H346)</f>
        <v/>
      </c>
      <c r="C346" s="5" t="str">
        <f>LEFT(F346,FIND(".",F346,6))</f>
        <v>Exif.Image.</v>
      </c>
      <c r="D346" s="5" t="str">
        <f>VLOOKUP(C346,PrefixUebersetzung,2,FALSE)</f>
        <v>Exif.Image (Bild).</v>
      </c>
      <c r="E346" s="5" t="str">
        <f>MID(F346,FIND(".",F346,6)+1,99)</f>
        <v>CameraCalibration2</v>
      </c>
      <c r="F346" s="5" t="s">
        <v>239</v>
      </c>
      <c r="G346" s="5" t="s">
        <v>9672</v>
      </c>
      <c r="H346" s="6" t="s">
        <v>2342</v>
      </c>
      <c r="I346" s="7" t="s">
        <v>5081</v>
      </c>
      <c r="K346" s="26"/>
      <c r="L346" s="6" t="str">
        <f>IFERROR(VLOOKUP(E346,A:I,9, FALSE),"")</f>
        <v>Kamerakalibrierung 2</v>
      </c>
      <c r="M346" s="6" t="str">
        <f>IFERROR(INDEX(J:J,MATCH(TRUE,INDEX(B:B=H346,0),0)),"")</f>
        <v/>
      </c>
      <c r="N346" s="6"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Description not translated </v>
      </c>
      <c r="O346" s="6" t="s">
        <v>8574</v>
      </c>
      <c r="P346" s="6" t="s">
        <v>8574</v>
      </c>
    </row>
    <row r="347" spans="1:17" ht="120" x14ac:dyDescent="0.25">
      <c r="A347" s="5" t="str">
        <f>IF(TRIM(I347)="","",E347)</f>
        <v>CameraCalibrationSignature</v>
      </c>
      <c r="B347" s="5" t="str">
        <f>IF(TRIM(J347)="","",H347)</f>
        <v/>
      </c>
      <c r="C347" s="5" t="str">
        <f>LEFT(F347,FIND(".",F347,6))</f>
        <v>Exif.Image.</v>
      </c>
      <c r="D347" s="5" t="str">
        <f>VLOOKUP(C347,PrefixUebersetzung,2,FALSE)</f>
        <v>Exif.Image (Bild).</v>
      </c>
      <c r="E347" s="5" t="str">
        <f>MID(F347,FIND(".",F347,6)+1,99)</f>
        <v>CameraCalibrationSignature</v>
      </c>
      <c r="F347" s="5" t="s">
        <v>240</v>
      </c>
      <c r="G347" s="5" t="s">
        <v>9670</v>
      </c>
      <c r="H347" s="6" t="s">
        <v>2343</v>
      </c>
      <c r="I347" s="7" t="s">
        <v>5082</v>
      </c>
      <c r="K347" s="26"/>
      <c r="L347" s="6" t="str">
        <f>IFERROR(VLOOKUP(E347,A:I,9, FALSE),"")</f>
        <v>Kamerakalibrierung Signatur</v>
      </c>
      <c r="M347" s="6" t="str">
        <f>IFERROR(INDEX(J:J,MATCH(TRUE,INDEX(B:B=H347,0),0)),"")</f>
        <v/>
      </c>
      <c r="N347" s="6"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Description not translated </v>
      </c>
      <c r="O347" s="6" t="s">
        <v>8574</v>
      </c>
      <c r="P347" s="6" t="s">
        <v>8574</v>
      </c>
    </row>
    <row r="348" spans="1:17" ht="90" x14ac:dyDescent="0.25">
      <c r="A348" s="5" t="str">
        <f>IF(TRIM(I348)="","",E348)</f>
        <v>CameraLabel</v>
      </c>
      <c r="B348" s="5" t="str">
        <f>IF(TRIM(J348)="","",H348)</f>
        <v>The optional CameraLabel tag shall specify a text label for how the camera is used or assigned in this clip. This tag is similar to CameraLabel in XMP.</v>
      </c>
      <c r="C348" s="5" t="str">
        <f>LEFT(F348,FIND(".",F348,6))</f>
        <v>Exif.Image.</v>
      </c>
      <c r="D348" s="5" t="str">
        <f>VLOOKUP(C348,PrefixUebersetzung,2,FALSE)</f>
        <v>Exif.Image (Bild).</v>
      </c>
      <c r="E348" s="5" t="str">
        <f>MID(F348,FIND(".",F348,6)+1,99)</f>
        <v>CameraLabel</v>
      </c>
      <c r="F348" s="2" t="s">
        <v>8001</v>
      </c>
      <c r="G348" s="5" t="s">
        <v>9666</v>
      </c>
      <c r="H348" s="3" t="s">
        <v>8002</v>
      </c>
      <c r="I348" s="7" t="s">
        <v>8570</v>
      </c>
      <c r="J348" s="8" t="s">
        <v>8788</v>
      </c>
      <c r="K348" s="26"/>
      <c r="L348" s="6" t="str">
        <f>IFERROR(VLOOKUP(E348,A:I,9, FALSE),"")</f>
        <v>Kamera-Label</v>
      </c>
      <c r="M348" s="6" t="str">
        <f>IFERROR(VLOOKUP(H348,B:J,9,FALSE),"")</f>
        <v>Das optionale Kamera-Label-Tag muss eine Textbezeichnung für die Verwendung oder Zuweisung der Kamera in diesem Clip angeben. Dieses Tag ähnelt CameraLabel in XMP.</v>
      </c>
      <c r="N348" s="6" t="str">
        <f>IF(AND(TRIM(I348)="",L348=""),"Suffix not translated ",
   IF(AND(TRIM(I348)&lt;&gt;"",TRIM(L348)&lt;&gt;"",TRIM(I348)&lt;&gt;TRIM(L348)),"Suffix translation &lt;&gt; lookup ", "" ))
&amp;IF(AND(TRIM(J348)="",M348=""),"Description not translated ",
   IF(AND(TRIM(J348)&lt;&gt;"",TRIM(M348)&lt;&gt;"",TRIM(J348)&lt;&gt;TRIM(M348)),"Description translation&lt;&gt; lookup ", "" ))</f>
        <v/>
      </c>
      <c r="O348" s="6" t="s">
        <v>8574</v>
      </c>
      <c r="P348" s="6" t="s">
        <v>8574</v>
      </c>
    </row>
    <row r="349" spans="1:17" ht="45" x14ac:dyDescent="0.25">
      <c r="A349" s="5" t="str">
        <f>IF(TRIM(I349)="","",E349)</f>
        <v>CameraSerialNumber</v>
      </c>
      <c r="B349" s="5" t="str">
        <f>IF(TRIM(J349)="","",H349)</f>
        <v>CameraSerialNumber contains the serial number of the camera or camera body that captured the image.</v>
      </c>
      <c r="C349" s="5" t="str">
        <f>LEFT(F349,FIND(".",F349,6))</f>
        <v>Exif.Image.</v>
      </c>
      <c r="D349" s="5" t="str">
        <f>VLOOKUP(C349,PrefixUebersetzung,2,FALSE)</f>
        <v>Exif.Image (Bild).</v>
      </c>
      <c r="E349" s="5" t="str">
        <f>MID(F349,FIND(".",F349,6)+1,99)</f>
        <v>CameraSerialNumber</v>
      </c>
      <c r="F349" s="5" t="s">
        <v>241</v>
      </c>
      <c r="G349" s="5" t="s">
        <v>9666</v>
      </c>
      <c r="H349" s="6" t="s">
        <v>2344</v>
      </c>
      <c r="I349" s="7" t="s">
        <v>4964</v>
      </c>
      <c r="J349" s="14" t="s">
        <v>6627</v>
      </c>
      <c r="K349" s="26"/>
      <c r="L349" s="6" t="str">
        <f>IFERROR(VLOOKUP(E349,A:I,9, FALSE),"")</f>
        <v>Kameraseriennummer</v>
      </c>
      <c r="M349" s="6" t="str">
        <f>IFERROR(VLOOKUP(H349,B:J,9,FALSE),"")</f>
        <v>Seriennummer der Kamera oder des Kameragehäuses, die das Bild aufgenommen hat.</v>
      </c>
      <c r="N349" s="6" t="str">
        <f>IF(AND(TRIM(I349)="",L349=""),"Suffix not translated ",
   IF(AND(TRIM(I349)&lt;&gt;"",TRIM(L349)&lt;&gt;"",TRIM(I349)&lt;&gt;TRIM(L349)),"Suffix translation &lt;&gt; lookup ", "" ))
&amp;IF(AND(TRIM(J349)="",M349=""),"Description not translated ",
   IF(AND(TRIM(J349)&lt;&gt;"",TRIM(M349)&lt;&gt;"",TRIM(J349)&lt;&gt;TRIM(M349)),"Description translation&lt;&gt; lookup ", "" ))</f>
        <v/>
      </c>
      <c r="O349" s="6" t="s">
        <v>8574</v>
      </c>
      <c r="P349" s="6" t="s">
        <v>8574</v>
      </c>
    </row>
    <row r="350" spans="1:17" ht="60" x14ac:dyDescent="0.25">
      <c r="A350" s="5" t="str">
        <f>IF(TRIM(I350)="","",E350)</f>
        <v>CellLength</v>
      </c>
      <c r="B350" s="5" t="str">
        <f>IF(TRIM(J350)="","",H350)</f>
        <v>The length of the dithering or halftoning matrix used to create a dithered or halftoned bilevel file.</v>
      </c>
      <c r="C350" s="5" t="str">
        <f>LEFT(F350,FIND(".",F350,6))</f>
        <v>Exif.Image.</v>
      </c>
      <c r="D350" s="5" t="str">
        <f>VLOOKUP(C350,PrefixUebersetzung,2,FALSE)</f>
        <v>Exif.Image (Bild).</v>
      </c>
      <c r="E350" s="5" t="str">
        <f>MID(F350,FIND(".",F350,6)+1,99)</f>
        <v>CellLength</v>
      </c>
      <c r="F350" s="5" t="s">
        <v>242</v>
      </c>
      <c r="G350" s="5" t="s">
        <v>9664</v>
      </c>
      <c r="H350" s="6" t="s">
        <v>2345</v>
      </c>
      <c r="I350" s="7" t="s">
        <v>4248</v>
      </c>
      <c r="J350" s="14" t="s">
        <v>5181</v>
      </c>
      <c r="K350" s="26"/>
      <c r="L350" s="6" t="str">
        <f>IFERROR(VLOOKUP(E350,A:I,9, FALSE),"")</f>
        <v>Zellenlänge</v>
      </c>
      <c r="M350" s="6" t="str">
        <f>IFERROR(VLOOKUP(H350,B:J,9,FALSE),"")</f>
        <v>Die Länge des Dithering oder Halbton-Matrix, die verwendet wurde, um eine gerasterte oder gerasterten Bilevel-Datei zu erstellen.</v>
      </c>
      <c r="N350" s="6" t="str">
        <f>IF(AND(TRIM(I350)="",L350=""),"Suffix not translated ",
   IF(AND(TRIM(I350)&lt;&gt;"",TRIM(L350)&lt;&gt;"",TRIM(I350)&lt;&gt;TRIM(L350)),"Suffix translation &lt;&gt; lookup ", "" ))
&amp;IF(AND(TRIM(J350)="",M350=""),"Description not translated ",
   IF(AND(TRIM(J350)&lt;&gt;"",TRIM(M350)&lt;&gt;"",TRIM(J350)&lt;&gt;TRIM(M350)),"Description translation&lt;&gt; lookup ", "" ))</f>
        <v/>
      </c>
      <c r="O350" s="6" t="s">
        <v>8574</v>
      </c>
      <c r="P350" s="6" t="s">
        <v>8574</v>
      </c>
    </row>
    <row r="351" spans="1:17" ht="60" x14ac:dyDescent="0.25">
      <c r="A351" s="5" t="str">
        <f>IF(TRIM(I351)="","",E351)</f>
        <v>CellWidth</v>
      </c>
      <c r="B351" s="5" t="str">
        <f>IF(TRIM(J351)="","",H351)</f>
        <v>The width of the dithering or halftoning matrix used to create a dithered or halftoned bilevel file.</v>
      </c>
      <c r="C351" s="5" t="str">
        <f>LEFT(F351,FIND(".",F351,6))</f>
        <v>Exif.Image.</v>
      </c>
      <c r="D351" s="5" t="str">
        <f>VLOOKUP(C351,PrefixUebersetzung,2,FALSE)</f>
        <v>Exif.Image (Bild).</v>
      </c>
      <c r="E351" s="5" t="str">
        <f>MID(F351,FIND(".",F351,6)+1,99)</f>
        <v>CellWidth</v>
      </c>
      <c r="F351" s="5" t="s">
        <v>243</v>
      </c>
      <c r="G351" s="5" t="s">
        <v>9664</v>
      </c>
      <c r="H351" s="6" t="s">
        <v>2346</v>
      </c>
      <c r="I351" s="7" t="s">
        <v>4249</v>
      </c>
      <c r="J351" s="14" t="s">
        <v>5182</v>
      </c>
      <c r="K351" s="26"/>
      <c r="L351" s="6" t="str">
        <f>IFERROR(VLOOKUP(E351,A:I,9, FALSE),"")</f>
        <v>Zellenbreite</v>
      </c>
      <c r="M351" s="6" t="str">
        <f>IFERROR(VLOOKUP(H351,B:J,9,FALSE),"")</f>
        <v>Die Breite des Dithering oder Halbton-Matrix, die verwendet wurde, um eine gerasterte oder gerasterten Bilevel-Datei zu erstellen.</v>
      </c>
      <c r="N351" s="6" t="str">
        <f>IF(AND(TRIM(I351)="",L351=""),"Suffix not translated ",
   IF(AND(TRIM(I351)&lt;&gt;"",TRIM(L351)&lt;&gt;"",TRIM(I351)&lt;&gt;TRIM(L351)),"Suffix translation &lt;&gt; lookup ", "" ))
&amp;IF(AND(TRIM(J351)="",M351=""),"Description not translated ",
   IF(AND(TRIM(J351)&lt;&gt;"",TRIM(M351)&lt;&gt;"",TRIM(J351)&lt;&gt;TRIM(M351)),"Description translation&lt;&gt; lookup ", "" ))</f>
        <v/>
      </c>
      <c r="O351" s="6" t="s">
        <v>8574</v>
      </c>
      <c r="P351" s="6" t="s">
        <v>8574</v>
      </c>
    </row>
    <row r="352" spans="1:17" ht="30" x14ac:dyDescent="0.25">
      <c r="A352" s="5" t="str">
        <f>IF(TRIM(I352)="","",E352)</f>
        <v>CFALayout</v>
      </c>
      <c r="B352" s="5" t="str">
        <f>IF(TRIM(J352)="","",H352)</f>
        <v>Describes the spatial layout of the CFA.</v>
      </c>
      <c r="C352" s="5" t="str">
        <f>LEFT(F352,FIND(".",F352,6))</f>
        <v>Exif.Image.</v>
      </c>
      <c r="D352" s="5" t="str">
        <f>VLOOKUP(C352,PrefixUebersetzung,2,FALSE)</f>
        <v>Exif.Image (Bild).</v>
      </c>
      <c r="E352" s="5" t="str">
        <f>MID(F352,FIND(".",F352,6)+1,99)</f>
        <v>CFALayout</v>
      </c>
      <c r="F352" s="5" t="s">
        <v>244</v>
      </c>
      <c r="G352" s="5" t="s">
        <v>9664</v>
      </c>
      <c r="H352" s="6" t="s">
        <v>2347</v>
      </c>
      <c r="I352" s="7" t="s">
        <v>4250</v>
      </c>
      <c r="J352" s="14" t="s">
        <v>3882</v>
      </c>
      <c r="K352" s="26"/>
      <c r="L352" s="6" t="str">
        <f>IFERROR(VLOOKUP(E352,A:I,9, FALSE),"")</f>
        <v>CFA Layout</v>
      </c>
      <c r="M352" s="6" t="str">
        <f>IFERROR(VLOOKUP(H352,B:J,9,FALSE),"")</f>
        <v>Beschreibt die räumliche Anordnung des CFA.</v>
      </c>
      <c r="N352" s="6" t="str">
        <f>IF(AND(TRIM(I352)="",L352=""),"Suffix not translated ",
   IF(AND(TRIM(I352)&lt;&gt;"",TRIM(L352)&lt;&gt;"",TRIM(I352)&lt;&gt;TRIM(L352)),"Suffix translation &lt;&gt; lookup ", "" ))
&amp;IF(AND(TRIM(J352)="",M352=""),"Description not translated ",
   IF(AND(TRIM(J352)&lt;&gt;"",TRIM(M352)&lt;&gt;"",TRIM(J352)&lt;&gt;TRIM(M352)),"Description translation&lt;&gt; lookup ", "" ))</f>
        <v/>
      </c>
      <c r="O352" s="6" t="s">
        <v>8574</v>
      </c>
      <c r="P352" s="6" t="s">
        <v>8574</v>
      </c>
    </row>
    <row r="353" spans="1:17" ht="75" x14ac:dyDescent="0.25">
      <c r="A353" s="5" t="str">
        <f>IF(TRIM(I353)="","",E353)</f>
        <v>CFAPattern</v>
      </c>
      <c r="B353" s="5" t="str">
        <f>IF(TRIM(J353)="","",H353)</f>
        <v>Indicates the color filter array (CFA) geometric pattern of the image sensor when a one-chip color area sensor is used. It does not apply to all sensing methods</v>
      </c>
      <c r="C353" s="5" t="str">
        <f>LEFT(F353,FIND(".",F353,6))</f>
        <v>Exif.Image.</v>
      </c>
      <c r="D353" s="5" t="str">
        <f>VLOOKUP(C353,PrefixUebersetzung,2,FALSE)</f>
        <v>Exif.Image (Bild).</v>
      </c>
      <c r="E353" s="5" t="str">
        <f>MID(F353,FIND(".",F353,6)+1,99)</f>
        <v>CFAPattern</v>
      </c>
      <c r="F353" s="5" t="s">
        <v>245</v>
      </c>
      <c r="G353" s="5" t="s">
        <v>9670</v>
      </c>
      <c r="H353" s="6" t="s">
        <v>2348</v>
      </c>
      <c r="I353" s="7" t="s">
        <v>4251</v>
      </c>
      <c r="J353" s="14" t="s">
        <v>5183</v>
      </c>
      <c r="K353" s="26"/>
      <c r="L353" s="6" t="str">
        <f>IFERROR(VLOOKUP(E353,A:I,9, FALSE),"")</f>
        <v>CFA Pattern</v>
      </c>
      <c r="M353" s="6" t="str">
        <f>IFERROR(VLOOKUP(H353,B:J,9,FALSE),"")</f>
        <v>Geometrische Muster  der Farbfilteranordnung (CFA) des Bildsensors, wenn ein Ein-Chip-Farbsensor verwendet wird. Nicht anwendbar für alle Sensor-Verfahren.</v>
      </c>
      <c r="N353" s="6" t="str">
        <f>IF(AND(TRIM(I353)="",L353=""),"Suffix not translated ",
   IF(AND(TRIM(I353)&lt;&gt;"",TRIM(L353)&lt;&gt;"",TRIM(I353)&lt;&gt;TRIM(L353)),"Suffix translation &lt;&gt; lookup ", "" ))
&amp;IF(AND(TRIM(J353)="",M353=""),"Description not translated ",
   IF(AND(TRIM(J353)&lt;&gt;"",TRIM(M353)&lt;&gt;"",TRIM(J353)&lt;&gt;TRIM(M353)),"Description translation&lt;&gt; lookup ", "" ))</f>
        <v/>
      </c>
      <c r="O353" s="6" t="s">
        <v>8574</v>
      </c>
      <c r="P353" s="6" t="s">
        <v>8574</v>
      </c>
    </row>
    <row r="354" spans="1:17" ht="45" x14ac:dyDescent="0.25">
      <c r="A354" s="5" t="str">
        <f>IF(TRIM(I354)="","",E354)</f>
        <v/>
      </c>
      <c r="B354" s="5" t="str">
        <f>IF(TRIM(J354)="","",H354)</f>
        <v/>
      </c>
      <c r="C354" s="5" t="str">
        <f>LEFT(F354,FIND(".",F354,6))</f>
        <v>Exif.Image.</v>
      </c>
      <c r="D354" s="5" t="str">
        <f>VLOOKUP(C354,PrefixUebersetzung,2,FALSE)</f>
        <v>Exif.Image (Bild).</v>
      </c>
      <c r="E354" s="5" t="str">
        <f>MID(F354,FIND(".",F354,6)+1,99)</f>
        <v>CFAPlaneColor</v>
      </c>
      <c r="F354" s="5" t="s">
        <v>246</v>
      </c>
      <c r="G354" s="5" t="s">
        <v>9670</v>
      </c>
      <c r="H354" s="6" t="s">
        <v>2349</v>
      </c>
      <c r="I354" s="7"/>
      <c r="K354" s="26"/>
      <c r="L354" s="6" t="str">
        <f>IFERROR(VLOOKUP(E354,A:I,9, FALSE),"")</f>
        <v/>
      </c>
      <c r="M354" s="6" t="str">
        <f>IFERROR(VLOOKUP(H354,B:J,9,FALSE),"")</f>
        <v/>
      </c>
      <c r="N354" s="6"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6" t="s">
        <v>8574</v>
      </c>
      <c r="P354" s="6" t="s">
        <v>8574</v>
      </c>
    </row>
    <row r="355" spans="1:17" ht="45" x14ac:dyDescent="0.25">
      <c r="A355" s="5" t="str">
        <f>IF(TRIM(I355)="","",E355)</f>
        <v/>
      </c>
      <c r="B355" s="5" t="str">
        <f>IF(TRIM(J355)="","",H355)</f>
        <v/>
      </c>
      <c r="C355" s="5" t="str">
        <f>LEFT(F355,FIND(".",F355,6))</f>
        <v>Exif.Image.</v>
      </c>
      <c r="D355" s="5" t="str">
        <f>VLOOKUP(C355,PrefixUebersetzung,2,FALSE)</f>
        <v>Exif.Image (Bild).</v>
      </c>
      <c r="E355" s="5" t="str">
        <f>MID(F355,FIND(".",F355,6)+1,99)</f>
        <v>CFARepeatPatternDim</v>
      </c>
      <c r="F355" s="5" t="s">
        <v>247</v>
      </c>
      <c r="G355" s="5" t="s">
        <v>9664</v>
      </c>
      <c r="H355" s="6" t="s">
        <v>2350</v>
      </c>
      <c r="I355" s="7"/>
      <c r="K355" s="26"/>
      <c r="L355" s="6" t="str">
        <f>IFERROR(VLOOKUP(E355,A:I,9, FALSE),"")</f>
        <v/>
      </c>
      <c r="M355" s="6" t="str">
        <f>IFERROR(VLOOKUP(H355,B:J,9,FALSE),"")</f>
        <v/>
      </c>
      <c r="N355" s="6"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6" t="s">
        <v>8574</v>
      </c>
      <c r="P355" s="6" t="s">
        <v>8574</v>
      </c>
    </row>
    <row r="356" spans="1:17" ht="135" x14ac:dyDescent="0.25">
      <c r="A356" s="5" t="str">
        <f>IF(TRIM(I356)="","",E356)</f>
        <v/>
      </c>
      <c r="B356" s="5" t="str">
        <f>IF(TRIM(J356)="","",H356)</f>
        <v/>
      </c>
      <c r="C356" s="5" t="str">
        <f>LEFT(F356,FIND(".",F356,6))</f>
        <v>Exif.Image.</v>
      </c>
      <c r="D356" s="5" t="str">
        <f>VLOOKUP(C356,PrefixUebersetzung,2,FALSE)</f>
        <v>Exif.Image (Bild).</v>
      </c>
      <c r="E356" s="5" t="str">
        <f>MID(F356,FIND(".",F356,6)+1,99)</f>
        <v>ChromaBlurRadius</v>
      </c>
      <c r="F356" s="5" t="s">
        <v>248</v>
      </c>
      <c r="G356" s="5" t="s">
        <v>9671</v>
      </c>
      <c r="H356" s="6" t="s">
        <v>2351</v>
      </c>
      <c r="I356" s="7"/>
      <c r="K356" s="26"/>
      <c r="L356" s="6" t="str">
        <f>IFERROR(VLOOKUP(E356,A:I,9, FALSE),"")</f>
        <v/>
      </c>
      <c r="M356" s="6" t="str">
        <f>IFERROR(INDEX(J:J,MATCH(TRUE,INDEX(B:B=H356,0),0)),"")</f>
        <v/>
      </c>
      <c r="N356" s="6" t="str">
        <f>IF(AND(TRIM(I356)="",L356=""),"Suffix not translated ",
   IF(AND(TRIM(I356)&lt;&gt;"",TRIM(L356)&lt;&gt;"",TRIM(I356)&lt;&gt;TRIM(L356)),"Suffix translation &lt;&gt; lookup ", "" ))
&amp;IF(AND(TRIM(J356)="",M356=""),"Description not translated ",
   IF(AND(TRIM(J356)&lt;&gt;"",TRIM(M356)&lt;&gt;"",TRIM(J356)&lt;&gt;TRIM(M356)),"Description translation&lt;&gt; lookup ", "" ))</f>
        <v xml:space="preserve">Suffix not translated Description not translated </v>
      </c>
      <c r="O356" s="6" t="s">
        <v>8574</v>
      </c>
      <c r="P356" s="6" t="s">
        <v>8574</v>
      </c>
    </row>
    <row r="357" spans="1:17" ht="30" x14ac:dyDescent="0.25">
      <c r="A357" s="5" t="str">
        <f>IF(TRIM(I357)="","",E357)</f>
        <v/>
      </c>
      <c r="B357" s="5" t="str">
        <f>IF(TRIM(J357)="","",H357)</f>
        <v/>
      </c>
      <c r="C357" s="5" t="str">
        <f>LEFT(F357,FIND(".",F357,6))</f>
        <v>Exif.Image.</v>
      </c>
      <c r="D357" s="5" t="str">
        <f>VLOOKUP(C357,PrefixUebersetzung,2,FALSE)</f>
        <v>Exif.Image (Bild).</v>
      </c>
      <c r="E357" s="5" t="str">
        <f>MID(F357,FIND(".",F357,6)+1,99)</f>
        <v>ClipPath</v>
      </c>
      <c r="F357" s="5" t="s">
        <v>249</v>
      </c>
      <c r="G357" s="5" t="s">
        <v>9670</v>
      </c>
      <c r="H357" s="6" t="s">
        <v>2352</v>
      </c>
      <c r="I357" s="7"/>
      <c r="K357" s="26"/>
      <c r="L357" s="6" t="str">
        <f>IFERROR(VLOOKUP(E357,A:I,9, FALSE),"")</f>
        <v/>
      </c>
      <c r="M357" s="6" t="str">
        <f>IFERROR(VLOOKUP(H357,B:J,9,FALSE),"")</f>
        <v/>
      </c>
      <c r="N357" s="6" t="str">
        <f>IF(AND(TRIM(I357)="",L357=""),"Suffix not translated ",
   IF(AND(TRIM(I357)&lt;&gt;"",TRIM(L357)&lt;&gt;"",TRIM(I357)&lt;&gt;TRIM(L357)),"Suffix translation &lt;&gt; lookup ", "" ))
&amp;IF(AND(TRIM(J357)="",M357=""),"Description not translated ",
   IF(AND(TRIM(J357)&lt;&gt;"",TRIM(M357)&lt;&gt;"",TRIM(J357)&lt;&gt;TRIM(M357)),"Description translation&lt;&gt; lookup ", "" ))</f>
        <v xml:space="preserve">Suffix not translated Description not translated </v>
      </c>
      <c r="O357" s="6" t="s">
        <v>8574</v>
      </c>
      <c r="P357" s="6" t="s">
        <v>8574</v>
      </c>
    </row>
    <row r="358" spans="1:17" ht="120" x14ac:dyDescent="0.25">
      <c r="A358" s="5" t="str">
        <f>IF(TRIM(I358)="","",E358)</f>
        <v/>
      </c>
      <c r="B358" s="5" t="str">
        <f>IF(TRIM(J358)="","",H358)</f>
        <v/>
      </c>
      <c r="C358" s="5" t="str">
        <f>LEFT(F358,FIND(".",F358,6))</f>
        <v>Exif.Image.</v>
      </c>
      <c r="D358" s="5" t="str">
        <f>VLOOKUP(C358,PrefixUebersetzung,2,FALSE)</f>
        <v>Exif.Image (Bild).</v>
      </c>
      <c r="E358" s="5" t="str">
        <f>MID(F358,FIND(".",F358,6)+1,99)</f>
        <v>ColorimetricReference</v>
      </c>
      <c r="F358" s="5" t="s">
        <v>250</v>
      </c>
      <c r="G358" s="5" t="s">
        <v>9664</v>
      </c>
      <c r="H358" s="6" t="s">
        <v>2353</v>
      </c>
      <c r="I358" s="7"/>
      <c r="K358" s="26"/>
      <c r="L358" s="6" t="str">
        <f>IFERROR(VLOOKUP(E358,A:I,9, FALSE),"")</f>
        <v/>
      </c>
      <c r="M358" s="6" t="str">
        <f>IFERROR(INDEX(J:J,MATCH(TRUE,INDEX(B:B=H358,0),0)),"")</f>
        <v/>
      </c>
      <c r="N358" s="6" t="str">
        <f>IF(AND(TRIM(I358)="",L358=""),"Suffix not translated ",
   IF(AND(TRIM(I358)&lt;&gt;"",TRIM(L358)&lt;&gt;"",TRIM(I358)&lt;&gt;TRIM(L358)),"Suffix translation &lt;&gt; lookup ", "" ))
&amp;IF(AND(TRIM(J358)="",M358=""),"Description not translated ",
   IF(AND(TRIM(J358)&lt;&gt;"",TRIM(M358)&lt;&gt;"",TRIM(J358)&lt;&gt;TRIM(M358)),"Description translation&lt;&gt; lookup ", "" ))</f>
        <v xml:space="preserve">Suffix not translated Description not translated </v>
      </c>
      <c r="O358" s="6" t="s">
        <v>8574</v>
      </c>
      <c r="P358" s="6" t="s">
        <v>8574</v>
      </c>
    </row>
    <row r="359" spans="1:17" ht="105" x14ac:dyDescent="0.25">
      <c r="A359" s="5" t="str">
        <f>IF(TRIM(I359)="","",E359)</f>
        <v>ColorMap</v>
      </c>
      <c r="B359" s="5" t="str">
        <f>IF(TRIM(J359)="","",H359)</f>
        <v>A color map for palette color images. This field defines a Red-Green-Blue color map (often called a lookup table) for palette-color images. In a palette-color image, a pixel value is used to index into an RGB lookup table.</v>
      </c>
      <c r="C359" s="5" t="str">
        <f>LEFT(F359,FIND(".",F359,6))</f>
        <v>Exif.Image.</v>
      </c>
      <c r="D359" s="5" t="str">
        <f>VLOOKUP(C359,PrefixUebersetzung,2,FALSE)</f>
        <v>Exif.Image (Bild).</v>
      </c>
      <c r="E359" s="5" t="str">
        <f>MID(F359,FIND(".",F359,6)+1,99)</f>
        <v>ColorMap</v>
      </c>
      <c r="F359" s="5" t="s">
        <v>251</v>
      </c>
      <c r="G359" s="5" t="s">
        <v>9664</v>
      </c>
      <c r="H359" s="6" t="s">
        <v>2354</v>
      </c>
      <c r="I359" s="7" t="s">
        <v>4252</v>
      </c>
      <c r="J359" s="14" t="s">
        <v>5184</v>
      </c>
      <c r="K359" s="26"/>
      <c r="L359" s="6" t="str">
        <f>IFERROR(VLOOKUP(E359,A:I,9, FALSE),"")</f>
        <v>Farbpalette</v>
      </c>
      <c r="M359" s="6" t="str">
        <f>IFERROR(VLOOKUP(H359,B:J,9,FALSE),"")</f>
        <v>Eine Farb-Karte für Palette-Farbbilder. Dieses Feld definiert eine Rot-Grün-Blau Farb-Karte (oft als Lookup-Tabelle) für Palette-Farbbilder. In einem Palette-Farbbild wird ein Pixelwert als Index auf eine RGB-Lookup-Tabelle verwendet.</v>
      </c>
      <c r="N359" s="6" t="str">
        <f>IF(AND(TRIM(I359)="",L359=""),"Suffix not translated ",
   IF(AND(TRIM(I359)&lt;&gt;"",TRIM(L359)&lt;&gt;"",TRIM(I359)&lt;&gt;TRIM(L359)),"Suffix translation &lt;&gt; lookup ", "" ))
&amp;IF(AND(TRIM(J359)="",M359=""),"Description not translated ",
   IF(AND(TRIM(J359)&lt;&gt;"",TRIM(M359)&lt;&gt;"",TRIM(J359)&lt;&gt;TRIM(M359)),"Description translation&lt;&gt; lookup ", "" ))</f>
        <v/>
      </c>
      <c r="O359" s="6" t="s">
        <v>8574</v>
      </c>
      <c r="P359" s="6" t="s">
        <v>8574</v>
      </c>
    </row>
    <row r="360" spans="1:17" ht="90" x14ac:dyDescent="0.25">
      <c r="A360" s="5" t="str">
        <f>IF(TRIM(I360)="","",E360)</f>
        <v>ColorMatrix1</v>
      </c>
      <c r="B360" s="5" t="str">
        <f>IF(TRIM(J360)="","",H360)</f>
        <v/>
      </c>
      <c r="C360" s="5" t="str">
        <f>LEFT(F360,FIND(".",F360,6))</f>
        <v>Exif.Image.</v>
      </c>
      <c r="D360" s="5" t="str">
        <f>VLOOKUP(C360,PrefixUebersetzung,2,FALSE)</f>
        <v>Exif.Image (Bild).</v>
      </c>
      <c r="E360" s="5" t="str">
        <f>MID(F360,FIND(".",F360,6)+1,99)</f>
        <v>ColorMatrix1</v>
      </c>
      <c r="F360" s="5" t="s">
        <v>252</v>
      </c>
      <c r="G360" s="5" t="s">
        <v>9672</v>
      </c>
      <c r="H360" s="6" t="s">
        <v>2355</v>
      </c>
      <c r="I360" s="7" t="s">
        <v>4253</v>
      </c>
      <c r="K360" s="26"/>
      <c r="L360" s="6" t="str">
        <f>IFERROR(VLOOKUP(E360,A:I,9, FALSE),"")</f>
        <v>Farbmatrix 1</v>
      </c>
      <c r="M360" s="6" t="str">
        <f>IFERROR(INDEX(J:J,MATCH(TRUE,INDEX(B:B=H360,0),0)),"")</f>
        <v/>
      </c>
      <c r="N360" s="6" t="str">
        <f>IF(AND(TRIM(I360)="",L360=""),"Suffix not translated ",
   IF(AND(TRIM(I360)&lt;&gt;"",TRIM(L360)&lt;&gt;"",TRIM(I360)&lt;&gt;TRIM(L360)),"Suffix translation &lt;&gt; lookup ", "" ))
&amp;IF(AND(TRIM(J360)="",M360=""),"Description not translated ",
   IF(AND(TRIM(J360)&lt;&gt;"",TRIM(M360)&lt;&gt;"",TRIM(J360)&lt;&gt;TRIM(M360)),"Description translation&lt;&gt; lookup ", "" ))</f>
        <v xml:space="preserve">Description not translated </v>
      </c>
      <c r="O360" s="6" t="s">
        <v>8574</v>
      </c>
      <c r="P360" s="6" t="s">
        <v>8574</v>
      </c>
    </row>
    <row r="361" spans="1:17" ht="60" x14ac:dyDescent="0.25">
      <c r="A361" s="5" t="str">
        <f>IF(TRIM(I361)="","",E361)</f>
        <v>ColorMatrix2</v>
      </c>
      <c r="B361" s="5" t="str">
        <f>IF(TRIM(J361)="","",H361)</f>
        <v/>
      </c>
      <c r="C361" s="5" t="str">
        <f>LEFT(F361,FIND(".",F361,6))</f>
        <v>Exif.Image.</v>
      </c>
      <c r="D361" s="5" t="str">
        <f>VLOOKUP(C361,PrefixUebersetzung,2,FALSE)</f>
        <v>Exif.Image (Bild).</v>
      </c>
      <c r="E361" s="5" t="str">
        <f>MID(F361,FIND(".",F361,6)+1,99)</f>
        <v>ColorMatrix2</v>
      </c>
      <c r="F361" s="5" t="s">
        <v>253</v>
      </c>
      <c r="G361" s="5" t="s">
        <v>9672</v>
      </c>
      <c r="H361" s="6" t="s">
        <v>2356</v>
      </c>
      <c r="I361" s="7" t="s">
        <v>4254</v>
      </c>
      <c r="K361" s="26"/>
      <c r="L361" s="6" t="str">
        <f>IFERROR(VLOOKUP(E361,A:I,9, FALSE),"")</f>
        <v>Farbmatrix 2</v>
      </c>
      <c r="M361" s="6" t="str">
        <f>IFERROR(VLOOKUP(H361,B:J,9,FALSE),"")</f>
        <v/>
      </c>
      <c r="N361" s="6"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Description not translated </v>
      </c>
      <c r="O361" s="6" t="s">
        <v>8574</v>
      </c>
      <c r="P361" s="6" t="s">
        <v>8574</v>
      </c>
    </row>
    <row r="362" spans="1:17" ht="45" x14ac:dyDescent="0.25">
      <c r="A362" s="5" t="str">
        <f>IF(TRIM(I362)="","",E362)</f>
        <v>CompressedBitsPerPixel</v>
      </c>
      <c r="B362" s="5" t="str">
        <f>IF(TRIM(J362)="","",H362)</f>
        <v>Specific to compressed data; states the compressed bits per pixel.</v>
      </c>
      <c r="C362" s="5" t="str">
        <f>LEFT(F362,FIND(".",F362,6))</f>
        <v>Exif.Image.</v>
      </c>
      <c r="D362" s="5" t="str">
        <f>VLOOKUP(C362,PrefixUebersetzung,2,FALSE)</f>
        <v>Exif.Image (Bild).</v>
      </c>
      <c r="E362" s="5" t="str">
        <f>MID(F362,FIND(".",F362,6)+1,99)</f>
        <v>CompressedBitsPerPixel</v>
      </c>
      <c r="F362" s="5" t="s">
        <v>254</v>
      </c>
      <c r="G362" s="5" t="s">
        <v>9671</v>
      </c>
      <c r="H362" s="6" t="s">
        <v>2357</v>
      </c>
      <c r="I362" s="7" t="s">
        <v>4255</v>
      </c>
      <c r="J362" s="14" t="s">
        <v>5269</v>
      </c>
      <c r="K362" s="26"/>
      <c r="L362" s="6" t="str">
        <f>IFERROR(VLOOKUP(E362,A:I,9, FALSE),"")</f>
        <v>Komprimierte Bits je Pixel</v>
      </c>
      <c r="M362" s="6" t="str">
        <f>IFERROR(VLOOKUP(H362,B:J,9,FALSE),"")</f>
        <v>Spezifisch für komprimierten Daten; gibt die komprimierten Bits pro Pixel an.</v>
      </c>
      <c r="N362" s="6" t="str">
        <f>IF(AND(TRIM(I362)="",L362=""),"Suffix not translated ",
   IF(AND(TRIM(I362)&lt;&gt;"",TRIM(L362)&lt;&gt;"",TRIM(I362)&lt;&gt;TRIM(L362)),"Suffix translation &lt;&gt; lookup ", "" ))
&amp;IF(AND(TRIM(J362)="",M362=""),"Description not translated ",
   IF(AND(TRIM(J362)&lt;&gt;"",TRIM(M362)&lt;&gt;"",TRIM(J362)&lt;&gt;TRIM(M362)),"Description translation&lt;&gt; lookup ", "" ))</f>
        <v/>
      </c>
      <c r="O362" s="6" t="s">
        <v>8574</v>
      </c>
      <c r="P362" s="6" t="s">
        <v>8574</v>
      </c>
    </row>
    <row r="363" spans="1:17" ht="120" x14ac:dyDescent="0.25">
      <c r="A363" s="5" t="str">
        <f>IF(TRIM(I363)="","",E363)</f>
        <v>Compression</v>
      </c>
      <c r="B363" s="5" t="str">
        <f>IF(TRIM(J363)="","",H363)</f>
        <v>The compression scheme used for the image data. When a primary image is JPEG compressed, this designation is not necessary and is omitted. When thumbnails use JPEG compression, this tag value is set to 6.</v>
      </c>
      <c r="C363" s="5" t="str">
        <f>LEFT(F363,FIND(".",F363,6))</f>
        <v>Exif.Image.</v>
      </c>
      <c r="D363" s="5" t="str">
        <f>VLOOKUP(C363,PrefixUebersetzung,2,FALSE)</f>
        <v>Exif.Image (Bild).</v>
      </c>
      <c r="E363" s="5" t="str">
        <f>MID(F363,FIND(".",F363,6)+1,99)</f>
        <v>Compression</v>
      </c>
      <c r="F363" s="5" t="s">
        <v>255</v>
      </c>
      <c r="G363" s="5" t="s">
        <v>9664</v>
      </c>
      <c r="H363" s="6" t="s">
        <v>2358</v>
      </c>
      <c r="I363" s="7" t="s">
        <v>4256</v>
      </c>
      <c r="J363" s="14" t="s">
        <v>5270</v>
      </c>
      <c r="K363" s="26"/>
      <c r="L363" s="6" t="str">
        <f>IFERROR(VLOOKUP(E363,A:I,9, FALSE),"")</f>
        <v>Komprimierung</v>
      </c>
      <c r="M363" s="6" t="str">
        <f>IFERROR(VLOOKUP(H363,B:J,9,FALSE),"")</f>
        <v>Das für die Bilddaten verwendets Komprimierungsverfahren. Wenn ein Primär-JPEG-komprimiert ist, ist diese Bezeichnung nicht erforderlich und wird weggelassen. Wenn Vorschaubilder JPEG-Komprimierung verwenden, wird dieser Tag-Wert auf 6 gesetzt.</v>
      </c>
      <c r="N363" s="6" t="str">
        <f>IF(AND(TRIM(I363)="",L363=""),"Suffix not translated ",
   IF(AND(TRIM(I363)&lt;&gt;"",TRIM(L363)&lt;&gt;"",TRIM(I363)&lt;&gt;TRIM(L363)),"Suffix translation &lt;&gt; lookup ", "" ))
&amp;IF(AND(TRIM(J363)="",M363=""),"Description not translated ",
   IF(AND(TRIM(J363)&lt;&gt;"",TRIM(M363)&lt;&gt;"",TRIM(J363)&lt;&gt;TRIM(M363)),"Description translation&lt;&gt; lookup ", "" ))</f>
        <v/>
      </c>
      <c r="O363" s="6" t="s">
        <v>8574</v>
      </c>
      <c r="P363" s="6" t="s">
        <v>8574</v>
      </c>
    </row>
    <row r="364" spans="1:17" ht="409.5" x14ac:dyDescent="0.25">
      <c r="A364" s="5" t="str">
        <f>IF(TRIM(I364)="","",E364)</f>
        <v>Copyright</v>
      </c>
      <c r="B364" s="5" t="str">
        <f>IF(TRIM(J364)="","",H364)</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364" s="5" t="str">
        <f>LEFT(F364,FIND(".",F364,6))</f>
        <v>Exif.Image.</v>
      </c>
      <c r="D364" s="5" t="str">
        <f>VLOOKUP(C364,PrefixUebersetzung,2,FALSE)</f>
        <v>Exif.Image (Bild).</v>
      </c>
      <c r="E364" s="5" t="str">
        <f>MID(F364,FIND(".",F364,6)+1,99)</f>
        <v>Copyright</v>
      </c>
      <c r="F364" s="5" t="s">
        <v>256</v>
      </c>
      <c r="G364" s="5" t="s">
        <v>9666</v>
      </c>
      <c r="H364" s="6" t="s">
        <v>8096</v>
      </c>
      <c r="I364" s="7" t="s">
        <v>4205</v>
      </c>
      <c r="J364" s="14" t="s">
        <v>6628</v>
      </c>
      <c r="K364" s="26"/>
      <c r="L364" s="6" t="str">
        <f>IFERROR(VLOOKUP(E364,A:I,9, FALSE),"")</f>
        <v>Copyright</v>
      </c>
      <c r="M364" s="6" t="str">
        <f>IFERROR(INDEX(J:J,MATCH(TRUE,INDEX(B:B=H364,0),0)),"")</f>
        <v>Copyright Information. In diesem Standard wird das Tag verwendet, um sowohl die Fotografen- als auch Herausgeber-Urheberrechte anzugeben. Es ist der Copyright-Vermerk der Person oder Organisation, die Ansprüche auf das Bild geltend machen. Die Copyright-Erklärung inklusive Datum und Rechte sollten in diesem Bereich geschrieben werden, z.B. "Urheberrecht, John Smith, 19xx Alle Rechte vorbehalten.". In dieser Norm enthält das Feld Datensätze sowohl der Fotografen- als auch Herausgeber-Urheberrechte, wobei jeder in einem separaten Teil erfasst wird. Wenn es eine klare Unterscheidung zwischen den Fotografen- und Herausgeber-Urheberrechte gibt, sind diese in der Reihenfolge der Fotografen- vor den Herausgeber-Urheberrechten, durch NULL getrennt, zu schreiben (in diesem Fall, da dieAngabe auch mit einem NULL endet, gibt es zwei NULL-Codes). Wenn nur die Fotografen-Urheberrechte angegeben sind, wird es durch einen NULL-Code beendet. Wenn nur die Herausgeber-Urheberrechte angegeben ist, bestehen die Fotografen-Urhaberrechte aus einem Bereich, gefolgt von einem abschließenden NULL-Code, dann werden die Herausgeber-Urheberrechte angegeben. Wenn das Feld leer ist, wird es als unbekannt behandelt.</v>
      </c>
      <c r="N364" s="6" t="str">
        <f>IF(AND(TRIM(I364)="",L364=""),"Suffix not translated ",
   IF(AND(TRIM(I364)&lt;&gt;"",TRIM(L364)&lt;&gt;"",TRIM(I364)&lt;&gt;TRIM(L364)),"Suffix translation &lt;&gt; lookup ", "" ))
&amp;IF(AND(TRIM(J364)="",M364=""),"Description not translated ",
   IF(AND(TRIM(J364)&lt;&gt;"",TRIM(M364)&lt;&gt;"",TRIM(J364)&lt;&gt;TRIM(M364)),"Description translation&lt;&gt; lookup ", "" ))</f>
        <v/>
      </c>
      <c r="O364" s="6" t="s">
        <v>8574</v>
      </c>
      <c r="P364" s="6" t="s">
        <v>8574</v>
      </c>
    </row>
    <row r="365" spans="1:17" ht="150" x14ac:dyDescent="0.25">
      <c r="A365" s="5" t="str">
        <f>IF(TRIM(I365)="","",E365)</f>
        <v>CurrentICCProfile</v>
      </c>
      <c r="B365" s="5" t="str">
        <f>IF(TRIM(J365)="","",H365)</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365" s="5" t="str">
        <f>LEFT(F365,FIND(".",F365,6))</f>
        <v>Exif.Image.</v>
      </c>
      <c r="D365" s="5" t="str">
        <f>VLOOKUP(C365,PrefixUebersetzung,2,FALSE)</f>
        <v>Exif.Image (Bild).</v>
      </c>
      <c r="E365" s="5" t="str">
        <f>MID(F365,FIND(".",F365,6)+1,99)</f>
        <v>CurrentICCProfile</v>
      </c>
      <c r="F365" s="5" t="s">
        <v>257</v>
      </c>
      <c r="G365" s="5" t="s">
        <v>9669</v>
      </c>
      <c r="H365" s="6" t="s">
        <v>2359</v>
      </c>
      <c r="I365" s="7" t="s">
        <v>4257</v>
      </c>
      <c r="J365" s="14" t="s">
        <v>5271</v>
      </c>
      <c r="K365" s="26"/>
      <c r="L365" s="6" t="str">
        <f>IFERROR(VLOOKUP(E365,A:I,9, FALSE),"")</f>
        <v>Aktuelles ICC Profil</v>
      </c>
      <c r="M365" s="6" t="str">
        <f>IFERROR(INDEX(J:J,MATCH(TRUE,INDEX(B:B=H365,0),0)),"")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365" s="6" t="str">
        <f>IF(AND(TRIM(I365)="",L365=""),"Suffix not translated ",
   IF(AND(TRIM(I365)&lt;&gt;"",TRIM(L365)&lt;&gt;"",TRIM(I365)&lt;&gt;TRIM(L365)),"Suffix translation &lt;&gt; lookup ", "" ))
&amp;IF(AND(TRIM(J365)="",M365=""),"Description not translated ",
   IF(AND(TRIM(J365)&lt;&gt;"",TRIM(M365)&lt;&gt;"",TRIM(J365)&lt;&gt;TRIM(M365)),"Description translation&lt;&gt; lookup ", "" ))</f>
        <v/>
      </c>
      <c r="O365" s="6" t="s">
        <v>8574</v>
      </c>
      <c r="P365" s="6" t="s">
        <v>8574</v>
      </c>
    </row>
    <row r="366" spans="1:17" ht="150" x14ac:dyDescent="0.25">
      <c r="A366" s="5" t="str">
        <f>IF(TRIM(I366)="","",E366)</f>
        <v>CurrentPreProfileMatrix</v>
      </c>
      <c r="B366" s="5" t="str">
        <f>IF(TRIM(J366)="","",H366)</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366" s="5" t="str">
        <f>LEFT(F366,FIND(".",F366,6))</f>
        <v>Exif.Image.</v>
      </c>
      <c r="D366" s="5" t="str">
        <f>VLOOKUP(C366,PrefixUebersetzung,2,FALSE)</f>
        <v>Exif.Image (Bild).</v>
      </c>
      <c r="E366" s="5" t="str">
        <f>MID(F366,FIND(".",F366,6)+1,99)</f>
        <v>CurrentPreProfileMatrix</v>
      </c>
      <c r="F366" s="5" t="s">
        <v>258</v>
      </c>
      <c r="G366" s="5" t="s">
        <v>9672</v>
      </c>
      <c r="H366" s="6" t="s">
        <v>2360</v>
      </c>
      <c r="I366" s="7" t="s">
        <v>4258</v>
      </c>
      <c r="J366" s="14" t="s">
        <v>5272</v>
      </c>
      <c r="K366" s="26"/>
      <c r="L366" s="6" t="str">
        <f>IFERROR(VLOOKUP(E366,A:I,9, FALSE),"")</f>
        <v>Aktuelle PreProfile Matrix</v>
      </c>
      <c r="M366" s="6" t="str">
        <f>IFERROR(INDEX(J:J,MATCH(TRUE,INDEX(B:B=H366,0),0)),"")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366" s="6" t="str">
        <f>IF(AND(TRIM(I366)="",L366=""),"Suffix not translated ",
   IF(AND(TRIM(I366)&lt;&gt;"",TRIM(L366)&lt;&gt;"",TRIM(I366)&lt;&gt;TRIM(L366)),"Suffix translation &lt;&gt; lookup ", "" ))
&amp;IF(AND(TRIM(J366)="",M366=""),"Description not translated ",
   IF(AND(TRIM(J366)&lt;&gt;"",TRIM(M366)&lt;&gt;"",TRIM(J366)&lt;&gt;TRIM(M366)),"Description translation&lt;&gt; lookup ", "" ))</f>
        <v/>
      </c>
      <c r="O366" s="6" t="s">
        <v>8574</v>
      </c>
      <c r="P366" s="6" t="s">
        <v>8574</v>
      </c>
    </row>
    <row r="367" spans="1:17" ht="60" x14ac:dyDescent="0.25">
      <c r="A367" s="5" t="str">
        <f>IF(TRIM(I367)="","",E367)</f>
        <v>DateTime</v>
      </c>
      <c r="B367" s="5" t="str">
        <f>IF(TRIM(J367)="","",H367)</f>
        <v>The date and time of image creation. In Exif standard, it is the date and time the file was changed.</v>
      </c>
      <c r="C367" s="5" t="str">
        <f>LEFT(F367,FIND(".",F367,6))</f>
        <v>Exif.Image.</v>
      </c>
      <c r="D367" s="5" t="str">
        <f>VLOOKUP(C367,PrefixUebersetzung,2,FALSE)</f>
        <v>Exif.Image (Bild).</v>
      </c>
      <c r="E367" s="5" t="str">
        <f>MID(F367,FIND(".",F367,6)+1,99)</f>
        <v>DateTime</v>
      </c>
      <c r="F367" s="5" t="s">
        <v>259</v>
      </c>
      <c r="G367" s="5" t="s">
        <v>9666</v>
      </c>
      <c r="H367" s="6" t="s">
        <v>2361</v>
      </c>
      <c r="I367" s="7" t="s">
        <v>4858</v>
      </c>
      <c r="J367" s="14" t="s">
        <v>6629</v>
      </c>
      <c r="K367" s="26"/>
      <c r="L367" s="6" t="str">
        <f>IFERROR(VLOOKUP(E367,A:I,9, FALSE),"")</f>
        <v>Datum/Zeit</v>
      </c>
      <c r="M367" s="6" t="str">
        <f>IFERROR(VLOOKUP(H367,B:J,9,FALSE),"")</f>
        <v>Das Datum und die Uhrzeit der Bild-Erstellung. Im Exif-Standard ist es das Datum und die Uhrzeit, zu dem die Datei geändert wurde.</v>
      </c>
      <c r="N367" s="6" t="str">
        <f>IF(AND(TRIM(I367)="",L367=""),"Suffix not translated ",
   IF(AND(TRIM(I367)&lt;&gt;"",TRIM(L367)&lt;&gt;"",TRIM(I367)&lt;&gt;TRIM(L367)),"Suffix translation &lt;&gt; lookup ", "" ))
&amp;IF(AND(TRIM(J367)="",M367=""),"Description not translated ",
   IF(AND(TRIM(J367)&lt;&gt;"",TRIM(M367)&lt;&gt;"",TRIM(J367)&lt;&gt;TRIM(M367)),"Description translation&lt;&gt; lookup ", "" ))</f>
        <v/>
      </c>
      <c r="O367" s="6" t="s">
        <v>8574</v>
      </c>
      <c r="P367" s="6" t="s">
        <v>8574</v>
      </c>
    </row>
    <row r="368" spans="1:17" ht="45" x14ac:dyDescent="0.25">
      <c r="A368" s="5" t="str">
        <f>IF(TRIM(I368)="","",E368)</f>
        <v>DateTimeOriginal</v>
      </c>
      <c r="B368" s="5" t="str">
        <f>IF(TRIM(J368)="","",H368)</f>
        <v>The date and time when the original image data was generated.</v>
      </c>
      <c r="C368" s="5" t="str">
        <f>LEFT(F368,FIND(".",F368,6))</f>
        <v>Exif.Image.</v>
      </c>
      <c r="D368" s="5" t="str">
        <f>VLOOKUP(C368,PrefixUebersetzung,2,FALSE)</f>
        <v>Exif.Image (Bild).</v>
      </c>
      <c r="E368" s="5" t="str">
        <f>MID(F368,FIND(".",F368,6)+1,99)</f>
        <v>DateTimeOriginal</v>
      </c>
      <c r="F368" s="5" t="s">
        <v>260</v>
      </c>
      <c r="G368" s="5" t="s">
        <v>9666</v>
      </c>
      <c r="H368" s="6" t="s">
        <v>2362</v>
      </c>
      <c r="I368" s="7" t="s">
        <v>4649</v>
      </c>
      <c r="J368" s="14" t="s">
        <v>6630</v>
      </c>
      <c r="K368" s="26"/>
      <c r="L368" s="6" t="str">
        <f>IFERROR(VLOOKUP(E368,A:I,9, FALSE),"")</f>
        <v>Datum/Zeit original</v>
      </c>
      <c r="M368" s="6" t="str">
        <f>IFERROR(VLOOKUP(H368,B:J,9,FALSE),"")</f>
        <v>Das Datum und die Zeit, wann die ursprünglichen Bilddaten erzeugt wurden.</v>
      </c>
      <c r="N368" s="6" t="str">
        <f>IF(AND(TRIM(I368)="",L368=""),"Suffix not translated ",
   IF(AND(TRIM(I368)&lt;&gt;"",TRIM(L368)&lt;&gt;"",TRIM(I368)&lt;&gt;TRIM(L368)),"Suffix translation &lt;&gt; lookup ", "" ))
&amp;IF(AND(TRIM(J368)="",M368=""),"Description not translated ",
   IF(AND(TRIM(J368)&lt;&gt;"",TRIM(M368)&lt;&gt;"",TRIM(J368)&lt;&gt;TRIM(M368)),"Description translation&lt;&gt; lookup ", "" ))</f>
        <v/>
      </c>
      <c r="O368" s="6" t="s">
        <v>8574</v>
      </c>
      <c r="P368" s="6" t="s">
        <v>8574</v>
      </c>
      <c r="Q368" s="6" t="s">
        <v>9091</v>
      </c>
    </row>
    <row r="369" spans="1:17" ht="180" x14ac:dyDescent="0.25">
      <c r="A369" s="5" t="str">
        <f>IF(TRIM(I369)="","",E369)</f>
        <v>DefaultCropOrigin</v>
      </c>
      <c r="B369" s="5" t="str">
        <f>IF(TRIM(J369)="","",H369)</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369" s="5" t="str">
        <f>LEFT(F369,FIND(".",F369,6))</f>
        <v>Exif.Image.</v>
      </c>
      <c r="D369" s="5" t="str">
        <f>VLOOKUP(C369,PrefixUebersetzung,2,FALSE)</f>
        <v>Exif.Image (Bild).</v>
      </c>
      <c r="E369" s="5" t="str">
        <f>MID(F369,FIND(".",F369,6)+1,99)</f>
        <v>DefaultCropOrigin</v>
      </c>
      <c r="F369" s="5" t="s">
        <v>261</v>
      </c>
      <c r="G369" s="5" t="s">
        <v>9664</v>
      </c>
      <c r="H369" s="6" t="s">
        <v>2363</v>
      </c>
      <c r="I369" s="7" t="s">
        <v>5092</v>
      </c>
      <c r="J369" s="14" t="s">
        <v>9596</v>
      </c>
      <c r="K369" s="26"/>
      <c r="L369" s="6" t="str">
        <f>IFERROR(VLOOKUP(E369,A:I,9, FALSE),"")</f>
        <v>Standard-Ausschnitt ursprünglich</v>
      </c>
      <c r="M369" s="6" t="str">
        <f>IFERROR(INDEX(J:J,MATCH(TRUE,INDEX(B:B=H369,0),0)),"")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369" s="6" t="str">
        <f>IF(AND(TRIM(I369)="",L369=""),"Suffix not translated ",
   IF(AND(TRIM(I369)&lt;&gt;"",TRIM(L369)&lt;&gt;"",TRIM(I369)&lt;&gt;TRIM(L369)),"Suffix translation &lt;&gt; lookup ", "" ))
&amp;IF(AND(TRIM(J369)="",M369=""),"Description not translated ",
   IF(AND(TRIM(J369)&lt;&gt;"",TRIM(M369)&lt;&gt;"",TRIM(J369)&lt;&gt;TRIM(M369)),"Description translation&lt;&gt; lookup ", "" ))</f>
        <v/>
      </c>
      <c r="O369" s="6" t="s">
        <v>8574</v>
      </c>
      <c r="P369" s="6" t="s">
        <v>8574</v>
      </c>
    </row>
    <row r="370" spans="1:17" ht="150" x14ac:dyDescent="0.25">
      <c r="A370" s="5" t="str">
        <f>IF(TRIM(I370)="","",E370)</f>
        <v>DefaultCropSize</v>
      </c>
      <c r="B370" s="5" t="str">
        <f>IF(TRIM(J370)="","",H370)</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370" s="5" t="str">
        <f>LEFT(F370,FIND(".",F370,6))</f>
        <v>Exif.Image.</v>
      </c>
      <c r="D370" s="5" t="str">
        <f>VLOOKUP(C370,PrefixUebersetzung,2,FALSE)</f>
        <v>Exif.Image (Bild).</v>
      </c>
      <c r="E370" s="5" t="str">
        <f>MID(F370,FIND(".",F370,6)+1,99)</f>
        <v>DefaultCropSize</v>
      </c>
      <c r="F370" s="5" t="s">
        <v>262</v>
      </c>
      <c r="G370" s="5" t="s">
        <v>9664</v>
      </c>
      <c r="H370" s="6" t="s">
        <v>2364</v>
      </c>
      <c r="I370" s="7" t="s">
        <v>5088</v>
      </c>
      <c r="J370" s="14" t="s">
        <v>6631</v>
      </c>
      <c r="K370" s="26"/>
      <c r="L370" s="6" t="str">
        <f>IFERROR(VLOOKUP(E370,A:I,9, FALSE),"")</f>
        <v>Standard-Ausschnitgröße</v>
      </c>
      <c r="M370" s="6" t="str">
        <f>IFERROR(INDEX(J:J,MATCH(TRUE,INDEX(B:B=H370,0),0)),"")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370" s="6" t="str">
        <f>IF(AND(TRIM(I370)="",L370=""),"Suffix not translated ",
   IF(AND(TRIM(I370)&lt;&gt;"",TRIM(L370)&lt;&gt;"",TRIM(I370)&lt;&gt;TRIM(L370)),"Suffix translation &lt;&gt; lookup ", "" ))
&amp;IF(AND(TRIM(J370)="",M370=""),"Description not translated ",
   IF(AND(TRIM(J370)&lt;&gt;"",TRIM(M370)&lt;&gt;"",TRIM(J370)&lt;&gt;TRIM(M370)),"Description translation&lt;&gt; lookup ", "" ))</f>
        <v/>
      </c>
      <c r="O370" s="6" t="s">
        <v>8574</v>
      </c>
      <c r="P370" s="6" t="s">
        <v>8574</v>
      </c>
    </row>
    <row r="371" spans="1:17" ht="195" x14ac:dyDescent="0.25">
      <c r="A371" s="5" t="str">
        <f>IF(TRIM(I371)="","",E371)</f>
        <v>DefaultScale</v>
      </c>
      <c r="B371" s="5" t="str">
        <f>IF(TRIM(J371)="","",H371)</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371" s="5" t="str">
        <f>LEFT(F371,FIND(".",F371,6))</f>
        <v>Exif.Image.</v>
      </c>
      <c r="D371" s="5" t="str">
        <f>VLOOKUP(C371,PrefixUebersetzung,2,FALSE)</f>
        <v>Exif.Image (Bild).</v>
      </c>
      <c r="E371" s="5" t="str">
        <f>MID(F371,FIND(".",F371,6)+1,99)</f>
        <v>DefaultScale</v>
      </c>
      <c r="F371" s="5" t="s">
        <v>263</v>
      </c>
      <c r="G371" s="5" t="s">
        <v>9671</v>
      </c>
      <c r="H371" s="6" t="s">
        <v>2365</v>
      </c>
      <c r="I371" s="7" t="s">
        <v>5089</v>
      </c>
      <c r="J371" s="14" t="s">
        <v>5273</v>
      </c>
      <c r="K371" s="26"/>
      <c r="L371" s="6" t="str">
        <f>IFERROR(VLOOKUP(E371,A:I,9, FALSE),"")</f>
        <v>Standard-Skalierung</v>
      </c>
      <c r="M371" s="6" t="str">
        <f>IFERROR(INDEX(J:J,MATCH(TRUE,INDEX(B:B=H371,0),0)),"")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371" s="6" t="str">
        <f>IF(AND(TRIM(I371)="",L371=""),"Suffix not translated ",
   IF(AND(TRIM(I371)&lt;&gt;"",TRIM(L371)&lt;&gt;"",TRIM(I371)&lt;&gt;TRIM(L371)),"Suffix translation &lt;&gt; lookup ", "" ))
&amp;IF(AND(TRIM(J371)="",M371=""),"Description not translated ",
   IF(AND(TRIM(J371)&lt;&gt;"",TRIM(M371)&lt;&gt;"",TRIM(J371)&lt;&gt;TRIM(M371)),"Description translation&lt;&gt; lookup ", "" ))</f>
        <v/>
      </c>
      <c r="O371" s="6" t="s">
        <v>8574</v>
      </c>
      <c r="P371" s="6" t="s">
        <v>8574</v>
      </c>
    </row>
    <row r="372" spans="1:17" ht="195" x14ac:dyDescent="0.25">
      <c r="A372" s="5" t="str">
        <f>IF(TRIM(I372)="","",E372)</f>
        <v/>
      </c>
      <c r="B372" s="5" t="str">
        <f>IF(TRIM(J372)="","",H372)</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372" s="5" t="str">
        <f>LEFT(F372,FIND(".",F372,6))</f>
        <v>Exif.Image.</v>
      </c>
      <c r="D372" s="5" t="str">
        <f>VLOOKUP(C372,PrefixUebersetzung,2,FALSE)</f>
        <v>Exif.Image (Bild).</v>
      </c>
      <c r="E372" s="5" t="str">
        <f>MID(F372,FIND(".",F372,6)+1,99)</f>
        <v>DNGBackwardVersion</v>
      </c>
      <c r="F372" s="5" t="s">
        <v>264</v>
      </c>
      <c r="G372" s="5" t="s">
        <v>9670</v>
      </c>
      <c r="H372" s="6" t="s">
        <v>2366</v>
      </c>
      <c r="I372" s="7"/>
      <c r="J372" s="14" t="s">
        <v>6632</v>
      </c>
      <c r="K372" s="26"/>
      <c r="L372" s="6" t="str">
        <f>IFERROR(VLOOKUP(E372,A:I,9, FALSE),"")</f>
        <v/>
      </c>
      <c r="M372" s="6" t="str">
        <f>IFERROR(INDEX(J:J,MATCH(TRUE,INDEX(B:B=H372,0),0)),"")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372" s="6"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v>
      </c>
      <c r="O372" s="6" t="s">
        <v>8574</v>
      </c>
      <c r="P372" s="6" t="s">
        <v>8574</v>
      </c>
    </row>
    <row r="373" spans="1:17" ht="105" x14ac:dyDescent="0.25">
      <c r="A373" s="5" t="str">
        <f>IF(TRIM(I373)="","",E373)</f>
        <v/>
      </c>
      <c r="B373" s="5" t="str">
        <f>IF(TRIM(J373)="","",H373)</f>
        <v>Provides a way for camera manufacturers to store private data in the DNG file for use by their own raw converters, and to have that data preserved by programs that edit DNG files.</v>
      </c>
      <c r="C373" s="5" t="str">
        <f>LEFT(F373,FIND(".",F373,6))</f>
        <v>Exif.Image.</v>
      </c>
      <c r="D373" s="5" t="str">
        <f>VLOOKUP(C373,PrefixUebersetzung,2,FALSE)</f>
        <v>Exif.Image (Bild).</v>
      </c>
      <c r="E373" s="5" t="str">
        <f>MID(F373,FIND(".",F373,6)+1,99)</f>
        <v>DNGPrivateData</v>
      </c>
      <c r="F373" s="5" t="s">
        <v>265</v>
      </c>
      <c r="G373" s="5" t="s">
        <v>9670</v>
      </c>
      <c r="H373" s="6" t="s">
        <v>2367</v>
      </c>
      <c r="I373" s="7"/>
      <c r="J373" s="14" t="s">
        <v>6730</v>
      </c>
      <c r="K373" s="26"/>
      <c r="L373" s="6" t="str">
        <f>IFERROR(VLOOKUP(E373,A:I,9, FALSE),"")</f>
        <v/>
      </c>
      <c r="M373" s="6" t="str">
        <f>IFERROR(VLOOKUP(H373,B:J,9,FALSE),"")</f>
        <v>Bietet eine Möglichkeit für Kamera-Hersteller, um private Daten in die DNG-Datei für die Nutzung durch ihre eigenen RAW-Konvertern zu speichern und diese Daten durch Programme, die DNG-Dateien bearbeiten, erhalten zu lassen.</v>
      </c>
      <c r="N373" s="6"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v>
      </c>
      <c r="O373" s="6" t="s">
        <v>8574</v>
      </c>
      <c r="P373" s="6" t="s">
        <v>8574</v>
      </c>
    </row>
    <row r="374" spans="1:17" ht="75" x14ac:dyDescent="0.25">
      <c r="A374" s="5" t="str">
        <f>IF(TRIM(I374)="","",E374)</f>
        <v>DNGVersion</v>
      </c>
      <c r="B374" s="5" t="str">
        <f>IF(TRIM(J374)="","",H374)</f>
        <v>This tag encodes the DNG four-tier version number. For files compliant with version 1.1.0.0 of the DNG specification, this tag should contain the bytes: 1, 1, 0, 0.</v>
      </c>
      <c r="C374" s="5" t="str">
        <f>LEFT(F374,FIND(".",F374,6))</f>
        <v>Exif.Image.</v>
      </c>
      <c r="D374" s="5" t="str">
        <f>VLOOKUP(C374,PrefixUebersetzung,2,FALSE)</f>
        <v>Exif.Image (Bild).</v>
      </c>
      <c r="E374" s="5" t="str">
        <f>MID(F374,FIND(".",F374,6)+1,99)</f>
        <v>DNGVersion</v>
      </c>
      <c r="F374" s="5" t="s">
        <v>266</v>
      </c>
      <c r="G374" s="5" t="s">
        <v>9670</v>
      </c>
      <c r="H374" s="6" t="s">
        <v>2368</v>
      </c>
      <c r="I374" s="7" t="s">
        <v>4259</v>
      </c>
      <c r="J374" s="14" t="s">
        <v>5274</v>
      </c>
      <c r="K374" s="26"/>
      <c r="L374" s="6" t="str">
        <f>IFERROR(VLOOKUP(E374,A:I,9, FALSE),"")</f>
        <v>DNG Version</v>
      </c>
      <c r="M374" s="6" t="str">
        <f>IFERROR(VLOOKUP(H374,B:J,9,FALSE),"")</f>
        <v>Dieser Tag kodiert die DNG vierstufige Versionsnummer. Für Dateien kompatibel mit der Version 1.1.0.0 des DNG-Spezifikation sollte dieser Tag folgede Bytes enthalten: 1, 1, 0, 0.</v>
      </c>
      <c r="N374" s="6" t="str">
        <f>IF(AND(TRIM(I374)="",L374=""),"Suffix not translated ",
   IF(AND(TRIM(I374)&lt;&gt;"",TRIM(L374)&lt;&gt;"",TRIM(I374)&lt;&gt;TRIM(L374)),"Suffix translation &lt;&gt; lookup ", "" ))
&amp;IF(AND(TRIM(J374)="",M374=""),"Description not translated ",
   IF(AND(TRIM(J374)&lt;&gt;"",TRIM(M374)&lt;&gt;"",TRIM(J374)&lt;&gt;TRIM(M374)),"Description translation&lt;&gt; lookup ", "" ))</f>
        <v/>
      </c>
      <c r="O374" s="6" t="s">
        <v>8574</v>
      </c>
      <c r="P374" s="6" t="s">
        <v>8574</v>
      </c>
    </row>
    <row r="375" spans="1:17" ht="30" x14ac:dyDescent="0.25">
      <c r="A375" s="5" t="str">
        <f>IF(TRIM(I375)="","",E375)</f>
        <v>DocumentName</v>
      </c>
      <c r="B375" s="5" t="str">
        <f>IF(TRIM(J375)="","",H375)</f>
        <v>The name of the document from which this image was scanned</v>
      </c>
      <c r="C375" s="5" t="str">
        <f>LEFT(F375,FIND(".",F375,6))</f>
        <v>Exif.Image.</v>
      </c>
      <c r="D375" s="5" t="str">
        <f>VLOOKUP(C375,PrefixUebersetzung,2,FALSE)</f>
        <v>Exif.Image (Bild).</v>
      </c>
      <c r="E375" s="5" t="str">
        <f>MID(F375,FIND(".",F375,6)+1,99)</f>
        <v>DocumentName</v>
      </c>
      <c r="F375" s="5" t="s">
        <v>267</v>
      </c>
      <c r="G375" s="5" t="s">
        <v>9666</v>
      </c>
      <c r="H375" s="6" t="s">
        <v>2369</v>
      </c>
      <c r="I375" s="7" t="s">
        <v>4260</v>
      </c>
      <c r="J375" s="14" t="s">
        <v>3883</v>
      </c>
      <c r="K375" s="26"/>
      <c r="L375" s="6" t="str">
        <f>IFERROR(VLOOKUP(E375,A:I,9, FALSE),"")</f>
        <v>Dokumentname</v>
      </c>
      <c r="M375" s="6" t="str">
        <f>IFERROR(VLOOKUP(H375,B:J,9,FALSE),"")</f>
        <v>Der Name des Dokuments, aus dem dieses Bild gescannt wurde</v>
      </c>
      <c r="N375" s="6" t="str">
        <f>IF(AND(TRIM(I375)="",L375=""),"Suffix not translated ",
   IF(AND(TRIM(I375)&lt;&gt;"",TRIM(L375)&lt;&gt;"",TRIM(I375)&lt;&gt;TRIM(L375)),"Suffix translation &lt;&gt; lookup ", "" ))
&amp;IF(AND(TRIM(J375)="",M375=""),"Description not translated ",
   IF(AND(TRIM(J375)&lt;&gt;"",TRIM(M375)&lt;&gt;"",TRIM(J375)&lt;&gt;TRIM(M375)),"Description translation&lt;&gt; lookup ", "" ))</f>
        <v/>
      </c>
      <c r="O375" s="6" t="s">
        <v>8574</v>
      </c>
      <c r="P375" s="6" t="s">
        <v>8574</v>
      </c>
      <c r="Q375" s="6" t="s">
        <v>9429</v>
      </c>
    </row>
    <row r="376" spans="1:17" ht="30" x14ac:dyDescent="0.25">
      <c r="A376" s="5" t="str">
        <f>IF(TRIM(I376)="","",E376)</f>
        <v/>
      </c>
      <c r="B376" s="5" t="str">
        <f>IF(TRIM(J376)="","",H376)</f>
        <v/>
      </c>
      <c r="C376" s="5" t="str">
        <f>LEFT(F376,FIND(".",F376,6))</f>
        <v>Exif.Image.</v>
      </c>
      <c r="D376" s="5" t="str">
        <f>VLOOKUP(C376,PrefixUebersetzung,2,FALSE)</f>
        <v>Exif.Image (Bild).</v>
      </c>
      <c r="E376" s="5" t="str">
        <f>MID(F376,FIND(".",F376,6)+1,99)</f>
        <v>DotRange</v>
      </c>
      <c r="F376" s="5" t="s">
        <v>268</v>
      </c>
      <c r="G376" s="5" t="s">
        <v>9670</v>
      </c>
      <c r="H376" s="6" t="s">
        <v>2370</v>
      </c>
      <c r="I376" s="7"/>
      <c r="K376" s="26"/>
      <c r="L376" s="6" t="str">
        <f>IFERROR(VLOOKUP(E376,A:I,9, FALSE),"")</f>
        <v/>
      </c>
      <c r="M376" s="6" t="str">
        <f>IFERROR(VLOOKUP(H376,B:J,9,FALSE),"")</f>
        <v/>
      </c>
      <c r="N376" s="6"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6" t="s">
        <v>8574</v>
      </c>
      <c r="P376" s="6" t="s">
        <v>8574</v>
      </c>
    </row>
    <row r="377" spans="1:17" ht="75" x14ac:dyDescent="0.25">
      <c r="A377" s="5" t="str">
        <f>IF(TRIM(I377)="","",E377)</f>
        <v>ExifTag</v>
      </c>
      <c r="B377" s="5" t="str">
        <f>IF(TRIM(J377)="","",H377)</f>
        <v>A pointer to the Exif IFD. Interoperability, Exif IFD has the same structure as that of the IFD specified in TIFF. ordinarily, however, it does not contain image data as in the case of TIFF.</v>
      </c>
      <c r="C377" s="5" t="str">
        <f>LEFT(F377,FIND(".",F377,6))</f>
        <v>Exif.Image.</v>
      </c>
      <c r="D377" s="5" t="str">
        <f>VLOOKUP(C377,PrefixUebersetzung,2,FALSE)</f>
        <v>Exif.Image (Bild).</v>
      </c>
      <c r="E377" s="5" t="str">
        <f>MID(F377,FIND(".",F377,6)+1,99)</f>
        <v>ExifTag</v>
      </c>
      <c r="F377" s="5" t="s">
        <v>269</v>
      </c>
      <c r="G377" s="5" t="s">
        <v>9667</v>
      </c>
      <c r="H377" s="6" t="s">
        <v>2371</v>
      </c>
      <c r="I377" s="7" t="s">
        <v>4206</v>
      </c>
      <c r="J377" s="14" t="s">
        <v>5275</v>
      </c>
      <c r="K377" s="26"/>
      <c r="L377" s="6" t="str">
        <f>IFERROR(VLOOKUP(E377,A:I,9, FALSE),"")</f>
        <v>ExifTag</v>
      </c>
      <c r="M377" s="6" t="str">
        <f>IFERROR(VLOOKUP(H377,B:J,9,FALSE),"")</f>
        <v>Ein Zeiger auf die Exif IFD. Exif IFD hat die gleiche Struktur wie die der IFD, die in TIFF spezifiziert ist. Für gewöhnlich enthält sie jedoch keine Bilddaten, wie im Fall von TIFF.</v>
      </c>
      <c r="N377" s="6" t="str">
        <f>IF(AND(TRIM(I377)="",L377=""),"Suffix not translated ",
   IF(AND(TRIM(I377)&lt;&gt;"",TRIM(L377)&lt;&gt;"",TRIM(I377)&lt;&gt;TRIM(L377)),"Suffix translation &lt;&gt; lookup ", "" ))
&amp;IF(AND(TRIM(J377)="",M377=""),"Description not translated ",
   IF(AND(TRIM(J377)&lt;&gt;"",TRIM(M377)&lt;&gt;"",TRIM(J377)&lt;&gt;TRIM(M377)),"Description translation&lt;&gt; lookup ", "" ))</f>
        <v/>
      </c>
      <c r="O377" s="6" t="s">
        <v>8574</v>
      </c>
      <c r="P377" s="6" t="s">
        <v>8574</v>
      </c>
    </row>
    <row r="378" spans="1:17" x14ac:dyDescent="0.25">
      <c r="A378" s="5" t="str">
        <f>IF(TRIM(I378)="","",E378)</f>
        <v>ExposureBiasValue</v>
      </c>
      <c r="B378" s="5" t="str">
        <f>IF(TRIM(J378)="","",H378)</f>
        <v>The exposure bias.</v>
      </c>
      <c r="C378" s="5" t="str">
        <f>LEFT(F378,FIND(".",F378,6))</f>
        <v>Exif.Image.</v>
      </c>
      <c r="D378" s="5" t="str">
        <f>VLOOKUP(C378,PrefixUebersetzung,2,FALSE)</f>
        <v>Exif.Image (Bild).</v>
      </c>
      <c r="E378" s="5" t="str">
        <f>MID(F378,FIND(".",F378,6)+1,99)</f>
        <v>ExposureBiasValue</v>
      </c>
      <c r="F378" s="5" t="s">
        <v>270</v>
      </c>
      <c r="G378" s="5" t="s">
        <v>9672</v>
      </c>
      <c r="H378" s="6" t="s">
        <v>2372</v>
      </c>
      <c r="I378" s="31" t="s">
        <v>3916</v>
      </c>
      <c r="J378" s="14" t="s">
        <v>3916</v>
      </c>
      <c r="K378" s="26"/>
      <c r="L378" s="6" t="str">
        <f>IFERROR(VLOOKUP(E378,A:I,9, FALSE),"")</f>
        <v>Belichtungskorrektur</v>
      </c>
      <c r="M378" s="6" t="str">
        <f>IFERROR(VLOOKUP(H378,B:J,9,FALSE),"")</f>
        <v>Belichtungskorrektur</v>
      </c>
      <c r="N378" s="6" t="str">
        <f>IF(AND(TRIM(I378)="",L378=""),"Suffix not translated ",
   IF(AND(TRIM(I378)&lt;&gt;"",TRIM(L378)&lt;&gt;"",TRIM(I378)&lt;&gt;TRIM(L378)),"Suffix translation &lt;&gt; lookup ", "" ))
&amp;IF(AND(TRIM(J378)="",M378=""),"Description not translated ",
   IF(AND(TRIM(J378)&lt;&gt;"",TRIM(M378)&lt;&gt;"",TRIM(J378)&lt;&gt;TRIM(M378)),"Description translation&lt;&gt; lookup ", "" ))</f>
        <v/>
      </c>
      <c r="O378" s="6" t="s">
        <v>8574</v>
      </c>
      <c r="P378" s="6" t="s">
        <v>8574</v>
      </c>
      <c r="Q378" s="6" t="s">
        <v>9281</v>
      </c>
    </row>
    <row r="379" spans="1:17" ht="30" x14ac:dyDescent="0.25">
      <c r="A379" s="5" t="str">
        <f>IF(TRIM(I379)="","",E379)</f>
        <v>ExposureIndex</v>
      </c>
      <c r="B379" s="5" t="str">
        <f>IF(TRIM(J379)="","",H379)</f>
        <v>Encodes the camera exposure index setting when image was captured.</v>
      </c>
      <c r="C379" s="5" t="str">
        <f>LEFT(F379,FIND(".",F379,6))</f>
        <v>Exif.Image.</v>
      </c>
      <c r="D379" s="5" t="str">
        <f>VLOOKUP(C379,PrefixUebersetzung,2,FALSE)</f>
        <v>Exif.Image (Bild).</v>
      </c>
      <c r="E379" s="5" t="str">
        <f>MID(F379,FIND(".",F379,6)+1,99)</f>
        <v>ExposureIndex</v>
      </c>
      <c r="F379" s="5" t="s">
        <v>271</v>
      </c>
      <c r="G379" s="5" t="s">
        <v>9671</v>
      </c>
      <c r="H379" s="6" t="s">
        <v>2373</v>
      </c>
      <c r="I379" s="7" t="s">
        <v>4261</v>
      </c>
      <c r="J379" s="14" t="s">
        <v>4261</v>
      </c>
      <c r="K379" s="26"/>
      <c r="L379" s="6" t="str">
        <f>IFERROR(VLOOKUP(E379,A:I,9, FALSE),"")</f>
        <v>Belichtungsindex</v>
      </c>
      <c r="M379" s="6" t="str">
        <f>IFERROR(VLOOKUP(H379,B:J,9,FALSE),"")</f>
        <v>Belichtungsindex</v>
      </c>
      <c r="N379" s="6" t="str">
        <f>IF(AND(TRIM(I379)="",L379=""),"Suffix not translated ",
   IF(AND(TRIM(I379)&lt;&gt;"",TRIM(L379)&lt;&gt;"",TRIM(I379)&lt;&gt;TRIM(L379)),"Suffix translation &lt;&gt; lookup ", "" ))
&amp;IF(AND(TRIM(J379)="",M379=""),"Description not translated ",
   IF(AND(TRIM(J379)&lt;&gt;"",TRIM(M379)&lt;&gt;"",TRIM(J379)&lt;&gt;TRIM(M379)),"Description translation&lt;&gt; lookup ", "" ))</f>
        <v/>
      </c>
      <c r="O379" s="6" t="s">
        <v>8574</v>
      </c>
      <c r="P379" s="6" t="s">
        <v>8574</v>
      </c>
    </row>
    <row r="380" spans="1:17" ht="45" x14ac:dyDescent="0.25">
      <c r="A380" s="5" t="str">
        <f>IF(TRIM(I380)="","",E380)</f>
        <v/>
      </c>
      <c r="B380" s="5" t="str">
        <f>IF(TRIM(J380)="","",H380)</f>
        <v>The class of the program used by the camera to set exposure when the picture is taken.</v>
      </c>
      <c r="C380" s="5" t="str">
        <f>LEFT(F380,FIND(".",F380,6))</f>
        <v>Exif.Image.</v>
      </c>
      <c r="D380" s="5" t="str">
        <f>VLOOKUP(C380,PrefixUebersetzung,2,FALSE)</f>
        <v>Exif.Image (Bild).</v>
      </c>
      <c r="E380" s="5" t="str">
        <f>MID(F380,FIND(".",F380,6)+1,99)</f>
        <v>ExposureProgram</v>
      </c>
      <c r="F380" s="5" t="s">
        <v>272</v>
      </c>
      <c r="G380" s="5" t="s">
        <v>9664</v>
      </c>
      <c r="H380" s="6" t="s">
        <v>2374</v>
      </c>
      <c r="I380" s="7"/>
      <c r="J380" s="14" t="s">
        <v>5316</v>
      </c>
      <c r="K380" s="26"/>
      <c r="L380" s="6" t="str">
        <f>IFERROR(VLOOKUP(E380,A:I,9, FALSE),"")</f>
        <v>Belichtungsprogramm</v>
      </c>
      <c r="M380" s="6" t="str">
        <f>IFERROR(VLOOKUP(H380,B:J,9,FALSE),"")</f>
        <v>Durch die Kamera verwendetes Belichtungsprogramms während der Aufnahme.</v>
      </c>
      <c r="N380" s="6" t="str">
        <f>IF(AND(TRIM(I380)="",L380=""),"Suffix not translated ",
   IF(AND(TRIM(I380)&lt;&gt;"",TRIM(L380)&lt;&gt;"",TRIM(I380)&lt;&gt;TRIM(L380)),"Suffix translation &lt;&gt; lookup ", "" ))
&amp;IF(AND(TRIM(J380)="",M380=""),"Description not translated ",
   IF(AND(TRIM(J380)&lt;&gt;"",TRIM(M380)&lt;&gt;"",TRIM(J380)&lt;&gt;TRIM(M380)),"Description translation&lt;&gt; lookup ", "" ))</f>
        <v/>
      </c>
      <c r="P380" s="6" t="s">
        <v>8574</v>
      </c>
    </row>
    <row r="381" spans="1:17" x14ac:dyDescent="0.25">
      <c r="A381" s="5" t="str">
        <f>IF(TRIM(I381)="","",E381)</f>
        <v>ExposureTime</v>
      </c>
      <c r="B381" s="5" t="str">
        <f>IF(TRIM(J381)="","",H381)</f>
        <v>Exposure time, given in seconds.</v>
      </c>
      <c r="C381" s="5" t="str">
        <f>LEFT(F381,FIND(".",F381,6))</f>
        <v>Exif.Image.</v>
      </c>
      <c r="D381" s="5" t="str">
        <f>VLOOKUP(C381,PrefixUebersetzung,2,FALSE)</f>
        <v>Exif.Image (Bild).</v>
      </c>
      <c r="E381" s="5" t="str">
        <f>MID(F381,FIND(".",F381,6)+1,99)</f>
        <v>ExposureTime</v>
      </c>
      <c r="F381" s="5" t="s">
        <v>273</v>
      </c>
      <c r="G381" s="5" t="s">
        <v>9671</v>
      </c>
      <c r="H381" s="6" t="s">
        <v>2375</v>
      </c>
      <c r="I381" s="7" t="s">
        <v>3918</v>
      </c>
      <c r="J381" s="14" t="s">
        <v>5276</v>
      </c>
      <c r="K381" s="26"/>
      <c r="L381" s="6" t="str">
        <f>IFERROR(VLOOKUP(E381,A:I,9, FALSE),"")</f>
        <v>Belichtungszeit</v>
      </c>
      <c r="M381" s="6" t="str">
        <f>IFERROR(VLOOKUP(H381,B:J,9,FALSE),"")</f>
        <v>Belichtungszeit in Sekunden</v>
      </c>
      <c r="N381" s="6" t="str">
        <f>IF(AND(TRIM(I381)="",L381=""),"Suffix not translated ",
   IF(AND(TRIM(I381)&lt;&gt;"",TRIM(L381)&lt;&gt;"",TRIM(I381)&lt;&gt;TRIM(L381)),"Suffix translation &lt;&gt; lookup ", "" ))
&amp;IF(AND(TRIM(J381)="",M381=""),"Description not translated ",
   IF(AND(TRIM(J381)&lt;&gt;"",TRIM(M381)&lt;&gt;"",TRIM(J381)&lt;&gt;TRIM(M381)),"Description translation&lt;&gt; lookup ", "" ))</f>
        <v/>
      </c>
      <c r="O381" s="6" t="s">
        <v>8574</v>
      </c>
      <c r="P381" s="6" t="s">
        <v>8574</v>
      </c>
      <c r="Q381" s="6" t="s">
        <v>6368</v>
      </c>
    </row>
    <row r="382" spans="1:17" ht="45" x14ac:dyDescent="0.25">
      <c r="A382" s="5" t="str">
        <f>IF(TRIM(I382)="","",E382)</f>
        <v/>
      </c>
      <c r="B382" s="5" t="str">
        <f>IF(TRIM(J382)="","",H382)</f>
        <v/>
      </c>
      <c r="C382" s="5" t="str">
        <f>LEFT(F382,FIND(".",F382,6))</f>
        <v>Exif.Image.</v>
      </c>
      <c r="D382" s="5" t="str">
        <f>VLOOKUP(C382,PrefixUebersetzung,2,FALSE)</f>
        <v>Exif.Image (Bild).</v>
      </c>
      <c r="E382" s="5" t="str">
        <f>MID(F382,FIND(".",F382,6)+1,99)</f>
        <v>ExtraSamples</v>
      </c>
      <c r="F382" s="5" t="s">
        <v>274</v>
      </c>
      <c r="G382" s="5" t="s">
        <v>9664</v>
      </c>
      <c r="H382" s="6" t="s">
        <v>2376</v>
      </c>
      <c r="I382" s="7"/>
      <c r="K382" s="26"/>
      <c r="L382" s="6" t="str">
        <f>IFERROR(VLOOKUP(E382,A:I,9, FALSE),"")</f>
        <v/>
      </c>
      <c r="M382" s="6" t="str">
        <f>IFERROR(VLOOKUP(H382,B:J,9,FALSE),"")</f>
        <v/>
      </c>
      <c r="N382" s="6"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6" t="s">
        <v>8574</v>
      </c>
      <c r="P382" s="6" t="s">
        <v>8574</v>
      </c>
    </row>
    <row r="383" spans="1:17" ht="30" x14ac:dyDescent="0.25">
      <c r="A383" s="5" t="str">
        <f>IF(TRIM(I383)="","",E383)</f>
        <v>FillOrder</v>
      </c>
      <c r="B383" s="5" t="str">
        <f>IF(TRIM(J383)="","",H383)</f>
        <v>The logical order of bits within a byte</v>
      </c>
      <c r="C383" s="5" t="str">
        <f>LEFT(F383,FIND(".",F383,6))</f>
        <v>Exif.Image.</v>
      </c>
      <c r="D383" s="5" t="str">
        <f>VLOOKUP(C383,PrefixUebersetzung,2,FALSE)</f>
        <v>Exif.Image (Bild).</v>
      </c>
      <c r="E383" s="5" t="str">
        <f>MID(F383,FIND(".",F383,6)+1,99)</f>
        <v>FillOrder</v>
      </c>
      <c r="F383" s="5" t="s">
        <v>275</v>
      </c>
      <c r="G383" s="5" t="s">
        <v>9664</v>
      </c>
      <c r="H383" s="6" t="s">
        <v>2377</v>
      </c>
      <c r="I383" s="7" t="s">
        <v>5149</v>
      </c>
      <c r="J383" s="14" t="s">
        <v>3884</v>
      </c>
      <c r="K383" s="26"/>
      <c r="L383" s="6" t="str">
        <f>IFERROR(VLOOKUP(E383,A:I,9, FALSE),"")</f>
        <v>Reihenfolge in Byte</v>
      </c>
      <c r="M383" s="6" t="str">
        <f>IFERROR(VLOOKUP(H383,B:J,9,FALSE),"")</f>
        <v>Die logische Reihenfolge der Bits in einem Byte</v>
      </c>
      <c r="N383" s="6" t="str">
        <f>IF(AND(TRIM(I383)="",L383=""),"Suffix not translated ",
   IF(AND(TRIM(I383)&lt;&gt;"",TRIM(L383)&lt;&gt;"",TRIM(I383)&lt;&gt;TRIM(L383)),"Suffix translation &lt;&gt; lookup ", "" ))
&amp;IF(AND(TRIM(J383)="",M383=""),"Description not translated ",
   IF(AND(TRIM(J383)&lt;&gt;"",TRIM(M383)&lt;&gt;"",TRIM(J383)&lt;&gt;TRIM(M383)),"Description translation&lt;&gt; lookup ", "" ))</f>
        <v/>
      </c>
      <c r="O383" s="6" t="s">
        <v>8574</v>
      </c>
      <c r="P383" s="6" t="s">
        <v>8574</v>
      </c>
      <c r="Q383" s="6" t="s">
        <v>9534</v>
      </c>
    </row>
    <row r="384" spans="1:17" ht="30" x14ac:dyDescent="0.25">
      <c r="A384" s="5" t="str">
        <f>IF(TRIM(I384)="","",E384)</f>
        <v>Flash</v>
      </c>
      <c r="B384" s="5" t="str">
        <f>IF(TRIM(J384)="","",H384)</f>
        <v>Indicates the status of flash when the image was shot.</v>
      </c>
      <c r="C384" s="5" t="str">
        <f>LEFT(F384,FIND(".",F384,6))</f>
        <v>Exif.Image.</v>
      </c>
      <c r="D384" s="5" t="str">
        <f>VLOOKUP(C384,PrefixUebersetzung,2,FALSE)</f>
        <v>Exif.Image (Bild).</v>
      </c>
      <c r="E384" s="5" t="str">
        <f>MID(F384,FIND(".",F384,6)+1,99)</f>
        <v>Flash</v>
      </c>
      <c r="F384" s="5" t="s">
        <v>276</v>
      </c>
      <c r="G384" s="5" t="s">
        <v>9664</v>
      </c>
      <c r="H384" s="6" t="s">
        <v>2378</v>
      </c>
      <c r="I384" s="7" t="s">
        <v>4262</v>
      </c>
      <c r="J384" s="14" t="s">
        <v>5277</v>
      </c>
      <c r="K384" s="26"/>
      <c r="L384" s="6" t="str">
        <f>IFERROR(VLOOKUP(E384,A:I,9, FALSE),"")</f>
        <v>Blitz</v>
      </c>
      <c r="M384" s="6" t="str">
        <f>IFERROR(VLOOKUP(H384,B:J,9,FALSE),"")</f>
        <v>Status des Blitzes während der Bildaufnahme</v>
      </c>
      <c r="N384" s="6" t="str">
        <f>IF(AND(TRIM(I384)="",L384=""),"Suffix not translated ",
   IF(AND(TRIM(I384)&lt;&gt;"",TRIM(L384)&lt;&gt;"",TRIM(I384)&lt;&gt;TRIM(L384)),"Suffix translation &lt;&gt; lookup ", "" ))
&amp;IF(AND(TRIM(J384)="",M384=""),"Description not translated ",
   IF(AND(TRIM(J384)&lt;&gt;"",TRIM(M384)&lt;&gt;"",TRIM(J384)&lt;&gt;TRIM(M384)),"Description translation&lt;&gt; lookup ", "" ))</f>
        <v/>
      </c>
      <c r="O384" s="6" t="s">
        <v>8574</v>
      </c>
      <c r="P384" s="6" t="s">
        <v>8574</v>
      </c>
    </row>
    <row r="385" spans="1:17" x14ac:dyDescent="0.25">
      <c r="A385" s="5" t="str">
        <f>IF(TRIM(I385)="","",E385)</f>
        <v>FlashEnergy</v>
      </c>
      <c r="B385" s="5" t="str">
        <f>IF(TRIM(J385)="","",H385)</f>
        <v>Amount of flash energy (BCPS).</v>
      </c>
      <c r="C385" s="5" t="str">
        <f>LEFT(F385,FIND(".",F385,6))</f>
        <v>Exif.Image.</v>
      </c>
      <c r="D385" s="5" t="str">
        <f>VLOOKUP(C385,PrefixUebersetzung,2,FALSE)</f>
        <v>Exif.Image (Bild).</v>
      </c>
      <c r="E385" s="5" t="str">
        <f>MID(F385,FIND(".",F385,6)+1,99)</f>
        <v>FlashEnergy</v>
      </c>
      <c r="F385" s="5" t="s">
        <v>277</v>
      </c>
      <c r="G385" s="5" t="s">
        <v>9671</v>
      </c>
      <c r="H385" s="6" t="s">
        <v>2379</v>
      </c>
      <c r="I385" s="7" t="s">
        <v>5278</v>
      </c>
      <c r="J385" s="14" t="s">
        <v>5279</v>
      </c>
      <c r="K385" s="26"/>
      <c r="L385" s="6" t="str">
        <f>IFERROR(VLOOKUP(E385,A:I,9, FALSE),"")</f>
        <v>Blitzenergie</v>
      </c>
      <c r="M385" s="6" t="str">
        <f>IFERROR(VLOOKUP(H385,B:J,9,FALSE),"")</f>
        <v>Blitzenergie (BCPS).</v>
      </c>
      <c r="N385" s="6" t="str">
        <f>IF(AND(TRIM(I385)="",L385=""),"Suffix not translated ",
   IF(AND(TRIM(I385)&lt;&gt;"",TRIM(L385)&lt;&gt;"",TRIM(I385)&lt;&gt;TRIM(L385)),"Suffix translation &lt;&gt; lookup ", "" ))
&amp;IF(AND(TRIM(J385)="",M385=""),"Description not translated ",
   IF(AND(TRIM(J385)&lt;&gt;"",TRIM(M385)&lt;&gt;"",TRIM(J385)&lt;&gt;TRIM(M385)),"Description translation&lt;&gt; lookup ", "" ))</f>
        <v/>
      </c>
      <c r="O385" s="6" t="s">
        <v>8574</v>
      </c>
      <c r="P385" s="6" t="s">
        <v>8574</v>
      </c>
    </row>
    <row r="386" spans="1:17" x14ac:dyDescent="0.25">
      <c r="A386" s="5" t="str">
        <f>IF(TRIM(I386)="","",E386)</f>
        <v>FNumber</v>
      </c>
      <c r="B386" s="5" t="str">
        <f>IF(TRIM(J386)="","",H386)</f>
        <v>The F number.</v>
      </c>
      <c r="C386" s="5" t="str">
        <f>LEFT(F386,FIND(".",F386,6))</f>
        <v>Exif.Image.</v>
      </c>
      <c r="D386" s="5" t="str">
        <f>VLOOKUP(C386,PrefixUebersetzung,2,FALSE)</f>
        <v>Exif.Image (Bild).</v>
      </c>
      <c r="E386" s="5" t="str">
        <f>MID(F386,FIND(".",F386,6)+1,99)</f>
        <v>FNumber</v>
      </c>
      <c r="F386" s="5" t="s">
        <v>278</v>
      </c>
      <c r="G386" s="5" t="s">
        <v>9671</v>
      </c>
      <c r="H386" s="6" t="s">
        <v>2380</v>
      </c>
      <c r="I386" s="7" t="s">
        <v>4859</v>
      </c>
      <c r="J386" s="14" t="s">
        <v>4859</v>
      </c>
      <c r="K386" s="26"/>
      <c r="L386" s="6" t="str">
        <f>IFERROR(VLOOKUP(E386,A:I,9, FALSE),"")</f>
        <v>Blendenzahl</v>
      </c>
      <c r="M386" s="6" t="str">
        <f>IFERROR(VLOOKUP(H386,B:J,9,FALSE),"")</f>
        <v>Blendenzahl</v>
      </c>
      <c r="N386" s="6" t="str">
        <f>IF(AND(TRIM(I386)="",L386=""),"Suffix not translated ",
   IF(AND(TRIM(I386)&lt;&gt;"",TRIM(L386)&lt;&gt;"",TRIM(I386)&lt;&gt;TRIM(L386)),"Suffix translation &lt;&gt; lookup ", "" ))
&amp;IF(AND(TRIM(J386)="",M386=""),"Description not translated ",
   IF(AND(TRIM(J386)&lt;&gt;"",TRIM(M386)&lt;&gt;"",TRIM(J386)&lt;&gt;TRIM(M386)),"Description translation&lt;&gt; lookup ", "" ))</f>
        <v/>
      </c>
      <c r="O386" s="6" t="s">
        <v>8574</v>
      </c>
      <c r="P386" s="6" t="s">
        <v>8574</v>
      </c>
      <c r="Q386" s="6" t="s">
        <v>9516</v>
      </c>
    </row>
    <row r="387" spans="1:17" ht="30" x14ac:dyDescent="0.25">
      <c r="A387" s="5" t="str">
        <f>IF(TRIM(I387)="","",E387)</f>
        <v/>
      </c>
      <c r="B387" s="5" t="str">
        <f>IF(TRIM(J387)="","",H387)</f>
        <v>The actual focal length of the lens, in mm.</v>
      </c>
      <c r="C387" s="5" t="str">
        <f>LEFT(F387,FIND(".",F387,6))</f>
        <v>Exif.Image.</v>
      </c>
      <c r="D387" s="5" t="str">
        <f>VLOOKUP(C387,PrefixUebersetzung,2,FALSE)</f>
        <v>Exif.Image (Bild).</v>
      </c>
      <c r="E387" s="5" t="str">
        <f>MID(F387,FIND(".",F387,6)+1,99)</f>
        <v>FocalLength</v>
      </c>
      <c r="F387" s="5" t="s">
        <v>279</v>
      </c>
      <c r="G387" s="5" t="s">
        <v>9671</v>
      </c>
      <c r="H387" s="6" t="s">
        <v>2381</v>
      </c>
      <c r="I387" s="7"/>
      <c r="J387" s="14" t="s">
        <v>5280</v>
      </c>
      <c r="K387" s="26"/>
      <c r="L387" s="6" t="str">
        <f>IFERROR(VLOOKUP(E387,A:I,9, FALSE),"")</f>
        <v>Brennweite</v>
      </c>
      <c r="M387" s="6" t="str">
        <f>IFERROR(VLOOKUP(H387,B:J,9,FALSE),"")</f>
        <v>Die tatsächliche Brennweite des Objektives in mm</v>
      </c>
      <c r="N387" s="6" t="str">
        <f>IF(AND(TRIM(I387)="",L387=""),"Suffix not translated ",
   IF(AND(TRIM(I387)&lt;&gt;"",TRIM(L387)&lt;&gt;"",TRIM(I387)&lt;&gt;TRIM(L387)),"Suffix translation &lt;&gt; lookup ", "" ))
&amp;IF(AND(TRIM(J387)="",M387=""),"Description not translated ",
   IF(AND(TRIM(J387)&lt;&gt;"",TRIM(M387)&lt;&gt;"",TRIM(J387)&lt;&gt;TRIM(M387)),"Description translation&lt;&gt; lookup ", "" ))</f>
        <v/>
      </c>
      <c r="P387" s="6" t="s">
        <v>8574</v>
      </c>
    </row>
    <row r="388" spans="1:17" ht="45" x14ac:dyDescent="0.25">
      <c r="A388" s="5" t="str">
        <f>IF(TRIM(I388)="","",E388)</f>
        <v>FocalPlaneResolutionUnit</v>
      </c>
      <c r="B388" s="5" t="str">
        <f>IF(TRIM(J388)="","",H388)</f>
        <v>Unit of measurement for FocalPlaneXResolution(37390) and FocalPlaneYResolution(37391).</v>
      </c>
      <c r="C388" s="5" t="str">
        <f>LEFT(F388,FIND(".",F388,6))</f>
        <v>Exif.Image.</v>
      </c>
      <c r="D388" s="5" t="str">
        <f>VLOOKUP(C388,PrefixUebersetzung,2,FALSE)</f>
        <v>Exif.Image (Bild).</v>
      </c>
      <c r="E388" s="5" t="str">
        <f>MID(F388,FIND(".",F388,6)+1,99)</f>
        <v>FocalPlaneResolutionUnit</v>
      </c>
      <c r="F388" s="5" t="s">
        <v>280</v>
      </c>
      <c r="G388" s="5" t="s">
        <v>9664</v>
      </c>
      <c r="H388" s="6" t="s">
        <v>2382</v>
      </c>
      <c r="I388" s="7" t="s">
        <v>4937</v>
      </c>
      <c r="J388" s="14" t="s">
        <v>5281</v>
      </c>
      <c r="K388" s="26"/>
      <c r="L388" s="6" t="str">
        <f>IFERROR(VLOOKUP(E388,A:I,9, FALSE),"")</f>
        <v>Auflösung Brennebene Einheit</v>
      </c>
      <c r="M388" s="6" t="str">
        <f>IFERROR(VLOOKUP(H388,B:J,9,FALSE),"")</f>
        <v>Maßeinheit für FocalPlaneXResolution(Tag 37390) and FocalPlaneYResolution(Tag 37391)</v>
      </c>
      <c r="N388" s="6" t="str">
        <f>IF(AND(TRIM(I388)="",L388=""),"Suffix not translated ",
   IF(AND(TRIM(I388)&lt;&gt;"",TRIM(L388)&lt;&gt;"",TRIM(I388)&lt;&gt;TRIM(L388)),"Suffix translation &lt;&gt; lookup ", "" ))
&amp;IF(AND(TRIM(J388)="",M388=""),"Description not translated ",
   IF(AND(TRIM(J388)&lt;&gt;"",TRIM(M388)&lt;&gt;"",TRIM(J388)&lt;&gt;TRIM(M388)),"Description translation&lt;&gt; lookup ", "" ))</f>
        <v/>
      </c>
      <c r="O388" s="6" t="s">
        <v>8574</v>
      </c>
      <c r="P388" s="6" t="s">
        <v>8574</v>
      </c>
    </row>
    <row r="389" spans="1:17" ht="60" x14ac:dyDescent="0.25">
      <c r="A389" s="5" t="str">
        <f>IF(TRIM(I389)="","",E389)</f>
        <v>FocalPlaneXResolution</v>
      </c>
      <c r="B389" s="5" t="str">
        <f>IF(TRIM(J389)="","",H389)</f>
        <v>Number of pixels per FocalPlaneResolutionUnit (37392) in ImageWidth direction for main image.</v>
      </c>
      <c r="C389" s="5" t="str">
        <f>LEFT(F389,FIND(".",F389,6))</f>
        <v>Exif.Image.</v>
      </c>
      <c r="D389" s="5" t="str">
        <f>VLOOKUP(C389,PrefixUebersetzung,2,FALSE)</f>
        <v>Exif.Image (Bild).</v>
      </c>
      <c r="E389" s="5" t="str">
        <f>MID(F389,FIND(".",F389,6)+1,99)</f>
        <v>FocalPlaneXResolution</v>
      </c>
      <c r="F389" s="5" t="s">
        <v>281</v>
      </c>
      <c r="G389" s="5" t="s">
        <v>9671</v>
      </c>
      <c r="H389" s="6" t="s">
        <v>2383</v>
      </c>
      <c r="I389" s="7" t="s">
        <v>4938</v>
      </c>
      <c r="J389" s="14" t="s">
        <v>5282</v>
      </c>
      <c r="K389" s="26"/>
      <c r="L389" s="6" t="str">
        <f>IFERROR(VLOOKUP(E389,A:I,9, FALSE),"")</f>
        <v>Auflösung Brennebene X</v>
      </c>
      <c r="M389" s="6" t="str">
        <f>IFERROR(VLOOKUP(H389,B:J,9,FALSE),"")</f>
        <v>Anzahl der Pixel pro FocalPlaneResolutionUnit (Tag 37392) in Richtung ImageWidth für das Haupt-Bild</v>
      </c>
      <c r="N389" s="6" t="str">
        <f>IF(AND(TRIM(I389)="",L389=""),"Suffix not translated ",
   IF(AND(TRIM(I389)&lt;&gt;"",TRIM(L389)&lt;&gt;"",TRIM(I389)&lt;&gt;TRIM(L389)),"Suffix translation &lt;&gt; lookup ", "" ))
&amp;IF(AND(TRIM(J389)="",M389=""),"Description not translated ",
   IF(AND(TRIM(J389)&lt;&gt;"",TRIM(M389)&lt;&gt;"",TRIM(J389)&lt;&gt;TRIM(M389)),"Description translation&lt;&gt; lookup ", "" ))</f>
        <v/>
      </c>
      <c r="O389" s="6" t="s">
        <v>8574</v>
      </c>
      <c r="P389" s="6" t="s">
        <v>8574</v>
      </c>
    </row>
    <row r="390" spans="1:17" ht="60" x14ac:dyDescent="0.25">
      <c r="A390" s="5" t="str">
        <f>IF(TRIM(I390)="","",E390)</f>
        <v>FocalPlaneYResolution</v>
      </c>
      <c r="B390" s="5" t="str">
        <f>IF(TRIM(J390)="","",H390)</f>
        <v>Number of pixels per FocalPlaneResolutionUnit (37392) in ImageLength direction for main image.</v>
      </c>
      <c r="C390" s="5" t="str">
        <f>LEFT(F390,FIND(".",F390,6))</f>
        <v>Exif.Image.</v>
      </c>
      <c r="D390" s="5" t="str">
        <f>VLOOKUP(C390,PrefixUebersetzung,2,FALSE)</f>
        <v>Exif.Image (Bild).</v>
      </c>
      <c r="E390" s="5" t="str">
        <f>MID(F390,FIND(".",F390,6)+1,99)</f>
        <v>FocalPlaneYResolution</v>
      </c>
      <c r="F390" s="5" t="s">
        <v>282</v>
      </c>
      <c r="G390" s="5" t="s">
        <v>9671</v>
      </c>
      <c r="H390" s="6" t="s">
        <v>2384</v>
      </c>
      <c r="I390" s="7" t="s">
        <v>4939</v>
      </c>
      <c r="J390" s="14" t="s">
        <v>5283</v>
      </c>
      <c r="K390" s="26"/>
      <c r="L390" s="6" t="str">
        <f>IFERROR(VLOOKUP(E390,A:I,9, FALSE),"")</f>
        <v>Auflösung Brennebene Y</v>
      </c>
      <c r="M390" s="6" t="str">
        <f>IFERROR(VLOOKUP(H390,B:J,9,FALSE),"")</f>
        <v>Anzahl der Pixel pro FocalPlaneResolutionUnit (Tag 37392) in Richtung ImageLength für das Haupt-Bild</v>
      </c>
      <c r="N390" s="6" t="str">
        <f>IF(AND(TRIM(I390)="",L390=""),"Suffix not translated ",
   IF(AND(TRIM(I390)&lt;&gt;"",TRIM(L390)&lt;&gt;"",TRIM(I390)&lt;&gt;TRIM(L390)),"Suffix translation &lt;&gt; lookup ", "" ))
&amp;IF(AND(TRIM(J390)="",M390=""),"Description not translated ",
   IF(AND(TRIM(J390)&lt;&gt;"",TRIM(M390)&lt;&gt;"",TRIM(J390)&lt;&gt;TRIM(M390)),"Description translation&lt;&gt; lookup ", "" ))</f>
        <v/>
      </c>
      <c r="O390" s="6" t="s">
        <v>8574</v>
      </c>
      <c r="P390" s="6" t="s">
        <v>8574</v>
      </c>
    </row>
    <row r="391" spans="1:17" ht="45" x14ac:dyDescent="0.25">
      <c r="A391" s="5" t="str">
        <f>IF(TRIM(I391)="","",E391)</f>
        <v/>
      </c>
      <c r="B391" s="5" t="str">
        <f>IF(TRIM(J391)="","",H391)</f>
        <v>This tag defines a matrix that maps white balanced camera colors to XYZ D50 colors.</v>
      </c>
      <c r="C391" s="5" t="str">
        <f>LEFT(F391,FIND(".",F391,6))</f>
        <v>Exif.Image.</v>
      </c>
      <c r="D391" s="5" t="str">
        <f>VLOOKUP(C391,PrefixUebersetzung,2,FALSE)</f>
        <v>Exif.Image (Bild).</v>
      </c>
      <c r="E391" s="5" t="str">
        <f>MID(F391,FIND(".",F391,6)+1,99)</f>
        <v>ForwardMatrix1</v>
      </c>
      <c r="F391" s="5" t="s">
        <v>283</v>
      </c>
      <c r="G391" s="5" t="s">
        <v>9672</v>
      </c>
      <c r="H391" s="6" t="s">
        <v>2385</v>
      </c>
      <c r="I391" s="7"/>
      <c r="J391" s="14" t="s">
        <v>6731</v>
      </c>
      <c r="K391" s="26"/>
      <c r="L391" s="6" t="str">
        <f>IFERROR(VLOOKUP(E391,A:I,9, FALSE),"")</f>
        <v/>
      </c>
      <c r="M391" s="6" t="str">
        <f>IFERROR(VLOOKUP(H391,B:J,9,FALSE),"")</f>
        <v>Dieser Tag definiert eine Matrix, die weiß-abgegelichene Kamera-Farben auf XYZ D50 Farben abbildet</v>
      </c>
      <c r="N391" s="6" t="str">
        <f>IF(AND(TRIM(I391)="",L391=""),"Suffix not translated ",
   IF(AND(TRIM(I391)&lt;&gt;"",TRIM(L391)&lt;&gt;"",TRIM(I391)&lt;&gt;TRIM(L391)),"Suffix translation &lt;&gt; lookup ", "" ))
&amp;IF(AND(TRIM(J391)="",M391=""),"Description not translated ",
   IF(AND(TRIM(J391)&lt;&gt;"",TRIM(M391)&lt;&gt;"",TRIM(J391)&lt;&gt;TRIM(M391)),"Description translation&lt;&gt; lookup ", "" ))</f>
        <v xml:space="preserve">Suffix not translated </v>
      </c>
      <c r="O391" s="6" t="s">
        <v>8574</v>
      </c>
      <c r="P391" s="6" t="s">
        <v>8574</v>
      </c>
    </row>
    <row r="392" spans="1:17" ht="45" x14ac:dyDescent="0.25">
      <c r="A392" s="5" t="str">
        <f>IF(TRIM(I392)="","",E392)</f>
        <v/>
      </c>
      <c r="B392" s="5" t="str">
        <f>IF(TRIM(J392)="","",H392)</f>
        <v/>
      </c>
      <c r="C392" s="5" t="str">
        <f>LEFT(F392,FIND(".",F392,6))</f>
        <v>Exif.Image.</v>
      </c>
      <c r="D392" s="5" t="str">
        <f>VLOOKUP(C392,PrefixUebersetzung,2,FALSE)</f>
        <v>Exif.Image (Bild).</v>
      </c>
      <c r="E392" s="5" t="str">
        <f>MID(F392,FIND(".",F392,6)+1,99)</f>
        <v>ForwardMatrix2</v>
      </c>
      <c r="F392" s="5" t="s">
        <v>284</v>
      </c>
      <c r="G392" s="5" t="s">
        <v>9672</v>
      </c>
      <c r="H392" s="6" t="s">
        <v>2385</v>
      </c>
      <c r="I392" s="7"/>
      <c r="K392" s="26"/>
      <c r="L392" s="6" t="str">
        <f>IFERROR(VLOOKUP(E392,A:I,9, FALSE),"")</f>
        <v/>
      </c>
      <c r="M392" s="6" t="str">
        <f>IFERROR(VLOOKUP(H392,B:J,9,FALSE),"")</f>
        <v>Dieser Tag definiert eine Matrix, die weiß-abgegelichene Kamera-Farben auf XYZ D50 Farben abbildet</v>
      </c>
      <c r="N392" s="6"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v>
      </c>
      <c r="O392" s="6" t="s">
        <v>8574</v>
      </c>
    </row>
    <row r="393" spans="1:17" ht="120" x14ac:dyDescent="0.25">
      <c r="A393" s="5" t="str">
        <f>IF(TRIM(I393)="","",E393)</f>
        <v>FrameRate</v>
      </c>
      <c r="B393" s="5" t="str">
        <f>IF(TRIM(J393)="","",H393)</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393" s="5" t="str">
        <f>LEFT(F393,FIND(".",F393,6))</f>
        <v>Exif.Image.</v>
      </c>
      <c r="D393" s="5" t="str">
        <f>VLOOKUP(C393,PrefixUebersetzung,2,FALSE)</f>
        <v>Exif.Image (Bild).</v>
      </c>
      <c r="E393" s="5" t="str">
        <f>MID(F393,FIND(".",F393,6)+1,99)</f>
        <v>FrameRate</v>
      </c>
      <c r="F393" s="2" t="s">
        <v>8003</v>
      </c>
      <c r="G393" s="5" t="s">
        <v>9672</v>
      </c>
      <c r="H393" s="3" t="s">
        <v>8004</v>
      </c>
      <c r="I393" s="7" t="s">
        <v>6432</v>
      </c>
      <c r="J393" s="8" t="s">
        <v>8802</v>
      </c>
      <c r="K393" s="26"/>
      <c r="L393" s="6" t="str">
        <f>IFERROR(VLOOKUP(E393,A:I,9, FALSE),"")</f>
        <v>Frame-Rate</v>
      </c>
      <c r="M393" s="6" t="str">
        <f>IFERROR(INDEX(J:J,MATCH(TRUE,INDEX(B:B=H393,0),0)),"")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393" s="6" t="str">
        <f>IF(AND(TRIM(I393)="",L393=""),"Suffix not translated ",
   IF(AND(TRIM(I393)&lt;&gt;"",TRIM(L393)&lt;&gt;"",TRIM(I393)&lt;&gt;TRIM(L393)),"Suffix translation &lt;&gt; lookup ", "" ))
&amp;IF(AND(TRIM(J393)="",M393=""),"Description not translated ",
   IF(AND(TRIM(J393)&lt;&gt;"",TRIM(M393)&lt;&gt;"",TRIM(J393)&lt;&gt;TRIM(M393)),"Description translation&lt;&gt; lookup ", "" ))</f>
        <v/>
      </c>
      <c r="O393" s="6" t="s">
        <v>8574</v>
      </c>
      <c r="P393" s="6" t="s">
        <v>8574</v>
      </c>
    </row>
    <row r="394" spans="1:17" ht="60" x14ac:dyDescent="0.25">
      <c r="A394" s="5" t="str">
        <f>IF(TRIM(I394)="","",E394)</f>
        <v>GPSTag</v>
      </c>
      <c r="B394" s="5" t="str">
        <f>IF(TRIM(J394)="","",H394)</f>
        <v>A pointer to the GPS Info IFD. The Interoperability structure of the GPS Info IFD, like that of Exif IFD, has no image data.</v>
      </c>
      <c r="C394" s="5" t="str">
        <f>LEFT(F394,FIND(".",F394,6))</f>
        <v>Exif.Image.</v>
      </c>
      <c r="D394" s="5" t="str">
        <f>VLOOKUP(C394,PrefixUebersetzung,2,FALSE)</f>
        <v>Exif.Image (Bild).</v>
      </c>
      <c r="E394" s="5" t="str">
        <f>MID(F394,FIND(".",F394,6)+1,99)</f>
        <v>GPSTag</v>
      </c>
      <c r="F394" s="5" t="s">
        <v>285</v>
      </c>
      <c r="G394" s="5" t="s">
        <v>9667</v>
      </c>
      <c r="H394" s="6" t="s">
        <v>2386</v>
      </c>
      <c r="I394" s="7" t="s">
        <v>4264</v>
      </c>
      <c r="J394" s="14" t="s">
        <v>5284</v>
      </c>
      <c r="K394" s="26"/>
      <c r="L394" s="6" t="str">
        <f>IFERROR(VLOOKUP(E394,A:I,9, FALSE),"")</f>
        <v>GPS Tag</v>
      </c>
      <c r="M394" s="6" t="str">
        <f>IFERROR(VLOOKUP(H394,B:J,9,FALSE),"")</f>
        <v>Ein Zeiger auf die GPS IFD Info. Die Interoperabilitäts-Struktur des GPS Info IFD, wie die Exif IFD, hat keine Bilddaten.</v>
      </c>
      <c r="N394" s="6" t="str">
        <f>IF(AND(TRIM(I394)="",L394=""),"Suffix not translated ",
   IF(AND(TRIM(I394)&lt;&gt;"",TRIM(L394)&lt;&gt;"",TRIM(I394)&lt;&gt;TRIM(L394)),"Suffix translation &lt;&gt; lookup ", "" ))
&amp;IF(AND(TRIM(J394)="",M394=""),"Description not translated ",
   IF(AND(TRIM(J394)&lt;&gt;"",TRIM(M394)&lt;&gt;"",TRIM(J394)&lt;&gt;TRIM(M394)),"Description translation&lt;&gt; lookup ", "" ))</f>
        <v/>
      </c>
      <c r="O394" s="6" t="s">
        <v>8574</v>
      </c>
      <c r="P394" s="6" t="s">
        <v>8574</v>
      </c>
    </row>
    <row r="395" spans="1:17" ht="30" x14ac:dyDescent="0.25">
      <c r="A395" s="5" t="str">
        <f>IF(TRIM(I395)="","",E395)</f>
        <v>GrayResponseCurve</v>
      </c>
      <c r="B395" s="5" t="str">
        <f>IF(TRIM(J395)="","",H395)</f>
        <v>For grayscale data, the optical density of each possible pixel value.</v>
      </c>
      <c r="C395" s="5" t="str">
        <f>LEFT(F395,FIND(".",F395,6))</f>
        <v>Exif.Image.</v>
      </c>
      <c r="D395" s="5" t="str">
        <f>VLOOKUP(C395,PrefixUebersetzung,2,FALSE)</f>
        <v>Exif.Image (Bild).</v>
      </c>
      <c r="E395" s="5" t="str">
        <f>MID(F395,FIND(".",F395,6)+1,99)</f>
        <v>GrayResponseCurve</v>
      </c>
      <c r="F395" s="5" t="s">
        <v>286</v>
      </c>
      <c r="G395" s="5" t="s">
        <v>9664</v>
      </c>
      <c r="H395" s="6" t="s">
        <v>2387</v>
      </c>
      <c r="I395" s="7" t="s">
        <v>4860</v>
      </c>
      <c r="J395" s="14" t="s">
        <v>5285</v>
      </c>
      <c r="K395" s="26"/>
      <c r="L395" s="6" t="str">
        <f>IFERROR(VLOOKUP(E395,A:I,9, FALSE),"")</f>
        <v>Grauskalen Kurve</v>
      </c>
      <c r="M395" s="6" t="str">
        <f>IFERROR(VLOOKUP(H395,B:J,9,FALSE),"")</f>
        <v>Für Grauskalendaten: optische Dichte für jeden möglichen Pixelwert.</v>
      </c>
      <c r="N395" s="6" t="str">
        <f>IF(AND(TRIM(I395)="",L395=""),"Suffix not translated ",
   IF(AND(TRIM(I395)&lt;&gt;"",TRIM(L395)&lt;&gt;"",TRIM(I395)&lt;&gt;TRIM(L395)),"Suffix translation &lt;&gt; lookup ", "" ))
&amp;IF(AND(TRIM(J395)="",M395=""),"Description not translated ",
   IF(AND(TRIM(J395)&lt;&gt;"",TRIM(M395)&lt;&gt;"",TRIM(J395)&lt;&gt;TRIM(M395)),"Description translation&lt;&gt; lookup ", "" ))</f>
        <v/>
      </c>
      <c r="O395" s="6" t="s">
        <v>8574</v>
      </c>
      <c r="P395" s="6" t="s">
        <v>8574</v>
      </c>
    </row>
    <row r="396" spans="1:17" ht="45" x14ac:dyDescent="0.25">
      <c r="A396" s="5" t="str">
        <f>IF(TRIM(I396)="","",E396)</f>
        <v>GrayResponseUnit</v>
      </c>
      <c r="B396" s="5" t="str">
        <f>IF(TRIM(J396)="","",H396)</f>
        <v>The precision of the information contained in the GrayResponseCurve.</v>
      </c>
      <c r="C396" s="5" t="str">
        <f>LEFT(F396,FIND(".",F396,6))</f>
        <v>Exif.Image.</v>
      </c>
      <c r="D396" s="5" t="str">
        <f>VLOOKUP(C396,PrefixUebersetzung,2,FALSE)</f>
        <v>Exif.Image (Bild).</v>
      </c>
      <c r="E396" s="5" t="str">
        <f>MID(F396,FIND(".",F396,6)+1,99)</f>
        <v>GrayResponseUnit</v>
      </c>
      <c r="F396" s="5" t="s">
        <v>287</v>
      </c>
      <c r="G396" s="5" t="s">
        <v>9664</v>
      </c>
      <c r="H396" s="6" t="s">
        <v>2388</v>
      </c>
      <c r="I396" s="7" t="s">
        <v>4861</v>
      </c>
      <c r="J396" s="14" t="s">
        <v>5286</v>
      </c>
      <c r="K396" s="26"/>
      <c r="L396" s="6" t="str">
        <f>IFERROR(VLOOKUP(E396,A:I,9, FALSE),"")</f>
        <v>Grauskalen Einheit</v>
      </c>
      <c r="M396" s="6" t="str">
        <f>IFERROR(VLOOKUP(H396,B:J,9,FALSE),"")</f>
        <v>Die Genauigkeit der Informationen, die in der GrayResponseCurve enthalten sind.</v>
      </c>
      <c r="N396" s="6" t="str">
        <f>IF(AND(TRIM(I396)="",L396=""),"Suffix not translated ",
   IF(AND(TRIM(I396)&lt;&gt;"",TRIM(L396)&lt;&gt;"",TRIM(I396)&lt;&gt;TRIM(L396)),"Suffix translation &lt;&gt; lookup ", "" ))
&amp;IF(AND(TRIM(J396)="",M396=""),"Description not translated ",
   IF(AND(TRIM(J396)&lt;&gt;"",TRIM(M396)&lt;&gt;"",TRIM(J396)&lt;&gt;TRIM(M396)),"Description translation&lt;&gt; lookup ", "" ))</f>
        <v/>
      </c>
      <c r="O396" s="6" t="s">
        <v>8574</v>
      </c>
      <c r="P396" s="6" t="s">
        <v>8574</v>
      </c>
    </row>
    <row r="397" spans="1:17" ht="60" x14ac:dyDescent="0.25">
      <c r="A397" s="5" t="str">
        <f>IF(TRIM(I397)="","",E397)</f>
        <v>HalftoneHints</v>
      </c>
      <c r="B397" s="5" t="str">
        <f>IF(TRIM(J397)="","",H397)</f>
        <v/>
      </c>
      <c r="C397" s="5" t="str">
        <f>LEFT(F397,FIND(".",F397,6))</f>
        <v>Exif.Image.</v>
      </c>
      <c r="D397" s="5" t="str">
        <f>VLOOKUP(C397,PrefixUebersetzung,2,FALSE)</f>
        <v>Exif.Image (Bild).</v>
      </c>
      <c r="E397" s="5" t="str">
        <f>MID(F397,FIND(".",F397,6)+1,99)</f>
        <v>HalftoneHints</v>
      </c>
      <c r="F397" s="5" t="s">
        <v>288</v>
      </c>
      <c r="G397" s="5" t="s">
        <v>9664</v>
      </c>
      <c r="H397" s="6" t="s">
        <v>2389</v>
      </c>
      <c r="I397" s="7" t="s">
        <v>5150</v>
      </c>
      <c r="K397" s="26"/>
      <c r="L397" s="6" t="str">
        <f>IFERROR(VLOOKUP(E397,A:I,9, FALSE),"")</f>
        <v>Halbton Hinweise</v>
      </c>
      <c r="M397" s="6" t="str">
        <f>IFERROR(VLOOKUP(H397,B:J,9,FALSE),"")</f>
        <v/>
      </c>
      <c r="N397" s="6" t="str">
        <f>IF(AND(TRIM(I397)="",L397=""),"Suffix not translated ",
   IF(AND(TRIM(I397)&lt;&gt;"",TRIM(L397)&lt;&gt;"",TRIM(I397)&lt;&gt;TRIM(L397)),"Suffix translation &lt;&gt; lookup ", "" ))
&amp;IF(AND(TRIM(J397)="",M397=""),"Description not translated ",
   IF(AND(TRIM(J397)&lt;&gt;"",TRIM(M397)&lt;&gt;"",TRIM(J397)&lt;&gt;TRIM(M397)),"Description translation&lt;&gt; lookup ", "" ))</f>
        <v xml:space="preserve">Description not translated </v>
      </c>
      <c r="O397" s="6" t="s">
        <v>8574</v>
      </c>
      <c r="P397" s="6" t="s">
        <v>8574</v>
      </c>
    </row>
    <row r="398" spans="1:17" ht="60" x14ac:dyDescent="0.25">
      <c r="A398" s="5" t="str">
        <f>IF(TRIM(I398)="","",E398)</f>
        <v>HostComputer</v>
      </c>
      <c r="B398" s="5" t="str">
        <f>IF(TRIM(J398)="","",H398)</f>
        <v>This tag records information about the host computer used to generate the image.</v>
      </c>
      <c r="C398" s="5" t="str">
        <f>LEFT(F398,FIND(".",F398,6))</f>
        <v>Exif.Image.</v>
      </c>
      <c r="D398" s="5" t="str">
        <f>VLOOKUP(C398,PrefixUebersetzung,2,FALSE)</f>
        <v>Exif.Image (Bild).</v>
      </c>
      <c r="E398" s="5" t="str">
        <f>MID(F398,FIND(".",F398,6)+1,99)</f>
        <v>HostComputer</v>
      </c>
      <c r="F398" s="5" t="s">
        <v>289</v>
      </c>
      <c r="G398" s="5" t="s">
        <v>9666</v>
      </c>
      <c r="H398" s="6" t="s">
        <v>2390</v>
      </c>
      <c r="I398" s="7" t="s">
        <v>4265</v>
      </c>
      <c r="J398" s="14" t="s">
        <v>5287</v>
      </c>
      <c r="K398" s="26"/>
      <c r="L398" s="6" t="str">
        <f>IFERROR(VLOOKUP(E398,A:I,9, FALSE),"")</f>
        <v>Host-Computer</v>
      </c>
      <c r="M398" s="6" t="str">
        <f>IFERROR(VLOOKUP(H398,B:J,9,FALSE),"")</f>
        <v>Dieser Tag zeichnet Informationen über den Host-Computer auf, der verwendet wurde, um das Bild zu erzeugen.</v>
      </c>
      <c r="N398" s="6" t="str">
        <f>IF(AND(TRIM(I398)="",L398=""),"Suffix not translated ",
   IF(AND(TRIM(I398)&lt;&gt;"",TRIM(L398)&lt;&gt;"",TRIM(I398)&lt;&gt;TRIM(L398)),"Suffix translation &lt;&gt; lookup ", "" ))
&amp;IF(AND(TRIM(J398)="",M398=""),"Description not translated ",
   IF(AND(TRIM(J398)&lt;&gt;"",TRIM(M398)&lt;&gt;"",TRIM(J398)&lt;&gt;TRIM(M398)),"Description translation&lt;&gt; lookup ", "" ))</f>
        <v/>
      </c>
      <c r="O398" s="6" t="s">
        <v>8574</v>
      </c>
      <c r="P398" s="6" t="s">
        <v>8574</v>
      </c>
    </row>
    <row r="399" spans="1:17" ht="135" x14ac:dyDescent="0.25">
      <c r="A399" s="5" t="str">
        <f>IF(TRIM(I399)="","",E399)</f>
        <v>ImageDescription</v>
      </c>
      <c r="B399" s="5" t="str">
        <f>IF(TRIM(J399)="","",H399)</f>
        <v>A character string giving the title of the image. It may be a comment such as "1988 company picnic" or the like. Two-bytes character codes cannot be used. When a 2-bytes code is necessary, the Exif Private tag &lt;UserComment&gt; is to be used.</v>
      </c>
      <c r="C399" s="5" t="str">
        <f>LEFT(F399,FIND(".",F399,6))</f>
        <v>Exif.Image.</v>
      </c>
      <c r="D399" s="5" t="str">
        <f>VLOOKUP(C399,PrefixUebersetzung,2,FALSE)</f>
        <v>Exif.Image (Bild).</v>
      </c>
      <c r="E399" s="5" t="str">
        <f>MID(F399,FIND(".",F399,6)+1,99)</f>
        <v>ImageDescription</v>
      </c>
      <c r="F399" s="5" t="s">
        <v>290</v>
      </c>
      <c r="G399" s="5" t="s">
        <v>9666</v>
      </c>
      <c r="H399" s="6" t="s">
        <v>2391</v>
      </c>
      <c r="I399" s="7" t="s">
        <v>4266</v>
      </c>
      <c r="J399" s="14" t="s">
        <v>5668</v>
      </c>
      <c r="K399" s="26"/>
      <c r="L399" s="6" t="str">
        <f>IFERROR(VLOOKUP(E399,A:I,9, FALSE),"")</f>
        <v>Bildbeschreibung</v>
      </c>
      <c r="M399" s="6" t="str">
        <f>IFERROR(VLOOKUP(H399,B:J,9,FALSE),"")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399" s="6" t="str">
        <f>IF(AND(TRIM(I399)="",L399=""),"Suffix not translated ",
   IF(AND(TRIM(I399)&lt;&gt;"",TRIM(L399)&lt;&gt;"",TRIM(I399)&lt;&gt;TRIM(L399)),"Suffix translation &lt;&gt; lookup ", "" ))
&amp;IF(AND(TRIM(J399)="",M399=""),"Description not translated ",
   IF(AND(TRIM(J399)&lt;&gt;"",TRIM(M399)&lt;&gt;"",TRIM(J399)&lt;&gt;TRIM(M399)),"Description translation&lt;&gt; lookup ", "" ))</f>
        <v/>
      </c>
      <c r="O399" s="6" t="s">
        <v>8574</v>
      </c>
      <c r="P399" s="6" t="s">
        <v>8574</v>
      </c>
    </row>
    <row r="400" spans="1:17" ht="30" x14ac:dyDescent="0.25">
      <c r="A400" s="5" t="str">
        <f>IF(TRIM(I400)="","",E400)</f>
        <v>ImageHistory</v>
      </c>
      <c r="B400" s="5" t="str">
        <f>IF(TRIM(J400)="","",H400)</f>
        <v>Record of what has been done to the image.</v>
      </c>
      <c r="C400" s="5" t="str">
        <f>LEFT(F400,FIND(".",F400,6))</f>
        <v>Exif.Image.</v>
      </c>
      <c r="D400" s="5" t="str">
        <f>VLOOKUP(C400,PrefixUebersetzung,2,FALSE)</f>
        <v>Exif.Image (Bild).</v>
      </c>
      <c r="E400" s="5" t="str">
        <f>MID(F400,FIND(".",F400,6)+1,99)</f>
        <v>ImageHistory</v>
      </c>
      <c r="F400" s="5" t="s">
        <v>291</v>
      </c>
      <c r="G400" s="5" t="s">
        <v>9666</v>
      </c>
      <c r="H400" s="6" t="s">
        <v>2392</v>
      </c>
      <c r="I400" s="7" t="s">
        <v>4862</v>
      </c>
      <c r="J400" s="14" t="s">
        <v>5288</v>
      </c>
      <c r="K400" s="26"/>
      <c r="L400" s="6" t="str">
        <f>IFERROR(VLOOKUP(E400,A:I,9, FALSE),"")</f>
        <v>Bildänderungshistorie</v>
      </c>
      <c r="M400" s="6" t="str">
        <f>IFERROR(VLOOKUP(H400,B:J,9,FALSE),"")</f>
        <v>Aufzeichnung, welche Änderungen an dem Bild vorgenommen wurden.</v>
      </c>
      <c r="N400" s="6" t="str">
        <f>IF(AND(TRIM(I400)="",L400=""),"Suffix not translated ",
   IF(AND(TRIM(I400)&lt;&gt;"",TRIM(L400)&lt;&gt;"",TRIM(I400)&lt;&gt;TRIM(L400)),"Suffix translation &lt;&gt; lookup ", "" ))
&amp;IF(AND(TRIM(J400)="",M400=""),"Description not translated ",
   IF(AND(TRIM(J400)&lt;&gt;"",TRIM(M400)&lt;&gt;"",TRIM(J400)&lt;&gt;TRIM(M400)),"Description translation&lt;&gt; lookup ", "" ))</f>
        <v/>
      </c>
      <c r="O400" s="6" t="s">
        <v>8574</v>
      </c>
      <c r="P400" s="6" t="s">
        <v>8574</v>
      </c>
    </row>
    <row r="401" spans="1:17" ht="90" x14ac:dyDescent="0.25">
      <c r="A401" s="5" t="str">
        <f>IF(TRIM(I401)="","",E401)</f>
        <v>ImageID</v>
      </c>
      <c r="B401" s="5" t="str">
        <f>IF(TRIM(J401)="","",H401)</f>
        <v>ImageID is the full pathname of the original, high-resolution image, or any other identifying string that uniquely identifies the original image (Adobe OPI).</v>
      </c>
      <c r="C401" s="5" t="str">
        <f>LEFT(F401,FIND(".",F401,6))</f>
        <v>Exif.Image.</v>
      </c>
      <c r="D401" s="5" t="str">
        <f>VLOOKUP(C401,PrefixUebersetzung,2,FALSE)</f>
        <v>Exif.Image (Bild).</v>
      </c>
      <c r="E401" s="5" t="str">
        <f>MID(F401,FIND(".",F401,6)+1,99)</f>
        <v>ImageID</v>
      </c>
      <c r="F401" s="5" t="s">
        <v>292</v>
      </c>
      <c r="G401" s="5" t="s">
        <v>9666</v>
      </c>
      <c r="H401" s="6" t="s">
        <v>2393</v>
      </c>
      <c r="I401" s="7" t="s">
        <v>4267</v>
      </c>
      <c r="J401" s="14" t="s">
        <v>5289</v>
      </c>
      <c r="K401" s="26"/>
      <c r="L401" s="6" t="str">
        <f>IFERROR(VLOOKUP(E401,A:I,9, FALSE),"")</f>
        <v>Bild-Id</v>
      </c>
      <c r="M401" s="6" t="str">
        <f>IFERROR(VLOOKUP(H401,B:J,9,FALSE),"")</f>
        <v>ImageID ist der vollständige Pfad des Originals, hochauflösendes Bild, oder jede andere identifizierende Zeichenfolge, die eindeutig das ursprüngliche Bild identifiziert (Adobe OPI).</v>
      </c>
      <c r="N401" s="6" t="str">
        <f>IF(AND(TRIM(I401)="",L401=""),"Suffix not translated ",
   IF(AND(TRIM(I401)&lt;&gt;"",TRIM(L401)&lt;&gt;"",TRIM(I401)&lt;&gt;TRIM(L401)),"Suffix translation &lt;&gt; lookup ", "" ))
&amp;IF(AND(TRIM(J401)="",M401=""),"Description not translated ",
   IF(AND(TRIM(J401)&lt;&gt;"",TRIM(M401)&lt;&gt;"",TRIM(J401)&lt;&gt;TRIM(M401)),"Description translation&lt;&gt; lookup ", "" ))</f>
        <v/>
      </c>
      <c r="O401" s="6" t="s">
        <v>8574</v>
      </c>
      <c r="P401" s="6" t="s">
        <v>8574</v>
      </c>
    </row>
    <row r="402" spans="1:17" ht="60" x14ac:dyDescent="0.25">
      <c r="A402" s="5" t="str">
        <f>IF(TRIM(I402)="","",E402)</f>
        <v>ImageLength</v>
      </c>
      <c r="B402" s="5" t="str">
        <f>IF(TRIM(J402)="","",H402)</f>
        <v>The number of rows of image data. In JPEG compressed data a JPEG marker is used instead of this tag.</v>
      </c>
      <c r="C402" s="5" t="str">
        <f>LEFT(F402,FIND(".",F402,6))</f>
        <v>Exif.Image.</v>
      </c>
      <c r="D402" s="5" t="str">
        <f>VLOOKUP(C402,PrefixUebersetzung,2,FALSE)</f>
        <v>Exif.Image (Bild).</v>
      </c>
      <c r="E402" s="5" t="str">
        <f>MID(F402,FIND(".",F402,6)+1,99)</f>
        <v>ImageLength</v>
      </c>
      <c r="F402" s="5" t="s">
        <v>293</v>
      </c>
      <c r="G402" s="5" t="s">
        <v>9667</v>
      </c>
      <c r="H402" s="6" t="s">
        <v>2394</v>
      </c>
      <c r="I402" s="7" t="s">
        <v>4268</v>
      </c>
      <c r="J402" s="14" t="s">
        <v>5290</v>
      </c>
      <c r="K402" s="26"/>
      <c r="L402" s="6" t="str">
        <f>IFERROR(VLOOKUP(E402,A:I,9, FALSE),"")</f>
        <v>Bildlänge</v>
      </c>
      <c r="M402" s="6" t="str">
        <f>IFERROR(VLOOKUP(H402,B:J,9,FALSE),"")</f>
        <v>Die Anzahl der Zeilen in den  Bilddaten. In JPEG komprimierten Dateien wird ein JPEG Marker anstelle dieses Tags verwendet.</v>
      </c>
      <c r="N402" s="6" t="str">
        <f>IF(AND(TRIM(I402)="",L402=""),"Suffix not translated ",
   IF(AND(TRIM(I402)&lt;&gt;"",TRIM(L402)&lt;&gt;"",TRIM(I402)&lt;&gt;TRIM(L402)),"Suffix translation &lt;&gt; lookup ", "" ))
&amp;IF(AND(TRIM(J402)="",M402=""),"Description not translated ",
   IF(AND(TRIM(J402)&lt;&gt;"",TRIM(M402)&lt;&gt;"",TRIM(J402)&lt;&gt;TRIM(M402)),"Description translation&lt;&gt; lookup ", "" ))</f>
        <v/>
      </c>
      <c r="O402" s="6" t="s">
        <v>8574</v>
      </c>
      <c r="P402" s="6" t="s">
        <v>8574</v>
      </c>
    </row>
    <row r="403" spans="1:17" ht="45" x14ac:dyDescent="0.25">
      <c r="A403" s="5" t="str">
        <f>IF(TRIM(I403)="","",E403)</f>
        <v>ImageNumber</v>
      </c>
      <c r="B403" s="5" t="str">
        <f>IF(TRIM(J403)="","",H403)</f>
        <v>Number assigned to an image, e.g., in a chained image burst.</v>
      </c>
      <c r="C403" s="5" t="str">
        <f>LEFT(F403,FIND(".",F403,6))</f>
        <v>Exif.Image.</v>
      </c>
      <c r="D403" s="5" t="str">
        <f>VLOOKUP(C403,PrefixUebersetzung,2,FALSE)</f>
        <v>Exif.Image (Bild).</v>
      </c>
      <c r="E403" s="5" t="str">
        <f>MID(F403,FIND(".",F403,6)+1,99)</f>
        <v>ImageNumber</v>
      </c>
      <c r="F403" s="5" t="s">
        <v>294</v>
      </c>
      <c r="G403" s="5" t="s">
        <v>9667</v>
      </c>
      <c r="H403" s="6" t="s">
        <v>2395</v>
      </c>
      <c r="I403" s="7" t="s">
        <v>3833</v>
      </c>
      <c r="J403" s="14" t="s">
        <v>5291</v>
      </c>
      <c r="K403" s="26"/>
      <c r="L403" s="6" t="str">
        <f>IFERROR(VLOOKUP(E403,A:I,9, FALSE),"")</f>
        <v>Bildnummer</v>
      </c>
      <c r="M403" s="6" t="str">
        <f>IFERROR(VLOOKUP(H403,B:J,9,FALSE),"")</f>
        <v>Nummer, die dem Bild zugewiesen wurde, z.B. in einer verketteten Sammlung von Bildern.</v>
      </c>
      <c r="N403" s="6" t="str">
        <f>IF(AND(TRIM(I403)="",L403=""),"Suffix not translated ",
   IF(AND(TRIM(I403)&lt;&gt;"",TRIM(L403)&lt;&gt;"",TRIM(I403)&lt;&gt;TRIM(L403)),"Suffix translation &lt;&gt; lookup ", "" ))
&amp;IF(AND(TRIM(J403)="",M403=""),"Description not translated ",
   IF(AND(TRIM(J403)&lt;&gt;"",TRIM(M403)&lt;&gt;"",TRIM(J403)&lt;&gt;TRIM(M403)),"Description translation&lt;&gt; lookup ", "" ))</f>
        <v/>
      </c>
      <c r="O403" s="6" t="s">
        <v>8574</v>
      </c>
      <c r="P403" s="6" t="s">
        <v>8574</v>
      </c>
    </row>
    <row r="404" spans="1:17" ht="30" x14ac:dyDescent="0.25">
      <c r="A404" s="5" t="str">
        <f>IF(TRIM(I404)="","",E404)</f>
        <v>ImageResources</v>
      </c>
      <c r="B404" s="5" t="str">
        <f>IF(TRIM(J404)="","",H404)</f>
        <v>Contains information embedded by the Adobe Photoshop application</v>
      </c>
      <c r="C404" s="5" t="str">
        <f>LEFT(F404,FIND(".",F404,6))</f>
        <v>Exif.Image.</v>
      </c>
      <c r="D404" s="5" t="str">
        <f>VLOOKUP(C404,PrefixUebersetzung,2,FALSE)</f>
        <v>Exif.Image (Bild).</v>
      </c>
      <c r="E404" s="5" t="str">
        <f>MID(F404,FIND(".",F404,6)+1,99)</f>
        <v>ImageResources</v>
      </c>
      <c r="F404" s="5" t="s">
        <v>295</v>
      </c>
      <c r="G404" s="5" t="s">
        <v>9670</v>
      </c>
      <c r="H404" s="6" t="s">
        <v>2396</v>
      </c>
      <c r="I404" s="7" t="s">
        <v>4863</v>
      </c>
      <c r="J404" s="14" t="s">
        <v>5292</v>
      </c>
      <c r="K404" s="26"/>
      <c r="L404" s="6" t="str">
        <f>IFERROR(VLOOKUP(E404,A:I,9, FALSE),"")</f>
        <v>Bildressourcen</v>
      </c>
      <c r="M404" s="6" t="str">
        <f>IFERROR(VLOOKUP(H404,B:J,9,FALSE),"")</f>
        <v>Enthält Informationen, die von Adobe Photoshop eingebettet wurden.</v>
      </c>
      <c r="N404" s="6" t="str">
        <f>IF(AND(TRIM(I404)="",L404=""),"Suffix not translated ",
   IF(AND(TRIM(I404)&lt;&gt;"",TRIM(L404)&lt;&gt;"",TRIM(I404)&lt;&gt;TRIM(L404)),"Suffix translation &lt;&gt; lookup ", "" ))
&amp;IF(AND(TRIM(J404)="",M404=""),"Description not translated ",
   IF(AND(TRIM(J404)&lt;&gt;"",TRIM(M404)&lt;&gt;"",TRIM(J404)&lt;&gt;TRIM(M404)),"Description translation&lt;&gt; lookup ", "" ))</f>
        <v/>
      </c>
      <c r="O404" s="6" t="s">
        <v>8574</v>
      </c>
      <c r="P404" s="6" t="s">
        <v>8574</v>
      </c>
    </row>
    <row r="405" spans="1:17" ht="90" x14ac:dyDescent="0.25">
      <c r="A405" s="5" t="str">
        <f>IF(TRIM(I405)="","",E405)</f>
        <v/>
      </c>
      <c r="B405" s="5" t="str">
        <f>IF(TRIM(J405)="","",H405)</f>
        <v>The number of columns of image data, equal to the number of pixels per row. In JPEG compressed data a JPEG marker is used instead of this tag.</v>
      </c>
      <c r="C405" s="5" t="str">
        <f>LEFT(F405,FIND(".",F405,6))</f>
        <v>Exif.Image.</v>
      </c>
      <c r="D405" s="5" t="str">
        <f>VLOOKUP(C405,PrefixUebersetzung,2,FALSE)</f>
        <v>Exif.Image (Bild).</v>
      </c>
      <c r="E405" s="5" t="str">
        <f>MID(F405,FIND(".",F405,6)+1,99)</f>
        <v>ImageWidth</v>
      </c>
      <c r="F405" s="5" t="s">
        <v>296</v>
      </c>
      <c r="G405" s="5" t="s">
        <v>9667</v>
      </c>
      <c r="H405" s="6" t="s">
        <v>2397</v>
      </c>
      <c r="I405" s="7"/>
      <c r="J405" s="14" t="s">
        <v>5293</v>
      </c>
      <c r="K405" s="26"/>
      <c r="L405" s="6" t="str">
        <f>IFERROR(VLOOKUP(E405,A:I,9, FALSE),"")</f>
        <v>Bildbreite</v>
      </c>
      <c r="M405" s="6" t="str">
        <f>IFERROR(VLOOKUP(H405,B:J,9,FALSE),"")</f>
        <v>Die Anzahl der Spalten in den  Bilddaten, gleich der Anzahl von Pixeln pro Zeile. In JPEG komprimierten Dateien wird ein JPEG Marker anstelle dieses Tags verwendet.</v>
      </c>
      <c r="N405" s="6" t="str">
        <f>IF(AND(TRIM(I405)="",L405=""),"Suffix not translated ",
   IF(AND(TRIM(I405)&lt;&gt;"",TRIM(L405)&lt;&gt;"",TRIM(I405)&lt;&gt;TRIM(L405)),"Suffix translation &lt;&gt; lookup ", "" ))
&amp;IF(AND(TRIM(J405)="",M405=""),"Description not translated ",
   IF(AND(TRIM(J405)&lt;&gt;"",TRIM(M405)&lt;&gt;"",TRIM(J405)&lt;&gt;TRIM(M405)),"Description translation&lt;&gt; lookup ", "" ))</f>
        <v/>
      </c>
      <c r="P405" s="6" t="s">
        <v>8574</v>
      </c>
    </row>
    <row r="406" spans="1:17" ht="75" x14ac:dyDescent="0.25">
      <c r="A406" s="5" t="str">
        <f>IF(TRIM(I406)="","",E406)</f>
        <v>Indexed</v>
      </c>
      <c r="B406" s="5" t="str">
        <f>IF(TRIM(J406)="","",H406)</f>
        <v>Indexed images are images where the 'pixels' do not represent color values, but rather an index (usually 8-bit) into a separate color table, the ColorMap.</v>
      </c>
      <c r="C406" s="5" t="str">
        <f>LEFT(F406,FIND(".",F406,6))</f>
        <v>Exif.Image.</v>
      </c>
      <c r="D406" s="5" t="str">
        <f>VLOOKUP(C406,PrefixUebersetzung,2,FALSE)</f>
        <v>Exif.Image (Bild).</v>
      </c>
      <c r="E406" s="5" t="str">
        <f>MID(F406,FIND(".",F406,6)+1,99)</f>
        <v>Indexed</v>
      </c>
      <c r="F406" s="5" t="s">
        <v>297</v>
      </c>
      <c r="G406" s="5" t="s">
        <v>9664</v>
      </c>
      <c r="H406" s="6" t="s">
        <v>2398</v>
      </c>
      <c r="I406" s="7" t="s">
        <v>5145</v>
      </c>
      <c r="J406" s="14" t="s">
        <v>5294</v>
      </c>
      <c r="K406" s="26"/>
      <c r="L406" s="6" t="str">
        <f>IFERROR(VLOOKUP(E406,A:I,9, FALSE),"")</f>
        <v>Indiziert (mit Farbtabelle)</v>
      </c>
      <c r="M406" s="6" t="str">
        <f>IFERROR(VLOOKUP(H406,B:J,9,FALSE),"")</f>
        <v>Indizierte Bilder sind Bilder, in denen die "Pixel" keine Farbwerte repräsentieren, sondern einen Index (in der Regel 8-Bit) in eine separaten Farbtabelle, die ColorMap.</v>
      </c>
      <c r="N406" s="6" t="str">
        <f>IF(AND(TRIM(I406)="",L406=""),"Suffix not translated ",
   IF(AND(TRIM(I406)&lt;&gt;"",TRIM(L406)&lt;&gt;"",TRIM(I406)&lt;&gt;TRIM(L406)),"Suffix translation &lt;&gt; lookup ", "" ))
&amp;IF(AND(TRIM(J406)="",M406=""),"Description not translated ",
   IF(AND(TRIM(J406)&lt;&gt;"",TRIM(M406)&lt;&gt;"",TRIM(J406)&lt;&gt;TRIM(M406)),"Description translation&lt;&gt; lookup ", "" ))</f>
        <v/>
      </c>
      <c r="O406" s="6" t="s">
        <v>8574</v>
      </c>
      <c r="P406" s="6" t="s">
        <v>8574</v>
      </c>
    </row>
    <row r="407" spans="1:17" ht="45" x14ac:dyDescent="0.25">
      <c r="A407" s="5" t="str">
        <f>IF(TRIM(I407)="","",E407)</f>
        <v>InkNames</v>
      </c>
      <c r="B407" s="5" t="str">
        <f>IF(TRIM(J407)="","",H407)</f>
        <v>The name of each ink used in a separated (PhotometricInterpretation=5) image.</v>
      </c>
      <c r="C407" s="5" t="str">
        <f>LEFT(F407,FIND(".",F407,6))</f>
        <v>Exif.Image.</v>
      </c>
      <c r="D407" s="5" t="str">
        <f>VLOOKUP(C407,PrefixUebersetzung,2,FALSE)</f>
        <v>Exif.Image (Bild).</v>
      </c>
      <c r="E407" s="5" t="str">
        <f>MID(F407,FIND(".",F407,6)+1,99)</f>
        <v>InkNames</v>
      </c>
      <c r="F407" s="5" t="s">
        <v>298</v>
      </c>
      <c r="G407" s="5" t="s">
        <v>9666</v>
      </c>
      <c r="H407" s="6" t="s">
        <v>2399</v>
      </c>
      <c r="I407" s="7" t="s">
        <v>5297</v>
      </c>
      <c r="J407" s="14" t="s">
        <v>5295</v>
      </c>
      <c r="K407" s="26"/>
      <c r="L407" s="6" t="str">
        <f>IFERROR(VLOOKUP(E407,A:I,9, FALSE),"")</f>
        <v>Farbnamen</v>
      </c>
      <c r="M407" s="6" t="str">
        <f>IFERROR(VLOOKUP(H407,B:J,9,FALSE),"")</f>
        <v>Die Namen der Farben, die in einem separaten (PhotometricInterpretation = 5) Bild verwendet werden.</v>
      </c>
      <c r="N407" s="6" t="str">
        <f>IF(AND(TRIM(I407)="",L407=""),"Suffix not translated ",
   IF(AND(TRIM(I407)&lt;&gt;"",TRIM(L407)&lt;&gt;"",TRIM(I407)&lt;&gt;TRIM(L407)),"Suffix translation &lt;&gt; lookup ", "" ))
&amp;IF(AND(TRIM(J407)="",M407=""),"Description not translated ",
   IF(AND(TRIM(J407)&lt;&gt;"",TRIM(M407)&lt;&gt;"",TRIM(J407)&lt;&gt;TRIM(M407)),"Description translation&lt;&gt; lookup ", "" ))</f>
        <v/>
      </c>
      <c r="O407" s="6" t="s">
        <v>8574</v>
      </c>
      <c r="P407" s="6" t="s">
        <v>8574</v>
      </c>
    </row>
    <row r="408" spans="1:17" ht="45" x14ac:dyDescent="0.25">
      <c r="A408" s="5" t="str">
        <f>IF(TRIM(I408)="","",E408)</f>
        <v>InkSet</v>
      </c>
      <c r="B408" s="5" t="str">
        <f>IF(TRIM(J408)="","",H408)</f>
        <v>The set of inks used in a separated (PhotometricInterpretation=5) image.</v>
      </c>
      <c r="C408" s="5" t="str">
        <f>LEFT(F408,FIND(".",F408,6))</f>
        <v>Exif.Image.</v>
      </c>
      <c r="D408" s="5" t="str">
        <f>VLOOKUP(C408,PrefixUebersetzung,2,FALSE)</f>
        <v>Exif.Image (Bild).</v>
      </c>
      <c r="E408" s="5" t="str">
        <f>MID(F408,FIND(".",F408,6)+1,99)</f>
        <v>InkSet</v>
      </c>
      <c r="F408" s="5" t="s">
        <v>299</v>
      </c>
      <c r="G408" s="5" t="s">
        <v>9664</v>
      </c>
      <c r="H408" s="6" t="s">
        <v>2400</v>
      </c>
      <c r="I408" s="7" t="s">
        <v>5298</v>
      </c>
      <c r="J408" s="14" t="s">
        <v>5296</v>
      </c>
      <c r="K408" s="26"/>
      <c r="L408" s="6" t="str">
        <f>IFERROR(VLOOKUP(E408,A:I,9, FALSE),"")</f>
        <v>Farbenset</v>
      </c>
      <c r="M408" s="6" t="str">
        <f>IFERROR(VLOOKUP(H408,B:J,9,FALSE),"")</f>
        <v>Der Satz von Farben, die in einem separaten (PhotometricInterpretation = 5) Bildes verwendet werden.</v>
      </c>
      <c r="N408" s="6" t="str">
        <f>IF(AND(TRIM(I408)="",L408=""),"Suffix not translated ",
   IF(AND(TRIM(I408)&lt;&gt;"",TRIM(L408)&lt;&gt;"",TRIM(I408)&lt;&gt;TRIM(L408)),"Suffix translation &lt;&gt; lookup ", "" ))
&amp;IF(AND(TRIM(J408)="",M408=""),"Description not translated ",
   IF(AND(TRIM(J408)&lt;&gt;"",TRIM(M408)&lt;&gt;"",TRIM(J408)&lt;&gt;TRIM(M408)),"Description translation&lt;&gt; lookup ", "" ))</f>
        <v/>
      </c>
      <c r="O408" s="6" t="s">
        <v>8574</v>
      </c>
      <c r="P408" s="6" t="s">
        <v>8574</v>
      </c>
    </row>
    <row r="409" spans="1:17" ht="45" x14ac:dyDescent="0.25">
      <c r="A409" s="5" t="str">
        <f>IF(TRIM(I409)="","",E409)</f>
        <v>InterColorProfile</v>
      </c>
      <c r="B409" s="5" t="str">
        <f>IF(TRIM(J409)="","",H409)</f>
        <v>Contains an InterColor Consortium (ICC) format color space characterization/profile</v>
      </c>
      <c r="C409" s="5" t="str">
        <f>LEFT(F409,FIND(".",F409,6))</f>
        <v>Exif.Image.</v>
      </c>
      <c r="D409" s="5" t="str">
        <f>VLOOKUP(C409,PrefixUebersetzung,2,FALSE)</f>
        <v>Exif.Image (Bild).</v>
      </c>
      <c r="E409" s="5" t="str">
        <f>MID(F409,FIND(".",F409,6)+1,99)</f>
        <v>InterColorProfile</v>
      </c>
      <c r="F409" s="5" t="s">
        <v>300</v>
      </c>
      <c r="G409" s="5" t="s">
        <v>9669</v>
      </c>
      <c r="H409" s="6" t="s">
        <v>2401</v>
      </c>
      <c r="I409" s="7" t="s">
        <v>5060</v>
      </c>
      <c r="J409" s="14" t="s">
        <v>5440</v>
      </c>
      <c r="K409" s="26"/>
      <c r="L409" s="6" t="str">
        <f>IFERROR(VLOOKUP(E409,A:I,9, FALSE),"")</f>
        <v>InterColor Profil</v>
      </c>
      <c r="M409" s="6" t="str">
        <f>IFERROR(VLOOKUP(H409,B:J,9,FALSE),"")</f>
        <v>Enthält ein(e) Farbraum Charakterisierung / Profil im INTERCOLOR Consortium (ICC) Format</v>
      </c>
      <c r="N409" s="6" t="str">
        <f>IF(AND(TRIM(I409)="",L409=""),"Suffix not translated ",
   IF(AND(TRIM(I409)&lt;&gt;"",TRIM(L409)&lt;&gt;"",TRIM(I409)&lt;&gt;TRIM(L409)),"Suffix translation &lt;&gt; lookup ", "" ))
&amp;IF(AND(TRIM(J409)="",M409=""),"Description not translated ",
   IF(AND(TRIM(J409)&lt;&gt;"",TRIM(M409)&lt;&gt;"",TRIM(J409)&lt;&gt;TRIM(M409)),"Description translation&lt;&gt; lookup ", "" ))</f>
        <v/>
      </c>
      <c r="O409" s="6" t="s">
        <v>8574</v>
      </c>
      <c r="P409" s="6" t="s">
        <v>8574</v>
      </c>
    </row>
    <row r="410" spans="1:17" x14ac:dyDescent="0.25">
      <c r="A410" s="5" t="str">
        <f>IF(TRIM(I410)="","",E410)</f>
        <v>Interlace</v>
      </c>
      <c r="B410" s="5" t="str">
        <f>IF(TRIM(J410)="","",H410)</f>
        <v>Indicates the field number of multifield images.</v>
      </c>
      <c r="C410" s="5" t="str">
        <f>LEFT(F410,FIND(".",F410,6))</f>
        <v>Exif.Image.</v>
      </c>
      <c r="D410" s="5" t="str">
        <f>VLOOKUP(C410,PrefixUebersetzung,2,FALSE)</f>
        <v>Exif.Image (Bild).</v>
      </c>
      <c r="E410" s="5" t="str">
        <f>MID(F410,FIND(".",F410,6)+1,99)</f>
        <v>Interlace</v>
      </c>
      <c r="F410" s="5" t="s">
        <v>301</v>
      </c>
      <c r="G410" s="5" t="s">
        <v>9664</v>
      </c>
      <c r="H410" s="6" t="s">
        <v>2402</v>
      </c>
      <c r="I410" s="7" t="s">
        <v>4207</v>
      </c>
      <c r="J410" s="14" t="s">
        <v>5441</v>
      </c>
      <c r="K410" s="26"/>
      <c r="L410" s="6" t="str">
        <f>IFERROR(VLOOKUP(E410,A:I,9, FALSE),"")</f>
        <v>Interlace</v>
      </c>
      <c r="M410" s="6" t="str">
        <f>IFERROR(VLOOKUP(H410,B:J,9,FALSE),"")</f>
        <v>Feldnummer bei Mehrfeld-Bildern</v>
      </c>
      <c r="N410" s="6" t="str">
        <f>IF(AND(TRIM(I410)="",L410=""),"Suffix not translated ",
   IF(AND(TRIM(I410)&lt;&gt;"",TRIM(L410)&lt;&gt;"",TRIM(I410)&lt;&gt;TRIM(L410)),"Suffix translation &lt;&gt; lookup ", "" ))
&amp;IF(AND(TRIM(J410)="",M410=""),"Description not translated ",
   IF(AND(TRIM(J410)&lt;&gt;"",TRIM(M410)&lt;&gt;"",TRIM(J410)&lt;&gt;TRIM(M410)),"Description translation&lt;&gt; lookup ", "" ))</f>
        <v/>
      </c>
      <c r="O410" s="6" t="s">
        <v>8574</v>
      </c>
      <c r="P410" s="6" t="s">
        <v>8574</v>
      </c>
      <c r="Q410" s="6" t="s">
        <v>5501</v>
      </c>
    </row>
    <row r="411" spans="1:17" x14ac:dyDescent="0.25">
      <c r="A411" s="5" t="str">
        <f>IF(TRIM(I411)="","",E411)</f>
        <v>IPTCNAA</v>
      </c>
      <c r="B411" s="5" t="str">
        <f>IF(TRIM(J411)="","",H411)</f>
        <v>Contains an IPTC/NAA record</v>
      </c>
      <c r="C411" s="5" t="str">
        <f>LEFT(F411,FIND(".",F411,6))</f>
        <v>Exif.Image.</v>
      </c>
      <c r="D411" s="5" t="str">
        <f>VLOOKUP(C411,PrefixUebersetzung,2,FALSE)</f>
        <v>Exif.Image (Bild).</v>
      </c>
      <c r="E411" s="5" t="str">
        <f>MID(F411,FIND(".",F411,6)+1,99)</f>
        <v>IPTCNAA</v>
      </c>
      <c r="F411" s="5" t="s">
        <v>302</v>
      </c>
      <c r="G411" s="5" t="s">
        <v>9667</v>
      </c>
      <c r="H411" s="6" t="s">
        <v>2403</v>
      </c>
      <c r="I411" s="7" t="s">
        <v>4208</v>
      </c>
      <c r="J411" s="14" t="s">
        <v>6633</v>
      </c>
      <c r="K411" s="26"/>
      <c r="L411" s="6" t="str">
        <f>IFERROR(VLOOKUP(E411,A:I,9, FALSE),"")</f>
        <v>IPTCNAA</v>
      </c>
      <c r="M411" s="6" t="str">
        <f>IFERROR(VLOOKUP(H411,B:J,9,FALSE),"")</f>
        <v>Enthält ein IPTC/NAA Datensatz</v>
      </c>
      <c r="N411" s="6" t="str">
        <f>IF(AND(TRIM(I411)="",L411=""),"Suffix not translated ",
   IF(AND(TRIM(I411)&lt;&gt;"",TRIM(L411)&lt;&gt;"",TRIM(I411)&lt;&gt;TRIM(L411)),"Suffix translation &lt;&gt; lookup ", "" ))
&amp;IF(AND(TRIM(J411)="",M411=""),"Description not translated ",
   IF(AND(TRIM(J411)&lt;&gt;"",TRIM(M411)&lt;&gt;"",TRIM(J411)&lt;&gt;TRIM(M411)),"Description translation&lt;&gt; lookup ", "" ))</f>
        <v/>
      </c>
      <c r="O411" s="6" t="s">
        <v>8574</v>
      </c>
      <c r="P411" s="6" t="s">
        <v>8574</v>
      </c>
      <c r="Q411" s="6" t="s">
        <v>9215</v>
      </c>
    </row>
    <row r="412" spans="1:17" ht="45" x14ac:dyDescent="0.25">
      <c r="A412" s="5" t="str">
        <f>IF(TRIM(I412)="","",E412)</f>
        <v>ISOSpeedRatings</v>
      </c>
      <c r="B412" s="5" t="str">
        <f>IF(TRIM(J412)="","",H412)</f>
        <v>Indicates the ISO Speed and ISO Latitude of the camera or input device as specified in ISO 12232.</v>
      </c>
      <c r="C412" s="5" t="str">
        <f>LEFT(F412,FIND(".",F412,6))</f>
        <v>Exif.Image.</v>
      </c>
      <c r="D412" s="5" t="str">
        <f>VLOOKUP(C412,PrefixUebersetzung,2,FALSE)</f>
        <v>Exif.Image (Bild).</v>
      </c>
      <c r="E412" s="5" t="str">
        <f>MID(F412,FIND(".",F412,6)+1,99)</f>
        <v>ISOSpeedRatings</v>
      </c>
      <c r="F412" s="5" t="s">
        <v>303</v>
      </c>
      <c r="G412" s="5" t="s">
        <v>9664</v>
      </c>
      <c r="H412" s="6" t="s">
        <v>2404</v>
      </c>
      <c r="I412" s="7" t="s">
        <v>4830</v>
      </c>
      <c r="J412" s="14" t="s">
        <v>5300</v>
      </c>
      <c r="K412" s="26"/>
      <c r="L412" s="6" t="str">
        <f>IFERROR(VLOOKUP(E412,A:I,9, FALSE),"")</f>
        <v>ISO-Empfindlichkeit/Bewertung</v>
      </c>
      <c r="M412" s="6" t="str">
        <f>IFERROR(VLOOKUP(H412,B:J,9,FALSE),"")</f>
        <v>ISO-Empfindlichkeit/Bewertung der Kamera oder des Eingabegerätes, wie in ISO 12232 spezifiziert.</v>
      </c>
      <c r="N412" s="6" t="str">
        <f>IF(AND(TRIM(I412)="",L412=""),"Suffix not translated ",
   IF(AND(TRIM(I412)&lt;&gt;"",TRIM(L412)&lt;&gt;"",TRIM(I412)&lt;&gt;TRIM(L412)),"Suffix translation &lt;&gt; lookup ", "" ))
&amp;IF(AND(TRIM(J412)="",M412=""),"Description not translated ",
   IF(AND(TRIM(J412)&lt;&gt;"",TRIM(M412)&lt;&gt;"",TRIM(J412)&lt;&gt;TRIM(M412)),"Description translation&lt;&gt; lookup ", "" ))</f>
        <v/>
      </c>
      <c r="O412" s="6" t="s">
        <v>8574</v>
      </c>
      <c r="P412" s="6" t="s">
        <v>8574</v>
      </c>
    </row>
    <row r="413" spans="1:17" ht="45" x14ac:dyDescent="0.25">
      <c r="A413" s="5" t="str">
        <f>IF(TRIM(I413)="","",E413)</f>
        <v>JPEGACTables</v>
      </c>
      <c r="B413" s="5" t="str">
        <f>IF(TRIM(J413)="","",H413)</f>
        <v>This Field points to a list of offsets to the Huffman AC tables, one per component.</v>
      </c>
      <c r="C413" s="5" t="str">
        <f>LEFT(F413,FIND(".",F413,6))</f>
        <v>Exif.Image.</v>
      </c>
      <c r="D413" s="5" t="str">
        <f>VLOOKUP(C413,PrefixUebersetzung,2,FALSE)</f>
        <v>Exif.Image (Bild).</v>
      </c>
      <c r="E413" s="5" t="str">
        <f>MID(F413,FIND(".",F413,6)+1,99)</f>
        <v>JPEGACTables</v>
      </c>
      <c r="F413" s="5" t="s">
        <v>304</v>
      </c>
      <c r="G413" s="5" t="s">
        <v>9667</v>
      </c>
      <c r="H413" s="6" t="s">
        <v>2405</v>
      </c>
      <c r="I413" s="7" t="s">
        <v>4269</v>
      </c>
      <c r="J413" s="14" t="s">
        <v>5301</v>
      </c>
      <c r="K413" s="26"/>
      <c r="L413" s="6" t="str">
        <f>IFERROR(VLOOKUP(E413,A:I,9, FALSE),"")</f>
        <v>JPEGAC Tabellen</v>
      </c>
      <c r="M413" s="6" t="str">
        <f>IFERROR(VLOOKUP(H413,B:J,9,FALSE),"")</f>
        <v>Dieses Feld verweist auf eine Liste von Offsets zu den Huffman AC Tabellen, eine pro Komponente.</v>
      </c>
      <c r="N413" s="6" t="str">
        <f>IF(AND(TRIM(I413)="",L413=""),"Suffix not translated ",
   IF(AND(TRIM(I413)&lt;&gt;"",TRIM(L413)&lt;&gt;"",TRIM(I413)&lt;&gt;TRIM(L413)),"Suffix translation &lt;&gt; lookup ", "" ))
&amp;IF(AND(TRIM(J413)="",M413=""),"Description not translated ",
   IF(AND(TRIM(J413)&lt;&gt;"",TRIM(M413)&lt;&gt;"",TRIM(J413)&lt;&gt;TRIM(M413)),"Description translation&lt;&gt; lookup ", "" ))</f>
        <v/>
      </c>
      <c r="O413" s="6" t="s">
        <v>8574</v>
      </c>
      <c r="P413" s="6" t="s">
        <v>8574</v>
      </c>
    </row>
    <row r="414" spans="1:17" ht="60" x14ac:dyDescent="0.25">
      <c r="A414" s="5" t="str">
        <f>IF(TRIM(I414)="","",E414)</f>
        <v>JPEGDCTables</v>
      </c>
      <c r="B414" s="5" t="str">
        <f>IF(TRIM(J414)="","",H414)</f>
        <v>This Field points to a list of offsets to the DC Huffman tables or the lossless Huffman tables, one per component.</v>
      </c>
      <c r="C414" s="5" t="str">
        <f>LEFT(F414,FIND(".",F414,6))</f>
        <v>Exif.Image.</v>
      </c>
      <c r="D414" s="5" t="str">
        <f>VLOOKUP(C414,PrefixUebersetzung,2,FALSE)</f>
        <v>Exif.Image (Bild).</v>
      </c>
      <c r="E414" s="5" t="str">
        <f>MID(F414,FIND(".",F414,6)+1,99)</f>
        <v>JPEGDCTables</v>
      </c>
      <c r="F414" s="5" t="s">
        <v>305</v>
      </c>
      <c r="G414" s="5" t="s">
        <v>9667</v>
      </c>
      <c r="H414" s="6" t="s">
        <v>2406</v>
      </c>
      <c r="I414" s="7" t="s">
        <v>4866</v>
      </c>
      <c r="J414" s="14" t="s">
        <v>5302</v>
      </c>
      <c r="K414" s="26"/>
      <c r="L414" s="6" t="str">
        <f>IFERROR(VLOOKUP(E414,A:I,9, FALSE),"")</f>
        <v>JPEGDC Tabellen</v>
      </c>
      <c r="M414" s="6" t="str">
        <f>IFERROR(VLOOKUP(H414,B:J,9,FALSE),"")</f>
        <v>Dieses Feld zeigt auf eine Liste von Offsets zu den DC Huffman-Tabellen oder den verlustfreien Huffman-Tabellen, eine pro Komponente.</v>
      </c>
      <c r="N414" s="6" t="str">
        <f>IF(AND(TRIM(I414)="",L414=""),"Suffix not translated ",
   IF(AND(TRIM(I414)&lt;&gt;"",TRIM(L414)&lt;&gt;"",TRIM(I414)&lt;&gt;TRIM(L414)),"Suffix translation &lt;&gt; lookup ", "" ))
&amp;IF(AND(TRIM(J414)="",M414=""),"Description not translated ",
   IF(AND(TRIM(J414)&lt;&gt;"",TRIM(M414)&lt;&gt;"",TRIM(J414)&lt;&gt;TRIM(M414)),"Description translation&lt;&gt; lookup ", "" ))</f>
        <v/>
      </c>
      <c r="O414" s="6" t="s">
        <v>8574</v>
      </c>
      <c r="P414" s="6" t="s">
        <v>8574</v>
      </c>
    </row>
    <row r="415" spans="1:17" ht="60" x14ac:dyDescent="0.25">
      <c r="A415" s="5" t="str">
        <f>IF(TRIM(I415)="","",E415)</f>
        <v>JPEGInterchangeFormat</v>
      </c>
      <c r="B415" s="5" t="str">
        <f>IF(TRIM(J415)="","",H415)</f>
        <v>The offset to the start byte (SOI) of JPEG compressed thumbnail data. This is not used for primary image JPEG data.</v>
      </c>
      <c r="C415" s="5" t="str">
        <f>LEFT(F415,FIND(".",F415,6))</f>
        <v>Exif.Image.</v>
      </c>
      <c r="D415" s="5" t="str">
        <f>VLOOKUP(C415,PrefixUebersetzung,2,FALSE)</f>
        <v>Exif.Image (Bild).</v>
      </c>
      <c r="E415" s="5" t="str">
        <f>MID(F415,FIND(".",F415,6)+1,99)</f>
        <v>JPEGInterchangeFormat</v>
      </c>
      <c r="F415" s="5" t="s">
        <v>306</v>
      </c>
      <c r="G415" s="5" t="s">
        <v>9667</v>
      </c>
      <c r="H415" s="6" t="s">
        <v>2407</v>
      </c>
      <c r="I415" s="7" t="s">
        <v>8902</v>
      </c>
      <c r="J415" s="14" t="s">
        <v>8903</v>
      </c>
      <c r="K415" s="26"/>
      <c r="L415" s="6" t="str">
        <f>IFERROR(VLOOKUP(E415,A:I,9, FALSE),"")</f>
        <v>JPEG-Austauschformat</v>
      </c>
      <c r="M415" s="6" t="str">
        <f>IFERROR(VLOOKUP(H415,B:J,9,FALSE),"")</f>
        <v>Der Offset zum Startbyte (SOI) von JPEG-komprimierten Miniaturbilddaten. Dies wird nicht für primäre JPEG-Bilddaten verwendet.</v>
      </c>
      <c r="N415" s="6" t="str">
        <f>IF(AND(TRIM(I415)="",L415=""),"Suffix not translated ",
   IF(AND(TRIM(I415)&lt;&gt;"",TRIM(L415)&lt;&gt;"",TRIM(I415)&lt;&gt;TRIM(L415)),"Suffix translation &lt;&gt; lookup ", "" ))
&amp;IF(AND(TRIM(J415)="",M415=""),"Description not translated ",
   IF(AND(TRIM(J415)&lt;&gt;"",TRIM(M415)&lt;&gt;"",TRIM(J415)&lt;&gt;TRIM(M415)),"Description translation&lt;&gt; lookup ", "" ))</f>
        <v/>
      </c>
      <c r="O415" s="6" t="s">
        <v>8574</v>
      </c>
      <c r="P415" s="6" t="s">
        <v>8574</v>
      </c>
    </row>
    <row r="416" spans="1:17" ht="210" x14ac:dyDescent="0.25">
      <c r="A416" s="5" t="str">
        <f>IF(TRIM(I416)="","",E416)</f>
        <v>JPEGInterchangeFormatLength</v>
      </c>
      <c r="B416" s="5" t="str">
        <f>IF(TRIM(J416)="","",H416)</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416" s="5" t="str">
        <f>LEFT(F416,FIND(".",F416,6))</f>
        <v>Exif.Image.</v>
      </c>
      <c r="D416" s="5" t="str">
        <f>VLOOKUP(C416,PrefixUebersetzung,2,FALSE)</f>
        <v>Exif.Image (Bild).</v>
      </c>
      <c r="E416" s="5" t="str">
        <f>MID(F416,FIND(".",F416,6)+1,99)</f>
        <v>JPEGInterchangeFormatLength</v>
      </c>
      <c r="F416" s="5" t="s">
        <v>307</v>
      </c>
      <c r="G416" s="5" t="s">
        <v>9667</v>
      </c>
      <c r="H416" s="6" t="s">
        <v>2408</v>
      </c>
      <c r="I416" s="7" t="s">
        <v>4864</v>
      </c>
      <c r="J416" s="14" t="s">
        <v>5303</v>
      </c>
      <c r="K416" s="26"/>
      <c r="L416" s="6" t="str">
        <f>IFERROR(VLOOKUP(E416,A:I,9, FALSE),"")</f>
        <v>JPEGInterchangeFormat Länge</v>
      </c>
      <c r="M416" s="6" t="str">
        <f>IFERROR(INDEX(J:J,MATCH(TRUE,INDEX(B:B=H416,0),0)),"")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416" s="6" t="str">
        <f>IF(AND(TRIM(I416)="",L416=""),"Suffix not translated ",
   IF(AND(TRIM(I416)&lt;&gt;"",TRIM(L416)&lt;&gt;"",TRIM(I416)&lt;&gt;TRIM(L416)),"Suffix translation &lt;&gt; lookup ", "" ))
&amp;IF(AND(TRIM(J416)="",M416=""),"Description not translated ",
   IF(AND(TRIM(J416)&lt;&gt;"",TRIM(M416)&lt;&gt;"",TRIM(J416)&lt;&gt;TRIM(M416)),"Description translation&lt;&gt; lookup ", "" ))</f>
        <v/>
      </c>
      <c r="O416" s="6" t="s">
        <v>8574</v>
      </c>
      <c r="P416" s="6" t="s">
        <v>8574</v>
      </c>
    </row>
    <row r="417" spans="1:17" ht="30" x14ac:dyDescent="0.25">
      <c r="A417" s="5" t="str">
        <f>IF(TRIM(I417)="","",E417)</f>
        <v/>
      </c>
      <c r="B417" s="5" t="str">
        <f>IF(TRIM(J417)="","",H417)</f>
        <v/>
      </c>
      <c r="C417" s="5" t="str">
        <f>LEFT(F417,FIND(".",F417,6))</f>
        <v>Exif.Image.</v>
      </c>
      <c r="D417" s="5" t="str">
        <f>VLOOKUP(C417,PrefixUebersetzung,2,FALSE)</f>
        <v>Exif.Image (Bild).</v>
      </c>
      <c r="E417" s="5" t="str">
        <f>MID(F417,FIND(".",F417,6)+1,99)</f>
        <v>JPEGLosslessPredictors</v>
      </c>
      <c r="F417" s="5" t="s">
        <v>308</v>
      </c>
      <c r="G417" s="5" t="s">
        <v>9664</v>
      </c>
      <c r="H417" s="6" t="s">
        <v>2409</v>
      </c>
      <c r="I417" s="7"/>
      <c r="K417" s="26"/>
      <c r="L417" s="6" t="str">
        <f>IFERROR(VLOOKUP(E417,A:I,9, FALSE),"")</f>
        <v/>
      </c>
      <c r="M417" s="6" t="str">
        <f>IFERROR(VLOOKUP(H417,B:J,9,FALSE),"")</f>
        <v/>
      </c>
      <c r="N417" s="6"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6" t="s">
        <v>8574</v>
      </c>
      <c r="P417" s="6" t="s">
        <v>8574</v>
      </c>
    </row>
    <row r="418" spans="1:17" ht="30" x14ac:dyDescent="0.25">
      <c r="A418" s="5" t="str">
        <f>IF(TRIM(I418)="","",E418)</f>
        <v/>
      </c>
      <c r="B418" s="5" t="str">
        <f>IF(TRIM(J418)="","",H418)</f>
        <v/>
      </c>
      <c r="C418" s="5" t="str">
        <f>LEFT(F418,FIND(".",F418,6))</f>
        <v>Exif.Image.</v>
      </c>
      <c r="D418" s="5" t="str">
        <f>VLOOKUP(C418,PrefixUebersetzung,2,FALSE)</f>
        <v>Exif.Image (Bild).</v>
      </c>
      <c r="E418" s="5" t="str">
        <f>MID(F418,FIND(".",F418,6)+1,99)</f>
        <v>JPEGPointTransforms</v>
      </c>
      <c r="F418" s="5" t="s">
        <v>309</v>
      </c>
      <c r="G418" s="5" t="s">
        <v>9664</v>
      </c>
      <c r="H418" s="6" t="s">
        <v>2410</v>
      </c>
      <c r="I418" s="7"/>
      <c r="K418" s="26"/>
      <c r="L418" s="6" t="str">
        <f>IFERROR(VLOOKUP(E418,A:I,9, FALSE),"")</f>
        <v/>
      </c>
      <c r="M418" s="6" t="str">
        <f>IFERROR(VLOOKUP(H418,B:J,9,FALSE),"")</f>
        <v/>
      </c>
      <c r="N418" s="6"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6" t="s">
        <v>8574</v>
      </c>
      <c r="P418" s="6" t="s">
        <v>8574</v>
      </c>
    </row>
    <row r="419" spans="1:17" ht="30" x14ac:dyDescent="0.25">
      <c r="A419" s="5" t="str">
        <f>IF(TRIM(I419)="","",E419)</f>
        <v>JPEGProc</v>
      </c>
      <c r="B419" s="5" t="str">
        <f>IF(TRIM(J419)="","",H419)</f>
        <v>This field indicates the process used to produce the compressed data</v>
      </c>
      <c r="C419" s="5" t="str">
        <f>LEFT(F419,FIND(".",F419,6))</f>
        <v>Exif.Image.</v>
      </c>
      <c r="D419" s="5" t="str">
        <f>VLOOKUP(C419,PrefixUebersetzung,2,FALSE)</f>
        <v>Exif.Image (Bild).</v>
      </c>
      <c r="E419" s="5" t="str">
        <f>MID(F419,FIND(".",F419,6)+1,99)</f>
        <v>JPEGProc</v>
      </c>
      <c r="F419" s="5" t="s">
        <v>310</v>
      </c>
      <c r="G419" s="5" t="s">
        <v>9667</v>
      </c>
      <c r="H419" s="6" t="s">
        <v>2411</v>
      </c>
      <c r="I419" s="7" t="s">
        <v>4270</v>
      </c>
      <c r="J419" s="14" t="s">
        <v>5304</v>
      </c>
      <c r="K419" s="26"/>
      <c r="L419" s="6" t="str">
        <f>IFERROR(VLOOKUP(E419,A:I,9, FALSE),"")</f>
        <v>JPEG Prozess</v>
      </c>
      <c r="M419" s="6" t="str">
        <f>IFERROR(VLOOKUP(H419,B:J,9,FALSE),"")</f>
        <v>Verwendeter Prozess, um die komprimierten Daten zu erzeugen</v>
      </c>
      <c r="N419" s="6" t="str">
        <f>IF(AND(TRIM(I419)="",L419=""),"Suffix not translated ",
   IF(AND(TRIM(I419)&lt;&gt;"",TRIM(L419)&lt;&gt;"",TRIM(I419)&lt;&gt;TRIM(L419)),"Suffix translation &lt;&gt; lookup ", "" ))
&amp;IF(AND(TRIM(J419)="",M419=""),"Description not translated ",
   IF(AND(TRIM(J419)&lt;&gt;"",TRIM(M419)&lt;&gt;"",TRIM(J419)&lt;&gt;TRIM(M419)),"Description translation&lt;&gt; lookup ", "" ))</f>
        <v/>
      </c>
      <c r="O419" s="6" t="s">
        <v>8574</v>
      </c>
      <c r="P419" s="6" t="s">
        <v>8574</v>
      </c>
    </row>
    <row r="420" spans="1:17" ht="60" x14ac:dyDescent="0.25">
      <c r="A420" s="5" t="str">
        <f>IF(TRIM(I420)="","",E420)</f>
        <v>JPEGQTables</v>
      </c>
      <c r="B420" s="5" t="str">
        <f>IF(TRIM(J420)="","",H420)</f>
        <v>This Field points to a list of offsets to the quantization tables, one per component.</v>
      </c>
      <c r="C420" s="5" t="str">
        <f>LEFT(F420,FIND(".",F420,6))</f>
        <v>Exif.Image.</v>
      </c>
      <c r="D420" s="5" t="str">
        <f>VLOOKUP(C420,PrefixUebersetzung,2,FALSE)</f>
        <v>Exif.Image (Bild).</v>
      </c>
      <c r="E420" s="5" t="str">
        <f>MID(F420,FIND(".",F420,6)+1,99)</f>
        <v>JPEGQTables</v>
      </c>
      <c r="F420" s="5" t="s">
        <v>311</v>
      </c>
      <c r="G420" s="5" t="s">
        <v>9667</v>
      </c>
      <c r="H420" s="6" t="s">
        <v>2412</v>
      </c>
      <c r="I420" s="7" t="s">
        <v>4865</v>
      </c>
      <c r="J420" s="14" t="s">
        <v>3885</v>
      </c>
      <c r="K420" s="26"/>
      <c r="L420" s="6" t="str">
        <f>IFERROR(VLOOKUP(E420,A:I,9, FALSE),"")</f>
        <v>JPEGQ Tabellen</v>
      </c>
      <c r="M420" s="6" t="str">
        <f>IFERROR(VLOOKUP(H420,B:J,9,FALSE),"")</f>
        <v>Dieses Feld zeigt auf eine Liste von Offsets zu den Quantisierungstabellen, eine pro Komponente.</v>
      </c>
      <c r="N420" s="6" t="str">
        <f>IF(AND(TRIM(I420)="",L420=""),"Suffix not translated ",
   IF(AND(TRIM(I420)&lt;&gt;"",TRIM(L420)&lt;&gt;"",TRIM(I420)&lt;&gt;TRIM(L420)),"Suffix translation &lt;&gt; lookup ", "" ))
&amp;IF(AND(TRIM(J420)="",M420=""),"Description not translated ",
   IF(AND(TRIM(J420)&lt;&gt;"",TRIM(M420)&lt;&gt;"",TRIM(J420)&lt;&gt;TRIM(M420)),"Description translation&lt;&gt; lookup ", "" ))</f>
        <v/>
      </c>
      <c r="O420" s="6" t="s">
        <v>8574</v>
      </c>
      <c r="P420" s="6" t="s">
        <v>8574</v>
      </c>
    </row>
    <row r="421" spans="1:17" ht="30" x14ac:dyDescent="0.25">
      <c r="A421" s="5" t="str">
        <f>IF(TRIM(I421)="","",E421)</f>
        <v/>
      </c>
      <c r="B421" s="5" t="str">
        <f>IF(TRIM(J421)="","",H421)</f>
        <v/>
      </c>
      <c r="C421" s="5" t="str">
        <f>LEFT(F421,FIND(".",F421,6))</f>
        <v>Exif.Image.</v>
      </c>
      <c r="D421" s="5" t="str">
        <f>VLOOKUP(C421,PrefixUebersetzung,2,FALSE)</f>
        <v>Exif.Image (Bild).</v>
      </c>
      <c r="E421" s="5" t="str">
        <f>MID(F421,FIND(".",F421,6)+1,99)</f>
        <v>JPEGRestartInterval</v>
      </c>
      <c r="F421" s="5" t="s">
        <v>312</v>
      </c>
      <c r="G421" s="5" t="s">
        <v>9664</v>
      </c>
      <c r="H421" s="6" t="s">
        <v>2413</v>
      </c>
      <c r="I421" s="7"/>
      <c r="K421" s="26"/>
      <c r="L421" s="6" t="str">
        <f>IFERROR(VLOOKUP(E421,A:I,9, FALSE),"")</f>
        <v/>
      </c>
      <c r="M421" s="6" t="str">
        <f>IFERROR(VLOOKUP(H421,B:J,9,FALSE),"")</f>
        <v/>
      </c>
      <c r="N421" s="6"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6" t="s">
        <v>8574</v>
      </c>
      <c r="P421" s="6" t="s">
        <v>8574</v>
      </c>
    </row>
    <row r="422" spans="1:17" ht="90" x14ac:dyDescent="0.25">
      <c r="A422" s="5" t="str">
        <f>IF(TRIM(I422)="","",E422)</f>
        <v>JPEGTables</v>
      </c>
      <c r="B422" s="5" t="str">
        <f>IF(TRIM(J422)="","",H422)</f>
        <v>This optional tag may be used to encode the JPEG quantization and Huffman tables for subsequent use by the JPEG decompression process.</v>
      </c>
      <c r="C422" s="5" t="str">
        <f>LEFT(F422,FIND(".",F422,6))</f>
        <v>Exif.Image.</v>
      </c>
      <c r="D422" s="5" t="str">
        <f>VLOOKUP(C422,PrefixUebersetzung,2,FALSE)</f>
        <v>Exif.Image (Bild).</v>
      </c>
      <c r="E422" s="5" t="str">
        <f>MID(F422,FIND(".",F422,6)+1,99)</f>
        <v>JPEGTables</v>
      </c>
      <c r="F422" s="5" t="s">
        <v>313</v>
      </c>
      <c r="G422" s="5" t="s">
        <v>9669</v>
      </c>
      <c r="H422" s="6" t="s">
        <v>8155</v>
      </c>
      <c r="I422" s="7" t="s">
        <v>4271</v>
      </c>
      <c r="J422" s="14" t="s">
        <v>5305</v>
      </c>
      <c r="K422" s="26"/>
      <c r="L422" s="6" t="str">
        <f>IFERROR(VLOOKUP(E422,A:I,9, FALSE),"")</f>
        <v>JPEG Tabellen</v>
      </c>
      <c r="M422" s="6" t="str">
        <f>IFERROR(VLOOKUP(H422,B:J,9,FALSE),"")</f>
        <v>Dieses optionale Tag kann verwendet werden, um die JPEG-Quantisierung und Huffman-Tabellen zur nachfolgenden Verwendung durch den JPEG-Dekompression zu kodieren.</v>
      </c>
      <c r="N422" s="6" t="str">
        <f>IF(AND(TRIM(I422)="",L422=""),"Suffix not translated ",
   IF(AND(TRIM(I422)&lt;&gt;"",TRIM(L422)&lt;&gt;"",TRIM(I422)&lt;&gt;TRIM(L422)),"Suffix translation &lt;&gt; lookup ", "" ))
&amp;IF(AND(TRIM(J422)="",M422=""),"Description not translated ",
   IF(AND(TRIM(J422)&lt;&gt;"",TRIM(M422)&lt;&gt;"",TRIM(J422)&lt;&gt;TRIM(M422)),"Description translation&lt;&gt; lookup ", "" ))</f>
        <v/>
      </c>
      <c r="O422" s="6" t="s">
        <v>8574</v>
      </c>
      <c r="P422" s="6" t="s">
        <v>8574</v>
      </c>
    </row>
    <row r="423" spans="1:17" ht="90" x14ac:dyDescent="0.25">
      <c r="A423" s="5" t="str">
        <f>IF(TRIM(I423)="","",E423)</f>
        <v>LensInfo</v>
      </c>
      <c r="B423" s="5" t="str">
        <f>IF(TRIM(J423)="","",H423)</f>
        <v>Contains information about the lens that captured the image. If the minimum f-stops are unknown, they should be encoded as 0/0.</v>
      </c>
      <c r="C423" s="5" t="str">
        <f>LEFT(F423,FIND(".",F423,6))</f>
        <v>Exif.Image.</v>
      </c>
      <c r="D423" s="5" t="str">
        <f>VLOOKUP(C423,PrefixUebersetzung,2,FALSE)</f>
        <v>Exif.Image (Bild).</v>
      </c>
      <c r="E423" s="5" t="str">
        <f>MID(F423,FIND(".",F423,6)+1,99)</f>
        <v>LensInfo</v>
      </c>
      <c r="F423" s="5" t="s">
        <v>314</v>
      </c>
      <c r="G423" s="5" t="s">
        <v>9671</v>
      </c>
      <c r="H423" s="6" t="s">
        <v>2414</v>
      </c>
      <c r="I423" s="7" t="s">
        <v>5126</v>
      </c>
      <c r="J423" s="14" t="s">
        <v>5306</v>
      </c>
      <c r="K423" s="26"/>
      <c r="L423" s="6" t="str">
        <f>IFERROR(VLOOKUP(E423,A:I,9, FALSE),"")</f>
        <v>Objektiv Information</v>
      </c>
      <c r="M423" s="6" t="str">
        <f>IFERROR(VLOOKUP(H423,B:J,9,FALSE),"")</f>
        <v>Enthält Informationen über das Objektiv, mit dem das Bild aufgenommen wurde. Wenn die minimale Blendenstufen unbekannt sind, sollten sie als 0/0 kodiert werden.</v>
      </c>
      <c r="N423" s="6" t="str">
        <f>IF(AND(TRIM(I423)="",L423=""),"Suffix not translated ",
   IF(AND(TRIM(I423)&lt;&gt;"",TRIM(L423)&lt;&gt;"",TRIM(I423)&lt;&gt;TRIM(L423)),"Suffix translation &lt;&gt; lookup ", "" ))
&amp;IF(AND(TRIM(J423)="",M423=""),"Description not translated ",
   IF(AND(TRIM(J423)&lt;&gt;"",TRIM(M423)&lt;&gt;"",TRIM(J423)&lt;&gt;TRIM(M423)),"Description translation&lt;&gt; lookup ", "" ))</f>
        <v/>
      </c>
      <c r="O423" s="6" t="s">
        <v>8574</v>
      </c>
      <c r="P423" s="6" t="s">
        <v>8574</v>
      </c>
    </row>
    <row r="424" spans="1:17" x14ac:dyDescent="0.25">
      <c r="A424" s="5" t="str">
        <f>IF(TRIM(I424)="","",E424)</f>
        <v>LightSource</v>
      </c>
      <c r="B424" s="5" t="str">
        <f>IF(TRIM(J424)="","",H424)</f>
        <v>The kind of light source.</v>
      </c>
      <c r="C424" s="5" t="str">
        <f>LEFT(F424,FIND(".",F424,6))</f>
        <v>Exif.Image.</v>
      </c>
      <c r="D424" s="5" t="str">
        <f>VLOOKUP(C424,PrefixUebersetzung,2,FALSE)</f>
        <v>Exif.Image (Bild).</v>
      </c>
      <c r="E424" s="5" t="str">
        <f>MID(F424,FIND(".",F424,6)+1,99)</f>
        <v>LightSource</v>
      </c>
      <c r="F424" s="5" t="s">
        <v>315</v>
      </c>
      <c r="G424" s="5" t="s">
        <v>9664</v>
      </c>
      <c r="H424" s="6" t="s">
        <v>2415</v>
      </c>
      <c r="I424" s="7" t="s">
        <v>3953</v>
      </c>
      <c r="J424" s="14" t="s">
        <v>3886</v>
      </c>
      <c r="K424" s="26"/>
      <c r="L424" s="6" t="str">
        <f>IFERROR(VLOOKUP(E424,A:I,9, FALSE),"")</f>
        <v>Lichtquelle</v>
      </c>
      <c r="M424" s="6" t="str">
        <f>IFERROR(VLOOKUP(H424,B:J,9,FALSE),"")</f>
        <v>Die Art der Lichtquelle.</v>
      </c>
      <c r="N424" s="6" t="str">
        <f>IF(AND(TRIM(I424)="",L424=""),"Suffix not translated ",
   IF(AND(TRIM(I424)&lt;&gt;"",TRIM(L424)&lt;&gt;"",TRIM(I424)&lt;&gt;TRIM(L424)),"Suffix translation &lt;&gt; lookup ", "" ))
&amp;IF(AND(TRIM(J424)="",M424=""),"Description not translated ",
   IF(AND(TRIM(J424)&lt;&gt;"",TRIM(M424)&lt;&gt;"",TRIM(J424)&lt;&gt;TRIM(M424)),"Description translation&lt;&gt; lookup ", "" ))</f>
        <v/>
      </c>
      <c r="O424" s="6" t="s">
        <v>8574</v>
      </c>
      <c r="P424" s="6" t="s">
        <v>8574</v>
      </c>
      <c r="Q424" s="6" t="s">
        <v>3886</v>
      </c>
    </row>
    <row r="425" spans="1:17" ht="180" x14ac:dyDescent="0.25">
      <c r="A425" s="5" t="str">
        <f>IF(TRIM(I425)="","",E425)</f>
        <v>LinearizationTable</v>
      </c>
      <c r="B425" s="5" t="str">
        <f>IF(TRIM(J425)="","",H425)</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425" s="5" t="str">
        <f>LEFT(F425,FIND(".",F425,6))</f>
        <v>Exif.Image.</v>
      </c>
      <c r="D425" s="5" t="str">
        <f>VLOOKUP(C425,PrefixUebersetzung,2,FALSE)</f>
        <v>Exif.Image (Bild).</v>
      </c>
      <c r="E425" s="5" t="str">
        <f>MID(F425,FIND(".",F425,6)+1,99)</f>
        <v>LinearizationTable</v>
      </c>
      <c r="F425" s="5" t="s">
        <v>316</v>
      </c>
      <c r="G425" s="5" t="s">
        <v>9664</v>
      </c>
      <c r="H425" s="6" t="s">
        <v>2416</v>
      </c>
      <c r="I425" s="7" t="s">
        <v>4867</v>
      </c>
      <c r="J425" s="14" t="s">
        <v>5307</v>
      </c>
      <c r="K425" s="26"/>
      <c r="L425" s="6" t="str">
        <f>IFERROR(VLOOKUP(E425,A:I,9, FALSE),"")</f>
        <v>Linearisierungstabelle</v>
      </c>
      <c r="M425" s="6" t="str">
        <f>IFERROR(INDEX(J:J,MATCH(TRUE,INDEX(B:B=H425,0),0)),"")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425" s="6" t="str">
        <f>IF(AND(TRIM(I425)="",L425=""),"Suffix not translated ",
   IF(AND(TRIM(I425)&lt;&gt;"",TRIM(L425)&lt;&gt;"",TRIM(I425)&lt;&gt;TRIM(L425)),"Suffix translation &lt;&gt; lookup ", "" ))
&amp;IF(AND(TRIM(J425)="",M425=""),"Description not translated ",
   IF(AND(TRIM(J425)&lt;&gt;"",TRIM(M425)&lt;&gt;"",TRIM(J425)&lt;&gt;TRIM(M425)),"Description translation&lt;&gt; lookup ", "" ))</f>
        <v/>
      </c>
      <c r="O425" s="6" t="s">
        <v>8574</v>
      </c>
      <c r="P425" s="6" t="s">
        <v>8574</v>
      </c>
    </row>
    <row r="426" spans="1:17" ht="210" x14ac:dyDescent="0.25">
      <c r="A426" s="5" t="str">
        <f>IF(TRIM(I426)="","",E426)</f>
        <v/>
      </c>
      <c r="B426" s="5" t="str">
        <f>IF(TRIM(J426)="","",H426)</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426" s="5" t="str">
        <f>LEFT(F426,FIND(".",F426,6))</f>
        <v>Exif.Image.</v>
      </c>
      <c r="D426" s="5" t="str">
        <f>VLOOKUP(C426,PrefixUebersetzung,2,FALSE)</f>
        <v>Exif.Image (Bild).</v>
      </c>
      <c r="E426" s="5" t="str">
        <f>MID(F426,FIND(".",F426,6)+1,99)</f>
        <v>LinearResponseLimit</v>
      </c>
      <c r="F426" s="5" t="s">
        <v>317</v>
      </c>
      <c r="G426" s="5" t="s">
        <v>9671</v>
      </c>
      <c r="H426" s="6" t="s">
        <v>2417</v>
      </c>
      <c r="I426" s="7"/>
      <c r="J426" s="14" t="s">
        <v>6732</v>
      </c>
      <c r="K426" s="26"/>
      <c r="L426" s="6" t="str">
        <f>IFERROR(VLOOKUP(E426,A:I,9, FALSE),"")</f>
        <v/>
      </c>
      <c r="M426" s="6" t="str">
        <f>IFERROR(INDEX(J:J,MATCH(TRUE,INDEX(B:B=H426,0),0)),"")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426" s="6" t="str">
        <f>IF(AND(TRIM(I426)="",L426=""),"Suffix not translated ",
   IF(AND(TRIM(I426)&lt;&gt;"",TRIM(L426)&lt;&gt;"",TRIM(I426)&lt;&gt;TRIM(L426)),"Suffix translation &lt;&gt; lookup ", "" ))
&amp;IF(AND(TRIM(J426)="",M426=""),"Description not translated ",
   IF(AND(TRIM(J426)&lt;&gt;"",TRIM(M426)&lt;&gt;"",TRIM(J426)&lt;&gt;TRIM(M426)),"Description translation&lt;&gt; lookup ", "" ))</f>
        <v xml:space="preserve">Suffix not translated </v>
      </c>
      <c r="O426" s="6" t="s">
        <v>8574</v>
      </c>
      <c r="P426" s="6" t="s">
        <v>8574</v>
      </c>
    </row>
    <row r="427" spans="1:17" ht="75" x14ac:dyDescent="0.25">
      <c r="A427" s="5" t="str">
        <f>IF(TRIM(I427)="","",E427)</f>
        <v>LocalizedCameraModel</v>
      </c>
      <c r="B427" s="5" t="str">
        <f>IF(TRIM(J427)="","",H427)</f>
        <v>Similar to the UniqueCameraModel field, except the name can be localized for different markets to match the localization of the camera name.</v>
      </c>
      <c r="C427" s="5" t="str">
        <f>LEFT(F427,FIND(".",F427,6))</f>
        <v>Exif.Image.</v>
      </c>
      <c r="D427" s="5" t="str">
        <f>VLOOKUP(C427,PrefixUebersetzung,2,FALSE)</f>
        <v>Exif.Image (Bild).</v>
      </c>
      <c r="E427" s="5" t="str">
        <f>MID(F427,FIND(".",F427,6)+1,99)</f>
        <v>LocalizedCameraModel</v>
      </c>
      <c r="F427" s="5" t="s">
        <v>318</v>
      </c>
      <c r="G427" s="5" t="s">
        <v>9670</v>
      </c>
      <c r="H427" s="6" t="s">
        <v>2418</v>
      </c>
      <c r="I427" s="7" t="s">
        <v>4272</v>
      </c>
      <c r="J427" s="14" t="s">
        <v>5308</v>
      </c>
      <c r="K427" s="26"/>
      <c r="L427" s="6" t="str">
        <f>IFERROR(VLOOKUP(E427,A:I,9, FALSE),"")</f>
        <v>Kameramodell (lokalisiert)</v>
      </c>
      <c r="M427" s="6" t="str">
        <f>IFERROR(VLOOKUP(H427,B:J,9,FALSE),"")</f>
        <v>Ähnlich wie UniqueCameraModel; wobei hier der Name für verschiedene Märkte lokalisiert werden kann, entsprechend der Lokalisierung des Kamera-Namens.</v>
      </c>
      <c r="N427" s="6" t="str">
        <f>IF(AND(TRIM(I427)="",L427=""),"Suffix not translated ",
   IF(AND(TRIM(I427)&lt;&gt;"",TRIM(L427)&lt;&gt;"",TRIM(I427)&lt;&gt;TRIM(L427)),"Suffix translation &lt;&gt; lookup ", "" ))
&amp;IF(AND(TRIM(J427)="",M427=""),"Description not translated ",
   IF(AND(TRIM(J427)&lt;&gt;"",TRIM(M427)&lt;&gt;"",TRIM(J427)&lt;&gt;TRIM(M427)),"Description translation&lt;&gt; lookup ", "" ))</f>
        <v/>
      </c>
      <c r="O427" s="6" t="s">
        <v>8574</v>
      </c>
      <c r="P427" s="6" t="s">
        <v>8574</v>
      </c>
    </row>
    <row r="428" spans="1:17" ht="90" x14ac:dyDescent="0.25">
      <c r="A428" s="5" t="str">
        <f>IF(TRIM(I428)="","",E428)</f>
        <v>Make</v>
      </c>
      <c r="B428" s="5" t="str">
        <f>IF(TRIM(J428)="","",H428)</f>
        <v>The manufacturer of the recording equipment. This is the manufacturer of the DSC, scanner, video digitizer or other equipment that generated the image. When the field is left blank, it is treated as unknown.</v>
      </c>
      <c r="C428" s="5" t="str">
        <f>LEFT(F428,FIND(".",F428,6))</f>
        <v>Exif.Image.</v>
      </c>
      <c r="D428" s="5" t="str">
        <f>VLOOKUP(C428,PrefixUebersetzung,2,FALSE)</f>
        <v>Exif.Image (Bild).</v>
      </c>
      <c r="E428" s="5" t="str">
        <f>MID(F428,FIND(".",F428,6)+1,99)</f>
        <v>Make</v>
      </c>
      <c r="F428" s="5" t="s">
        <v>319</v>
      </c>
      <c r="G428" s="5" t="s">
        <v>9666</v>
      </c>
      <c r="H428" s="6" t="s">
        <v>2419</v>
      </c>
      <c r="I428" s="7" t="s">
        <v>4273</v>
      </c>
      <c r="J428" s="14" t="s">
        <v>5309</v>
      </c>
      <c r="K428" s="26"/>
      <c r="L428" s="6" t="str">
        <f>IFERROR(VLOOKUP(E428,A:I,9, FALSE),"")</f>
        <v>Hersteller</v>
      </c>
      <c r="M428" s="6" t="str">
        <f>IFERROR(VLOOKUP(H428,B:J,9,FALSE),"")</f>
        <v>Der Hersteller des Aufnahmegeräts. Dies ist der Hersteller des DSC, Scanners, Video-Digitizers oder anderen Gerätes, das das Bild erzeugt. Wenn das Feld leer ist, wird es als unbekannt behandelt.</v>
      </c>
      <c r="N428" s="6" t="str">
        <f>IF(AND(TRIM(I428)="",L428=""),"Suffix not translated ",
   IF(AND(TRIM(I428)&lt;&gt;"",TRIM(L428)&lt;&gt;"",TRIM(I428)&lt;&gt;TRIM(L428)),"Suffix translation &lt;&gt; lookup ", "" ))
&amp;IF(AND(TRIM(J428)="",M428=""),"Description not translated ",
   IF(AND(TRIM(J428)&lt;&gt;"",TRIM(M428)&lt;&gt;"",TRIM(J428)&lt;&gt;TRIM(M428)),"Description translation&lt;&gt; lookup ", "" ))</f>
        <v/>
      </c>
      <c r="O428" s="6" t="s">
        <v>8574</v>
      </c>
      <c r="P428" s="6" t="s">
        <v>8574</v>
      </c>
    </row>
    <row r="429" spans="1:17" ht="120" x14ac:dyDescent="0.25">
      <c r="A429" s="5" t="str">
        <f>IF(TRIM(I429)="","",E429)</f>
        <v/>
      </c>
      <c r="B429" s="5" t="str">
        <f>IF(TRIM(J429)="","",H429)</f>
        <v/>
      </c>
      <c r="C429" s="5" t="str">
        <f>LEFT(F429,FIND(".",F429,6))</f>
        <v>Exif.Image.</v>
      </c>
      <c r="D429" s="5" t="str">
        <f>VLOOKUP(C429,PrefixUebersetzung,2,FALSE)</f>
        <v>Exif.Image (Bild).</v>
      </c>
      <c r="E429" s="5" t="str">
        <f>MID(F429,FIND(".",F429,6)+1,99)</f>
        <v>MakerNoteSafety</v>
      </c>
      <c r="F429" s="5" t="s">
        <v>320</v>
      </c>
      <c r="G429" s="5" t="s">
        <v>9664</v>
      </c>
      <c r="H429" s="6" t="s">
        <v>2420</v>
      </c>
      <c r="I429" s="7"/>
      <c r="K429" s="26"/>
      <c r="L429" s="6" t="str">
        <f>IFERROR(VLOOKUP(E429,A:I,9, FALSE),"")</f>
        <v/>
      </c>
      <c r="M429" s="6" t="str">
        <f>IFERROR(INDEX(J:J,MATCH(TRUE,INDEX(B:B=H429,0),0)),"")</f>
        <v/>
      </c>
      <c r="N429" s="6" t="str">
        <f>IF(AND(TRIM(I429)="",L429=""),"Suffix not translated ",
   IF(AND(TRIM(I429)&lt;&gt;"",TRIM(L429)&lt;&gt;"",TRIM(I429)&lt;&gt;TRIM(L429)),"Suffix translation &lt;&gt; lookup ", "" ))
&amp;IF(AND(TRIM(J429)="",M429=""),"Description not translated ",
   IF(AND(TRIM(J429)&lt;&gt;"",TRIM(M429)&lt;&gt;"",TRIM(J429)&lt;&gt;TRIM(M429)),"Description translation&lt;&gt; lookup ", "" ))</f>
        <v xml:space="preserve">Suffix not translated Description not translated </v>
      </c>
      <c r="O429" s="6" t="s">
        <v>8574</v>
      </c>
      <c r="P429" s="6" t="s">
        <v>8574</v>
      </c>
    </row>
    <row r="430" spans="1:17" ht="120" x14ac:dyDescent="0.25">
      <c r="A430" s="5" t="str">
        <f>IF(TRIM(I430)="","",E430)</f>
        <v>MaskedAreas</v>
      </c>
      <c r="B430" s="5" t="str">
        <f>IF(TRIM(J430)="","",H430)</f>
        <v/>
      </c>
      <c r="C430" s="5" t="str">
        <f>LEFT(F430,FIND(".",F430,6))</f>
        <v>Exif.Image.</v>
      </c>
      <c r="D430" s="5" t="str">
        <f>VLOOKUP(C430,PrefixUebersetzung,2,FALSE)</f>
        <v>Exif.Image (Bild).</v>
      </c>
      <c r="E430" s="5" t="str">
        <f>MID(F430,FIND(".",F430,6)+1,99)</f>
        <v>MaskedAreas</v>
      </c>
      <c r="F430" s="5" t="s">
        <v>321</v>
      </c>
      <c r="G430" s="5" t="s">
        <v>9664</v>
      </c>
      <c r="H430" s="6" t="s">
        <v>2421</v>
      </c>
      <c r="I430" s="7" t="s">
        <v>4656</v>
      </c>
      <c r="K430" s="26"/>
      <c r="L430" s="6" t="str">
        <f>IFERROR(VLOOKUP(E430,A:I,9, FALSE),"")</f>
        <v>Maskierte Bereiche</v>
      </c>
      <c r="M430" s="6" t="str">
        <f>IFERROR(INDEX(J:J,MATCH(TRUE,INDEX(B:B=H430,0),0)),"")</f>
        <v/>
      </c>
      <c r="N430" s="6"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Description not translated </v>
      </c>
      <c r="O430" s="6" t="s">
        <v>8574</v>
      </c>
      <c r="P430" s="6" t="s">
        <v>8574</v>
      </c>
    </row>
    <row r="431" spans="1:17" ht="30" x14ac:dyDescent="0.25">
      <c r="A431" s="5" t="str">
        <f>IF(TRIM(I431)="","",E431)</f>
        <v>MaxApertureValue</v>
      </c>
      <c r="B431" s="5" t="str">
        <f>IF(TRIM(J431)="","",H431)</f>
        <v>The smallest F number of the lens.</v>
      </c>
      <c r="C431" s="5" t="str">
        <f>LEFT(F431,FIND(".",F431,6))</f>
        <v>Exif.Image.</v>
      </c>
      <c r="D431" s="5" t="str">
        <f>VLOOKUP(C431,PrefixUebersetzung,2,FALSE)</f>
        <v>Exif.Image (Bild).</v>
      </c>
      <c r="E431" s="5" t="str">
        <f>MID(F431,FIND(".",F431,6)+1,99)</f>
        <v>MaxApertureValue</v>
      </c>
      <c r="F431" s="5" t="s">
        <v>322</v>
      </c>
      <c r="G431" s="5" t="s">
        <v>9671</v>
      </c>
      <c r="H431" s="6" t="s">
        <v>2422</v>
      </c>
      <c r="I431" s="7" t="s">
        <v>4941</v>
      </c>
      <c r="J431" s="14" t="s">
        <v>4274</v>
      </c>
      <c r="K431" s="26"/>
      <c r="L431" s="6" t="str">
        <f>IFERROR(VLOOKUP(E431,A:I,9, FALSE),"")</f>
        <v>Blende größte</v>
      </c>
      <c r="M431" s="6" t="str">
        <f>IFERROR(VLOOKUP(H431,B:J,9,FALSE),"")</f>
        <v>Größte Blende (kleinster Blendenwert) des Objektivs</v>
      </c>
      <c r="N431" s="6" t="str">
        <f>IF(AND(TRIM(I431)="",L431=""),"Suffix not translated ",
   IF(AND(TRIM(I431)&lt;&gt;"",TRIM(L431)&lt;&gt;"",TRIM(I431)&lt;&gt;TRIM(L431)),"Suffix translation &lt;&gt; lookup ", "" ))
&amp;IF(AND(TRIM(J431)="",M431=""),"Description not translated ",
   IF(AND(TRIM(J431)&lt;&gt;"",TRIM(M431)&lt;&gt;"",TRIM(J431)&lt;&gt;TRIM(M431)),"Description translation&lt;&gt; lookup ", "" ))</f>
        <v/>
      </c>
      <c r="O431" s="6" t="s">
        <v>8574</v>
      </c>
      <c r="P431" s="6" t="s">
        <v>8574</v>
      </c>
      <c r="Q431" s="6" t="s">
        <v>4178</v>
      </c>
    </row>
    <row r="432" spans="1:17" x14ac:dyDescent="0.25">
      <c r="A432" s="5" t="str">
        <f>IF(TRIM(I432)="","",E432)</f>
        <v/>
      </c>
      <c r="B432" s="5" t="str">
        <f>IF(TRIM(J432)="","",H432)</f>
        <v>The metering mode.</v>
      </c>
      <c r="C432" s="5" t="str">
        <f>LEFT(F432,FIND(".",F432,6))</f>
        <v>Exif.Image.</v>
      </c>
      <c r="D432" s="5" t="str">
        <f>VLOOKUP(C432,PrefixUebersetzung,2,FALSE)</f>
        <v>Exif.Image (Bild).</v>
      </c>
      <c r="E432" s="5" t="str">
        <f>MID(F432,FIND(".",F432,6)+1,99)</f>
        <v>MeteringMode</v>
      </c>
      <c r="F432" s="5" t="s">
        <v>323</v>
      </c>
      <c r="G432" s="5" t="s">
        <v>9664</v>
      </c>
      <c r="H432" s="6" t="s">
        <v>2423</v>
      </c>
      <c r="I432" s="7"/>
      <c r="J432" s="14" t="s">
        <v>3920</v>
      </c>
      <c r="K432" s="26"/>
      <c r="L432" s="6" t="str">
        <f>IFERROR(VLOOKUP(E432,A:I,9, FALSE),"")</f>
        <v>Messmethode</v>
      </c>
      <c r="M432" s="6" t="str">
        <f>IFERROR(VLOOKUP(H432,B:J,9,FALSE),"")</f>
        <v>Messmethode</v>
      </c>
      <c r="N432" s="6" t="str">
        <f>IF(AND(TRIM(I432)="",L432=""),"Suffix not translated ",
   IF(AND(TRIM(I432)&lt;&gt;"",TRIM(L432)&lt;&gt;"",TRIM(I432)&lt;&gt;TRIM(L432)),"Suffix translation &lt;&gt; lookup ", "" ))
&amp;IF(AND(TRIM(J432)="",M432=""),"Description not translated ",
   IF(AND(TRIM(J432)&lt;&gt;"",TRIM(M432)&lt;&gt;"",TRIM(J432)&lt;&gt;TRIM(M432)),"Description translation&lt;&gt; lookup ", "" ))</f>
        <v/>
      </c>
      <c r="P432" s="6" t="s">
        <v>8574</v>
      </c>
      <c r="Q432" s="6" t="s">
        <v>9496</v>
      </c>
    </row>
    <row r="433" spans="1:17" ht="105" x14ac:dyDescent="0.25">
      <c r="A433" s="5" t="str">
        <f>IF(TRIM(I433)="","",E433)</f>
        <v>Model</v>
      </c>
      <c r="B433" s="5" t="str">
        <f>IF(TRIM(J433)="","",H433)</f>
        <v>The model name or model number of the equipment. This is the model name or number of the DSC, scanner, video digitizer or other equipment that generated the image. When the field is left blank, it is treated as unknown.</v>
      </c>
      <c r="C433" s="5" t="str">
        <f>LEFT(F433,FIND(".",F433,6))</f>
        <v>Exif.Image.</v>
      </c>
      <c r="D433" s="5" t="str">
        <f>VLOOKUP(C433,PrefixUebersetzung,2,FALSE)</f>
        <v>Exif.Image (Bild).</v>
      </c>
      <c r="E433" s="5" t="str">
        <f>MID(F433,FIND(".",F433,6)+1,99)</f>
        <v>Model</v>
      </c>
      <c r="F433" s="5" t="s">
        <v>324</v>
      </c>
      <c r="G433" s="5" t="s">
        <v>9666</v>
      </c>
      <c r="H433" s="6" t="s">
        <v>2424</v>
      </c>
      <c r="I433" s="7" t="s">
        <v>4275</v>
      </c>
      <c r="J433" s="14" t="s">
        <v>5443</v>
      </c>
      <c r="K433" s="26"/>
      <c r="L433" s="6" t="str">
        <f>IFERROR(VLOOKUP(E433,A:I,9, FALSE),"")</f>
        <v>Modell</v>
      </c>
      <c r="M433" s="6" t="str">
        <f>IFERROR(VLOOKUP(H433,B:J,9,FALSE),"")</f>
        <v>Der Name des Modells oder der Modellnummer des Geräts. Dies ist der Modell-Namen oder die Nummer des DSC, Scanners, Video-Digitizers oder anderen Gerätes, das das Bild erzeugt hat. Wenn das Feld leer ist, wird es als unbekannt behandelt.</v>
      </c>
      <c r="N433" s="6" t="str">
        <f>IF(AND(TRIM(I433)="",L433=""),"Suffix not translated ",
   IF(AND(TRIM(I433)&lt;&gt;"",TRIM(L433)&lt;&gt;"",TRIM(I433)&lt;&gt;TRIM(L433)),"Suffix translation &lt;&gt; lookup ", "" ))
&amp;IF(AND(TRIM(J433)="",M433=""),"Description not translated ",
   IF(AND(TRIM(J433)&lt;&gt;"",TRIM(M433)&lt;&gt;"",TRIM(J433)&lt;&gt;TRIM(M433)),"Description translation&lt;&gt; lookup ", "" ))</f>
        <v/>
      </c>
      <c r="O433" s="6" t="s">
        <v>8574</v>
      </c>
      <c r="P433" s="6" t="s">
        <v>8574</v>
      </c>
    </row>
    <row r="434" spans="1:17" ht="45" x14ac:dyDescent="0.25">
      <c r="A434" s="5" t="str">
        <f>IF(TRIM(I434)="","",E434)</f>
        <v/>
      </c>
      <c r="B434" s="5" t="str">
        <f>IF(TRIM(J434)="","",H434)</f>
        <v>A general indication of the kind of data contained in this subfile.</v>
      </c>
      <c r="C434" s="5" t="str">
        <f>LEFT(F434,FIND(".",F434,6))</f>
        <v>Exif.Image.</v>
      </c>
      <c r="D434" s="5" t="str">
        <f>VLOOKUP(C434,PrefixUebersetzung,2,FALSE)</f>
        <v>Exif.Image (Bild).</v>
      </c>
      <c r="E434" s="5" t="str">
        <f>MID(F434,FIND(".",F434,6)+1,99)</f>
        <v>NewSubfileType</v>
      </c>
      <c r="F434" s="5" t="s">
        <v>325</v>
      </c>
      <c r="G434" s="5" t="s">
        <v>9667</v>
      </c>
      <c r="H434" s="6" t="s">
        <v>2425</v>
      </c>
      <c r="I434" s="7"/>
      <c r="J434" s="14" t="s">
        <v>6733</v>
      </c>
      <c r="K434" s="26"/>
      <c r="L434" s="6" t="str">
        <f>IFERROR(VLOOKUP(E434,A:I,9, FALSE),"")</f>
        <v/>
      </c>
      <c r="M434" s="6" t="str">
        <f>IFERROR(VLOOKUP(H434,B:J,9,FALSE),"")</f>
        <v>Ein allgemeiner Hinweis auf die Art der Daten, die in diesem subfile enthalten sind.</v>
      </c>
      <c r="N434" s="6"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v>
      </c>
      <c r="O434" s="6" t="s">
        <v>8574</v>
      </c>
      <c r="P434" s="6" t="s">
        <v>8574</v>
      </c>
      <c r="Q434" s="6" t="s">
        <v>9096</v>
      </c>
    </row>
    <row r="435" spans="1:17" x14ac:dyDescent="0.25">
      <c r="A435" s="5" t="str">
        <f>IF(TRIM(I435)="","",E435)</f>
        <v>Noise</v>
      </c>
      <c r="B435" s="5" t="str">
        <f>IF(TRIM(J435)="","",H435)</f>
        <v>Noise measurement values.</v>
      </c>
      <c r="C435" s="5" t="str">
        <f>LEFT(F435,FIND(".",F435,6))</f>
        <v>Exif.Image.</v>
      </c>
      <c r="D435" s="5" t="str">
        <f>VLOOKUP(C435,PrefixUebersetzung,2,FALSE)</f>
        <v>Exif.Image (Bild).</v>
      </c>
      <c r="E435" s="5" t="str">
        <f>MID(F435,FIND(".",F435,6)+1,99)</f>
        <v>Noise</v>
      </c>
      <c r="F435" s="5" t="s">
        <v>326</v>
      </c>
      <c r="G435" s="5" t="s">
        <v>9669</v>
      </c>
      <c r="H435" s="6" t="s">
        <v>2426</v>
      </c>
      <c r="I435" s="7" t="s">
        <v>4276</v>
      </c>
      <c r="J435" s="14" t="s">
        <v>5442</v>
      </c>
      <c r="K435" s="26"/>
      <c r="L435" s="6" t="str">
        <f>IFERROR(VLOOKUP(E435,A:I,9, FALSE),"")</f>
        <v>Rauschen</v>
      </c>
      <c r="M435" s="6" t="str">
        <f>IFERROR(VLOOKUP(H435,B:J,9,FALSE),"")</f>
        <v>Rauschen Messwerte</v>
      </c>
      <c r="N435" s="6" t="str">
        <f>IF(AND(TRIM(I435)="",L435=""),"Suffix not translated ",
   IF(AND(TRIM(I435)&lt;&gt;"",TRIM(L435)&lt;&gt;"",TRIM(I435)&lt;&gt;TRIM(L435)),"Suffix translation &lt;&gt; lookup ", "" ))
&amp;IF(AND(TRIM(J435)="",M435=""),"Description not translated ",
   IF(AND(TRIM(J435)&lt;&gt;"",TRIM(M435)&lt;&gt;"",TRIM(J435)&lt;&gt;TRIM(M435)),"Description translation&lt;&gt; lookup ", "" ))</f>
        <v/>
      </c>
      <c r="O435" s="6" t="s">
        <v>8574</v>
      </c>
      <c r="P435" s="6" t="s">
        <v>8574</v>
      </c>
    </row>
    <row r="436" spans="1:17" ht="135" x14ac:dyDescent="0.25">
      <c r="A436" s="5" t="str">
        <f>IF(TRIM(I436)="","",E436)</f>
        <v>NoiseProfile</v>
      </c>
      <c r="B436" s="5" t="str">
        <f>IF(TRIM(J436)="","",H436)</f>
        <v/>
      </c>
      <c r="C436" s="5" t="str">
        <f>LEFT(F436,FIND(".",F436,6))</f>
        <v>Exif.Image.</v>
      </c>
      <c r="D436" s="5" t="str">
        <f>VLOOKUP(C436,PrefixUebersetzung,2,FALSE)</f>
        <v>Exif.Image (Bild).</v>
      </c>
      <c r="E436" s="5" t="str">
        <f>MID(F436,FIND(".",F436,6)+1,99)</f>
        <v>NoiseProfile</v>
      </c>
      <c r="F436" s="5" t="s">
        <v>327</v>
      </c>
      <c r="G436" s="5" t="s">
        <v>9674</v>
      </c>
      <c r="H436" s="6" t="s">
        <v>2427</v>
      </c>
      <c r="I436" s="7" t="s">
        <v>4277</v>
      </c>
      <c r="K436" s="26"/>
      <c r="L436" s="6" t="str">
        <f>IFERROR(VLOOKUP(E436,A:I,9, FALSE),"")</f>
        <v>Rauschprofil</v>
      </c>
      <c r="M436" s="6" t="str">
        <f>IFERROR(INDEX(J:J,MATCH(TRUE,INDEX(B:B=H436,0),0)),"")</f>
        <v/>
      </c>
      <c r="N436" s="6" t="str">
        <f>IF(AND(TRIM(I436)="",L436=""),"Suffix not translated ",
   IF(AND(TRIM(I436)&lt;&gt;"",TRIM(L436)&lt;&gt;"",TRIM(I436)&lt;&gt;TRIM(L436)),"Suffix translation &lt;&gt; lookup ", "" ))
&amp;IF(AND(TRIM(J436)="",M436=""),"Description not translated ",
   IF(AND(TRIM(J436)&lt;&gt;"",TRIM(M436)&lt;&gt;"",TRIM(J436)&lt;&gt;TRIM(M436)),"Description translation&lt;&gt; lookup ", "" ))</f>
        <v xml:space="preserve">Description not translated </v>
      </c>
      <c r="O436" s="6" t="s">
        <v>8574</v>
      </c>
      <c r="P436" s="6" t="s">
        <v>8574</v>
      </c>
    </row>
    <row r="437" spans="1:17" ht="210" x14ac:dyDescent="0.25">
      <c r="A437" s="5" t="str">
        <f>IF(TRIM(I437)="","",E437)</f>
        <v>NoiseReductionApplied</v>
      </c>
      <c r="B437" s="5" t="str">
        <f>IF(TRIM(J437)="","",H437)</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437" s="5" t="str">
        <f>LEFT(F437,FIND(".",F437,6))</f>
        <v>Exif.Image.</v>
      </c>
      <c r="D437" s="5" t="str">
        <f>VLOOKUP(C437,PrefixUebersetzung,2,FALSE)</f>
        <v>Exif.Image (Bild).</v>
      </c>
      <c r="E437" s="5" t="str">
        <f>MID(F437,FIND(".",F437,6)+1,99)</f>
        <v>NoiseReductionApplied</v>
      </c>
      <c r="F437" s="5" t="s">
        <v>328</v>
      </c>
      <c r="G437" s="5" t="s">
        <v>9671</v>
      </c>
      <c r="H437" s="6" t="s">
        <v>2428</v>
      </c>
      <c r="I437" s="7" t="s">
        <v>4278</v>
      </c>
      <c r="J437" s="14" t="s">
        <v>8905</v>
      </c>
      <c r="K437" s="26"/>
      <c r="L437" s="6" t="str">
        <f>IFERROR(VLOOKUP(E437,A:I,9, FALSE),"")</f>
        <v>Entrauschen angewendet</v>
      </c>
      <c r="M437" s="6" t="str">
        <f>IFERROR(INDEX(J:J,MATCH(TRUE,INDEX(B:B=H437,0),0)),"")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437" s="6" t="str">
        <f>IF(AND(TRIM(I437)="",L437=""),"Suffix not translated ",
   IF(AND(TRIM(I437)&lt;&gt;"",TRIM(L437)&lt;&gt;"",TRIM(I437)&lt;&gt;TRIM(L437)),"Suffix translation &lt;&gt; lookup ", "" ))
&amp;IF(AND(TRIM(J437)="",M437=""),"Description not translated ",
   IF(AND(TRIM(J437)&lt;&gt;"",TRIM(M437)&lt;&gt;"",TRIM(J437)&lt;&gt;TRIM(M437)),"Description translation&lt;&gt; lookup ", "" ))</f>
        <v/>
      </c>
      <c r="O437" s="6" t="s">
        <v>8574</v>
      </c>
      <c r="P437" s="6" t="s">
        <v>8574</v>
      </c>
    </row>
    <row r="438" spans="1:17" ht="45" x14ac:dyDescent="0.25">
      <c r="A438" s="5" t="str">
        <f>IF(TRIM(I438)="","",E438)</f>
        <v>NumberOfInks</v>
      </c>
      <c r="B438" s="5" t="str">
        <f>IF(TRIM(J438)="","",H438)</f>
        <v>The number of inks. Usually equal to SamplesPerPixel, unless there are extra samples.</v>
      </c>
      <c r="C438" s="5" t="str">
        <f>LEFT(F438,FIND(".",F438,6))</f>
        <v>Exif.Image.</v>
      </c>
      <c r="D438" s="5" t="str">
        <f>VLOOKUP(C438,PrefixUebersetzung,2,FALSE)</f>
        <v>Exif.Image (Bild).</v>
      </c>
      <c r="E438" s="5" t="str">
        <f>MID(F438,FIND(".",F438,6)+1,99)</f>
        <v>NumberOfInks</v>
      </c>
      <c r="F438" s="5" t="s">
        <v>329</v>
      </c>
      <c r="G438" s="5" t="s">
        <v>9664</v>
      </c>
      <c r="H438" s="6" t="s">
        <v>2429</v>
      </c>
      <c r="I438" s="7" t="s">
        <v>5299</v>
      </c>
      <c r="J438" s="14" t="s">
        <v>5444</v>
      </c>
      <c r="K438" s="26"/>
      <c r="L438" s="6" t="str">
        <f>IFERROR(VLOOKUP(E438,A:I,9, FALSE),"")</f>
        <v>Anzahl der Farben</v>
      </c>
      <c r="M438" s="6" t="str">
        <f>IFERROR(VLOOKUP(H438,B:J,9,FALSE),"")</f>
        <v>Die Anzahl der Farben. Gewöhnlich gleich SamplesPerPixel, es sei denn, es gibt zusätzliche Proben.</v>
      </c>
      <c r="N438" s="6" t="str">
        <f>IF(AND(TRIM(I438)="",L438=""),"Suffix not translated ",
   IF(AND(TRIM(I438)&lt;&gt;"",TRIM(L438)&lt;&gt;"",TRIM(I438)&lt;&gt;TRIM(L438)),"Suffix translation &lt;&gt; lookup ", "" ))
&amp;IF(AND(TRIM(J438)="",M438=""),"Description not translated ",
   IF(AND(TRIM(J438)&lt;&gt;"",TRIM(M438)&lt;&gt;"",TRIM(J438)&lt;&gt;TRIM(M438)),"Description translation&lt;&gt; lookup ", "" ))</f>
        <v/>
      </c>
      <c r="O438" s="6" t="s">
        <v>8574</v>
      </c>
      <c r="P438" s="6" t="s">
        <v>8574</v>
      </c>
    </row>
    <row r="439" spans="1:17" ht="45" x14ac:dyDescent="0.25">
      <c r="A439" s="5" t="str">
        <f>IF(TRIM(I439)="","",E439)</f>
        <v>OECF</v>
      </c>
      <c r="B439" s="5" t="str">
        <f>IF(TRIM(J439)="","",H439)</f>
        <v>Indicates the Opto-Electric Conversion Function (OECF) specified in ISO 14524.</v>
      </c>
      <c r="C439" s="5" t="str">
        <f>LEFT(F439,FIND(".",F439,6))</f>
        <v>Exif.Image.</v>
      </c>
      <c r="D439" s="5" t="str">
        <f>VLOOKUP(C439,PrefixUebersetzung,2,FALSE)</f>
        <v>Exif.Image (Bild).</v>
      </c>
      <c r="E439" s="5" t="str">
        <f>MID(F439,FIND(".",F439,6)+1,99)</f>
        <v>OECF</v>
      </c>
      <c r="F439" s="5" t="s">
        <v>330</v>
      </c>
      <c r="G439" s="5" t="s">
        <v>9669</v>
      </c>
      <c r="H439" s="6" t="s">
        <v>2430</v>
      </c>
      <c r="I439" s="7" t="s">
        <v>4209</v>
      </c>
      <c r="J439" s="14" t="s">
        <v>5445</v>
      </c>
      <c r="K439" s="26"/>
      <c r="L439" s="6" t="str">
        <f>IFERROR(VLOOKUP(E439,A:I,9, FALSE),"")</f>
        <v>OECF</v>
      </c>
      <c r="M439" s="6" t="str">
        <f>IFERROR(VLOOKUP(H439,B:J,9,FALSE),"")</f>
        <v>Gibt die Opto-Elektro-Conversion-Funktion (OECF) an, die in ISO 14524 spezifiziert ist.</v>
      </c>
      <c r="N439" s="6" t="str">
        <f>IF(AND(TRIM(I439)="",L439=""),"Suffix not translated ",
   IF(AND(TRIM(I439)&lt;&gt;"",TRIM(L439)&lt;&gt;"",TRIM(I439)&lt;&gt;TRIM(L439)),"Suffix translation &lt;&gt; lookup ", "" ))
&amp;IF(AND(TRIM(J439)="",M439=""),"Description not translated ",
   IF(AND(TRIM(J439)&lt;&gt;"",TRIM(M439)&lt;&gt;"",TRIM(J439)&lt;&gt;TRIM(M439)),"Description translation&lt;&gt; lookup ", "" ))</f>
        <v/>
      </c>
      <c r="O439" s="6" t="s">
        <v>8574</v>
      </c>
      <c r="P439" s="6" t="s">
        <v>8574</v>
      </c>
    </row>
    <row r="440" spans="1:17" ht="30" x14ac:dyDescent="0.25">
      <c r="A440" s="5" t="str">
        <f>IF(TRIM(I440)="","",E440)</f>
        <v/>
      </c>
      <c r="B440" s="5" t="str">
        <f>IF(TRIM(J440)="","",H440)</f>
        <v/>
      </c>
      <c r="C440" s="5" t="str">
        <f>LEFT(F440,FIND(".",F440,6))</f>
        <v>Exif.Image.</v>
      </c>
      <c r="D440" s="5" t="str">
        <f>VLOOKUP(C440,PrefixUebersetzung,2,FALSE)</f>
        <v>Exif.Image (Bild).</v>
      </c>
      <c r="E440" s="5" t="str">
        <f>MID(F440,FIND(".",F440,6)+1,99)</f>
        <v>OpcodeList1</v>
      </c>
      <c r="F440" s="5" t="s">
        <v>331</v>
      </c>
      <c r="G440" s="5" t="s">
        <v>9669</v>
      </c>
      <c r="H440" s="6" t="s">
        <v>2431</v>
      </c>
      <c r="I440" s="7"/>
      <c r="K440" s="26"/>
      <c r="L440" s="6" t="str">
        <f>IFERROR(VLOOKUP(E440,A:I,9, FALSE),"")</f>
        <v/>
      </c>
      <c r="M440" s="6" t="str">
        <f>IFERROR(VLOOKUP(H440,B:J,9,FALSE),"")</f>
        <v/>
      </c>
      <c r="N440" s="6"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c r="O440" s="6" t="s">
        <v>8574</v>
      </c>
      <c r="P440" s="6" t="s">
        <v>8574</v>
      </c>
    </row>
    <row r="441" spans="1:17" ht="45" x14ac:dyDescent="0.25">
      <c r="A441" s="5" t="str">
        <f>IF(TRIM(I441)="","",E441)</f>
        <v/>
      </c>
      <c r="B441" s="5" t="str">
        <f>IF(TRIM(J441)="","",H441)</f>
        <v/>
      </c>
      <c r="C441" s="5" t="str">
        <f>LEFT(F441,FIND(".",F441,6))</f>
        <v>Exif.Image.</v>
      </c>
      <c r="D441" s="5" t="str">
        <f>VLOOKUP(C441,PrefixUebersetzung,2,FALSE)</f>
        <v>Exif.Image (Bild).</v>
      </c>
      <c r="E441" s="5" t="str">
        <f>MID(F441,FIND(".",F441,6)+1,99)</f>
        <v>OpcodeList2</v>
      </c>
      <c r="F441" s="5" t="s">
        <v>332</v>
      </c>
      <c r="G441" s="5" t="s">
        <v>9669</v>
      </c>
      <c r="H441" s="6" t="s">
        <v>2432</v>
      </c>
      <c r="I441" s="7"/>
      <c r="K441" s="26"/>
      <c r="L441" s="6" t="str">
        <f>IFERROR(VLOOKUP(E441,A:I,9, FALSE),"")</f>
        <v/>
      </c>
      <c r="M441" s="6" t="str">
        <f>IFERROR(VLOOKUP(H441,B:J,9,FALSE),"")</f>
        <v/>
      </c>
      <c r="N441" s="6"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c r="O441" s="6" t="s">
        <v>8574</v>
      </c>
      <c r="P441" s="6" t="s">
        <v>8574</v>
      </c>
    </row>
    <row r="442" spans="1:17" ht="30" x14ac:dyDescent="0.25">
      <c r="A442" s="5" t="str">
        <f>IF(TRIM(I442)="","",E442)</f>
        <v/>
      </c>
      <c r="B442" s="5" t="str">
        <f>IF(TRIM(J442)="","",H442)</f>
        <v/>
      </c>
      <c r="C442" s="5" t="str">
        <f>LEFT(F442,FIND(".",F442,6))</f>
        <v>Exif.Image.</v>
      </c>
      <c r="D442" s="5" t="str">
        <f>VLOOKUP(C442,PrefixUebersetzung,2,FALSE)</f>
        <v>Exif.Image (Bild).</v>
      </c>
      <c r="E442" s="5" t="str">
        <f>MID(F442,FIND(".",F442,6)+1,99)</f>
        <v>OpcodeList3</v>
      </c>
      <c r="F442" s="5" t="s">
        <v>333</v>
      </c>
      <c r="G442" s="5" t="s">
        <v>9669</v>
      </c>
      <c r="H442" s="6" t="s">
        <v>2433</v>
      </c>
      <c r="I442" s="7"/>
      <c r="K442" s="26"/>
      <c r="L442" s="6" t="str">
        <f>IFERROR(VLOOKUP(E442,A:I,9, FALSE),"")</f>
        <v/>
      </c>
      <c r="M442" s="6" t="str">
        <f>IFERROR(VLOOKUP(H442,B:J,9,FALSE),"")</f>
        <v/>
      </c>
      <c r="N442" s="6"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Description not translated </v>
      </c>
      <c r="O442" s="6" t="s">
        <v>8574</v>
      </c>
      <c r="P442" s="6" t="s">
        <v>8574</v>
      </c>
    </row>
    <row r="443" spans="1:17" ht="60" x14ac:dyDescent="0.25">
      <c r="A443" s="5" t="str">
        <f>IF(TRIM(I443)="","",E443)</f>
        <v/>
      </c>
      <c r="B443" s="5" t="str">
        <f>IF(TRIM(J443)="","",H443)</f>
        <v>OPIProxy gives information concerning whether this image is a low-resolution proxy of a high-resolution image (Adobe OPI).</v>
      </c>
      <c r="C443" s="5" t="str">
        <f>LEFT(F443,FIND(".",F443,6))</f>
        <v>Exif.Image.</v>
      </c>
      <c r="D443" s="5" t="str">
        <f>VLOOKUP(C443,PrefixUebersetzung,2,FALSE)</f>
        <v>Exif.Image (Bild).</v>
      </c>
      <c r="E443" s="5" t="str">
        <f>MID(F443,FIND(".",F443,6)+1,99)</f>
        <v>OPIProxy</v>
      </c>
      <c r="F443" s="5" t="s">
        <v>334</v>
      </c>
      <c r="G443" s="5" t="s">
        <v>9664</v>
      </c>
      <c r="H443" s="6" t="s">
        <v>2434</v>
      </c>
      <c r="I443" s="7"/>
      <c r="J443" s="14" t="s">
        <v>6634</v>
      </c>
      <c r="K443" s="26"/>
      <c r="L443" s="6" t="str">
        <f>IFERROR(VLOOKUP(E443,A:I,9, FALSE),"")</f>
        <v/>
      </c>
      <c r="M443" s="6" t="str">
        <f>IFERROR(VLOOKUP(H443,B:J,9,FALSE),"")</f>
        <v>OPIProxy gibt Aufschluss darüber, ob dieses Bild eine niedrig-auflösende Näherung von einem hochauflösenden Bild ist (Adobe OPI).</v>
      </c>
      <c r="N443" s="6"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v>
      </c>
      <c r="O443" s="6" t="s">
        <v>8574</v>
      </c>
      <c r="P443" s="6" t="s">
        <v>8574</v>
      </c>
    </row>
    <row r="444" spans="1:17" ht="30" x14ac:dyDescent="0.25">
      <c r="A444" s="5" t="str">
        <f>IF(TRIM(I444)="","",E444)</f>
        <v>Orientation</v>
      </c>
      <c r="B444" s="5" t="str">
        <f>IF(TRIM(J444)="","",H444)</f>
        <v>The image orientation viewed in terms of rows and columns.</v>
      </c>
      <c r="C444" s="5" t="str">
        <f>LEFT(F444,FIND(".",F444,6))</f>
        <v>Exif.Image.</v>
      </c>
      <c r="D444" s="5" t="str">
        <f>VLOOKUP(C444,PrefixUebersetzung,2,FALSE)</f>
        <v>Exif.Image (Bild).</v>
      </c>
      <c r="E444" s="5" t="str">
        <f>MID(F444,FIND(".",F444,6)+1,99)</f>
        <v>Orientation</v>
      </c>
      <c r="F444" s="5" t="s">
        <v>335</v>
      </c>
      <c r="G444" s="5" t="s">
        <v>9664</v>
      </c>
      <c r="H444" s="6" t="s">
        <v>2435</v>
      </c>
      <c r="I444" s="7" t="s">
        <v>4279</v>
      </c>
      <c r="J444" s="14" t="s">
        <v>5446</v>
      </c>
      <c r="K444" s="26"/>
      <c r="L444" s="6" t="str">
        <f>IFERROR(VLOOKUP(E444,A:I,9, FALSE),"")</f>
        <v>Ausrichtung</v>
      </c>
      <c r="M444" s="6" t="str">
        <f>IFERROR(VLOOKUP(H444,B:J,9,FALSE),"")</f>
        <v>Bild-Ausrichtung in Bezug auf die Zeilen und Spalten</v>
      </c>
      <c r="N444" s="6" t="str">
        <f>IF(AND(TRIM(I444)="",L444=""),"Suffix not translated ",
   IF(AND(TRIM(I444)&lt;&gt;"",TRIM(L444)&lt;&gt;"",TRIM(I444)&lt;&gt;TRIM(L444)),"Suffix translation &lt;&gt; lookup ", "" ))
&amp;IF(AND(TRIM(J444)="",M444=""),"Description not translated ",
   IF(AND(TRIM(J444)&lt;&gt;"",TRIM(M444)&lt;&gt;"",TRIM(J444)&lt;&gt;TRIM(M444)),"Description translation&lt;&gt; lookup ", "" ))</f>
        <v/>
      </c>
      <c r="O444" s="6" t="s">
        <v>8574</v>
      </c>
      <c r="P444" s="6" t="s">
        <v>8574</v>
      </c>
      <c r="Q444" s="6" t="s">
        <v>9532</v>
      </c>
    </row>
    <row r="445" spans="1:17" ht="180" x14ac:dyDescent="0.25">
      <c r="A445" s="5" t="str">
        <f>IF(TRIM(I445)="","",E445)</f>
        <v>OriginalRawFileData</v>
      </c>
      <c r="B445" s="5" t="str">
        <f>IF(TRIM(J445)="","",H445)</f>
        <v/>
      </c>
      <c r="C445" s="5" t="str">
        <f>LEFT(F445,FIND(".",F445,6))</f>
        <v>Exif.Image.</v>
      </c>
      <c r="D445" s="5" t="str">
        <f>VLOOKUP(C445,PrefixUebersetzung,2,FALSE)</f>
        <v>Exif.Image (Bild).</v>
      </c>
      <c r="E445" s="5" t="str">
        <f>MID(F445,FIND(".",F445,6)+1,99)</f>
        <v>OriginalRawFileData</v>
      </c>
      <c r="F445" s="5" t="s">
        <v>336</v>
      </c>
      <c r="G445" s="5" t="s">
        <v>9669</v>
      </c>
      <c r="H445" s="6" t="s">
        <v>2436</v>
      </c>
      <c r="I445" s="7" t="s">
        <v>5134</v>
      </c>
      <c r="J445" s="30"/>
      <c r="K445" s="26"/>
      <c r="L445" s="6" t="str">
        <f>IFERROR(VLOOKUP(E445,A:I,9, FALSE),"")</f>
        <v>RAW Datei-Daten original</v>
      </c>
      <c r="M445" s="6" t="str">
        <f>IFERROR(INDEX(J:J,MATCH(TRUE,INDEX(B:B=H445,0),0)),"")</f>
        <v/>
      </c>
      <c r="N445" s="6"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Description not translated </v>
      </c>
      <c r="O445" s="6" t="s">
        <v>8574</v>
      </c>
      <c r="P445" s="6" t="s">
        <v>8574</v>
      </c>
    </row>
    <row r="446" spans="1:17" ht="30" x14ac:dyDescent="0.25">
      <c r="A446" s="5" t="str">
        <f>IF(TRIM(I446)="","",E446)</f>
        <v/>
      </c>
      <c r="B446" s="5" t="str">
        <f>IF(TRIM(J446)="","",H446)</f>
        <v/>
      </c>
      <c r="C446" s="5" t="str">
        <f>LEFT(F446,FIND(".",F446,6))</f>
        <v>Exif.Image.</v>
      </c>
      <c r="D446" s="5" t="str">
        <f>VLOOKUP(C446,PrefixUebersetzung,2,FALSE)</f>
        <v>Exif.Image (Bild).</v>
      </c>
      <c r="E446" s="5" t="str">
        <f>MID(F446,FIND(".",F446,6)+1,99)</f>
        <v>OriginalRawFileDigest</v>
      </c>
      <c r="F446" s="5" t="s">
        <v>337</v>
      </c>
      <c r="G446" s="5" t="s">
        <v>9669</v>
      </c>
      <c r="H446" s="6" t="s">
        <v>2437</v>
      </c>
      <c r="I446" s="7"/>
      <c r="K446" s="26"/>
      <c r="L446" s="6" t="str">
        <f>IFERROR(VLOOKUP(E446,A:I,9, FALSE),"")</f>
        <v/>
      </c>
      <c r="M446" s="6" t="str">
        <f>IFERROR(VLOOKUP(H446,B:J,9,FALSE),"")</f>
        <v/>
      </c>
      <c r="N446" s="6"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Description not translated </v>
      </c>
      <c r="O446" s="6" t="s">
        <v>8574</v>
      </c>
      <c r="P446" s="6" t="s">
        <v>8574</v>
      </c>
    </row>
    <row r="447" spans="1:17" ht="75" x14ac:dyDescent="0.25">
      <c r="A447" s="5" t="str">
        <f>IF(TRIM(I447)="","",E447)</f>
        <v>OriginalRawFileName</v>
      </c>
      <c r="B447" s="5" t="str">
        <f>IF(TRIM(J447)="","",H447)</f>
        <v>If the DNG file was converted from a non-DNG raw file, then this tag contains the file name of that original raw file.</v>
      </c>
      <c r="C447" s="5" t="str">
        <f>LEFT(F447,FIND(".",F447,6))</f>
        <v>Exif.Image.</v>
      </c>
      <c r="D447" s="5" t="str">
        <f>VLOOKUP(C447,PrefixUebersetzung,2,FALSE)</f>
        <v>Exif.Image (Bild).</v>
      </c>
      <c r="E447" s="5" t="str">
        <f>MID(F447,FIND(".",F447,6)+1,99)</f>
        <v>OriginalRawFileName</v>
      </c>
      <c r="F447" s="5" t="s">
        <v>338</v>
      </c>
      <c r="G447" s="5" t="s">
        <v>9670</v>
      </c>
      <c r="H447" s="6" t="s">
        <v>2438</v>
      </c>
      <c r="I447" s="7" t="s">
        <v>5133</v>
      </c>
      <c r="J447" s="30" t="s">
        <v>5478</v>
      </c>
      <c r="K447" s="26"/>
      <c r="L447" s="6" t="str">
        <f>IFERROR(VLOOKUP(E447,A:I,9, FALSE),"")</f>
        <v>RAW Dateiname original</v>
      </c>
      <c r="M447" s="6" t="str">
        <f>IFERROR(VLOOKUP(H447,B:J,9,FALSE),"")</f>
        <v>Wenn die DNG-Datei aus einer Nicht-DNG RAW-Datei umgewandelt wurde, dann enthält dieses Tag den Dateinamen jener ursprünglichen RAW-Datei.</v>
      </c>
      <c r="N447" s="6" t="str">
        <f>IF(AND(TRIM(I447)="",L447=""),"Suffix not translated ",
   IF(AND(TRIM(I447)&lt;&gt;"",TRIM(L447)&lt;&gt;"",TRIM(I447)&lt;&gt;TRIM(L447)),"Suffix translation &lt;&gt; lookup ", "" ))
&amp;IF(AND(TRIM(J447)="",M447=""),"Description not translated ",
   IF(AND(TRIM(J447)&lt;&gt;"",TRIM(M447)&lt;&gt;"",TRIM(J447)&lt;&gt;TRIM(M447)),"Description translation&lt;&gt; lookup ", "" ))</f>
        <v/>
      </c>
      <c r="O447" s="6" t="s">
        <v>8574</v>
      </c>
      <c r="P447" s="6" t="s">
        <v>8574</v>
      </c>
    </row>
    <row r="448" spans="1:17" ht="30" x14ac:dyDescent="0.25">
      <c r="A448" s="5" t="str">
        <f>IF(TRIM(I448)="","",E448)</f>
        <v>PageNumber</v>
      </c>
      <c r="B448" s="5" t="str">
        <f>IF(TRIM(J448)="","",H448)</f>
        <v>The page number of the page from which this image was scanned.</v>
      </c>
      <c r="C448" s="5" t="str">
        <f>LEFT(F448,FIND(".",F448,6))</f>
        <v>Exif.Image.</v>
      </c>
      <c r="D448" s="5" t="str">
        <f>VLOOKUP(C448,PrefixUebersetzung,2,FALSE)</f>
        <v>Exif.Image (Bild).</v>
      </c>
      <c r="E448" s="5" t="str">
        <f>MID(F448,FIND(".",F448,6)+1,99)</f>
        <v>PageNumber</v>
      </c>
      <c r="F448" s="2" t="s">
        <v>7043</v>
      </c>
      <c r="G448" s="5" t="s">
        <v>9664</v>
      </c>
      <c r="H448" s="3" t="s">
        <v>7044</v>
      </c>
      <c r="I448" s="7" t="s">
        <v>7665</v>
      </c>
      <c r="J448" s="14" t="s">
        <v>7912</v>
      </c>
      <c r="K448" s="26"/>
      <c r="L448" s="6" t="str">
        <f>IFERROR(VLOOKUP(E448,A:I,9, FALSE),"")</f>
        <v>Seitennummer</v>
      </c>
      <c r="M448" s="6" t="str">
        <f>IFERROR(VLOOKUP(H448,B:J,9,FALSE),"")</f>
        <v>Die Seitennummer der Seite, von der dieses Bild gescannt wurde</v>
      </c>
      <c r="N448" s="6" t="str">
        <f>IF(AND(TRIM(I448)="",L448=""),"Suffix not translated ",
   IF(AND(TRIM(I448)&lt;&gt;"",TRIM(L448)&lt;&gt;"",TRIM(I448)&lt;&gt;TRIM(L448)),"Suffix translation &lt;&gt; lookup ", "" ))
&amp;IF(AND(TRIM(J448)="",M448=""),"Description not translated ",
   IF(AND(TRIM(J448)&lt;&gt;"",TRIM(M448)&lt;&gt;"",TRIM(J448)&lt;&gt;TRIM(M448)),"Description translation&lt;&gt; lookup ", "" ))</f>
        <v/>
      </c>
      <c r="O448" s="6" t="s">
        <v>8574</v>
      </c>
      <c r="P448" s="6" t="s">
        <v>8574</v>
      </c>
      <c r="Q448" s="6" t="s">
        <v>9429</v>
      </c>
    </row>
    <row r="449" spans="1:16" ht="30" x14ac:dyDescent="0.25">
      <c r="A449" s="5" t="str">
        <f>IF(TRIM(I449)="","",E449)</f>
        <v/>
      </c>
      <c r="B449" s="5" t="str">
        <f>IF(TRIM(J449)="","",H449)</f>
        <v/>
      </c>
      <c r="C449" s="5" t="str">
        <f>LEFT(F449,FIND(".",F449,6))</f>
        <v>Exif.Image.</v>
      </c>
      <c r="D449" s="5" t="str">
        <f>VLOOKUP(C449,PrefixUebersetzung,2,FALSE)</f>
        <v>Exif.Image (Bild).</v>
      </c>
      <c r="E449" s="5" t="str">
        <f>MID(F449,FIND(".",F449,6)+1,99)</f>
        <v>PhotometricInterpretation</v>
      </c>
      <c r="F449" s="5" t="s">
        <v>339</v>
      </c>
      <c r="G449" s="5" t="s">
        <v>9664</v>
      </c>
      <c r="H449" s="6" t="s">
        <v>2439</v>
      </c>
      <c r="I449" s="7"/>
      <c r="K449" s="26"/>
      <c r="L449" s="6" t="str">
        <f>IFERROR(VLOOKUP(E449,A:I,9, FALSE),"")</f>
        <v/>
      </c>
      <c r="M449" s="6" t="str">
        <f>IFERROR(VLOOKUP(H449,B:J,9,FALSE),"")</f>
        <v/>
      </c>
      <c r="N449" s="6"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6" t="s">
        <v>8574</v>
      </c>
      <c r="P449" s="6" t="s">
        <v>8574</v>
      </c>
    </row>
    <row r="450" spans="1:16" ht="75" x14ac:dyDescent="0.25">
      <c r="A450" s="5" t="str">
        <f>IF(TRIM(I450)="","",E450)</f>
        <v/>
      </c>
      <c r="B450" s="5" t="str">
        <f>IF(TRIM(J450)="","",H450)</f>
        <v/>
      </c>
      <c r="C450" s="5" t="str">
        <f>LEFT(F450,FIND(".",F450,6))</f>
        <v>Exif.Image.</v>
      </c>
      <c r="D450" s="5" t="str">
        <f>VLOOKUP(C450,PrefixUebersetzung,2,FALSE)</f>
        <v>Exif.Image (Bild).</v>
      </c>
      <c r="E450" s="5" t="str">
        <f>MID(F450,FIND(".",F450,6)+1,99)</f>
        <v>PlanarConfiguration</v>
      </c>
      <c r="F450" s="5" t="s">
        <v>340</v>
      </c>
      <c r="G450" s="5" t="s">
        <v>9664</v>
      </c>
      <c r="H450" s="6" t="s">
        <v>2440</v>
      </c>
      <c r="I450" s="7"/>
      <c r="K450" s="26"/>
      <c r="L450" s="6" t="str">
        <f>IFERROR(VLOOKUP(E450,A:I,9, FALSE),"")</f>
        <v/>
      </c>
      <c r="M450" s="6" t="str">
        <f>IFERROR(VLOOKUP(H450,B:J,9,FALSE),"")</f>
        <v/>
      </c>
      <c r="N450" s="6"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Description not translated </v>
      </c>
      <c r="O450" s="6" t="s">
        <v>8574</v>
      </c>
      <c r="P450" s="6" t="s">
        <v>8574</v>
      </c>
    </row>
    <row r="451" spans="1:16" ht="60" x14ac:dyDescent="0.25">
      <c r="A451" s="5" t="str">
        <f>IF(TRIM(I451)="","",E451)</f>
        <v>Predictor</v>
      </c>
      <c r="B451" s="5" t="str">
        <f>IF(TRIM(J451)="","",H451)</f>
        <v>A predictor is a mathematical operator that is applied to the image data before an encoding scheme is applied.</v>
      </c>
      <c r="C451" s="5" t="str">
        <f>LEFT(F451,FIND(".",F451,6))</f>
        <v>Exif.Image.</v>
      </c>
      <c r="D451" s="5" t="str">
        <f>VLOOKUP(C451,PrefixUebersetzung,2,FALSE)</f>
        <v>Exif.Image (Bild).</v>
      </c>
      <c r="E451" s="5" t="str">
        <f>MID(F451,FIND(".",F451,6)+1,99)</f>
        <v>Predictor</v>
      </c>
      <c r="F451" s="5" t="s">
        <v>341</v>
      </c>
      <c r="G451" s="5" t="s">
        <v>9664</v>
      </c>
      <c r="H451" s="6" t="s">
        <v>2441</v>
      </c>
      <c r="I451" s="7" t="s">
        <v>4280</v>
      </c>
      <c r="J451" s="14" t="s">
        <v>3887</v>
      </c>
      <c r="K451" s="26"/>
      <c r="L451" s="6" t="str">
        <f>IFERROR(VLOOKUP(E451,A:I,9, FALSE),"")</f>
        <v>Prädiktor</v>
      </c>
      <c r="M451" s="6" t="str">
        <f>IFERROR(VLOOKUP(H451,B:J,9,FALSE),"")</f>
        <v>Ein Prädiktor ein mathematischer Operator, der auf die Bilddaten angewendet wird, bevor ein Codierungsschema angewendet wird.</v>
      </c>
      <c r="N451" s="6" t="str">
        <f>IF(AND(TRIM(I451)="",L451=""),"Suffix not translated ",
   IF(AND(TRIM(I451)&lt;&gt;"",TRIM(L451)&lt;&gt;"",TRIM(I451)&lt;&gt;TRIM(L451)),"Suffix translation &lt;&gt; lookup ", "" ))
&amp;IF(AND(TRIM(J451)="",M451=""),"Description not translated ",
   IF(AND(TRIM(J451)&lt;&gt;"",TRIM(M451)&lt;&gt;"",TRIM(J451)&lt;&gt;TRIM(M451)),"Description translation&lt;&gt; lookup ", "" ))</f>
        <v/>
      </c>
      <c r="O451" s="6" t="s">
        <v>8574</v>
      </c>
      <c r="P451" s="6" t="s">
        <v>8574</v>
      </c>
    </row>
    <row r="452" spans="1:16" ht="60" x14ac:dyDescent="0.25">
      <c r="A452" s="5" t="str">
        <f>IF(TRIM(I452)="","",E452)</f>
        <v>PreviewApplicationName</v>
      </c>
      <c r="B452" s="5" t="str">
        <f>IF(TRIM(J452)="","",H452)</f>
        <v>A UTF-8 encoded string containing the name of the application that created the preview stored in the IFD.</v>
      </c>
      <c r="C452" s="5" t="str">
        <f>LEFT(F452,FIND(".",F452,6))</f>
        <v>Exif.Image.</v>
      </c>
      <c r="D452" s="5" t="str">
        <f>VLOOKUP(C452,PrefixUebersetzung,2,FALSE)</f>
        <v>Exif.Image (Bild).</v>
      </c>
      <c r="E452" s="5" t="str">
        <f>MID(F452,FIND(".",F452,6)+1,99)</f>
        <v>PreviewApplicationName</v>
      </c>
      <c r="F452" s="5" t="s">
        <v>342</v>
      </c>
      <c r="G452" s="5" t="s">
        <v>9670</v>
      </c>
      <c r="H452" s="6" t="s">
        <v>2442</v>
      </c>
      <c r="I452" s="7" t="s">
        <v>4868</v>
      </c>
      <c r="J452" s="14" t="s">
        <v>5447</v>
      </c>
      <c r="K452" s="26"/>
      <c r="L452" s="6" t="str">
        <f>IFERROR(VLOOKUP(E452,A:I,9, FALSE),"")</f>
        <v>Vorschau Applikation Name</v>
      </c>
      <c r="M452" s="6" t="str">
        <f>IFERROR(VLOOKUP(H452,B:J,9,FALSE),"")</f>
        <v>Eine UTF-8-codierte Zeichenfolge mit dem Namen der Anwendung, die das im IFD gespeicherte Vorschaubild erzeugt hat.</v>
      </c>
      <c r="N452" s="6" t="str">
        <f>IF(AND(TRIM(I452)="",L452=""),"Suffix not translated ",
   IF(AND(TRIM(I452)&lt;&gt;"",TRIM(L452)&lt;&gt;"",TRIM(I452)&lt;&gt;TRIM(L452)),"Suffix translation &lt;&gt; lookup ", "" ))
&amp;IF(AND(TRIM(J452)="",M452=""),"Description not translated ",
   IF(AND(TRIM(J452)&lt;&gt;"",TRIM(M452)&lt;&gt;"",TRIM(J452)&lt;&gt;TRIM(M452)),"Description translation&lt;&gt; lookup ", "" ))</f>
        <v/>
      </c>
      <c r="O452" s="6" t="s">
        <v>8574</v>
      </c>
      <c r="P452" s="6" t="s">
        <v>8574</v>
      </c>
    </row>
    <row r="453" spans="1:16" ht="60" x14ac:dyDescent="0.25">
      <c r="A453" s="5" t="str">
        <f>IF(TRIM(I453)="","",E453)</f>
        <v>PreviewApplicationVersion</v>
      </c>
      <c r="B453" s="5" t="str">
        <f>IF(TRIM(J453)="","",H453)</f>
        <v>A UTF-8 encoded string containing the version number of the application that created the preview stored in the IFD.</v>
      </c>
      <c r="C453" s="5" t="str">
        <f>LEFT(F453,FIND(".",F453,6))</f>
        <v>Exif.Image.</v>
      </c>
      <c r="D453" s="5" t="str">
        <f>VLOOKUP(C453,PrefixUebersetzung,2,FALSE)</f>
        <v>Exif.Image (Bild).</v>
      </c>
      <c r="E453" s="5" t="str">
        <f>MID(F453,FIND(".",F453,6)+1,99)</f>
        <v>PreviewApplicationVersion</v>
      </c>
      <c r="F453" s="5" t="s">
        <v>343</v>
      </c>
      <c r="G453" s="5" t="s">
        <v>9670</v>
      </c>
      <c r="H453" s="6" t="s">
        <v>2443</v>
      </c>
      <c r="I453" s="7" t="s">
        <v>5061</v>
      </c>
      <c r="J453" s="14" t="s">
        <v>5448</v>
      </c>
      <c r="K453" s="26"/>
      <c r="L453" s="6" t="str">
        <f>IFERROR(VLOOKUP(E453,A:I,9, FALSE),"")</f>
        <v>Vorschau Applikation Version</v>
      </c>
      <c r="M453" s="6" t="str">
        <f>IFERROR(VLOOKUP(H453,B:J,9,FALSE),"")</f>
        <v>Eine UTF-8-codierte Zeichenfolge mit der Version der Anwendung, die das im IFD gespeicherte Vorschaubild erzeugt hat.</v>
      </c>
      <c r="N453" s="6" t="str">
        <f>IF(AND(TRIM(I453)="",L453=""),"Suffix not translated ",
   IF(AND(TRIM(I453)&lt;&gt;"",TRIM(L453)&lt;&gt;"",TRIM(I453)&lt;&gt;TRIM(L453)),"Suffix translation &lt;&gt; lookup ", "" ))
&amp;IF(AND(TRIM(J453)="",M453=""),"Description not translated ",
   IF(AND(TRIM(J453)&lt;&gt;"",TRIM(M453)&lt;&gt;"",TRIM(J453)&lt;&gt;TRIM(M453)),"Description translation&lt;&gt; lookup ", "" ))</f>
        <v/>
      </c>
      <c r="O453" s="6" t="s">
        <v>8574</v>
      </c>
      <c r="P453" s="6" t="s">
        <v>8574</v>
      </c>
    </row>
    <row r="454" spans="1:16" ht="105" x14ac:dyDescent="0.25">
      <c r="A454" s="5" t="str">
        <f>IF(TRIM(I454)="","",E454)</f>
        <v>PreviewColorSpace</v>
      </c>
      <c r="B454" s="5" t="str">
        <f>IF(TRIM(J454)="","",H454)</f>
        <v>This tag specifies the color space in which the rendered preview in this IFD is stored. The default value for this tag is sRGB for color previews and Gray Gamma 2.2 for monochrome previews.</v>
      </c>
      <c r="C454" s="5" t="str">
        <f>LEFT(F454,FIND(".",F454,6))</f>
        <v>Exif.Image.</v>
      </c>
      <c r="D454" s="5" t="str">
        <f>VLOOKUP(C454,PrefixUebersetzung,2,FALSE)</f>
        <v>Exif.Image (Bild).</v>
      </c>
      <c r="E454" s="5" t="str">
        <f>MID(F454,FIND(".",F454,6)+1,99)</f>
        <v>PreviewColorSpace</v>
      </c>
      <c r="F454" s="5" t="s">
        <v>344</v>
      </c>
      <c r="G454" s="5" t="s">
        <v>9667</v>
      </c>
      <c r="H454" s="6" t="s">
        <v>2444</v>
      </c>
      <c r="I454" s="7" t="s">
        <v>4281</v>
      </c>
      <c r="J454" s="14" t="s">
        <v>6635</v>
      </c>
      <c r="K454" s="26"/>
      <c r="L454" s="6" t="str">
        <f>IFERROR(VLOOKUP(E454,A:I,9, FALSE),"")</f>
        <v>Vorschau Farbraum</v>
      </c>
      <c r="M454" s="6" t="str">
        <f>IFERROR(VLOOKUP(H454,B:J,9,FALSE),"")</f>
        <v>Dieser Tag gibt den Farbraum an, in dem die gerenderte Vorschau in diesem IFD gespeichert ist. Der Standardwert für diese Variable ist sRGB für Farbvorschauen and Gray Gamma 2.2 für monochrome Vorschauen.</v>
      </c>
      <c r="N454" s="6" t="str">
        <f>IF(AND(TRIM(I454)="",L454=""),"Suffix not translated ",
   IF(AND(TRIM(I454)&lt;&gt;"",TRIM(L454)&lt;&gt;"",TRIM(I454)&lt;&gt;TRIM(L454)),"Suffix translation &lt;&gt; lookup ", "" ))
&amp;IF(AND(TRIM(J454)="",M454=""),"Description not translated ",
   IF(AND(TRIM(J454)&lt;&gt;"",TRIM(M454)&lt;&gt;"",TRIM(J454)&lt;&gt;TRIM(M454)),"Description translation&lt;&gt; lookup ", "" ))</f>
        <v/>
      </c>
      <c r="O454" s="6" t="s">
        <v>8574</v>
      </c>
      <c r="P454" s="6" t="s">
        <v>8574</v>
      </c>
    </row>
    <row r="455" spans="1:16" ht="75" x14ac:dyDescent="0.25">
      <c r="A455" s="5" t="str">
        <f>IF(TRIM(I455)="","",E455)</f>
        <v>PreviewDateTime</v>
      </c>
      <c r="B455" s="5" t="str">
        <f>IF(TRIM(J455)="","",H455)</f>
        <v>This tag is an ASCII string containing the name of the date/time at which the preview stored in the IFD was rendered. The date/time is encoded using ISO 8601 format.</v>
      </c>
      <c r="C455" s="5" t="str">
        <f>LEFT(F455,FIND(".",F455,6))</f>
        <v>Exif.Image.</v>
      </c>
      <c r="D455" s="5" t="str">
        <f>VLOOKUP(C455,PrefixUebersetzung,2,FALSE)</f>
        <v>Exif.Image (Bild).</v>
      </c>
      <c r="E455" s="5" t="str">
        <f>MID(F455,FIND(".",F455,6)+1,99)</f>
        <v>PreviewDateTime</v>
      </c>
      <c r="F455" s="5" t="s">
        <v>345</v>
      </c>
      <c r="G455" s="5" t="s">
        <v>9666</v>
      </c>
      <c r="H455" s="6" t="s">
        <v>2445</v>
      </c>
      <c r="I455" s="7" t="s">
        <v>4869</v>
      </c>
      <c r="J455" s="14" t="s">
        <v>6636</v>
      </c>
      <c r="K455" s="26"/>
      <c r="L455" s="6" t="str">
        <f>IFERROR(VLOOKUP(E455,A:I,9, FALSE),"")</f>
        <v>Vorschau Datum/Zeit</v>
      </c>
      <c r="M455" s="6" t="str">
        <f>IFERROR(VLOOKUP(H455,B:J,9,FALSE),"")</f>
        <v>Dieser Tag ist eine ASCII-Zeichenfolge mit Datum/Uhrzeit, an dem die in der IFD gespeicherte die Vorschau erstellt wurde. Das Datum/Uhrzeit wird mit ISO 8601 kodiert.</v>
      </c>
      <c r="N455" s="6" t="str">
        <f>IF(AND(TRIM(I455)="",L455=""),"Suffix not translated ",
   IF(AND(TRIM(I455)&lt;&gt;"",TRIM(L455)&lt;&gt;"",TRIM(I455)&lt;&gt;TRIM(L455)),"Suffix translation &lt;&gt; lookup ", "" ))
&amp;IF(AND(TRIM(J455)="",M455=""),"Description not translated ",
   IF(AND(TRIM(J455)&lt;&gt;"",TRIM(M455)&lt;&gt;"",TRIM(J455)&lt;&gt;TRIM(M455)),"Description translation&lt;&gt; lookup ", "" ))</f>
        <v/>
      </c>
      <c r="O455" s="6" t="s">
        <v>8574</v>
      </c>
      <c r="P455" s="6" t="s">
        <v>8574</v>
      </c>
    </row>
    <row r="456" spans="1:16" ht="45" x14ac:dyDescent="0.25">
      <c r="A456" s="5" t="str">
        <f>IF(TRIM(I456)="","",E456)</f>
        <v/>
      </c>
      <c r="B456" s="5" t="str">
        <f>IF(TRIM(J456)="","",H456)</f>
        <v/>
      </c>
      <c r="C456" s="5" t="str">
        <f>LEFT(F456,FIND(".",F456,6))</f>
        <v>Exif.Image.</v>
      </c>
      <c r="D456" s="5" t="str">
        <f>VLOOKUP(C456,PrefixUebersetzung,2,FALSE)</f>
        <v>Exif.Image (Bild).</v>
      </c>
      <c r="E456" s="5" t="str">
        <f>MID(F456,FIND(".",F456,6)+1,99)</f>
        <v>PreviewSettingsDigest</v>
      </c>
      <c r="F456" s="5" t="s">
        <v>346</v>
      </c>
      <c r="G456" s="5" t="s">
        <v>9670</v>
      </c>
      <c r="H456" s="6" t="s">
        <v>2446</v>
      </c>
      <c r="I456" s="7"/>
      <c r="K456" s="26"/>
      <c r="L456" s="6" t="str">
        <f>IFERROR(VLOOKUP(E456,A:I,9, FALSE),"")</f>
        <v/>
      </c>
      <c r="M456" s="6" t="str">
        <f>IFERROR(VLOOKUP(H456,B:J,9,FALSE),"")</f>
        <v/>
      </c>
      <c r="N456" s="6"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Description not translated </v>
      </c>
      <c r="O456" s="6" t="s">
        <v>8574</v>
      </c>
      <c r="P456" s="6" t="s">
        <v>8574</v>
      </c>
    </row>
    <row r="457" spans="1:16" ht="45" x14ac:dyDescent="0.25">
      <c r="A457" s="5" t="str">
        <f>IF(TRIM(I457)="","",E457)</f>
        <v/>
      </c>
      <c r="B457" s="5" t="str">
        <f>IF(TRIM(J457)="","",H457)</f>
        <v/>
      </c>
      <c r="C457" s="5" t="str">
        <f>LEFT(F457,FIND(".",F457,6))</f>
        <v>Exif.Image.</v>
      </c>
      <c r="D457" s="5" t="str">
        <f>VLOOKUP(C457,PrefixUebersetzung,2,FALSE)</f>
        <v>Exif.Image (Bild).</v>
      </c>
      <c r="E457" s="5" t="str">
        <f>MID(F457,FIND(".",F457,6)+1,99)</f>
        <v>PreviewSettingsName</v>
      </c>
      <c r="F457" s="5" t="s">
        <v>347</v>
      </c>
      <c r="G457" s="5" t="s">
        <v>9670</v>
      </c>
      <c r="H457" s="6" t="s">
        <v>2447</v>
      </c>
      <c r="I457" s="7"/>
      <c r="K457" s="26"/>
      <c r="L457" s="6" t="str">
        <f>IFERROR(VLOOKUP(E457,A:I,9, FALSE),"")</f>
        <v/>
      </c>
      <c r="M457" s="6" t="str">
        <f>IFERROR(VLOOKUP(H457,B:J,9,FALSE),"")</f>
        <v/>
      </c>
      <c r="N457" s="6"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6" t="s">
        <v>8574</v>
      </c>
      <c r="P457" s="6" t="s">
        <v>8574</v>
      </c>
    </row>
    <row r="458" spans="1:16" ht="75" x14ac:dyDescent="0.25">
      <c r="A458" s="5" t="str">
        <f>IF(TRIM(I458)="","",E458)</f>
        <v>PrimaryChromaticities</v>
      </c>
      <c r="B458" s="5" t="str">
        <f>IF(TRIM(J458)="","",H458)</f>
        <v>The chromaticity of the three primary colors of the image. Normally this tag is not necessary, since colorspace is specified in the colorspace information tag (&lt;ColorSpace&gt;).</v>
      </c>
      <c r="C458" s="5" t="str">
        <f>LEFT(F458,FIND(".",F458,6))</f>
        <v>Exif.Image.</v>
      </c>
      <c r="D458" s="5" t="str">
        <f>VLOOKUP(C458,PrefixUebersetzung,2,FALSE)</f>
        <v>Exif.Image (Bild).</v>
      </c>
      <c r="E458" s="5" t="str">
        <f>MID(F458,FIND(".",F458,6)+1,99)</f>
        <v>PrimaryChromaticities</v>
      </c>
      <c r="F458" s="5" t="s">
        <v>348</v>
      </c>
      <c r="G458" s="5" t="s">
        <v>9671</v>
      </c>
      <c r="H458" s="6" t="s">
        <v>2448</v>
      </c>
      <c r="I458" s="7" t="s">
        <v>4282</v>
      </c>
      <c r="J458" s="14" t="s">
        <v>5449</v>
      </c>
      <c r="K458" s="26"/>
      <c r="L458" s="6" t="str">
        <f>IFERROR(VLOOKUP(E458,A:I,9, FALSE),"")</f>
        <v>Primäre Farbigkeit</v>
      </c>
      <c r="M458" s="6" t="str">
        <f>IFERROR(VLOOKUP(H458,B:J,9,FALSE),"")</f>
        <v>Die Chromatizität der drei primären Farben des Bildes. Normalerweise ist dieses Tag nicht notwendig, da der Farbraum im Farbraum-Informations-Tag (&lt;ColorSpace&gt;) angegeben wird.</v>
      </c>
      <c r="N458" s="6" t="str">
        <f>IF(AND(TRIM(I458)="",L458=""),"Suffix not translated ",
   IF(AND(TRIM(I458)&lt;&gt;"",TRIM(L458)&lt;&gt;"",TRIM(I458)&lt;&gt;TRIM(L458)),"Suffix translation &lt;&gt; lookup ", "" ))
&amp;IF(AND(TRIM(J458)="",M458=""),"Description not translated ",
   IF(AND(TRIM(J458)&lt;&gt;"",TRIM(M458)&lt;&gt;"",TRIM(J458)&lt;&gt;TRIM(M458)),"Description translation&lt;&gt; lookup ", "" ))</f>
        <v/>
      </c>
      <c r="O458" s="6" t="s">
        <v>8574</v>
      </c>
      <c r="P458" s="6" t="s">
        <v>8574</v>
      </c>
    </row>
    <row r="459" spans="1:16" x14ac:dyDescent="0.25">
      <c r="A459" s="5" t="str">
        <f>IF(TRIM(I459)="","",E459)</f>
        <v/>
      </c>
      <c r="B459" s="5" t="str">
        <f>IF(TRIM(J459)="","",H459)</f>
        <v/>
      </c>
      <c r="C459" s="5" t="str">
        <f>LEFT(F459,FIND(".",F459,6))</f>
        <v>Exif.Image.</v>
      </c>
      <c r="D459" s="5" t="str">
        <f>VLOOKUP(C459,PrefixUebersetzung,2,FALSE)</f>
        <v>Exif.Image (Bild).</v>
      </c>
      <c r="E459" s="5" t="str">
        <f>MID(F459,FIND(".",F459,6)+1,99)</f>
        <v>PrintImageMatching</v>
      </c>
      <c r="F459" s="5" t="s">
        <v>349</v>
      </c>
      <c r="G459" s="5" t="s">
        <v>9669</v>
      </c>
      <c r="H459" s="6" t="s">
        <v>2449</v>
      </c>
      <c r="I459" s="7"/>
      <c r="J459" s="30"/>
      <c r="K459" s="26"/>
      <c r="L459" s="6" t="str">
        <f>IFERROR(VLOOKUP(E459,A:I,9, FALSE),"")</f>
        <v/>
      </c>
      <c r="M459" s="6" t="str">
        <f>IFERROR(VLOOKUP(H459,B:J,9,FALSE),"")</f>
        <v/>
      </c>
      <c r="N459" s="6" t="str">
        <f>IF(AND(TRIM(I459)="",L459=""),"Suffix not translated ",
   IF(AND(TRIM(I459)&lt;&gt;"",TRIM(L459)&lt;&gt;"",TRIM(I459)&lt;&gt;TRIM(L459)),"Suffix translation &lt;&gt; lookup ", "" ))
&amp;IF(AND(TRIM(J459)="",M459=""),"Description not translated ",
   IF(AND(TRIM(J459)&lt;&gt;"",TRIM(M459)&lt;&gt;"",TRIM(J459)&lt;&gt;TRIM(M459)),"Description translation&lt;&gt; lookup ", "" ))</f>
        <v xml:space="preserve">Suffix not translated Description not translated </v>
      </c>
      <c r="O459" s="6" t="s">
        <v>8574</v>
      </c>
      <c r="P459" s="6" t="s">
        <v>8574</v>
      </c>
    </row>
    <row r="460" spans="1:16" ht="45" x14ac:dyDescent="0.25">
      <c r="A460" s="5" t="str">
        <f>IF(TRIM(I460)="","",E460)</f>
        <v>ProcessingSoftware</v>
      </c>
      <c r="B460" s="5" t="str">
        <f>IF(TRIM(J460)="","",H460)</f>
        <v>The name and version of the software used to post-process the picture.</v>
      </c>
      <c r="C460" s="5" t="str">
        <f>LEFT(F460,FIND(".",F460,6))</f>
        <v>Exif.Image.</v>
      </c>
      <c r="D460" s="5" t="str">
        <f>VLOOKUP(C460,PrefixUebersetzung,2,FALSE)</f>
        <v>Exif.Image (Bild).</v>
      </c>
      <c r="E460" s="5" t="str">
        <f>MID(F460,FIND(".",F460,6)+1,99)</f>
        <v>ProcessingSoftware</v>
      </c>
      <c r="F460" s="5" t="s">
        <v>350</v>
      </c>
      <c r="G460" s="5" t="s">
        <v>9666</v>
      </c>
      <c r="H460" s="6" t="s">
        <v>2450</v>
      </c>
      <c r="I460" s="7" t="s">
        <v>4283</v>
      </c>
      <c r="J460" s="14" t="s">
        <v>5450</v>
      </c>
      <c r="K460" s="26"/>
      <c r="L460" s="6" t="str">
        <f>IFERROR(VLOOKUP(E460,A:I,9, FALSE),"")</f>
        <v>Verarbeitungs-Software</v>
      </c>
      <c r="M460" s="6" t="str">
        <f>IFERROR(VLOOKUP(H460,B:J,9,FALSE),"")</f>
        <v>Der Name und die Version der Software, die für Nachbearbeitung des Bildes verwendet wurde.</v>
      </c>
      <c r="N460" s="6" t="str">
        <f>IF(AND(TRIM(I460)="",L460=""),"Suffix not translated ",
   IF(AND(TRIM(I460)&lt;&gt;"",TRIM(L460)&lt;&gt;"",TRIM(I460)&lt;&gt;TRIM(L460)),"Suffix translation &lt;&gt; lookup ", "" ))
&amp;IF(AND(TRIM(J460)="",M460=""),"Description not translated ",
   IF(AND(TRIM(J460)&lt;&gt;"",TRIM(M460)&lt;&gt;"",TRIM(J460)&lt;&gt;TRIM(M460)),"Description translation&lt;&gt; lookup ", "" ))</f>
        <v/>
      </c>
      <c r="O460" s="6" t="s">
        <v>8574</v>
      </c>
      <c r="P460" s="6" t="s">
        <v>8574</v>
      </c>
    </row>
    <row r="461" spans="1:16" ht="105" x14ac:dyDescent="0.25">
      <c r="A461" s="5" t="str">
        <f>IF(TRIM(I461)="","",E461)</f>
        <v/>
      </c>
      <c r="B461" s="5" t="str">
        <f>IF(TRIM(J461)="","",H461)</f>
        <v/>
      </c>
      <c r="C461" s="5" t="str">
        <f>LEFT(F461,FIND(".",F461,6))</f>
        <v>Exif.Image.</v>
      </c>
      <c r="D461" s="5" t="str">
        <f>VLOOKUP(C461,PrefixUebersetzung,2,FALSE)</f>
        <v>Exif.Image (Bild).</v>
      </c>
      <c r="E461" s="5" t="str">
        <f>MID(F461,FIND(".",F461,6)+1,99)</f>
        <v>ProfileCalibrationSignature</v>
      </c>
      <c r="F461" s="5" t="s">
        <v>351</v>
      </c>
      <c r="G461" s="5" t="s">
        <v>9670</v>
      </c>
      <c r="H461" s="6" t="s">
        <v>2451</v>
      </c>
      <c r="I461" s="7"/>
      <c r="K461" s="26"/>
      <c r="L461" s="6" t="str">
        <f>IFERROR(VLOOKUP(E461,A:I,9, FALSE),"")</f>
        <v/>
      </c>
      <c r="M461" s="6" t="str">
        <f>IFERROR(INDEX(J:J,MATCH(TRUE,INDEX(B:B=H461,0),0)),"")</f>
        <v/>
      </c>
      <c r="N461" s="6" t="str">
        <f>IF(AND(TRIM(I461)="",L461=""),"Suffix not translated ",
   IF(AND(TRIM(I461)&lt;&gt;"",TRIM(L461)&lt;&gt;"",TRIM(I461)&lt;&gt;TRIM(L461)),"Suffix translation &lt;&gt; lookup ", "" ))
&amp;IF(AND(TRIM(J461)="",M461=""),"Description not translated ",
   IF(AND(TRIM(J461)&lt;&gt;"",TRIM(M461)&lt;&gt;"",TRIM(J461)&lt;&gt;TRIM(M461)),"Description translation&lt;&gt; lookup ", "" ))</f>
        <v xml:space="preserve">Suffix not translated Description not translated </v>
      </c>
      <c r="O461" s="6" t="s">
        <v>8574</v>
      </c>
      <c r="P461" s="6" t="s">
        <v>8574</v>
      </c>
    </row>
    <row r="462" spans="1:16" ht="90" x14ac:dyDescent="0.25">
      <c r="A462" s="5" t="str">
        <f>IF(TRIM(I462)="","",E462)</f>
        <v>ProfileCopyright</v>
      </c>
      <c r="B462" s="5" t="str">
        <f>IF(TRIM(J462)="","",H462)</f>
        <v>A UTF-8 encoded string containing the copyright information for the camera profile. This string always should be preserved along with the other camera profile tags.</v>
      </c>
      <c r="C462" s="5" t="str">
        <f>LEFT(F462,FIND(".",F462,6))</f>
        <v>Exif.Image.</v>
      </c>
      <c r="D462" s="5" t="str">
        <f>VLOOKUP(C462,PrefixUebersetzung,2,FALSE)</f>
        <v>Exif.Image (Bild).</v>
      </c>
      <c r="E462" s="5" t="str">
        <f>MID(F462,FIND(".",F462,6)+1,99)</f>
        <v>ProfileCopyright</v>
      </c>
      <c r="F462" s="5" t="s">
        <v>352</v>
      </c>
      <c r="G462" s="5" t="s">
        <v>9670</v>
      </c>
      <c r="H462" s="6" t="s">
        <v>2452</v>
      </c>
      <c r="I462" s="7" t="s">
        <v>4657</v>
      </c>
      <c r="J462" s="14" t="s">
        <v>5451</v>
      </c>
      <c r="K462" s="26"/>
      <c r="L462" s="6" t="str">
        <f>IFERROR(VLOOKUP(E462,A:I,9, FALSE),"")</f>
        <v>Profil Copyright</v>
      </c>
      <c r="M462" s="6" t="str">
        <f>IFERROR(VLOOKUP(H462,B:J,9,FALSE),"")</f>
        <v>Ein UTF-8-codierte Zeichenfolge, mit Copyright-Informationen für das Kamera Profil. Diese Zeichenfolge sollte immer zusammen mit den anderen Kamera Profil-Tags erhalten werden.</v>
      </c>
      <c r="N462" s="6" t="str">
        <f>IF(AND(TRIM(I462)="",L462=""),"Suffix not translated ",
   IF(AND(TRIM(I462)&lt;&gt;"",TRIM(L462)&lt;&gt;"",TRIM(I462)&lt;&gt;TRIM(L462)),"Suffix translation &lt;&gt; lookup ", "" ))
&amp;IF(AND(TRIM(J462)="",M462=""),"Description not translated ",
   IF(AND(TRIM(J462)&lt;&gt;"",TRIM(M462)&lt;&gt;"",TRIM(J462)&lt;&gt;TRIM(M462)),"Description translation&lt;&gt; lookup ", "" ))</f>
        <v/>
      </c>
      <c r="O462" s="6" t="s">
        <v>8574</v>
      </c>
      <c r="P462" s="6" t="s">
        <v>8574</v>
      </c>
    </row>
    <row r="463" spans="1:16" ht="45" x14ac:dyDescent="0.25">
      <c r="A463" s="5" t="str">
        <f>IF(TRIM(I463)="","",E463)</f>
        <v/>
      </c>
      <c r="B463" s="5" t="str">
        <f>IF(TRIM(J463)="","",H463)</f>
        <v>This tag contains information about the usage rules for the associated camera profile.</v>
      </c>
      <c r="C463" s="5" t="str">
        <f>LEFT(F463,FIND(".",F463,6))</f>
        <v>Exif.Image.</v>
      </c>
      <c r="D463" s="5" t="str">
        <f>VLOOKUP(C463,PrefixUebersetzung,2,FALSE)</f>
        <v>Exif.Image (Bild).</v>
      </c>
      <c r="E463" s="5" t="str">
        <f>MID(F463,FIND(".",F463,6)+1,99)</f>
        <v>ProfileEmbedPolicy</v>
      </c>
      <c r="F463" s="5" t="s">
        <v>353</v>
      </c>
      <c r="G463" s="5" t="s">
        <v>9667</v>
      </c>
      <c r="H463" s="6" t="s">
        <v>2453</v>
      </c>
      <c r="I463" s="7"/>
      <c r="J463" s="14" t="s">
        <v>6734</v>
      </c>
      <c r="K463" s="26"/>
      <c r="L463" s="6" t="str">
        <f>IFERROR(VLOOKUP(E463,A:I,9, FALSE),"")</f>
        <v/>
      </c>
      <c r="M463" s="6" t="str">
        <f>IFERROR(VLOOKUP(H463,B:J,9,FALSE),"")</f>
        <v>Dieser Tag enthält Informationen über die Nutzungsregeln für das zugeordnete Kamera-Profil.</v>
      </c>
      <c r="N463" s="6" t="str">
        <f>IF(AND(TRIM(I463)="",L463=""),"Suffix not translated ",
   IF(AND(TRIM(I463)&lt;&gt;"",TRIM(L463)&lt;&gt;"",TRIM(I463)&lt;&gt;TRIM(L463)),"Suffix translation &lt;&gt; lookup ", "" ))
&amp;IF(AND(TRIM(J463)="",M463=""),"Description not translated ",
   IF(AND(TRIM(J463)&lt;&gt;"",TRIM(M463)&lt;&gt;"",TRIM(J463)&lt;&gt;TRIM(M463)),"Description translation&lt;&gt; lookup ", "" ))</f>
        <v xml:space="preserve">Suffix not translated </v>
      </c>
      <c r="O463" s="6" t="s">
        <v>8574</v>
      </c>
      <c r="P463" s="6" t="s">
        <v>8574</v>
      </c>
    </row>
    <row r="464" spans="1:16" ht="165" x14ac:dyDescent="0.25">
      <c r="A464" s="5" t="str">
        <f>IF(TRIM(I464)="","",E464)</f>
        <v/>
      </c>
      <c r="B464" s="5" t="str">
        <f>IF(TRIM(J464)="","",H464)</f>
        <v/>
      </c>
      <c r="C464" s="5" t="str">
        <f>LEFT(F464,FIND(".",F464,6))</f>
        <v>Exif.Image.</v>
      </c>
      <c r="D464" s="5" t="str">
        <f>VLOOKUP(C464,PrefixUebersetzung,2,FALSE)</f>
        <v>Exif.Image (Bild).</v>
      </c>
      <c r="E464" s="5" t="str">
        <f>MID(F464,FIND(".",F464,6)+1,99)</f>
        <v>ProfileHueSatMapData1</v>
      </c>
      <c r="F464" s="5" t="s">
        <v>354</v>
      </c>
      <c r="G464" s="5" t="s">
        <v>9675</v>
      </c>
      <c r="H464" s="6" t="s">
        <v>2454</v>
      </c>
      <c r="I464" s="7"/>
      <c r="K464" s="26"/>
      <c r="L464" s="6" t="str">
        <f>IFERROR(VLOOKUP(E464,A:I,9, FALSE),"")</f>
        <v/>
      </c>
      <c r="M464" s="6" t="str">
        <f>IFERROR(INDEX(J:J,MATCH(TRUE,INDEX(B:B=H464,0),0)),"")</f>
        <v/>
      </c>
      <c r="N464" s="6" t="str">
        <f>IF(AND(TRIM(I464)="",L464=""),"Suffix not translated ",
   IF(AND(TRIM(I464)&lt;&gt;"",TRIM(L464)&lt;&gt;"",TRIM(I464)&lt;&gt;TRIM(L464)),"Suffix translation &lt;&gt; lookup ", "" ))
&amp;IF(AND(TRIM(J464)="",M464=""),"Description not translated ",
   IF(AND(TRIM(J464)&lt;&gt;"",TRIM(M464)&lt;&gt;"",TRIM(J464)&lt;&gt;TRIM(M464)),"Description translation&lt;&gt; lookup ", "" ))</f>
        <v xml:space="preserve">Suffix not translated Description not translated </v>
      </c>
      <c r="O464" s="6" t="s">
        <v>8574</v>
      </c>
      <c r="P464" s="6" t="s">
        <v>8574</v>
      </c>
    </row>
    <row r="465" spans="1:17" ht="165" x14ac:dyDescent="0.25">
      <c r="A465" s="5" t="str">
        <f>IF(TRIM(I465)="","",E465)</f>
        <v/>
      </c>
      <c r="B465" s="5" t="str">
        <f>IF(TRIM(J465)="","",H465)</f>
        <v/>
      </c>
      <c r="C465" s="5" t="str">
        <f>LEFT(F465,FIND(".",F465,6))</f>
        <v>Exif.Image.</v>
      </c>
      <c r="D465" s="5" t="str">
        <f>VLOOKUP(C465,PrefixUebersetzung,2,FALSE)</f>
        <v>Exif.Image (Bild).</v>
      </c>
      <c r="E465" s="5" t="str">
        <f>MID(F465,FIND(".",F465,6)+1,99)</f>
        <v>ProfileHueSatMapData2</v>
      </c>
      <c r="F465" s="5" t="s">
        <v>355</v>
      </c>
      <c r="G465" s="5" t="s">
        <v>9675</v>
      </c>
      <c r="H465" s="6" t="s">
        <v>2455</v>
      </c>
      <c r="I465" s="7"/>
      <c r="K465" s="26"/>
      <c r="L465" s="6" t="str">
        <f>IFERROR(VLOOKUP(E465,A:I,9, FALSE),"")</f>
        <v/>
      </c>
      <c r="M465" s="6" t="str">
        <f>IFERROR(INDEX(J:J,MATCH(TRUE,INDEX(B:B=H465,0),0)),"")</f>
        <v/>
      </c>
      <c r="N465" s="6" t="str">
        <f>IF(AND(TRIM(I465)="",L465=""),"Suffix not translated ",
   IF(AND(TRIM(I465)&lt;&gt;"",TRIM(L465)&lt;&gt;"",TRIM(I465)&lt;&gt;TRIM(L465)),"Suffix translation &lt;&gt; lookup ", "" ))
&amp;IF(AND(TRIM(J465)="",M465=""),"Description not translated ",
   IF(AND(TRIM(J465)&lt;&gt;"",TRIM(M465)&lt;&gt;"",TRIM(J465)&lt;&gt;TRIM(M465)),"Description translation&lt;&gt; lookup ", "" ))</f>
        <v xml:space="preserve">Suffix not translated Description not translated </v>
      </c>
      <c r="O465" s="6" t="s">
        <v>8574</v>
      </c>
      <c r="P465" s="6" t="s">
        <v>8574</v>
      </c>
    </row>
    <row r="466" spans="1:17" ht="105" x14ac:dyDescent="0.25">
      <c r="A466" s="5" t="str">
        <f>IF(TRIM(I466)="","",E466)</f>
        <v/>
      </c>
      <c r="B466" s="5" t="str">
        <f>IF(TRIM(J466)="","",H466)</f>
        <v/>
      </c>
      <c r="C466" s="5" t="str">
        <f>LEFT(F466,FIND(".",F466,6))</f>
        <v>Exif.Image.</v>
      </c>
      <c r="D466" s="5" t="str">
        <f>VLOOKUP(C466,PrefixUebersetzung,2,FALSE)</f>
        <v>Exif.Image (Bild).</v>
      </c>
      <c r="E466" s="5" t="str">
        <f>MID(F466,FIND(".",F466,6)+1,99)</f>
        <v>ProfileHueSatMapDims</v>
      </c>
      <c r="F466" s="5" t="s">
        <v>356</v>
      </c>
      <c r="G466" s="5" t="s">
        <v>9667</v>
      </c>
      <c r="H466" s="6" t="s">
        <v>2456</v>
      </c>
      <c r="I466" s="7"/>
      <c r="K466" s="26"/>
      <c r="L466" s="6" t="str">
        <f>IFERROR(VLOOKUP(E466,A:I,9, FALSE),"")</f>
        <v/>
      </c>
      <c r="M466" s="6" t="str">
        <f>IFERROR(INDEX(J:J,MATCH(TRUE,INDEX(B:B=H466,0),0)),"")</f>
        <v/>
      </c>
      <c r="N466" s="6"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Description not translated </v>
      </c>
      <c r="O466" s="6" t="s">
        <v>8574</v>
      </c>
      <c r="P466" s="6" t="s">
        <v>8574</v>
      </c>
    </row>
    <row r="467" spans="1:17" ht="255" x14ac:dyDescent="0.25">
      <c r="A467" s="5" t="str">
        <f>IF(TRIM(I467)="","",E467)</f>
        <v/>
      </c>
      <c r="B467" s="5" t="str">
        <f>IF(TRIM(J467)="","",H467)</f>
        <v/>
      </c>
      <c r="C467" s="5" t="str">
        <f>LEFT(F467,FIND(".",F467,6))</f>
        <v>Exif.Image.</v>
      </c>
      <c r="D467" s="5" t="str">
        <f>VLOOKUP(C467,PrefixUebersetzung,2,FALSE)</f>
        <v>Exif.Image (Bild).</v>
      </c>
      <c r="E467" s="5" t="str">
        <f>MID(F467,FIND(".",F467,6)+1,99)</f>
        <v>ProfileLookTableData</v>
      </c>
      <c r="F467" s="5" t="s">
        <v>357</v>
      </c>
      <c r="G467" s="5" t="s">
        <v>9675</v>
      </c>
      <c r="H467" s="6" t="s">
        <v>2457</v>
      </c>
      <c r="I467" s="7"/>
      <c r="K467" s="26"/>
      <c r="L467" s="6" t="str">
        <f>IFERROR(VLOOKUP(E467,A:I,9, FALSE),"")</f>
        <v/>
      </c>
      <c r="M467" s="6" t="str">
        <f>IFERROR(INDEX(J:J,MATCH(TRUE,INDEX(B:B=H467,0),0)),"")</f>
        <v/>
      </c>
      <c r="N467" s="6"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Description not translated </v>
      </c>
      <c r="O467" s="6" t="s">
        <v>8574</v>
      </c>
      <c r="P467" s="6" t="s">
        <v>8574</v>
      </c>
    </row>
    <row r="468" spans="1:17" ht="45" x14ac:dyDescent="0.25">
      <c r="A468" s="5" t="str">
        <f>IF(TRIM(I468)="","",E468)</f>
        <v/>
      </c>
      <c r="B468" s="5" t="str">
        <f>IF(TRIM(J468)="","",H468)</f>
        <v/>
      </c>
      <c r="C468" s="5" t="str">
        <f>LEFT(F468,FIND(".",F468,6))</f>
        <v>Exif.Image.</v>
      </c>
      <c r="D468" s="5" t="str">
        <f>VLOOKUP(C468,PrefixUebersetzung,2,FALSE)</f>
        <v>Exif.Image (Bild).</v>
      </c>
      <c r="E468" s="5" t="str">
        <f>MID(F468,FIND(".",F468,6)+1,99)</f>
        <v>ProfileLookTableDims</v>
      </c>
      <c r="F468" s="5" t="s">
        <v>358</v>
      </c>
      <c r="G468" s="5" t="s">
        <v>9667</v>
      </c>
      <c r="H468" s="6" t="s">
        <v>2458</v>
      </c>
      <c r="I468" s="7"/>
      <c r="K468" s="26"/>
      <c r="L468" s="6" t="str">
        <f>IFERROR(VLOOKUP(E468,A:I,9, FALSE),"")</f>
        <v/>
      </c>
      <c r="M468" s="6" t="str">
        <f>IFERROR(VLOOKUP(H468,B:J,9,FALSE),"")</f>
        <v/>
      </c>
      <c r="N468" s="6"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Description not translated </v>
      </c>
      <c r="O468" s="6" t="s">
        <v>8574</v>
      </c>
      <c r="P468" s="6" t="s">
        <v>8574</v>
      </c>
    </row>
    <row r="469" spans="1:17" ht="120" x14ac:dyDescent="0.25">
      <c r="A469" s="5" t="str">
        <f>IF(TRIM(I469)="","",E469)</f>
        <v>ProfileName</v>
      </c>
      <c r="B469" s="5" t="str">
        <f>IF(TRIM(J469)="","",H469)</f>
        <v>A UTF-8 encoded string containing the name of the camera profile. This tag is optional if there is only a single camera profile stored in the file but is required for all camera profiles if there is more than one camera profile stored in the file.</v>
      </c>
      <c r="C469" s="5" t="str">
        <f>LEFT(F469,FIND(".",F469,6))</f>
        <v>Exif.Image.</v>
      </c>
      <c r="D469" s="5" t="str">
        <f>VLOOKUP(C469,PrefixUebersetzung,2,FALSE)</f>
        <v>Exif.Image (Bild).</v>
      </c>
      <c r="E469" s="5" t="str">
        <f>MID(F469,FIND(".",F469,6)+1,99)</f>
        <v>ProfileName</v>
      </c>
      <c r="F469" s="5" t="s">
        <v>359</v>
      </c>
      <c r="G469" s="5" t="s">
        <v>9670</v>
      </c>
      <c r="H469" s="6" t="s">
        <v>2459</v>
      </c>
      <c r="I469" s="7" t="s">
        <v>4284</v>
      </c>
      <c r="J469" s="14" t="s">
        <v>5452</v>
      </c>
      <c r="K469" s="26"/>
      <c r="L469" s="6" t="str">
        <f>IFERROR(VLOOKUP(E469,A:I,9, FALSE),"")</f>
        <v>Profil Name</v>
      </c>
      <c r="M469" s="6" t="str">
        <f>IFERROR(VLOOKUP(H469,B:J,9,FALSE),"")</f>
        <v>Ein UTF-8-codierte Zeichenfolge mit dem Namen des Kamera-Profils. Dieses Tag ist optional, wenn nur ein einziges Kamera Profil in der Datei gespeichert ist. Es ist erforderlich für alle Kamera-Profile, wenn mehr als ein Kamera-Profil in der Datei gespeichert ist.</v>
      </c>
      <c r="N469" s="6" t="str">
        <f>IF(AND(TRIM(I469)="",L469=""),"Suffix not translated ",
   IF(AND(TRIM(I469)&lt;&gt;"",TRIM(L469)&lt;&gt;"",TRIM(I469)&lt;&gt;TRIM(L469)),"Suffix translation &lt;&gt; lookup ", "" ))
&amp;IF(AND(TRIM(J469)="",M469=""),"Description not translated ",
   IF(AND(TRIM(J469)&lt;&gt;"",TRIM(M469)&lt;&gt;"",TRIM(J469)&lt;&gt;TRIM(M469)),"Description translation&lt;&gt; lookup ", "" ))</f>
        <v/>
      </c>
      <c r="O469" s="6" t="s">
        <v>8574</v>
      </c>
      <c r="P469" s="6" t="s">
        <v>8574</v>
      </c>
    </row>
    <row r="470" spans="1:17" ht="225" x14ac:dyDescent="0.25">
      <c r="A470" s="5" t="str">
        <f>IF(TRIM(I470)="","",E470)</f>
        <v>ProfileToneCurve</v>
      </c>
      <c r="B470" s="5" t="str">
        <f>IF(TRIM(J470)="","",H470)</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470" s="5" t="str">
        <f>LEFT(F470,FIND(".",F470,6))</f>
        <v>Exif.Image.</v>
      </c>
      <c r="D470" s="5" t="str">
        <f>VLOOKUP(C470,PrefixUebersetzung,2,FALSE)</f>
        <v>Exif.Image (Bild).</v>
      </c>
      <c r="E470" s="5" t="str">
        <f>MID(F470,FIND(".",F470,6)+1,99)</f>
        <v>ProfileToneCurve</v>
      </c>
      <c r="F470" s="5" t="s">
        <v>360</v>
      </c>
      <c r="G470" s="5" t="s">
        <v>9675</v>
      </c>
      <c r="H470" s="6" t="s">
        <v>2460</v>
      </c>
      <c r="I470" s="7" t="s">
        <v>4285</v>
      </c>
      <c r="J470" s="14" t="s">
        <v>5453</v>
      </c>
      <c r="K470" s="26"/>
      <c r="L470" s="6" t="str">
        <f>IFERROR(VLOOKUP(E470,A:I,9, FALSE),"")</f>
        <v>Profil Tonkurve</v>
      </c>
      <c r="M470" s="6" t="str">
        <f>IFERROR(INDEX(J:J,MATCH(TRUE,INDEX(B:B=H470,0),0)),"")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470" s="6" t="str">
        <f>IF(AND(TRIM(I470)="",L470=""),"Suffix not translated ",
   IF(AND(TRIM(I470)&lt;&gt;"",TRIM(L470)&lt;&gt;"",TRIM(I470)&lt;&gt;TRIM(L470)),"Suffix translation &lt;&gt; lookup ", "" ))
&amp;IF(AND(TRIM(J470)="",M470=""),"Description not translated ",
   IF(AND(TRIM(J470)&lt;&gt;"",TRIM(M470)&lt;&gt;"",TRIM(J470)&lt;&gt;TRIM(M470)),"Description translation&lt;&gt; lookup ", "" ))</f>
        <v/>
      </c>
      <c r="O470" s="6" t="s">
        <v>8574</v>
      </c>
      <c r="P470" s="6" t="s">
        <v>8574</v>
      </c>
    </row>
    <row r="471" spans="1:17" ht="30" x14ac:dyDescent="0.25">
      <c r="A471" s="5" t="str">
        <f>IF(TRIM(I471)="","",E471)</f>
        <v/>
      </c>
      <c r="B471" s="5" t="str">
        <f>IF(TRIM(J471)="","",H471)</f>
        <v>Rating tag used by Windows</v>
      </c>
      <c r="C471" s="5" t="str">
        <f>LEFT(F471,FIND(".",F471,6))</f>
        <v>Exif.Image.</v>
      </c>
      <c r="D471" s="5" t="str">
        <f>VLOOKUP(C471,PrefixUebersetzung,2,FALSE)</f>
        <v>Exif.Image (Bild).</v>
      </c>
      <c r="E471" s="5" t="str">
        <f>MID(F471,FIND(".",F471,6)+1,99)</f>
        <v>Rating</v>
      </c>
      <c r="F471" s="5" t="s">
        <v>361</v>
      </c>
      <c r="G471" s="5" t="s">
        <v>9664</v>
      </c>
      <c r="H471" s="6" t="s">
        <v>2461</v>
      </c>
      <c r="I471" s="7"/>
      <c r="J471" s="14" t="s">
        <v>5454</v>
      </c>
      <c r="K471" s="26"/>
      <c r="L471" s="6" t="str">
        <f>IFERROR(VLOOKUP(E471,A:I,9, FALSE),"")</f>
        <v>Bewertung</v>
      </c>
      <c r="M471" s="6" t="str">
        <f>IFERROR(VLOOKUP(H471,B:J,9,FALSE),"")</f>
        <v>Bewertungs-Tag, verwendet von Windows</v>
      </c>
      <c r="N471" s="6" t="str">
        <f>IF(AND(TRIM(I471)="",L471=""),"Suffix not translated ",
   IF(AND(TRIM(I471)&lt;&gt;"",TRIM(L471)&lt;&gt;"",TRIM(I471)&lt;&gt;TRIM(L471)),"Suffix translation &lt;&gt; lookup ", "" ))
&amp;IF(AND(TRIM(J471)="",M471=""),"Description not translated ",
   IF(AND(TRIM(J471)&lt;&gt;"",TRIM(M471)&lt;&gt;"",TRIM(J471)&lt;&gt;TRIM(M471)),"Description translation&lt;&gt; lookup ", "" ))</f>
        <v/>
      </c>
      <c r="P471" s="6" t="s">
        <v>8574</v>
      </c>
      <c r="Q471" s="6" t="s">
        <v>9463</v>
      </c>
    </row>
    <row r="472" spans="1:17" ht="45" x14ac:dyDescent="0.25">
      <c r="A472" s="5" t="str">
        <f>IF(TRIM(I472)="","",E472)</f>
        <v>RatingPercent</v>
      </c>
      <c r="B472" s="5" t="str">
        <f>IF(TRIM(J472)="","",H472)</f>
        <v>Rating tag used by Windows, value in percent</v>
      </c>
      <c r="C472" s="5" t="str">
        <f>LEFT(F472,FIND(".",F472,6))</f>
        <v>Exif.Image.</v>
      </c>
      <c r="D472" s="5" t="str">
        <f>VLOOKUP(C472,PrefixUebersetzung,2,FALSE)</f>
        <v>Exif.Image (Bild).</v>
      </c>
      <c r="E472" s="5" t="str">
        <f>MID(F472,FIND(".",F472,6)+1,99)</f>
        <v>RatingPercent</v>
      </c>
      <c r="F472" s="5" t="s">
        <v>362</v>
      </c>
      <c r="G472" s="5" t="s">
        <v>9664</v>
      </c>
      <c r="H472" s="6" t="s">
        <v>2462</v>
      </c>
      <c r="I472" s="7" t="s">
        <v>4287</v>
      </c>
      <c r="J472" s="14" t="s">
        <v>5455</v>
      </c>
      <c r="K472" s="26"/>
      <c r="L472" s="6" t="str">
        <f>IFERROR(VLOOKUP(E472,A:I,9, FALSE),"")</f>
        <v>Bewertung Prozent</v>
      </c>
      <c r="M472" s="6" t="str">
        <f>IFERROR(VLOOKUP(H472,B:J,9,FALSE),"")</f>
        <v>Bewertungs-Tag, verwendet von Windows, Wert in Prozent</v>
      </c>
      <c r="N472" s="6" t="str">
        <f>IF(AND(TRIM(I472)="",L472=""),"Suffix not translated ",
   IF(AND(TRIM(I472)&lt;&gt;"",TRIM(L472)&lt;&gt;"",TRIM(I472)&lt;&gt;TRIM(L472)),"Suffix translation &lt;&gt; lookup ", "" ))
&amp;IF(AND(TRIM(J472)="",M472=""),"Description not translated ",
   IF(AND(TRIM(J472)&lt;&gt;"",TRIM(M472)&lt;&gt;"",TRIM(J472)&lt;&gt;TRIM(M472)),"Description translation&lt;&gt; lookup ", "" ))</f>
        <v/>
      </c>
      <c r="O472" s="6" t="s">
        <v>8574</v>
      </c>
      <c r="P472" s="6" t="s">
        <v>8574</v>
      </c>
      <c r="Q472" s="6" t="s">
        <v>9464</v>
      </c>
    </row>
    <row r="473" spans="1:17" ht="120" x14ac:dyDescent="0.25">
      <c r="A473" s="5" t="str">
        <f>IF(TRIM(I473)="","",E473)</f>
        <v/>
      </c>
      <c r="B473" s="5" t="str">
        <f>IF(TRIM(J473)="","",H473)</f>
        <v/>
      </c>
      <c r="C473" s="5" t="str">
        <f>LEFT(F473,FIND(".",F473,6))</f>
        <v>Exif.Image.</v>
      </c>
      <c r="D473" s="5" t="str">
        <f>VLOOKUP(C473,PrefixUebersetzung,2,FALSE)</f>
        <v>Exif.Image (Bild).</v>
      </c>
      <c r="E473" s="5" t="str">
        <f>MID(F473,FIND(".",F473,6)+1,99)</f>
        <v>RawDataUniqueID</v>
      </c>
      <c r="F473" s="5" t="s">
        <v>363</v>
      </c>
      <c r="G473" s="5" t="s">
        <v>9670</v>
      </c>
      <c r="H473" s="6" t="s">
        <v>2463</v>
      </c>
      <c r="I473" s="7"/>
      <c r="K473" s="26"/>
      <c r="L473" s="6" t="str">
        <f>IFERROR(VLOOKUP(E473,A:I,9, FALSE),"")</f>
        <v/>
      </c>
      <c r="M473" s="6" t="str">
        <f>IFERROR(INDEX(J:J,MATCH(TRUE,INDEX(B:B=H473,0),0)),"")</f>
        <v/>
      </c>
      <c r="N473" s="6"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Suffix not translated Description not translated </v>
      </c>
      <c r="O473" s="6" t="s">
        <v>8574</v>
      </c>
      <c r="P473" s="6" t="s">
        <v>8574</v>
      </c>
    </row>
    <row r="474" spans="1:17" ht="90" x14ac:dyDescent="0.25">
      <c r="A474" s="5" t="str">
        <f>IF(TRIM(I474)="","",E474)</f>
        <v/>
      </c>
      <c r="B474" s="5" t="str">
        <f>IF(TRIM(J474)="","",H474)</f>
        <v/>
      </c>
      <c r="C474" s="5" t="str">
        <f>LEFT(F474,FIND(".",F474,6))</f>
        <v>Exif.Image.</v>
      </c>
      <c r="D474" s="5" t="str">
        <f>VLOOKUP(C474,PrefixUebersetzung,2,FALSE)</f>
        <v>Exif.Image (Bild).</v>
      </c>
      <c r="E474" s="5" t="str">
        <f>MID(F474,FIND(".",F474,6)+1,99)</f>
        <v>RawImageDigest</v>
      </c>
      <c r="F474" s="5" t="s">
        <v>364</v>
      </c>
      <c r="G474" s="5" t="s">
        <v>9669</v>
      </c>
      <c r="H474" s="6" t="s">
        <v>2464</v>
      </c>
      <c r="I474" s="7"/>
      <c r="K474" s="26"/>
      <c r="L474" s="6" t="str">
        <f>IFERROR(VLOOKUP(E474,A:I,9, FALSE),"")</f>
        <v/>
      </c>
      <c r="M474" s="6" t="str">
        <f>IFERROR(INDEX(J:J,MATCH(TRUE,INDEX(B:B=H474,0),0)),"")</f>
        <v/>
      </c>
      <c r="N474" s="6" t="str">
        <f>IF(AND(TRIM(I474)="",L474=""),"Suffix not translated ",
   IF(AND(TRIM(I474)&lt;&gt;"",TRIM(L474)&lt;&gt;"",TRIM(I474)&lt;&gt;TRIM(L474)),"Suffix translation &lt;&gt; lookup ", "" ))
&amp;IF(AND(TRIM(J474)="",M474=""),"Description not translated ",
   IF(AND(TRIM(J474)&lt;&gt;"",TRIM(M474)&lt;&gt;"",TRIM(J474)&lt;&gt;TRIM(M474)),"Description translation&lt;&gt; lookup ", "" ))</f>
        <v xml:space="preserve">Suffix not translated Description not translated </v>
      </c>
      <c r="O474" s="6" t="s">
        <v>8574</v>
      </c>
      <c r="P474" s="6" t="s">
        <v>8574</v>
      </c>
    </row>
    <row r="475" spans="1:17" ht="90" x14ac:dyDescent="0.25">
      <c r="A475" s="5" t="str">
        <f>IF(TRIM(I475)="","",E475)</f>
        <v>ReductionMatrix1</v>
      </c>
      <c r="B475" s="5" t="str">
        <f>IF(TRIM(J475)="","",H475)</f>
        <v/>
      </c>
      <c r="C475" s="5" t="str">
        <f>LEFT(F475,FIND(".",F475,6))</f>
        <v>Exif.Image.</v>
      </c>
      <c r="D475" s="5" t="str">
        <f>VLOOKUP(C475,PrefixUebersetzung,2,FALSE)</f>
        <v>Exif.Image (Bild).</v>
      </c>
      <c r="E475" s="5" t="str">
        <f>MID(F475,FIND(".",F475,6)+1,99)</f>
        <v>ReductionMatrix1</v>
      </c>
      <c r="F475" s="5" t="s">
        <v>365</v>
      </c>
      <c r="G475" s="5" t="s">
        <v>9672</v>
      </c>
      <c r="H475" s="6" t="s">
        <v>2465</v>
      </c>
      <c r="I475" s="7" t="s">
        <v>5158</v>
      </c>
      <c r="K475" s="26"/>
      <c r="L475" s="6" t="str">
        <f>IFERROR(VLOOKUP(E475,A:I,9, FALSE),"")</f>
        <v>Reduktionsmatrix 1</v>
      </c>
      <c r="M475" s="6" t="str">
        <f>IFERROR(INDEX(J:J,MATCH(TRUE,INDEX(B:B=H475,0),0)),"")</f>
        <v/>
      </c>
      <c r="N475" s="6"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Description not translated </v>
      </c>
      <c r="O475" s="6" t="s">
        <v>8574</v>
      </c>
      <c r="P475" s="6" t="s">
        <v>8574</v>
      </c>
    </row>
    <row r="476" spans="1:17" ht="90" x14ac:dyDescent="0.25">
      <c r="A476" s="5" t="str">
        <f>IF(TRIM(I476)="","",E476)</f>
        <v>ReductionMatrix2</v>
      </c>
      <c r="B476" s="5" t="str">
        <f>IF(TRIM(J476)="","",H476)</f>
        <v/>
      </c>
      <c r="C476" s="5" t="str">
        <f>LEFT(F476,FIND(".",F476,6))</f>
        <v>Exif.Image.</v>
      </c>
      <c r="D476" s="5" t="str">
        <f>VLOOKUP(C476,PrefixUebersetzung,2,FALSE)</f>
        <v>Exif.Image (Bild).</v>
      </c>
      <c r="E476" s="5" t="str">
        <f>MID(F476,FIND(".",F476,6)+1,99)</f>
        <v>ReductionMatrix2</v>
      </c>
      <c r="F476" s="5" t="s">
        <v>366</v>
      </c>
      <c r="G476" s="5" t="s">
        <v>9672</v>
      </c>
      <c r="H476" s="6" t="s">
        <v>2466</v>
      </c>
      <c r="I476" s="7" t="s">
        <v>5159</v>
      </c>
      <c r="K476" s="26"/>
      <c r="L476" s="6" t="str">
        <f>IFERROR(VLOOKUP(E476,A:I,9, FALSE),"")</f>
        <v>Reduktionsmatrix 2</v>
      </c>
      <c r="M476" s="6" t="str">
        <f>IFERROR(INDEX(J:J,MATCH(TRUE,INDEX(B:B=H476,0),0)),"")</f>
        <v/>
      </c>
      <c r="N476" s="6"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Description not translated </v>
      </c>
      <c r="O476" s="6" t="s">
        <v>8574</v>
      </c>
      <c r="P476" s="6" t="s">
        <v>8574</v>
      </c>
    </row>
    <row r="477" spans="1:17" ht="120" x14ac:dyDescent="0.25">
      <c r="A477" s="5" t="str">
        <f>IF(TRIM(I477)="","",E477)</f>
        <v>ReelName</v>
      </c>
      <c r="B477" s="5" t="str">
        <f>IF(TRIM(J477)="","",H477)</f>
        <v>The optional ReelName tag shall specify a name for a sequence of images, where each image in the sequence has a unique image identifier (including but not limited to file name, frame number, date time, time code).</v>
      </c>
      <c r="C477" s="5" t="str">
        <f>LEFT(F477,FIND(".",F477,6))</f>
        <v>Exif.Image.</v>
      </c>
      <c r="D477" s="5" t="str">
        <f>VLOOKUP(C477,PrefixUebersetzung,2,FALSE)</f>
        <v>Exif.Image (Bild).</v>
      </c>
      <c r="E477" s="5" t="str">
        <f>MID(F477,FIND(".",F477,6)+1,99)</f>
        <v>ReelName</v>
      </c>
      <c r="F477" s="2" t="s">
        <v>8005</v>
      </c>
      <c r="G477" s="5" t="s">
        <v>9666</v>
      </c>
      <c r="H477" s="3" t="s">
        <v>8006</v>
      </c>
      <c r="I477" s="7" t="s">
        <v>8568</v>
      </c>
      <c r="J477" s="8" t="s">
        <v>8846</v>
      </c>
      <c r="K477" s="26"/>
      <c r="L477" s="6" t="str">
        <f>IFERROR(VLOOKUP(E477,A:I,9, FALSE),"")</f>
        <v>ReelName</v>
      </c>
      <c r="M477" s="6" t="str">
        <f>IFERROR(VLOOKUP(H477,B:J,9,FALSE),"")</f>
        <v>Das optionale ReelName-Tag muss einen Namen für eine Bildsequenz angeben, wobei jedes Bild in der Sequenz eine eindeutige Bildkennung aufweist (einschließlich, aber nicht beschränkt auf Dateiname, Bildnummer, Datum, Uhrzeit, Zeitcode).</v>
      </c>
      <c r="N477" s="6" t="str">
        <f>IF(AND(TRIM(I477)="",L477=""),"Suffix not translated ",
   IF(AND(TRIM(I477)&lt;&gt;"",TRIM(L477)&lt;&gt;"",TRIM(I477)&lt;&gt;TRIM(L477)),"Suffix translation &lt;&gt; lookup ", "" ))
&amp;IF(AND(TRIM(J477)="",M477=""),"Description not translated ",
   IF(AND(TRIM(J477)&lt;&gt;"",TRIM(M477)&lt;&gt;"",TRIM(J477)&lt;&gt;TRIM(M477)),"Description translation&lt;&gt; lookup ", "" ))</f>
        <v/>
      </c>
      <c r="O477" s="6" t="s">
        <v>8574</v>
      </c>
      <c r="P477" s="6" t="s">
        <v>8574</v>
      </c>
    </row>
    <row r="478" spans="1:17" ht="105" x14ac:dyDescent="0.25">
      <c r="A478" s="5" t="str">
        <f>IF(TRIM(I478)="","",E478)</f>
        <v>ReferenceBlackWhite</v>
      </c>
      <c r="B478" s="5" t="str">
        <f>IF(TRIM(J478)="","",H478)</f>
        <v/>
      </c>
      <c r="C478" s="5" t="str">
        <f>LEFT(F478,FIND(".",F478,6))</f>
        <v>Exif.Image.</v>
      </c>
      <c r="D478" s="5" t="str">
        <f>VLOOKUP(C478,PrefixUebersetzung,2,FALSE)</f>
        <v>Exif.Image (Bild).</v>
      </c>
      <c r="E478" s="5" t="str">
        <f>MID(F478,FIND(".",F478,6)+1,99)</f>
        <v>ReferenceBlackWhite</v>
      </c>
      <c r="F478" s="5" t="s">
        <v>367</v>
      </c>
      <c r="G478" s="5" t="s">
        <v>9671</v>
      </c>
      <c r="H478" s="6" t="s">
        <v>2467</v>
      </c>
      <c r="I478" s="7" t="s">
        <v>4288</v>
      </c>
      <c r="K478" s="26"/>
      <c r="L478" s="6" t="str">
        <f>IFERROR(VLOOKUP(E478,A:I,9, FALSE),"")</f>
        <v>Referenz Schwarz/Weiß</v>
      </c>
      <c r="M478" s="6" t="str">
        <f>IFERROR(INDEX(J:J,MATCH(TRUE,INDEX(B:B=H478,0),0)),"")</f>
        <v/>
      </c>
      <c r="N478" s="6" t="str">
        <f>IF(AND(TRIM(I478)="",L478=""),"Suffix not translated ",
   IF(AND(TRIM(I478)&lt;&gt;"",TRIM(L478)&lt;&gt;"",TRIM(I478)&lt;&gt;TRIM(L478)),"Suffix translation &lt;&gt; lookup ", "" ))
&amp;IF(AND(TRIM(J478)="",M478=""),"Description not translated ",
   IF(AND(TRIM(J478)&lt;&gt;"",TRIM(M478)&lt;&gt;"",TRIM(J478)&lt;&gt;TRIM(M478)),"Description translation&lt;&gt; lookup ", "" ))</f>
        <v xml:space="preserve">Description not translated </v>
      </c>
      <c r="O478" s="6" t="s">
        <v>8574</v>
      </c>
      <c r="P478" s="6" t="s">
        <v>8574</v>
      </c>
    </row>
    <row r="479" spans="1:17" ht="105" x14ac:dyDescent="0.25">
      <c r="A479" s="5" t="str">
        <f>IF(TRIM(I479)="","",E479)</f>
        <v>ResolutionUnit</v>
      </c>
      <c r="B479" s="5" t="str">
        <f>IF(TRIM(J479)="","",H479)</f>
        <v>The unit for measuring &lt;XResolution&gt; and &lt;YResolution&gt;. The same unit is used for both &lt;XResolution&gt; and &lt;YResolution&gt;. If the image resolution is unknown, 2 (inches) is designated.</v>
      </c>
      <c r="C479" s="5" t="str">
        <f>LEFT(F479,FIND(".",F479,6))</f>
        <v>Exif.Image.</v>
      </c>
      <c r="D479" s="5" t="str">
        <f>VLOOKUP(C479,PrefixUebersetzung,2,FALSE)</f>
        <v>Exif.Image (Bild).</v>
      </c>
      <c r="E479" s="5" t="str">
        <f>MID(F479,FIND(".",F479,6)+1,99)</f>
        <v>ResolutionUnit</v>
      </c>
      <c r="F479" s="5" t="s">
        <v>368</v>
      </c>
      <c r="G479" s="5" t="s">
        <v>9664</v>
      </c>
      <c r="H479" s="6" t="s">
        <v>2468</v>
      </c>
      <c r="I479" s="7" t="s">
        <v>4289</v>
      </c>
      <c r="J479" s="14" t="s">
        <v>5456</v>
      </c>
      <c r="K479" s="26"/>
      <c r="L479" s="6" t="str">
        <f>IFERROR(VLOOKUP(E479,A:I,9, FALSE),"")</f>
        <v>Auflösung Einheit</v>
      </c>
      <c r="M479" s="6" t="str">
        <f>IFERROR(VLOOKUP(H479,B:J,9,FALSE),"")</f>
        <v>Die Einheit zur Messung von &lt;XResolution&gt; und &lt;YResolution&gt;. Die gleiche Einheit wird sowohl für &lt;XResolution&gt; als auch für &lt;YResolution&gt; verwendet. Wenn die Bildauflösung unbekannt ist, wird 2 (=Zoll) zugewiesen.</v>
      </c>
      <c r="N479" s="6" t="str">
        <f>IF(AND(TRIM(I479)="",L479=""),"Suffix not translated ",
   IF(AND(TRIM(I479)&lt;&gt;"",TRIM(L479)&lt;&gt;"",TRIM(I479)&lt;&gt;TRIM(L479)),"Suffix translation &lt;&gt; lookup ", "" ))
&amp;IF(AND(TRIM(J479)="",M479=""),"Description not translated ",
   IF(AND(TRIM(J479)&lt;&gt;"",TRIM(M479)&lt;&gt;"",TRIM(J479)&lt;&gt;TRIM(M479)),"Description translation&lt;&gt; lookup ", "" ))</f>
        <v/>
      </c>
      <c r="O479" s="6" t="s">
        <v>8574</v>
      </c>
      <c r="P479" s="6" t="s">
        <v>8574</v>
      </c>
    </row>
    <row r="480" spans="1:17" ht="75" x14ac:dyDescent="0.25">
      <c r="A480" s="5" t="str">
        <f>IF(TRIM(I480)="","",E480)</f>
        <v/>
      </c>
      <c r="B480" s="5" t="str">
        <f>IF(TRIM(J480)="","",H480)</f>
        <v/>
      </c>
      <c r="C480" s="5" t="str">
        <f>LEFT(F480,FIND(".",F480,6))</f>
        <v>Exif.Image.</v>
      </c>
      <c r="D480" s="5" t="str">
        <f>VLOOKUP(C480,PrefixUebersetzung,2,FALSE)</f>
        <v>Exif.Image (Bild).</v>
      </c>
      <c r="E480" s="5" t="str">
        <f>MID(F480,FIND(".",F480,6)+1,99)</f>
        <v>RowInterleaveFactor</v>
      </c>
      <c r="F480" s="5" t="s">
        <v>369</v>
      </c>
      <c r="G480" s="5" t="s">
        <v>9667</v>
      </c>
      <c r="H480" s="6" t="s">
        <v>2469</v>
      </c>
      <c r="I480" s="7"/>
      <c r="K480" s="26"/>
      <c r="L480" s="6" t="str">
        <f>IFERROR(VLOOKUP(E480,A:I,9, FALSE),"")</f>
        <v/>
      </c>
      <c r="M480" s="6" t="str">
        <f>IFERROR(VLOOKUP(H480,B:J,9,FALSE),"")</f>
        <v/>
      </c>
      <c r="N480" s="6" t="str">
        <f>IF(AND(TRIM(I480)="",L480=""),"Suffix not translated ",
   IF(AND(TRIM(I480)&lt;&gt;"",TRIM(L480)&lt;&gt;"",TRIM(I480)&lt;&gt;TRIM(L480)),"Suffix translation &lt;&gt; lookup ", "" ))
&amp;IF(AND(TRIM(J480)="",M480=""),"Description not translated ",
   IF(AND(TRIM(J480)&lt;&gt;"",TRIM(M480)&lt;&gt;"",TRIM(J480)&lt;&gt;TRIM(M480)),"Description translation&lt;&gt; lookup ", "" ))</f>
        <v xml:space="preserve">Suffix not translated Description not translated </v>
      </c>
      <c r="O480" s="6" t="s">
        <v>8574</v>
      </c>
      <c r="P480" s="6" t="s">
        <v>8574</v>
      </c>
    </row>
    <row r="481" spans="1:17" ht="120" x14ac:dyDescent="0.25">
      <c r="A481" s="5" t="str">
        <f>IF(TRIM(I481)="","",E481)</f>
        <v>RowsPerStrip</v>
      </c>
      <c r="B481" s="5" t="str">
        <f>IF(TRIM(J481)="","",H481)</f>
        <v>The number of rows per strip. This is the number of rows in the image of one strip when an image is divided into strips. With JPEG compressed data this designation is not needed and is omitted. See also &lt;StripOffsets&gt; and &lt;StripByteCounts&gt;.</v>
      </c>
      <c r="C481" s="5" t="str">
        <f>LEFT(F481,FIND(".",F481,6))</f>
        <v>Exif.Image.</v>
      </c>
      <c r="D481" s="5" t="str">
        <f>VLOOKUP(C481,PrefixUebersetzung,2,FALSE)</f>
        <v>Exif.Image (Bild).</v>
      </c>
      <c r="E481" s="5" t="str">
        <f>MID(F481,FIND(".",F481,6)+1,99)</f>
        <v>RowsPerStrip</v>
      </c>
      <c r="F481" s="5" t="s">
        <v>370</v>
      </c>
      <c r="G481" s="5" t="s">
        <v>9667</v>
      </c>
      <c r="H481" s="6" t="s">
        <v>2470</v>
      </c>
      <c r="I481" s="7" t="s">
        <v>4870</v>
      </c>
      <c r="J481" s="14" t="s">
        <v>5457</v>
      </c>
      <c r="K481" s="26"/>
      <c r="L481" s="6" t="str">
        <f>IFERROR(VLOOKUP(E481,A:I,9, FALSE),"")</f>
        <v>Zeilen pro Streifen</v>
      </c>
      <c r="M481" s="6" t="str">
        <f>IFERROR(VLOOKUP(H481,B:J,9,FALSE),"")</f>
        <v>Die Anzahl der Zeilen pro Streifen. Dies ist die Anzahl der Zeilen im Bild eines Streifens, wenn ein Bild in Streifen unterteilt ist. Bei JPEG-komprimierten Daten ist dies nicht erforderlich und wird weggelassen. Siehe auch &lt;StripOffsets&gt; und &lt;StripByteCounts&gt;.</v>
      </c>
      <c r="N481" s="6" t="str">
        <f>IF(AND(TRIM(I481)="",L481=""),"Suffix not translated ",
   IF(AND(TRIM(I481)&lt;&gt;"",TRIM(L481)&lt;&gt;"",TRIM(I481)&lt;&gt;TRIM(L481)),"Suffix translation &lt;&gt; lookup ", "" ))
&amp;IF(AND(TRIM(J481)="",M481=""),"Description not translated ",
   IF(AND(TRIM(J481)&lt;&gt;"",TRIM(M481)&lt;&gt;"",TRIM(J481)&lt;&gt;TRIM(M481)),"Description translation&lt;&gt; lookup ", "" ))</f>
        <v/>
      </c>
      <c r="O481" s="6" t="s">
        <v>8574</v>
      </c>
      <c r="P481" s="6" t="s">
        <v>8574</v>
      </c>
    </row>
    <row r="482" spans="1:17" ht="30" x14ac:dyDescent="0.25">
      <c r="A482" s="5" t="str">
        <f>IF(TRIM(I482)="","",E482)</f>
        <v/>
      </c>
      <c r="B482" s="5" t="str">
        <f>IF(TRIM(J482)="","",H482)</f>
        <v/>
      </c>
      <c r="C482" s="5" t="str">
        <f>LEFT(F482,FIND(".",F482,6))</f>
        <v>Exif.Image.</v>
      </c>
      <c r="D482" s="5" t="str">
        <f>VLOOKUP(C482,PrefixUebersetzung,2,FALSE)</f>
        <v>Exif.Image (Bild).</v>
      </c>
      <c r="E482" s="5" t="str">
        <f>MID(F482,FIND(".",F482,6)+1,99)</f>
        <v>SampleFormat</v>
      </c>
      <c r="F482" s="5" t="s">
        <v>371</v>
      </c>
      <c r="G482" s="5" t="s">
        <v>9664</v>
      </c>
      <c r="H482" s="6" t="s">
        <v>2471</v>
      </c>
      <c r="I482" s="7"/>
      <c r="K482" s="26"/>
      <c r="L482" s="6" t="str">
        <f>IFERROR(VLOOKUP(E482,A:I,9, FALSE),"")</f>
        <v/>
      </c>
      <c r="M482" s="6" t="str">
        <f>IFERROR(VLOOKUP(H482,B:J,9,FALSE),"")</f>
        <v/>
      </c>
      <c r="N482" s="6" t="str">
        <f>IF(AND(TRIM(I482)="",L482=""),"Suffix not translated ",
   IF(AND(TRIM(I482)&lt;&gt;"",TRIM(L482)&lt;&gt;"",TRIM(I482)&lt;&gt;TRIM(L482)),"Suffix translation &lt;&gt; lookup ", "" ))
&amp;IF(AND(TRIM(J482)="",M482=""),"Description not translated ",
   IF(AND(TRIM(J482)&lt;&gt;"",TRIM(M482)&lt;&gt;"",TRIM(J482)&lt;&gt;TRIM(M482)),"Description translation&lt;&gt; lookup ", "" ))</f>
        <v xml:space="preserve">Suffix not translated Description not translated </v>
      </c>
      <c r="O482" s="6" t="s">
        <v>8574</v>
      </c>
      <c r="P482" s="6" t="s">
        <v>8574</v>
      </c>
    </row>
    <row r="483" spans="1:17" ht="60" x14ac:dyDescent="0.25">
      <c r="A483" s="5" t="str">
        <f>IF(TRIM(I483)="","",E483)</f>
        <v/>
      </c>
      <c r="B483" s="5" t="str">
        <f>IF(TRIM(J483)="","",H483)</f>
        <v/>
      </c>
      <c r="C483" s="5" t="str">
        <f>LEFT(F483,FIND(".",F483,6))</f>
        <v>Exif.Image.</v>
      </c>
      <c r="D483" s="5" t="str">
        <f>VLOOKUP(C483,PrefixUebersetzung,2,FALSE)</f>
        <v>Exif.Image (Bild).</v>
      </c>
      <c r="E483" s="5" t="str">
        <f>MID(F483,FIND(".",F483,6)+1,99)</f>
        <v>SamplesPerPixel</v>
      </c>
      <c r="F483" s="5" t="s">
        <v>372</v>
      </c>
      <c r="G483" s="5" t="s">
        <v>9664</v>
      </c>
      <c r="H483" s="6" t="s">
        <v>2472</v>
      </c>
      <c r="I483" s="7"/>
      <c r="K483" s="26"/>
      <c r="L483" s="6" t="str">
        <f>IFERROR(VLOOKUP(E483,A:I,9, FALSE),"")</f>
        <v/>
      </c>
      <c r="M483" s="6" t="str">
        <f>IFERROR(VLOOKUP(H483,B:J,9,FALSE),"")</f>
        <v/>
      </c>
      <c r="N483" s="6" t="str">
        <f>IF(AND(TRIM(I483)="",L483=""),"Suffix not translated ",
   IF(AND(TRIM(I483)&lt;&gt;"",TRIM(L483)&lt;&gt;"",TRIM(I483)&lt;&gt;TRIM(L483)),"Suffix translation &lt;&gt; lookup ", "" ))
&amp;IF(AND(TRIM(J483)="",M483=""),"Description not translated ",
   IF(AND(TRIM(J483)&lt;&gt;"",TRIM(M483)&lt;&gt;"",TRIM(J483)&lt;&gt;TRIM(M483)),"Description translation&lt;&gt; lookup ", "" ))</f>
        <v xml:space="preserve">Suffix not translated Description not translated </v>
      </c>
      <c r="O483" s="6" t="s">
        <v>8574</v>
      </c>
      <c r="P483" s="6" t="s">
        <v>8574</v>
      </c>
    </row>
    <row r="484" spans="1:17" ht="30" x14ac:dyDescent="0.25">
      <c r="A484" s="5" t="str">
        <f>IF(TRIM(I484)="","",E484)</f>
        <v>SecurityClassification</v>
      </c>
      <c r="B484" s="5" t="str">
        <f>IF(TRIM(J484)="","",H484)</f>
        <v>Security classification assigned to the image.</v>
      </c>
      <c r="C484" s="5" t="str">
        <f>LEFT(F484,FIND(".",F484,6))</f>
        <v>Exif.Image.</v>
      </c>
      <c r="D484" s="5" t="str">
        <f>VLOOKUP(C484,PrefixUebersetzung,2,FALSE)</f>
        <v>Exif.Image (Bild).</v>
      </c>
      <c r="E484" s="5" t="str">
        <f>MID(F484,FIND(".",F484,6)+1,99)</f>
        <v>SecurityClassification</v>
      </c>
      <c r="F484" s="5" t="s">
        <v>373</v>
      </c>
      <c r="G484" s="5" t="s">
        <v>9666</v>
      </c>
      <c r="H484" s="6" t="s">
        <v>2473</v>
      </c>
      <c r="I484" s="7" t="s">
        <v>4290</v>
      </c>
      <c r="J484" s="14" t="s">
        <v>5458</v>
      </c>
      <c r="K484" s="26"/>
      <c r="L484" s="6" t="str">
        <f>IFERROR(VLOOKUP(E484,A:I,9, FALSE),"")</f>
        <v>Sicherheits Klassifizierung</v>
      </c>
      <c r="M484" s="6" t="str">
        <f>IFERROR(VLOOKUP(H484,B:J,9,FALSE),"")</f>
        <v>Sicherheits-Klassifizierung, die dem Bild zugeordnet ist</v>
      </c>
      <c r="N484" s="6" t="str">
        <f>IF(AND(TRIM(I484)="",L484=""),"Suffix not translated ",
   IF(AND(TRIM(I484)&lt;&gt;"",TRIM(L484)&lt;&gt;"",TRIM(I484)&lt;&gt;TRIM(L484)),"Suffix translation &lt;&gt; lookup ", "" ))
&amp;IF(AND(TRIM(J484)="",M484=""),"Description not translated ",
   IF(AND(TRIM(J484)&lt;&gt;"",TRIM(M484)&lt;&gt;"",TRIM(J484)&lt;&gt;TRIM(M484)),"Description translation&lt;&gt; lookup ", "" ))</f>
        <v/>
      </c>
      <c r="O484" s="6" t="s">
        <v>8574</v>
      </c>
      <c r="P484" s="6" t="s">
        <v>8574</v>
      </c>
      <c r="Q484" s="6" t="s">
        <v>9278</v>
      </c>
    </row>
    <row r="485" spans="1:17" ht="45" x14ac:dyDescent="0.25">
      <c r="A485" s="5" t="str">
        <f>IF(TRIM(I485)="","",E485)</f>
        <v>SelfTimerMode</v>
      </c>
      <c r="B485" s="5" t="str">
        <f>IF(TRIM(J485)="","",H485)</f>
        <v>Number of seconds image capture was delayed from button press.</v>
      </c>
      <c r="C485" s="5" t="str">
        <f>LEFT(F485,FIND(".",F485,6))</f>
        <v>Exif.Image.</v>
      </c>
      <c r="D485" s="5" t="str">
        <f>VLOOKUP(C485,PrefixUebersetzung,2,FALSE)</f>
        <v>Exif.Image (Bild).</v>
      </c>
      <c r="E485" s="5" t="str">
        <f>MID(F485,FIND(".",F485,6)+1,99)</f>
        <v>SelfTimerMode</v>
      </c>
      <c r="F485" s="5" t="s">
        <v>374</v>
      </c>
      <c r="G485" s="5" t="s">
        <v>9664</v>
      </c>
      <c r="H485" s="6" t="s">
        <v>2474</v>
      </c>
      <c r="I485" s="7" t="s">
        <v>4871</v>
      </c>
      <c r="J485" s="14" t="s">
        <v>5459</v>
      </c>
      <c r="K485" s="26"/>
      <c r="L485" s="6" t="str">
        <f>IFERROR(VLOOKUP(E485,A:I,9, FALSE),"")</f>
        <v>Selbstauslösermodus</v>
      </c>
      <c r="M485" s="6" t="str">
        <f>IFERROR(VLOOKUP(H485,B:J,9,FALSE),"")</f>
        <v>Anzahl der Sekunden zwischen Betätigen des Auslösers und Bilderfassung.</v>
      </c>
      <c r="N485" s="6" t="str">
        <f>IF(AND(TRIM(I485)="",L485=""),"Suffix not translated ",
   IF(AND(TRIM(I485)&lt;&gt;"",TRIM(L485)&lt;&gt;"",TRIM(I485)&lt;&gt;TRIM(L485)),"Suffix translation &lt;&gt; lookup ", "" ))
&amp;IF(AND(TRIM(J485)="",M485=""),"Description not translated ",
   IF(AND(TRIM(J485)&lt;&gt;"",TRIM(M485)&lt;&gt;"",TRIM(J485)&lt;&gt;TRIM(M485)),"Description translation&lt;&gt; lookup ", "" ))</f>
        <v/>
      </c>
      <c r="O485" s="6" t="s">
        <v>8574</v>
      </c>
      <c r="P485" s="6" t="s">
        <v>8574</v>
      </c>
    </row>
    <row r="486" spans="1:17" x14ac:dyDescent="0.25">
      <c r="A486" s="5" t="str">
        <f>IF(TRIM(I486)="","",E486)</f>
        <v>SensingMethod</v>
      </c>
      <c r="B486" s="5" t="str">
        <f>IF(TRIM(J486)="","",H486)</f>
        <v>Type of image sensor.</v>
      </c>
      <c r="C486" s="5" t="str">
        <f>LEFT(F486,FIND(".",F486,6))</f>
        <v>Exif.Image.</v>
      </c>
      <c r="D486" s="5" t="str">
        <f>VLOOKUP(C486,PrefixUebersetzung,2,FALSE)</f>
        <v>Exif.Image (Bild).</v>
      </c>
      <c r="E486" s="5" t="str">
        <f>MID(F486,FIND(".",F486,6)+1,99)</f>
        <v>SensingMethod</v>
      </c>
      <c r="F486" s="5" t="s">
        <v>375</v>
      </c>
      <c r="G486" s="5" t="s">
        <v>9664</v>
      </c>
      <c r="H486" s="6" t="s">
        <v>2475</v>
      </c>
      <c r="I486" s="7" t="s">
        <v>5138</v>
      </c>
      <c r="J486" s="14" t="s">
        <v>3888</v>
      </c>
      <c r="K486" s="26"/>
      <c r="L486" s="6" t="str">
        <f>IFERROR(VLOOKUP(E486,A:I,9, FALSE),"")</f>
        <v>Bildsensor Typ</v>
      </c>
      <c r="M486" s="6" t="str">
        <f>IFERROR(VLOOKUP(H486,B:J,9,FALSE),"")</f>
        <v>Art des Bildsensors.</v>
      </c>
      <c r="N486" s="6" t="str">
        <f>IF(AND(TRIM(I486)="",L486=""),"Suffix not translated ",
   IF(AND(TRIM(I486)&lt;&gt;"",TRIM(L486)&lt;&gt;"",TRIM(I486)&lt;&gt;TRIM(L486)),"Suffix translation &lt;&gt; lookup ", "" ))
&amp;IF(AND(TRIM(J486)="",M486=""),"Description not translated ",
   IF(AND(TRIM(J486)&lt;&gt;"",TRIM(M486)&lt;&gt;"",TRIM(J486)&lt;&gt;TRIM(M486)),"Description translation&lt;&gt; lookup ", "" ))</f>
        <v/>
      </c>
      <c r="O486" s="6" t="s">
        <v>8574</v>
      </c>
      <c r="P486" s="6" t="s">
        <v>8574</v>
      </c>
      <c r="Q486" s="6" t="s">
        <v>9404</v>
      </c>
    </row>
    <row r="487" spans="1:17" ht="60" x14ac:dyDescent="0.25">
      <c r="A487" s="5" t="str">
        <f>IF(TRIM(I487)="","",E487)</f>
        <v>ShadowScale</v>
      </c>
      <c r="B487" s="5" t="str">
        <f>IF(TRIM(J487)="","",H487)</f>
        <v>This tag is used by Adobe Camera Raw to control the sensitivity of its 'Shadows' slider.</v>
      </c>
      <c r="C487" s="5" t="str">
        <f>LEFT(F487,FIND(".",F487,6))</f>
        <v>Exif.Image.</v>
      </c>
      <c r="D487" s="5" t="str">
        <f>VLOOKUP(C487,PrefixUebersetzung,2,FALSE)</f>
        <v>Exif.Image (Bild).</v>
      </c>
      <c r="E487" s="5" t="str">
        <f>MID(F487,FIND(".",F487,6)+1,99)</f>
        <v>ShadowScale</v>
      </c>
      <c r="F487" s="5" t="s">
        <v>376</v>
      </c>
      <c r="G487" s="5" t="s">
        <v>9672</v>
      </c>
      <c r="H487" s="6" t="s">
        <v>2476</v>
      </c>
      <c r="I487" s="7" t="s">
        <v>5087</v>
      </c>
      <c r="J487" s="14" t="s">
        <v>5460</v>
      </c>
      <c r="K487" s="26"/>
      <c r="L487" s="6" t="str">
        <f>IFERROR(VLOOKUP(E487,A:I,9, FALSE),"")</f>
        <v>Schatten Skalierung</v>
      </c>
      <c r="M487" s="6" t="str">
        <f>IFERROR(VLOOKUP(H487,B:J,9,FALSE),"")</f>
        <v>Dieser Tag wird von Adobe Camera Raw verwendet, um die Empfindlichkeit der "Shadows" Schieberegler zu steuern.</v>
      </c>
      <c r="N487" s="6" t="str">
        <f>IF(AND(TRIM(I487)="",L487=""),"Suffix not translated ",
   IF(AND(TRIM(I487)&lt;&gt;"",TRIM(L487)&lt;&gt;"",TRIM(I487)&lt;&gt;TRIM(L487)),"Suffix translation &lt;&gt; lookup ", "" ))
&amp;IF(AND(TRIM(J487)="",M487=""),"Description not translated ",
   IF(AND(TRIM(J487)&lt;&gt;"",TRIM(M487)&lt;&gt;"",TRIM(J487)&lt;&gt;TRIM(M487)),"Description translation&lt;&gt; lookup ", "" ))</f>
        <v/>
      </c>
      <c r="O487" s="6" t="s">
        <v>8574</v>
      </c>
      <c r="P487" s="6" t="s">
        <v>8574</v>
      </c>
    </row>
    <row r="488" spans="1:17" x14ac:dyDescent="0.25">
      <c r="A488" s="5" t="str">
        <f>IF(TRIM(I488)="","",E488)</f>
        <v/>
      </c>
      <c r="B488" s="5" t="str">
        <f>IF(TRIM(J488)="","",H488)</f>
        <v>Shutter speed.</v>
      </c>
      <c r="C488" s="5" t="str">
        <f>LEFT(F488,FIND(".",F488,6))</f>
        <v>Exif.Image.</v>
      </c>
      <c r="D488" s="5" t="str">
        <f>VLOOKUP(C488,PrefixUebersetzung,2,FALSE)</f>
        <v>Exif.Image (Bild).</v>
      </c>
      <c r="E488" s="5" t="str">
        <f>MID(F488,FIND(".",F488,6)+1,99)</f>
        <v>ShutterSpeedValue</v>
      </c>
      <c r="F488" s="5" t="s">
        <v>377</v>
      </c>
      <c r="G488" s="5" t="s">
        <v>9672</v>
      </c>
      <c r="H488" s="6" t="s">
        <v>2477</v>
      </c>
      <c r="J488" s="14" t="s">
        <v>3819</v>
      </c>
      <c r="K488" s="26"/>
      <c r="L488" s="6" t="str">
        <f>IFERROR(VLOOKUP(E488,A:I,9, FALSE),"")</f>
        <v>Verschlusszeit</v>
      </c>
      <c r="M488" s="6" t="str">
        <f>IFERROR(VLOOKUP(H488,B:J,9,FALSE),"")</f>
        <v>Verschlusszeit</v>
      </c>
      <c r="N488" s="6" t="str">
        <f>IF(AND(TRIM(I488)="",L488=""),"Suffix not translated ",
   IF(AND(TRIM(I488)&lt;&gt;"",TRIM(L488)&lt;&gt;"",TRIM(I488)&lt;&gt;TRIM(L488)),"Suffix translation &lt;&gt; lookup ", "" ))
&amp;IF(AND(TRIM(J488)="",M488=""),"Description not translated ",
   IF(AND(TRIM(J488)&lt;&gt;"",TRIM(M488)&lt;&gt;"",TRIM(J488)&lt;&gt;TRIM(M488)),"Description translation&lt;&gt; lookup ", "" ))</f>
        <v/>
      </c>
      <c r="P488" s="6" t="s">
        <v>8574</v>
      </c>
      <c r="Q488" s="6" t="s">
        <v>9486</v>
      </c>
    </row>
    <row r="489" spans="1:17" x14ac:dyDescent="0.25">
      <c r="A489" s="5" t="str">
        <f>IF(TRIM(I489)="","",E489)</f>
        <v/>
      </c>
      <c r="B489" s="5" t="str">
        <f>IF(TRIM(J489)="","",H489)</f>
        <v/>
      </c>
      <c r="C489" s="5" t="str">
        <f>LEFT(F489,FIND(".",F489,6))</f>
        <v>Exif.Image.</v>
      </c>
      <c r="D489" s="5" t="str">
        <f>VLOOKUP(C489,PrefixUebersetzung,2,FALSE)</f>
        <v>Exif.Image (Bild).</v>
      </c>
      <c r="E489" s="5" t="str">
        <f>MID(F489,FIND(".",F489,6)+1,99)</f>
        <v>SMaxSampleValue</v>
      </c>
      <c r="F489" s="5" t="s">
        <v>378</v>
      </c>
      <c r="G489" s="5" t="s">
        <v>9664</v>
      </c>
      <c r="H489" s="6" t="s">
        <v>2478</v>
      </c>
      <c r="I489" s="7"/>
      <c r="K489" s="26"/>
      <c r="L489" s="6" t="str">
        <f>IFERROR(VLOOKUP(E489,A:I,9, FALSE),"")</f>
        <v/>
      </c>
      <c r="M489" s="6" t="str">
        <f>IFERROR(VLOOKUP(H489,B:J,9,FALSE),"")</f>
        <v/>
      </c>
      <c r="N489" s="6" t="str">
        <f>IF(AND(TRIM(I489)="",L489=""),"Suffix not translated ",
   IF(AND(TRIM(I489)&lt;&gt;"",TRIM(L489)&lt;&gt;"",TRIM(I489)&lt;&gt;TRIM(L489)),"Suffix translation &lt;&gt; lookup ", "" ))
&amp;IF(AND(TRIM(J489)="",M489=""),"Description not translated ",
   IF(AND(TRIM(J489)&lt;&gt;"",TRIM(M489)&lt;&gt;"",TRIM(J489)&lt;&gt;TRIM(M489)),"Description translation&lt;&gt; lookup ", "" ))</f>
        <v xml:space="preserve">Suffix not translated Description not translated </v>
      </c>
      <c r="O489" s="6" t="s">
        <v>8574</v>
      </c>
      <c r="P489" s="6" t="s">
        <v>8574</v>
      </c>
    </row>
    <row r="490" spans="1:17" x14ac:dyDescent="0.25">
      <c r="A490" s="5" t="str">
        <f>IF(TRIM(I490)="","",E490)</f>
        <v/>
      </c>
      <c r="B490" s="5" t="str">
        <f>IF(TRIM(J490)="","",H490)</f>
        <v/>
      </c>
      <c r="C490" s="5" t="str">
        <f>LEFT(F490,FIND(".",F490,6))</f>
        <v>Exif.Image.</v>
      </c>
      <c r="D490" s="5" t="str">
        <f>VLOOKUP(C490,PrefixUebersetzung,2,FALSE)</f>
        <v>Exif.Image (Bild).</v>
      </c>
      <c r="E490" s="5" t="str">
        <f>MID(F490,FIND(".",F490,6)+1,99)</f>
        <v>SMinSampleValue</v>
      </c>
      <c r="F490" s="5" t="s">
        <v>379</v>
      </c>
      <c r="G490" s="5" t="s">
        <v>9664</v>
      </c>
      <c r="H490" s="6" t="s">
        <v>2479</v>
      </c>
      <c r="I490" s="7"/>
      <c r="K490" s="26"/>
      <c r="L490" s="6" t="str">
        <f>IFERROR(VLOOKUP(E490,A:I,9, FALSE),"")</f>
        <v/>
      </c>
      <c r="M490" s="6" t="str">
        <f>IFERROR(VLOOKUP(H490,B:J,9,FALSE),"")</f>
        <v/>
      </c>
      <c r="N490" s="6" t="str">
        <f>IF(AND(TRIM(I490)="",L490=""),"Suffix not translated ",
   IF(AND(TRIM(I490)&lt;&gt;"",TRIM(L490)&lt;&gt;"",TRIM(I490)&lt;&gt;TRIM(L490)),"Suffix translation &lt;&gt; lookup ", "" ))
&amp;IF(AND(TRIM(J490)="",M490=""),"Description not translated ",
   IF(AND(TRIM(J490)&lt;&gt;"",TRIM(M490)&lt;&gt;"",TRIM(J490)&lt;&gt;TRIM(M490)),"Description translation&lt;&gt; lookup ", "" ))</f>
        <v xml:space="preserve">Suffix not translated Description not translated </v>
      </c>
      <c r="O490" s="6" t="s">
        <v>8574</v>
      </c>
      <c r="P490" s="6" t="s">
        <v>8574</v>
      </c>
    </row>
    <row r="491" spans="1:17" ht="120" x14ac:dyDescent="0.25">
      <c r="A491" s="5" t="str">
        <f>IF(TRIM(I491)="","",E491)</f>
        <v>Software</v>
      </c>
      <c r="B491" s="5" t="str">
        <f>IF(TRIM(J491)="","",H491)</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491" s="5" t="str">
        <f>LEFT(F491,FIND(".",F491,6))</f>
        <v>Exif.Image.</v>
      </c>
      <c r="D491" s="5" t="str">
        <f>VLOOKUP(C491,PrefixUebersetzung,2,FALSE)</f>
        <v>Exif.Image (Bild).</v>
      </c>
      <c r="E491" s="5" t="str">
        <f>MID(F491,FIND(".",F491,6)+1,99)</f>
        <v>Software</v>
      </c>
      <c r="F491" s="5" t="s">
        <v>380</v>
      </c>
      <c r="G491" s="5" t="s">
        <v>9666</v>
      </c>
      <c r="H491" s="6" t="s">
        <v>2480</v>
      </c>
      <c r="I491" s="7" t="s">
        <v>2790</v>
      </c>
      <c r="J491" s="14" t="s">
        <v>5461</v>
      </c>
      <c r="K491" s="26"/>
      <c r="L491" s="6" t="str">
        <f>IFERROR(VLOOKUP(E491,A:I,9, FALSE),"")</f>
        <v>Software</v>
      </c>
      <c r="M491" s="6" t="str">
        <f>IFERROR(INDEX(J:J,MATCH(TRUE,INDEX(B:B=H491,0),0)),"")</f>
        <v>Dieses Tag bezeichnet den Namen und die Version der Software oder Firmware der Kamera oder des Bild-Eingabegerätes, das verwendet wurde, um das Bild zu erzeugen. Die detaillierte Format ist nicht festgelegt. Wenn das Feld leer ist, wird es als unbekannt behandelt.</v>
      </c>
      <c r="N491" s="6" t="str">
        <f>IF(AND(TRIM(I491)="",L491=""),"Suffix not translated ",
   IF(AND(TRIM(I491)&lt;&gt;"",TRIM(L491)&lt;&gt;"",TRIM(I491)&lt;&gt;TRIM(L491)),"Suffix translation &lt;&gt; lookup ", "" ))
&amp;IF(AND(TRIM(J491)="",M491=""),"Description not translated ",
   IF(AND(TRIM(J491)&lt;&gt;"",TRIM(M491)&lt;&gt;"",TRIM(J491)&lt;&gt;TRIM(M491)),"Description translation&lt;&gt; lookup ", "" ))</f>
        <v/>
      </c>
      <c r="O491" s="6" t="s">
        <v>8574</v>
      </c>
      <c r="P491" s="6" t="s">
        <v>8574</v>
      </c>
    </row>
    <row r="492" spans="1:17" x14ac:dyDescent="0.25">
      <c r="A492" s="5" t="str">
        <f>IF(TRIM(I492)="","",E492)</f>
        <v/>
      </c>
      <c r="B492" s="5" t="str">
        <f>IF(TRIM(J492)="","",H492)</f>
        <v/>
      </c>
      <c r="C492" s="5" t="str">
        <f>LEFT(F492,FIND(".",F492,6))</f>
        <v>Exif.Image.</v>
      </c>
      <c r="D492" s="5" t="str">
        <f>VLOOKUP(C492,PrefixUebersetzung,2,FALSE)</f>
        <v>Exif.Image (Bild).</v>
      </c>
      <c r="E492" s="5" t="str">
        <f>MID(F492,FIND(".",F492,6)+1,99)</f>
        <v>SpatialFrequencyResponse</v>
      </c>
      <c r="F492" s="5" t="s">
        <v>381</v>
      </c>
      <c r="G492" s="5" t="s">
        <v>9669</v>
      </c>
      <c r="H492" s="6" t="s">
        <v>2481</v>
      </c>
      <c r="I492" s="7"/>
      <c r="K492" s="26"/>
      <c r="L492" s="6" t="str">
        <f>IFERROR(VLOOKUP(E492,A:I,9, FALSE),"")</f>
        <v/>
      </c>
      <c r="M492" s="6" t="str">
        <f>IFERROR(VLOOKUP(H492,B:J,9,FALSE),"")</f>
        <v/>
      </c>
      <c r="N492" s="6" t="str">
        <f>IF(AND(TRIM(I492)="",L492=""),"Suffix not translated ",
   IF(AND(TRIM(I492)&lt;&gt;"",TRIM(L492)&lt;&gt;"",TRIM(I492)&lt;&gt;TRIM(L492)),"Suffix translation &lt;&gt; lookup ", "" ))
&amp;IF(AND(TRIM(J492)="",M492=""),"Description not translated ",
   IF(AND(TRIM(J492)&lt;&gt;"",TRIM(M492)&lt;&gt;"",TRIM(J492)&lt;&gt;TRIM(M492)),"Description translation&lt;&gt; lookup ", "" ))</f>
        <v xml:space="preserve">Suffix not translated Description not translated </v>
      </c>
      <c r="O492" s="6" t="s">
        <v>8574</v>
      </c>
      <c r="P492" s="6" t="s">
        <v>8574</v>
      </c>
    </row>
    <row r="493" spans="1:17" ht="45" x14ac:dyDescent="0.25">
      <c r="A493" s="5" t="str">
        <f>IF(TRIM(I493)="","",E493)</f>
        <v>SpectralSensitivity</v>
      </c>
      <c r="B493" s="5" t="str">
        <f>IF(TRIM(J493)="","",H493)</f>
        <v>Indicates the spectral sensitivity of each channel of the camera used.</v>
      </c>
      <c r="C493" s="5" t="str">
        <f>LEFT(F493,FIND(".",F493,6))</f>
        <v>Exif.Image.</v>
      </c>
      <c r="D493" s="5" t="str">
        <f>VLOOKUP(C493,PrefixUebersetzung,2,FALSE)</f>
        <v>Exif.Image (Bild).</v>
      </c>
      <c r="E493" s="5" t="str">
        <f>MID(F493,FIND(".",F493,6)+1,99)</f>
        <v>SpectralSensitivity</v>
      </c>
      <c r="F493" s="5" t="s">
        <v>382</v>
      </c>
      <c r="G493" s="5" t="s">
        <v>9666</v>
      </c>
      <c r="H493" s="6" t="s">
        <v>2482</v>
      </c>
      <c r="I493" s="7" t="s">
        <v>4291</v>
      </c>
      <c r="J493" s="14" t="s">
        <v>5462</v>
      </c>
      <c r="K493" s="26"/>
      <c r="L493" s="6" t="str">
        <f>IFERROR(VLOOKUP(E493,A:I,9, FALSE),"")</f>
        <v>Spektrale Empfindlichkeit</v>
      </c>
      <c r="M493" s="6" t="str">
        <f>IFERROR(VLOOKUP(H493,B:J,9,FALSE),"")</f>
        <v>Zeigt die spektrale Empfindlichkeit eines jeden Kanals der verwendeten Kamera.</v>
      </c>
      <c r="N493" s="6" t="str">
        <f>IF(AND(TRIM(I493)="",L493=""),"Suffix not translated ",
   IF(AND(TRIM(I493)&lt;&gt;"",TRIM(L493)&lt;&gt;"",TRIM(I493)&lt;&gt;TRIM(L493)),"Suffix translation &lt;&gt; lookup ", "" ))
&amp;IF(AND(TRIM(J493)="",M493=""),"Description not translated ",
   IF(AND(TRIM(J493)&lt;&gt;"",TRIM(M493)&lt;&gt;"",TRIM(J493)&lt;&gt;TRIM(M493)),"Description translation&lt;&gt; lookup ", "" ))</f>
        <v/>
      </c>
      <c r="O493" s="6" t="s">
        <v>8574</v>
      </c>
      <c r="P493" s="6" t="s">
        <v>8574</v>
      </c>
      <c r="Q493" s="6" t="s">
        <v>9262</v>
      </c>
    </row>
    <row r="494" spans="1:17" ht="60" x14ac:dyDescent="0.25">
      <c r="A494" s="5" t="str">
        <f>IF(TRIM(I494)="","",E494)</f>
        <v/>
      </c>
      <c r="B494" s="5" t="str">
        <f>IF(TRIM(J494)="","",H494)</f>
        <v>The total number of bytes in each strip. With JPEG compressed data this designation is not needed and is omitted.</v>
      </c>
      <c r="C494" s="5" t="str">
        <f>LEFT(F494,FIND(".",F494,6))</f>
        <v>Exif.Image.</v>
      </c>
      <c r="D494" s="5" t="str">
        <f>VLOOKUP(C494,PrefixUebersetzung,2,FALSE)</f>
        <v>Exif.Image (Bild).</v>
      </c>
      <c r="E494" s="5" t="str">
        <f>MID(F494,FIND(".",F494,6)+1,99)</f>
        <v>StripByteCounts</v>
      </c>
      <c r="F494" s="5" t="s">
        <v>383</v>
      </c>
      <c r="G494" s="5" t="s">
        <v>9667</v>
      </c>
      <c r="H494" s="6" t="s">
        <v>2483</v>
      </c>
      <c r="I494" s="7"/>
      <c r="J494" s="14" t="s">
        <v>6735</v>
      </c>
      <c r="K494" s="26"/>
      <c r="L494" s="6" t="str">
        <f>IFERROR(VLOOKUP(E494,A:I,9, FALSE),"")</f>
        <v/>
      </c>
      <c r="M494" s="6" t="str">
        <f>IFERROR(VLOOKUP(H494,B:J,9,FALSE),"")</f>
        <v>Die Gesamtanzahl von Bytes in jedem Streifen. Bei JPEG-komprimierten Daten ist diese Kennzeichnung nicht erforderlich und wird weggelassen.</v>
      </c>
      <c r="N494" s="6" t="str">
        <f>IF(AND(TRIM(I494)="",L494=""),"Suffix not translated ",
   IF(AND(TRIM(I494)&lt;&gt;"",TRIM(L494)&lt;&gt;"",TRIM(I494)&lt;&gt;TRIM(L494)),"Suffix translation &lt;&gt; lookup ", "" ))
&amp;IF(AND(TRIM(J494)="",M494=""),"Description not translated ",
   IF(AND(TRIM(J494)&lt;&gt;"",TRIM(M494)&lt;&gt;"",TRIM(J494)&lt;&gt;TRIM(M494)),"Description translation&lt;&gt; lookup ", "" ))</f>
        <v xml:space="preserve">Suffix not translated </v>
      </c>
      <c r="O494" s="6" t="s">
        <v>8574</v>
      </c>
      <c r="P494" s="6" t="s">
        <v>8574</v>
      </c>
    </row>
    <row r="495" spans="1:17" ht="150" x14ac:dyDescent="0.25">
      <c r="A495" s="5" t="str">
        <f>IF(TRIM(I495)="","",E495)</f>
        <v/>
      </c>
      <c r="B495" s="5" t="str">
        <f>IF(TRIM(J495)="","",H495)</f>
        <v>For each strip, the byte offset of that strip. It is recommended that this be selected so the number of strip bytes does not exceed 64 Kbytes. With JPEG compressed data this designation is not needed and is omitted. See also &lt;RowsPerStrip&gt; and &lt;StripByteCounts&gt;.</v>
      </c>
      <c r="C495" s="5" t="str">
        <f>LEFT(F495,FIND(".",F495,6))</f>
        <v>Exif.Image.</v>
      </c>
      <c r="D495" s="5" t="str">
        <f>VLOOKUP(C495,PrefixUebersetzung,2,FALSE)</f>
        <v>Exif.Image (Bild).</v>
      </c>
      <c r="E495" s="5" t="str">
        <f>MID(F495,FIND(".",F495,6)+1,99)</f>
        <v>StripOffsets</v>
      </c>
      <c r="F495" s="5" t="s">
        <v>384</v>
      </c>
      <c r="G495" s="5" t="s">
        <v>9667</v>
      </c>
      <c r="H495" s="6" t="s">
        <v>2484</v>
      </c>
      <c r="I495" s="7"/>
      <c r="J495" s="14" t="s">
        <v>6736</v>
      </c>
      <c r="K495" s="26"/>
      <c r="L495" s="6" t="str">
        <f>IFERROR(VLOOKUP(E495,A:I,9, FALSE),"")</f>
        <v/>
      </c>
      <c r="M495" s="6" t="str">
        <f>IFERROR(INDEX(J:J,MATCH(TRUE,INDEX(B:B=H495,0),0)),"")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495" s="6" t="str">
        <f>IF(AND(TRIM(I495)="",L495=""),"Suffix not translated ",
   IF(AND(TRIM(I495)&lt;&gt;"",TRIM(L495)&lt;&gt;"",TRIM(I495)&lt;&gt;TRIM(L495)),"Suffix translation &lt;&gt; lookup ", "" ))
&amp;IF(AND(TRIM(J495)="",M495=""),"Description not translated ",
   IF(AND(TRIM(J495)&lt;&gt;"",TRIM(M495)&lt;&gt;"",TRIM(J495)&lt;&gt;TRIM(M495)),"Description translation&lt;&gt; lookup ", "" ))</f>
        <v xml:space="preserve">Suffix not translated </v>
      </c>
      <c r="O495" s="6" t="s">
        <v>8574</v>
      </c>
      <c r="P495" s="6" t="s">
        <v>8574</v>
      </c>
    </row>
    <row r="496" spans="1:17" ht="75" x14ac:dyDescent="0.25">
      <c r="A496" s="5" t="str">
        <f>IF(TRIM(I496)="","",E496)</f>
        <v/>
      </c>
      <c r="B496" s="5" t="str">
        <f>IF(TRIM(J496)="","",H496)</f>
        <v>A general indication of the kind of data contained in this subfile. This field is deprecated. The NewSubfileType field should be used instead.</v>
      </c>
      <c r="C496" s="5" t="str">
        <f>LEFT(F496,FIND(".",F496,6))</f>
        <v>Exif.Image.</v>
      </c>
      <c r="D496" s="5" t="str">
        <f>VLOOKUP(C496,PrefixUebersetzung,2,FALSE)</f>
        <v>Exif.Image (Bild).</v>
      </c>
      <c r="E496" s="5" t="str">
        <f>MID(F496,FIND(".",F496,6)+1,99)</f>
        <v>SubfileType</v>
      </c>
      <c r="F496" s="5" t="s">
        <v>385</v>
      </c>
      <c r="G496" s="5" t="s">
        <v>9664</v>
      </c>
      <c r="H496" s="6" t="s">
        <v>2485</v>
      </c>
      <c r="I496" s="7"/>
      <c r="J496" s="14" t="s">
        <v>6737</v>
      </c>
      <c r="K496" s="26"/>
      <c r="L496" s="6" t="str">
        <f>IFERROR(VLOOKUP(E496,A:I,9, FALSE),"")</f>
        <v/>
      </c>
      <c r="M496" s="6" t="str">
        <f>IFERROR(VLOOKUP(H496,B:J,9,FALSE),"")</f>
        <v>Ein allgemeiner Hinweis auf die Art der Daten, die in diesem subfile enthalten sind. Dieses Feld ist veraltet. Stattdessen sollte das Feld NewSubfileType verwendet werden.</v>
      </c>
      <c r="N496" s="6"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v>
      </c>
      <c r="O496" s="6" t="s">
        <v>8574</v>
      </c>
      <c r="P496" s="6" t="s">
        <v>8574</v>
      </c>
    </row>
    <row r="497" spans="1:17" ht="45" x14ac:dyDescent="0.25">
      <c r="A497" s="5" t="str">
        <f>IF(TRIM(I497)="","",E497)</f>
        <v/>
      </c>
      <c r="B497" s="5" t="str">
        <f>IF(TRIM(J497)="","",H497)</f>
        <v>Defined by Adobe Corporation to enable TIFF Trees within a TIFF file.</v>
      </c>
      <c r="C497" s="5" t="str">
        <f>LEFT(F497,FIND(".",F497,6))</f>
        <v>Exif.Image.</v>
      </c>
      <c r="D497" s="5" t="str">
        <f>VLOOKUP(C497,PrefixUebersetzung,2,FALSE)</f>
        <v>Exif.Image (Bild).</v>
      </c>
      <c r="E497" s="5" t="str">
        <f>MID(F497,FIND(".",F497,6)+1,99)</f>
        <v>SubIFDs</v>
      </c>
      <c r="F497" s="5" t="s">
        <v>386</v>
      </c>
      <c r="G497" s="5" t="s">
        <v>9667</v>
      </c>
      <c r="H497" s="6" t="s">
        <v>2486</v>
      </c>
      <c r="I497" s="7"/>
      <c r="J497" s="14" t="s">
        <v>6738</v>
      </c>
      <c r="K497" s="26"/>
      <c r="L497" s="6" t="str">
        <f>IFERROR(VLOOKUP(E497,A:I,9, FALSE),"")</f>
        <v/>
      </c>
      <c r="M497" s="6" t="str">
        <f>IFERROR(VLOOKUP(H497,B:J,9,FALSE),"")</f>
        <v>Definiert durch Adobe Corporation um TIFF-Bäume innerhalb einer TIFF-Datei zu ermöglichen.</v>
      </c>
      <c r="N497" s="6"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v>
      </c>
      <c r="O497" s="6" t="s">
        <v>8574</v>
      </c>
      <c r="P497" s="6" t="s">
        <v>8574</v>
      </c>
    </row>
    <row r="498" spans="1:17" ht="30" x14ac:dyDescent="0.25">
      <c r="A498" s="5" t="str">
        <f>IF(TRIM(I498)="","",E498)</f>
        <v/>
      </c>
      <c r="B498" s="5" t="str">
        <f>IF(TRIM(J498)="","",H498)</f>
        <v>The distance to the subject, given in meters.</v>
      </c>
      <c r="C498" s="5" t="str">
        <f>LEFT(F498,FIND(".",F498,6))</f>
        <v>Exif.Image.</v>
      </c>
      <c r="D498" s="5" t="str">
        <f>VLOOKUP(C498,PrefixUebersetzung,2,FALSE)</f>
        <v>Exif.Image (Bild).</v>
      </c>
      <c r="E498" s="5" t="str">
        <f>MID(F498,FIND(".",F498,6)+1,99)</f>
        <v>SubjectDistance</v>
      </c>
      <c r="F498" s="5" t="s">
        <v>387</v>
      </c>
      <c r="G498" s="5" t="s">
        <v>9672</v>
      </c>
      <c r="H498" s="6" t="s">
        <v>2487</v>
      </c>
      <c r="I498" s="7"/>
      <c r="J498" s="14" t="s">
        <v>3889</v>
      </c>
      <c r="K498" s="26"/>
      <c r="L498" s="6" t="str">
        <f>IFERROR(VLOOKUP(E498,A:I,9, FALSE),"")</f>
        <v>Motivabstand</v>
      </c>
      <c r="M498" s="6" t="str">
        <f>IFERROR(VLOOKUP(H498,B:J,9,FALSE),"")</f>
        <v>Der Abstand zum Motiv, in Metern angegeben.</v>
      </c>
      <c r="N498" s="6" t="str">
        <f>IF(AND(TRIM(I498)="",L498=""),"Suffix not translated ",
   IF(AND(TRIM(I498)&lt;&gt;"",TRIM(L498)&lt;&gt;"",TRIM(I498)&lt;&gt;TRIM(L498)),"Suffix translation &lt;&gt; lookup ", "" ))
&amp;IF(AND(TRIM(J498)="",M498=""),"Description not translated ",
   IF(AND(TRIM(J498)&lt;&gt;"",TRIM(M498)&lt;&gt;"",TRIM(J498)&lt;&gt;TRIM(M498)),"Description translation&lt;&gt; lookup ", "" ))</f>
        <v/>
      </c>
      <c r="P498" s="6" t="s">
        <v>8574</v>
      </c>
      <c r="Q498" s="6" t="s">
        <v>9528</v>
      </c>
    </row>
    <row r="499" spans="1:17" ht="30" x14ac:dyDescent="0.25">
      <c r="A499" s="5" t="str">
        <f>IF(TRIM(I499)="","",E499)</f>
        <v>SubjectLocation</v>
      </c>
      <c r="B499" s="5" t="str">
        <f>IF(TRIM(J499)="","",H499)</f>
        <v>Indicates the location and area of the main subject in the overall scene.</v>
      </c>
      <c r="C499" s="5" t="str">
        <f>LEFT(F499,FIND(".",F499,6))</f>
        <v>Exif.Image.</v>
      </c>
      <c r="D499" s="5" t="str">
        <f>VLOOKUP(C499,PrefixUebersetzung,2,FALSE)</f>
        <v>Exif.Image (Bild).</v>
      </c>
      <c r="E499" s="5" t="str">
        <f>MID(F499,FIND(".",F499,6)+1,99)</f>
        <v>SubjectLocation</v>
      </c>
      <c r="F499" s="5" t="s">
        <v>388</v>
      </c>
      <c r="G499" s="5" t="s">
        <v>9664</v>
      </c>
      <c r="H499" s="6" t="s">
        <v>2488</v>
      </c>
      <c r="I499" s="7" t="s">
        <v>4293</v>
      </c>
      <c r="J499" s="14" t="s">
        <v>5185</v>
      </c>
      <c r="K499" s="26"/>
      <c r="L499" s="6" t="str">
        <f>IFERROR(VLOOKUP(E499,A:I,9, FALSE),"")</f>
        <v>Motivort</v>
      </c>
      <c r="M499" s="6" t="str">
        <f>IFERROR(VLOOKUP(H499,B:J,9,FALSE),"")</f>
        <v>Ort und den Bereich des Hauptthemas in der gesamten Szene.</v>
      </c>
      <c r="N499" s="6" t="str">
        <f>IF(AND(TRIM(I499)="",L499=""),"Suffix not translated ",
   IF(AND(TRIM(I499)&lt;&gt;"",TRIM(L499)&lt;&gt;"",TRIM(I499)&lt;&gt;TRIM(L499)),"Suffix translation &lt;&gt; lookup ", "" ))
&amp;IF(AND(TRIM(J499)="",M499=""),"Description not translated ",
   IF(AND(TRIM(J499)&lt;&gt;"",TRIM(M499)&lt;&gt;"",TRIM(J499)&lt;&gt;TRIM(M499)),"Description translation&lt;&gt; lookup ", "" ))</f>
        <v/>
      </c>
      <c r="O499" s="6" t="s">
        <v>8574</v>
      </c>
      <c r="P499" s="6" t="s">
        <v>8574</v>
      </c>
    </row>
    <row r="500" spans="1:17" ht="120" x14ac:dyDescent="0.25">
      <c r="A500" s="5" t="str">
        <f>IF(TRIM(I500)="","",E500)</f>
        <v/>
      </c>
      <c r="B500" s="5" t="str">
        <f>IF(TRIM(J500)="","",H500)</f>
        <v/>
      </c>
      <c r="C500" s="5" t="str">
        <f>LEFT(F500,FIND(".",F500,6))</f>
        <v>Exif.Image.</v>
      </c>
      <c r="D500" s="5" t="str">
        <f>VLOOKUP(C500,PrefixUebersetzung,2,FALSE)</f>
        <v>Exif.Image (Bild).</v>
      </c>
      <c r="E500" s="5" t="str">
        <f>MID(F500,FIND(".",F500,6)+1,99)</f>
        <v>SubTileBlockSize</v>
      </c>
      <c r="F500" s="5" t="s">
        <v>389</v>
      </c>
      <c r="G500" s="5" t="s">
        <v>9667</v>
      </c>
      <c r="H500" s="6" t="s">
        <v>2489</v>
      </c>
      <c r="I500" s="7"/>
      <c r="K500" s="26"/>
      <c r="L500" s="6" t="str">
        <f>IFERROR(VLOOKUP(E500,A:I,9, FALSE),"")</f>
        <v/>
      </c>
      <c r="M500" s="6" t="str">
        <f>IFERROR(INDEX(J:J,MATCH(TRUE,INDEX(B:B=H500,0),0)),"")</f>
        <v/>
      </c>
      <c r="N500" s="6"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6" t="s">
        <v>8574</v>
      </c>
      <c r="P500" s="6" t="s">
        <v>8574</v>
      </c>
    </row>
    <row r="501" spans="1:17" x14ac:dyDescent="0.25">
      <c r="A501" s="5" t="str">
        <f>IF(TRIM(I501)="","",E501)</f>
        <v>T4Options</v>
      </c>
      <c r="B501" s="5" t="str">
        <f>IF(TRIM(J501)="","",H501)</f>
        <v>T.4-encoding options.</v>
      </c>
      <c r="C501" s="5" t="str">
        <f>LEFT(F501,FIND(".",F501,6))</f>
        <v>Exif.Image.</v>
      </c>
      <c r="D501" s="5" t="str">
        <f>VLOOKUP(C501,PrefixUebersetzung,2,FALSE)</f>
        <v>Exif.Image (Bild).</v>
      </c>
      <c r="E501" s="5" t="str">
        <f>MID(F501,FIND(".",F501,6)+1,99)</f>
        <v>T4Options</v>
      </c>
      <c r="F501" s="5" t="s">
        <v>390</v>
      </c>
      <c r="G501" s="5" t="s">
        <v>9667</v>
      </c>
      <c r="H501" s="6" t="s">
        <v>2490</v>
      </c>
      <c r="I501" s="7" t="s">
        <v>5168</v>
      </c>
      <c r="J501" s="14" t="s">
        <v>3890</v>
      </c>
      <c r="K501" s="26"/>
      <c r="L501" s="6" t="str">
        <f>IFERROR(VLOOKUP(E501,A:I,9, FALSE),"")</f>
        <v>T4 Optionen</v>
      </c>
      <c r="M501" s="6" t="str">
        <f>IFERROR(VLOOKUP(H501,B:J,9,FALSE),"")</f>
        <v>T.4-Encoding-Optionen.</v>
      </c>
      <c r="N501" s="6" t="str">
        <f>IF(AND(TRIM(I501)="",L501=""),"Suffix not translated ",
   IF(AND(TRIM(I501)&lt;&gt;"",TRIM(L501)&lt;&gt;"",TRIM(I501)&lt;&gt;TRIM(L501)),"Suffix translation &lt;&gt; lookup ", "" ))
&amp;IF(AND(TRIM(J501)="",M501=""),"Description not translated ",
   IF(AND(TRIM(J501)&lt;&gt;"",TRIM(M501)&lt;&gt;"",TRIM(J501)&lt;&gt;TRIM(M501)),"Description translation&lt;&gt; lookup ", "" ))</f>
        <v/>
      </c>
      <c r="O501" s="6" t="s">
        <v>8574</v>
      </c>
      <c r="P501" s="6" t="s">
        <v>8574</v>
      </c>
    </row>
    <row r="502" spans="1:17" x14ac:dyDescent="0.25">
      <c r="A502" s="5" t="str">
        <f>IF(TRIM(I502)="","",E502)</f>
        <v>T6Options</v>
      </c>
      <c r="B502" s="5" t="str">
        <f>IF(TRIM(J502)="","",H502)</f>
        <v>T.6-encoding options.</v>
      </c>
      <c r="C502" s="5" t="str">
        <f>LEFT(F502,FIND(".",F502,6))</f>
        <v>Exif.Image.</v>
      </c>
      <c r="D502" s="5" t="str">
        <f>VLOOKUP(C502,PrefixUebersetzung,2,FALSE)</f>
        <v>Exif.Image (Bild).</v>
      </c>
      <c r="E502" s="5" t="str">
        <f>MID(F502,FIND(".",F502,6)+1,99)</f>
        <v>T6Options</v>
      </c>
      <c r="F502" s="5" t="s">
        <v>391</v>
      </c>
      <c r="G502" s="5" t="s">
        <v>9667</v>
      </c>
      <c r="H502" s="6" t="s">
        <v>2491</v>
      </c>
      <c r="I502" s="7" t="s">
        <v>5169</v>
      </c>
      <c r="J502" s="14" t="s">
        <v>3891</v>
      </c>
      <c r="K502" s="26"/>
      <c r="L502" s="6" t="str">
        <f>IFERROR(VLOOKUP(E502,A:I,9, FALSE),"")</f>
        <v>T6 Optionen</v>
      </c>
      <c r="M502" s="6" t="str">
        <f>IFERROR(VLOOKUP(H502,B:J,9,FALSE),"")</f>
        <v>T.6-Encoding-Optionen.</v>
      </c>
      <c r="N502" s="6" t="str">
        <f>IF(AND(TRIM(I502)="",L502=""),"Suffix not translated ",
   IF(AND(TRIM(I502)&lt;&gt;"",TRIM(L502)&lt;&gt;"",TRIM(I502)&lt;&gt;TRIM(L502)),"Suffix translation &lt;&gt; lookup ", "" ))
&amp;IF(AND(TRIM(J502)="",M502=""),"Description not translated ",
   IF(AND(TRIM(J502)&lt;&gt;"",TRIM(M502)&lt;&gt;"",TRIM(J502)&lt;&gt;TRIM(M502)),"Description translation&lt;&gt; lookup ", "" ))</f>
        <v/>
      </c>
      <c r="O502" s="6" t="s">
        <v>8574</v>
      </c>
      <c r="P502" s="6" t="s">
        <v>8574</v>
      </c>
    </row>
    <row r="503" spans="1:17" ht="45" x14ac:dyDescent="0.25">
      <c r="A503" s="5" t="str">
        <f>IF(TRIM(I503)="","",E503)</f>
        <v>TargetPrinter</v>
      </c>
      <c r="B503" s="5" t="str">
        <f>IF(TRIM(J503)="","",H503)</f>
        <v>A description of the printing environment for which this separation is intended.</v>
      </c>
      <c r="C503" s="5" t="str">
        <f>LEFT(F503,FIND(".",F503,6))</f>
        <v>Exif.Image.</v>
      </c>
      <c r="D503" s="5" t="str">
        <f>VLOOKUP(C503,PrefixUebersetzung,2,FALSE)</f>
        <v>Exif.Image (Bild).</v>
      </c>
      <c r="E503" s="5" t="str">
        <f>MID(F503,FIND(".",F503,6)+1,99)</f>
        <v>TargetPrinter</v>
      </c>
      <c r="F503" s="5" t="s">
        <v>392</v>
      </c>
      <c r="G503" s="5" t="s">
        <v>9666</v>
      </c>
      <c r="H503" s="6" t="s">
        <v>2492</v>
      </c>
      <c r="I503" s="7" t="s">
        <v>4294</v>
      </c>
      <c r="J503" s="14" t="s">
        <v>3892</v>
      </c>
      <c r="K503" s="26"/>
      <c r="L503" s="6" t="str">
        <f>IFERROR(VLOOKUP(E503,A:I,9, FALSE),"")</f>
        <v>Ziel-Drucker</v>
      </c>
      <c r="M503" s="6" t="str">
        <f>IFERROR(VLOOKUP(H503,B:J,9,FALSE),"")</f>
        <v>Eine Beschreibung der Druckumgebung für die diese Trennung beabsichtigt ist.</v>
      </c>
      <c r="N503" s="6" t="str">
        <f>IF(AND(TRIM(I503)="",L503=""),"Suffix not translated ",
   IF(AND(TRIM(I503)&lt;&gt;"",TRIM(L503)&lt;&gt;"",TRIM(I503)&lt;&gt;TRIM(L503)),"Suffix translation &lt;&gt; lookup ", "" ))
&amp;IF(AND(TRIM(J503)="",M503=""),"Description not translated ",
   IF(AND(TRIM(J503)&lt;&gt;"",TRIM(M503)&lt;&gt;"",TRIM(J503)&lt;&gt;TRIM(M503)),"Description translation&lt;&gt; lookup ", "" ))</f>
        <v/>
      </c>
      <c r="O503" s="6" t="s">
        <v>8574</v>
      </c>
      <c r="P503" s="6" t="s">
        <v>8574</v>
      </c>
    </row>
    <row r="504" spans="1:17" ht="60" x14ac:dyDescent="0.25">
      <c r="A504" s="5" t="str">
        <f>IF(TRIM(I504)="","",E504)</f>
        <v>Thresholding</v>
      </c>
      <c r="B504" s="5" t="str">
        <f>IF(TRIM(J504)="","",H504)</f>
        <v>For black and white TIFF files that represent shades of gray, the technique used to convert from gray to black and white pixels.</v>
      </c>
      <c r="C504" s="5" t="str">
        <f>LEFT(F504,FIND(".",F504,6))</f>
        <v>Exif.Image.</v>
      </c>
      <c r="D504" s="5" t="str">
        <f>VLOOKUP(C504,PrefixUebersetzung,2,FALSE)</f>
        <v>Exif.Image (Bild).</v>
      </c>
      <c r="E504" s="5" t="str">
        <f>MID(F504,FIND(".",F504,6)+1,99)</f>
        <v>Thresholding</v>
      </c>
      <c r="F504" s="2" t="s">
        <v>7045</v>
      </c>
      <c r="G504" s="5" t="s">
        <v>9664</v>
      </c>
      <c r="H504" s="3" t="s">
        <v>2493</v>
      </c>
      <c r="I504" s="7" t="s">
        <v>7666</v>
      </c>
      <c r="J504" s="14" t="s">
        <v>5463</v>
      </c>
      <c r="K504" s="26"/>
      <c r="L504" s="6" t="str">
        <f>IFERROR(VLOOKUP(E504,A:I,9, FALSE),"")</f>
        <v>Schwellwert-Verfahren</v>
      </c>
      <c r="M504" s="6" t="str">
        <f>IFERROR(VLOOKUP(H504,B:J,9,FALSE),"")</f>
        <v>Für Schwarz-Weiß-TIFF-Dateien, die Grautöne darstellen: die verwendete Technik, um von grau auf schwarze und weiße Pixel zu konvertieren.</v>
      </c>
      <c r="N504" s="6" t="str">
        <f>IF(AND(TRIM(I504)="",L504=""),"Suffix not translated ",
   IF(AND(TRIM(I504)&lt;&gt;"",TRIM(L504)&lt;&gt;"",TRIM(I504)&lt;&gt;TRIM(L504)),"Suffix translation &lt;&gt; lookup ", "" ))
&amp;IF(AND(TRIM(J504)="",M504=""),"Description not translated ",
   IF(AND(TRIM(J504)&lt;&gt;"",TRIM(M504)&lt;&gt;"",TRIM(J504)&lt;&gt;TRIM(M504)),"Description translation&lt;&gt; lookup ", "" ))</f>
        <v/>
      </c>
      <c r="O504" s="6" t="s">
        <v>8574</v>
      </c>
      <c r="P504" s="6" t="s">
        <v>8574</v>
      </c>
    </row>
    <row r="505" spans="1:17" ht="60" x14ac:dyDescent="0.25">
      <c r="A505" s="5" t="str">
        <f>IF(TRIM(I505)="","",E505)</f>
        <v/>
      </c>
      <c r="B505" s="5" t="str">
        <f>IF(TRIM(J505)="","",H505)</f>
        <v>Contains four ASCII characters representing the TIFF/EP standard version of a TIFF/EP file, eg '1', '0', '0', '0'</v>
      </c>
      <c r="C505" s="5" t="str">
        <f>LEFT(F505,FIND(".",F505,6))</f>
        <v>Exif.Image.</v>
      </c>
      <c r="D505" s="5" t="str">
        <f>VLOOKUP(C505,PrefixUebersetzung,2,FALSE)</f>
        <v>Exif.Image (Bild).</v>
      </c>
      <c r="E505" s="5" t="str">
        <f>MID(F505,FIND(".",F505,6)+1,99)</f>
        <v>TIFFEPStandardID</v>
      </c>
      <c r="F505" s="5" t="s">
        <v>393</v>
      </c>
      <c r="G505" s="5" t="s">
        <v>9670</v>
      </c>
      <c r="H505" s="6" t="s">
        <v>2494</v>
      </c>
      <c r="I505" s="7"/>
      <c r="J505" s="14" t="s">
        <v>8904</v>
      </c>
      <c r="K505" s="26"/>
      <c r="L505" s="6" t="str">
        <f>IFERROR(VLOOKUP(E505,A:I,9, FALSE),"")</f>
        <v/>
      </c>
      <c r="M505" s="6" t="str">
        <f>IFERROR(VLOOKUP(H505,B:J,9,FALSE),"")</f>
        <v>Enthält vier ASCII-Zeichen, die die TIFF / EP Standardversion einer TIFF/EP-Datei angibt, z. B. '1 ', '0', '0 ', '0'</v>
      </c>
      <c r="N505" s="6"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v>
      </c>
      <c r="O505" s="6" t="s">
        <v>8574</v>
      </c>
      <c r="P505" s="6" t="s">
        <v>8574</v>
      </c>
    </row>
    <row r="506" spans="1:17" ht="75" x14ac:dyDescent="0.25">
      <c r="A506" s="5" t="str">
        <f>IF(TRIM(I506)="","",E506)</f>
        <v>TileByteCounts</v>
      </c>
      <c r="B506" s="5" t="str">
        <f>IF(TRIM(J506)="","",H506)</f>
        <v>For each tile, the number of (compressed) bytes in that tile. See TileOffsets for a description of how the byte counts are ordered.</v>
      </c>
      <c r="C506" s="5" t="str">
        <f>LEFT(F506,FIND(".",F506,6))</f>
        <v>Exif.Image.</v>
      </c>
      <c r="D506" s="5" t="str">
        <f>VLOOKUP(C506,PrefixUebersetzung,2,FALSE)</f>
        <v>Exif.Image (Bild).</v>
      </c>
      <c r="E506" s="5" t="str">
        <f>MID(F506,FIND(".",F506,6)+1,99)</f>
        <v>TileByteCounts</v>
      </c>
      <c r="F506" s="5" t="s">
        <v>394</v>
      </c>
      <c r="G506" s="5" t="s">
        <v>9664</v>
      </c>
      <c r="H506" s="6" t="s">
        <v>2495</v>
      </c>
      <c r="I506" s="7" t="s">
        <v>5170</v>
      </c>
      <c r="J506" s="14" t="s">
        <v>5464</v>
      </c>
      <c r="K506" s="26"/>
      <c r="L506" s="6" t="str">
        <f>IFERROR(VLOOKUP(E506,A:I,9, FALSE),"")</f>
        <v>Kachel Anzahl Bytes</v>
      </c>
      <c r="M506" s="6" t="str">
        <f>IFERROR(VLOOKUP(H506,B:J,9,FALSE),"")</f>
        <v>Für jede Kachel, die Anzahl (komprimierter) Bytes in dieser Kachel. Siehe TileOffsets für eine Beschreibung, wie die Byte-Anzahlen sortiert werden.</v>
      </c>
      <c r="N506" s="6" t="str">
        <f>IF(AND(TRIM(I506)="",L506=""),"Suffix not translated ",
   IF(AND(TRIM(I506)&lt;&gt;"",TRIM(L506)&lt;&gt;"",TRIM(I506)&lt;&gt;TRIM(L506)),"Suffix translation &lt;&gt; lookup ", "" ))
&amp;IF(AND(TRIM(J506)="",M506=""),"Description not translated ",
   IF(AND(TRIM(J506)&lt;&gt;"",TRIM(M506)&lt;&gt;"",TRIM(J506)&lt;&gt;TRIM(M506)),"Description translation&lt;&gt; lookup ", "" ))</f>
        <v/>
      </c>
      <c r="O506" s="6" t="s">
        <v>8574</v>
      </c>
      <c r="P506" s="6" t="s">
        <v>8574</v>
      </c>
    </row>
    <row r="507" spans="1:17" ht="45" x14ac:dyDescent="0.25">
      <c r="A507" s="5" t="str">
        <f>IF(TRIM(I507)="","",E507)</f>
        <v>TileLength</v>
      </c>
      <c r="B507" s="5" t="str">
        <f>IF(TRIM(J507)="","",H507)</f>
        <v>The tile length (height) in pixels. This is the number of rows in each tile.</v>
      </c>
      <c r="C507" s="5" t="str">
        <f>LEFT(F507,FIND(".",F507,6))</f>
        <v>Exif.Image.</v>
      </c>
      <c r="D507" s="5" t="str">
        <f>VLOOKUP(C507,PrefixUebersetzung,2,FALSE)</f>
        <v>Exif.Image (Bild).</v>
      </c>
      <c r="E507" s="5" t="str">
        <f>MID(F507,FIND(".",F507,6)+1,99)</f>
        <v>TileLength</v>
      </c>
      <c r="F507" s="5" t="s">
        <v>395</v>
      </c>
      <c r="G507" s="5" t="s">
        <v>9664</v>
      </c>
      <c r="H507" s="6" t="s">
        <v>2496</v>
      </c>
      <c r="I507" s="7" t="s">
        <v>5155</v>
      </c>
      <c r="J507" s="14" t="s">
        <v>5467</v>
      </c>
      <c r="K507" s="26"/>
      <c r="L507" s="6" t="str">
        <f>IFERROR(VLOOKUP(E507,A:I,9, FALSE),"")</f>
        <v>Kachel Länge</v>
      </c>
      <c r="M507" s="6" t="str">
        <f>IFERROR(VLOOKUP(H507,B:J,9,FALSE),"")</f>
        <v>Die Kachel-Länge (Höhe) in Pixel. Dies ist die Anzahl der Zeilen in jeder Kachel.</v>
      </c>
      <c r="N507" s="6" t="str">
        <f>IF(AND(TRIM(I507)="",L507=""),"Suffix not translated ",
   IF(AND(TRIM(I507)&lt;&gt;"",TRIM(L507)&lt;&gt;"",TRIM(I507)&lt;&gt;TRIM(L507)),"Suffix translation &lt;&gt; lookup ", "" ))
&amp;IF(AND(TRIM(J507)="",M507=""),"Description not translated ",
   IF(AND(TRIM(J507)&lt;&gt;"",TRIM(M507)&lt;&gt;"",TRIM(J507)&lt;&gt;TRIM(M507)),"Description translation&lt;&gt; lookup ", "" ))</f>
        <v/>
      </c>
      <c r="O507" s="6" t="s">
        <v>8574</v>
      </c>
      <c r="P507" s="6" t="s">
        <v>8574</v>
      </c>
    </row>
    <row r="508" spans="1:17" ht="135" x14ac:dyDescent="0.25">
      <c r="A508" s="5" t="str">
        <f>IF(TRIM(I508)="","",E508)</f>
        <v>TileOffsets</v>
      </c>
      <c r="B508" s="5" t="str">
        <f>IF(TRIM(J508)="","",H508)</f>
        <v>For each tile, the byte offset of that tile, as compressed and stored on disk. The offset is specified with respect to the beginning of the TIFF file. Note that this implies that each tile has a location independent of the locations of other tiles.</v>
      </c>
      <c r="C508" s="5" t="str">
        <f>LEFT(F508,FIND(".",F508,6))</f>
        <v>Exif.Image.</v>
      </c>
      <c r="D508" s="5" t="str">
        <f>VLOOKUP(C508,PrefixUebersetzung,2,FALSE)</f>
        <v>Exif.Image (Bild).</v>
      </c>
      <c r="E508" s="5" t="str">
        <f>MID(F508,FIND(".",F508,6)+1,99)</f>
        <v>TileOffsets</v>
      </c>
      <c r="F508" s="5" t="s">
        <v>396</v>
      </c>
      <c r="G508" s="5" t="s">
        <v>9664</v>
      </c>
      <c r="H508" s="6" t="s">
        <v>2497</v>
      </c>
      <c r="I508" s="7" t="s">
        <v>5154</v>
      </c>
      <c r="J508" s="14" t="s">
        <v>5465</v>
      </c>
      <c r="K508" s="26"/>
      <c r="L508" s="6" t="str">
        <f>IFERROR(VLOOKUP(E508,A:I,9, FALSE),"")</f>
        <v>Kachel Offsets</v>
      </c>
      <c r="M508" s="6" t="str">
        <f>IFERROR(VLOOKUP(H508,B:J,9,FALSE),"")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508" s="6" t="str">
        <f>IF(AND(TRIM(I508)="",L508=""),"Suffix not translated ",
   IF(AND(TRIM(I508)&lt;&gt;"",TRIM(L508)&lt;&gt;"",TRIM(I508)&lt;&gt;TRIM(L508)),"Suffix translation &lt;&gt; lookup ", "" ))
&amp;IF(AND(TRIM(J508)="",M508=""),"Description not translated ",
   IF(AND(TRIM(J508)&lt;&gt;"",TRIM(M508)&lt;&gt;"",TRIM(J508)&lt;&gt;TRIM(M508)),"Description translation&lt;&gt; lookup ", "" ))</f>
        <v/>
      </c>
      <c r="O508" s="6" t="s">
        <v>8574</v>
      </c>
      <c r="P508" s="6" t="s">
        <v>8574</v>
      </c>
    </row>
    <row r="509" spans="1:17" ht="30" x14ac:dyDescent="0.25">
      <c r="A509" s="5" t="str">
        <f>IF(TRIM(I509)="","",E509)</f>
        <v>TileWidth</v>
      </c>
      <c r="B509" s="5" t="str">
        <f>IF(TRIM(J509)="","",H509)</f>
        <v>The tile width in pixels. This is the number of columns in each tile.</v>
      </c>
      <c r="C509" s="5" t="str">
        <f>LEFT(F509,FIND(".",F509,6))</f>
        <v>Exif.Image.</v>
      </c>
      <c r="D509" s="5" t="str">
        <f>VLOOKUP(C509,PrefixUebersetzung,2,FALSE)</f>
        <v>Exif.Image (Bild).</v>
      </c>
      <c r="E509" s="5" t="str">
        <f>MID(F509,FIND(".",F509,6)+1,99)</f>
        <v>TileWidth</v>
      </c>
      <c r="F509" s="5" t="s">
        <v>397</v>
      </c>
      <c r="G509" s="5" t="s">
        <v>9664</v>
      </c>
      <c r="H509" s="6" t="s">
        <v>2498</v>
      </c>
      <c r="I509" s="7" t="s">
        <v>5156</v>
      </c>
      <c r="J509" s="14" t="s">
        <v>5466</v>
      </c>
      <c r="K509" s="26"/>
      <c r="L509" s="6" t="str">
        <f>IFERROR(VLOOKUP(E509,A:I,9, FALSE),"")</f>
        <v>Kachel Breite</v>
      </c>
      <c r="M509" s="6" t="str">
        <f>IFERROR(VLOOKUP(H509,B:J,9,FALSE),"")</f>
        <v>Die Kachel-Breite in Pixel. Dies ist die Anzahl der Spalten in jeder Kachel.</v>
      </c>
      <c r="N509" s="6" t="str">
        <f>IF(AND(TRIM(I509)="",L509=""),"Suffix not translated ",
   IF(AND(TRIM(I509)&lt;&gt;"",TRIM(L509)&lt;&gt;"",TRIM(I509)&lt;&gt;TRIM(L509)),"Suffix translation &lt;&gt; lookup ", "" ))
&amp;IF(AND(TRIM(J509)="",M509=""),"Description not translated ",
   IF(AND(TRIM(J509)&lt;&gt;"",TRIM(M509)&lt;&gt;"",TRIM(J509)&lt;&gt;TRIM(M509)),"Description translation&lt;&gt; lookup ", "" ))</f>
        <v/>
      </c>
      <c r="O509" s="6" t="s">
        <v>8574</v>
      </c>
      <c r="P509" s="6" t="s">
        <v>8574</v>
      </c>
    </row>
    <row r="510" spans="1:17" ht="225" x14ac:dyDescent="0.25">
      <c r="A510" s="5" t="str">
        <f>IF(TRIM(I510)="","",E510)</f>
        <v>TimeCodes</v>
      </c>
      <c r="B510" s="5" t="str">
        <f>IF(TRIM(J510)="","",H510)</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510" s="5" t="str">
        <f>LEFT(F510,FIND(".",F510,6))</f>
        <v>Exif.Image.</v>
      </c>
      <c r="D510" s="5" t="str">
        <f>VLOOKUP(C510,PrefixUebersetzung,2,FALSE)</f>
        <v>Exif.Image (Bild).</v>
      </c>
      <c r="E510" s="5" t="str">
        <f>MID(F510,FIND(".",F510,6)+1,99)</f>
        <v>TimeCodes</v>
      </c>
      <c r="F510" s="2" t="s">
        <v>8007</v>
      </c>
      <c r="G510" s="5" t="s">
        <v>9670</v>
      </c>
      <c r="H510" s="3" t="s">
        <v>8008</v>
      </c>
      <c r="I510" s="7" t="s">
        <v>8571</v>
      </c>
      <c r="J510" s="8" t="s">
        <v>8857</v>
      </c>
      <c r="K510" s="26"/>
      <c r="L510" s="6" t="str">
        <f>IFERROR(VLOOKUP(E510,A:I,9, FALSE),"")</f>
        <v>Zeit-Codes</v>
      </c>
      <c r="M510" s="6" t="str">
        <f>IFERROR(INDEX(J:J,MATCH(TRUE,INDEX(B:B=H510,0),0)),"")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510" s="6" t="str">
        <f>IF(AND(TRIM(I510)="",L510=""),"Suffix not translated ",
   IF(AND(TRIM(I510)&lt;&gt;"",TRIM(L510)&lt;&gt;"",TRIM(I510)&lt;&gt;TRIM(L510)),"Suffix translation &lt;&gt; lookup ", "" ))
&amp;IF(AND(TRIM(J510)="",M510=""),"Description not translated ",
   IF(AND(TRIM(J510)&lt;&gt;"",TRIM(M510)&lt;&gt;"",TRIM(J510)&lt;&gt;TRIM(M510)),"Description translation&lt;&gt; lookup ", "" ))</f>
        <v/>
      </c>
      <c r="O510" s="6" t="s">
        <v>8574</v>
      </c>
      <c r="P510" s="6" t="s">
        <v>8574</v>
      </c>
    </row>
    <row r="511" spans="1:17" ht="135" x14ac:dyDescent="0.25">
      <c r="A511" s="5" t="str">
        <f>IF(TRIM(I511)="","",E511)</f>
        <v>TimeZoneOffset</v>
      </c>
      <c r="B511" s="5" t="str">
        <f>IF(TRIM(J511)="","",H511)</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511" s="5" t="str">
        <f>LEFT(F511,FIND(".",F511,6))</f>
        <v>Exif.Image.</v>
      </c>
      <c r="D511" s="5" t="str">
        <f>VLOOKUP(C511,PrefixUebersetzung,2,FALSE)</f>
        <v>Exif.Image (Bild).</v>
      </c>
      <c r="E511" s="5" t="str">
        <f>MID(F511,FIND(".",F511,6)+1,99)</f>
        <v>TimeZoneOffset</v>
      </c>
      <c r="F511" s="5" t="s">
        <v>398</v>
      </c>
      <c r="G511" s="5" t="s">
        <v>9665</v>
      </c>
      <c r="H511" s="6" t="s">
        <v>8245</v>
      </c>
      <c r="I511" s="7" t="s">
        <v>4295</v>
      </c>
      <c r="J511" s="14" t="s">
        <v>5468</v>
      </c>
      <c r="K511" s="26"/>
      <c r="L511" s="6" t="str">
        <f>IFERROR(VLOOKUP(E511,A:I,9, FALSE),"")</f>
        <v>Zeitzonen-Verschiebung</v>
      </c>
      <c r="M511" s="6" t="str">
        <f>IFERROR(INDEX(J:J,MATCH(TRUE,INDEX(B:B=H511,0),0)),"")</f>
        <v>Dieses optionale Tag kodiert die Zeitzone der Kamera-Uhr (bezogen auf Greenwich Mean Time), die verwendet wurde, als das Tag DataTimeOriginal während der Aufnahme erstellt wurde. Es kann auch die Zeitzone der Uhr angegeben, wenn das Tag  DateTime bei einer Bild-Modifikation gesetzt wurde.</v>
      </c>
      <c r="N511" s="6" t="str">
        <f>IF(AND(TRIM(I511)="",L511=""),"Suffix not translated ",
   IF(AND(TRIM(I511)&lt;&gt;"",TRIM(L511)&lt;&gt;"",TRIM(I511)&lt;&gt;TRIM(L511)),"Suffix translation &lt;&gt; lookup ", "" ))
&amp;IF(AND(TRIM(J511)="",M511=""),"Description not translated ",
   IF(AND(TRIM(J511)&lt;&gt;"",TRIM(M511)&lt;&gt;"",TRIM(J511)&lt;&gt;TRIM(M511)),"Description translation&lt;&gt; lookup ", "" ))</f>
        <v/>
      </c>
      <c r="O511" s="6" t="s">
        <v>8574</v>
      </c>
      <c r="P511" s="6" t="s">
        <v>8574</v>
      </c>
    </row>
    <row r="512" spans="1:17" ht="90" x14ac:dyDescent="0.25">
      <c r="A512" s="5" t="str">
        <f>IF(TRIM(I512)="","",E512)</f>
        <v>TransferFunction</v>
      </c>
      <c r="B512" s="5" t="str">
        <f>IF(TRIM(J512)="","",H512)</f>
        <v>A transfer function for the image, described in tabular style. Normally this tag is not necessary, since color space is specified in the color space information tag (&lt;ColorSpace&gt;).</v>
      </c>
      <c r="C512" s="5" t="str">
        <f>LEFT(F512,FIND(".",F512,6))</f>
        <v>Exif.Image.</v>
      </c>
      <c r="D512" s="5" t="str">
        <f>VLOOKUP(C512,PrefixUebersetzung,2,FALSE)</f>
        <v>Exif.Image (Bild).</v>
      </c>
      <c r="E512" s="5" t="str">
        <f>MID(F512,FIND(".",F512,6)+1,99)</f>
        <v>TransferFunction</v>
      </c>
      <c r="F512" s="5" t="s">
        <v>399</v>
      </c>
      <c r="G512" s="5" t="s">
        <v>9664</v>
      </c>
      <c r="H512" s="6" t="s">
        <v>2499</v>
      </c>
      <c r="I512" s="7" t="s">
        <v>4296</v>
      </c>
      <c r="J512" s="14" t="s">
        <v>5469</v>
      </c>
      <c r="K512" s="26"/>
      <c r="L512" s="6" t="str">
        <f>IFERROR(VLOOKUP(E512,A:I,9, FALSE),"")</f>
        <v>Übertragungsfunktion</v>
      </c>
      <c r="M512" s="6" t="str">
        <f>IFERROR(VLOOKUP(H512,B:J,9,FALSE),"")</f>
        <v>Eine Übertragungsfunktion für das Bild, in tabellarischer Art beschrieben. Normalerweise ist dieses Tag ist nicht notwendig, da der Farbraum im Farbraum-Informations-Tag (&lt;ColorSpace&gt;) angegeben wird.</v>
      </c>
      <c r="N512" s="6" t="str">
        <f>IF(AND(TRIM(I512)="",L512=""),"Suffix not translated ",
   IF(AND(TRIM(I512)&lt;&gt;"",TRIM(L512)&lt;&gt;"",TRIM(I512)&lt;&gt;TRIM(L512)),"Suffix translation &lt;&gt; lookup ", "" ))
&amp;IF(AND(TRIM(J512)="",M512=""),"Description not translated ",
   IF(AND(TRIM(J512)&lt;&gt;"",TRIM(M512)&lt;&gt;"",TRIM(J512)&lt;&gt;TRIM(M512)),"Description translation&lt;&gt; lookup ", "" ))</f>
        <v/>
      </c>
      <c r="O512" s="6" t="s">
        <v>8574</v>
      </c>
      <c r="P512" s="6" t="s">
        <v>8574</v>
      </c>
    </row>
    <row r="513" spans="1:17" ht="30" x14ac:dyDescent="0.25">
      <c r="A513" s="5" t="str">
        <f>IF(TRIM(I513)="","",E513)</f>
        <v>TransferRange</v>
      </c>
      <c r="B513" s="5" t="str">
        <f>IF(TRIM(J513)="","",H513)</f>
        <v>Expands the range of the TransferFunction</v>
      </c>
      <c r="C513" s="5" t="str">
        <f>LEFT(F513,FIND(".",F513,6))</f>
        <v>Exif.Image.</v>
      </c>
      <c r="D513" s="5" t="str">
        <f>VLOOKUP(C513,PrefixUebersetzung,2,FALSE)</f>
        <v>Exif.Image (Bild).</v>
      </c>
      <c r="E513" s="5" t="str">
        <f>MID(F513,FIND(".",F513,6)+1,99)</f>
        <v>TransferRange</v>
      </c>
      <c r="F513" s="5" t="s">
        <v>400</v>
      </c>
      <c r="G513" s="5" t="s">
        <v>9664</v>
      </c>
      <c r="H513" s="6" t="s">
        <v>2500</v>
      </c>
      <c r="I513" s="7" t="s">
        <v>4297</v>
      </c>
      <c r="J513" s="14" t="s">
        <v>5470</v>
      </c>
      <c r="K513" s="26"/>
      <c r="L513" s="6" t="str">
        <f>IFERROR(VLOOKUP(E513,A:I,9, FALSE),"")</f>
        <v>Übertragungsbereich</v>
      </c>
      <c r="M513" s="6" t="str">
        <f>IFERROR(VLOOKUP(H513,B:J,9,FALSE),"")</f>
        <v>Erweitert die Reichweite der Transferfunktion</v>
      </c>
      <c r="N513" s="6" t="str">
        <f>IF(AND(TRIM(I513)="",L513=""),"Suffix not translated ",
   IF(AND(TRIM(I513)&lt;&gt;"",TRIM(L513)&lt;&gt;"",TRIM(I513)&lt;&gt;TRIM(L513)),"Suffix translation &lt;&gt; lookup ", "" ))
&amp;IF(AND(TRIM(J513)="",M513=""),"Description not translated ",
   IF(AND(TRIM(J513)&lt;&gt;"",TRIM(M513)&lt;&gt;"",TRIM(J513)&lt;&gt;TRIM(M513)),"Description translation&lt;&gt; lookup ", "" ))</f>
        <v/>
      </c>
      <c r="O513" s="6" t="s">
        <v>8574</v>
      </c>
      <c r="P513" s="6" t="s">
        <v>8574</v>
      </c>
      <c r="Q513" s="6" t="s">
        <v>9280</v>
      </c>
    </row>
    <row r="514" spans="1:17" ht="240" x14ac:dyDescent="0.25">
      <c r="A514" s="5" t="str">
        <f>IF(TRIM(I514)="","",E514)</f>
        <v/>
      </c>
      <c r="B514" s="5" t="str">
        <f>IF(TRIM(J514)="","",H514)</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514" s="5" t="str">
        <f>LEFT(F514,FIND(".",F514,6))</f>
        <v>Exif.Image.</v>
      </c>
      <c r="D514" s="5" t="str">
        <f>VLOOKUP(C514,PrefixUebersetzung,2,FALSE)</f>
        <v>Exif.Image (Bild).</v>
      </c>
      <c r="E514" s="5" t="str">
        <f>MID(F514,FIND(".",F514,6)+1,99)</f>
        <v>TStop</v>
      </c>
      <c r="F514" s="2" t="s">
        <v>8009</v>
      </c>
      <c r="G514" s="5" t="s">
        <v>9672</v>
      </c>
      <c r="H514" s="3" t="s">
        <v>8010</v>
      </c>
      <c r="I514" s="7"/>
      <c r="J514" s="8" t="s">
        <v>8862</v>
      </c>
      <c r="K514" s="26"/>
      <c r="L514" s="6" t="str">
        <f>IFERROR(VLOOKUP(E514,A:I,9, FALSE),"")</f>
        <v/>
      </c>
      <c r="M514" s="6" t="str">
        <f>IFERROR(INDEX(J:J,MATCH(TRUE,INDEX(B:B=H514,0),0)),"")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514" s="6"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v>
      </c>
      <c r="O514" s="6" t="s">
        <v>8574</v>
      </c>
      <c r="P514" s="6" t="s">
        <v>8574</v>
      </c>
    </row>
    <row r="515" spans="1:17" ht="210" x14ac:dyDescent="0.25">
      <c r="A515" s="5" t="str">
        <f>IF(TRIM(I515)="","",E515)</f>
        <v>UniqueCameraModel</v>
      </c>
      <c r="B515" s="5" t="str">
        <f>IF(TRIM(J515)="","",H515)</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515" s="5" t="str">
        <f>LEFT(F515,FIND(".",F515,6))</f>
        <v>Exif.Image.</v>
      </c>
      <c r="D515" s="5" t="str">
        <f>VLOOKUP(C515,PrefixUebersetzung,2,FALSE)</f>
        <v>Exif.Image (Bild).</v>
      </c>
      <c r="E515" s="5" t="str">
        <f>MID(F515,FIND(".",F515,6)+1,99)</f>
        <v>UniqueCameraModel</v>
      </c>
      <c r="F515" s="5" t="s">
        <v>401</v>
      </c>
      <c r="G515" s="5" t="s">
        <v>9666</v>
      </c>
      <c r="H515" s="6" t="s">
        <v>2501</v>
      </c>
      <c r="I515" s="7" t="s">
        <v>4298</v>
      </c>
      <c r="J515" s="14" t="s">
        <v>6637</v>
      </c>
      <c r="K515" s="26"/>
      <c r="L515" s="6" t="str">
        <f>IFERROR(VLOOKUP(E515,A:I,9, FALSE),"")</f>
        <v>Kameramodell (eindeutig)</v>
      </c>
      <c r="M515" s="6" t="str">
        <f>IFERROR(INDEX(J:J,MATCH(TRUE,INDEX(B:B=H515,0),0)),"")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515" s="6" t="str">
        <f>IF(AND(TRIM(I515)="",L515=""),"Suffix not translated ",
   IF(AND(TRIM(I515)&lt;&gt;"",TRIM(L515)&lt;&gt;"",TRIM(I515)&lt;&gt;TRIM(L515)),"Suffix translation &lt;&gt; lookup ", "" ))
&amp;IF(AND(TRIM(J515)="",M515=""),"Description not translated ",
   IF(AND(TRIM(J515)&lt;&gt;"",TRIM(M515)&lt;&gt;"",TRIM(J515)&lt;&gt;TRIM(M515)),"Description translation&lt;&gt; lookup ", "" ))</f>
        <v/>
      </c>
      <c r="O515" s="6" t="s">
        <v>8574</v>
      </c>
      <c r="P515" s="6" t="s">
        <v>8574</v>
      </c>
    </row>
    <row r="516" spans="1:17" ht="120" x14ac:dyDescent="0.25">
      <c r="A516" s="5" t="str">
        <f>IF(TRIM(I516)="","",E516)</f>
        <v>WhiteLevel</v>
      </c>
      <c r="B516" s="5" t="str">
        <f>IF(TRIM(J516)="","",H516)</f>
        <v>This tag specifies the fully saturated encoding level for the raw sample values. Saturation is caused either by the sensor itself becoming highly non-linear in response, or by the camera's analog to digital converter clipping.</v>
      </c>
      <c r="C516" s="5" t="str">
        <f>LEFT(F516,FIND(".",F516,6))</f>
        <v>Exif.Image.</v>
      </c>
      <c r="D516" s="5" t="str">
        <f>VLOOKUP(C516,PrefixUebersetzung,2,FALSE)</f>
        <v>Exif.Image (Bild).</v>
      </c>
      <c r="E516" s="5" t="str">
        <f>MID(F516,FIND(".",F516,6)+1,99)</f>
        <v>WhiteLevel</v>
      </c>
      <c r="F516" s="5" t="s">
        <v>402</v>
      </c>
      <c r="G516" s="5" t="s">
        <v>9664</v>
      </c>
      <c r="H516" s="6" t="s">
        <v>2502</v>
      </c>
      <c r="I516" s="7" t="s">
        <v>4299</v>
      </c>
      <c r="J516" s="14" t="s">
        <v>6638</v>
      </c>
      <c r="K516" s="26"/>
      <c r="L516" s="6" t="str">
        <f>IFERROR(VLOOKUP(E516,A:I,9, FALSE),"")</f>
        <v>Weißpegel</v>
      </c>
      <c r="M516" s="6" t="str">
        <f>IFERROR(VLOOKUP(H516,B:J,9,FALSE),"")</f>
        <v>Dieses Tag gibt die vollständig gesättigten Kodierungs-Ebenen für die RAW-Abtastwerte an. Die Sättigung wird entweder durch den Sensor selbst durch zu stark nichtlineare  Rückmeldungen oder durch Clipping des Analog-Digital-Wandlers der Kamera verursacht.</v>
      </c>
      <c r="N516" s="6" t="str">
        <f>IF(AND(TRIM(I516)="",L516=""),"Suffix not translated ",
   IF(AND(TRIM(I516)&lt;&gt;"",TRIM(L516)&lt;&gt;"",TRIM(I516)&lt;&gt;TRIM(L516)),"Suffix translation &lt;&gt; lookup ", "" ))
&amp;IF(AND(TRIM(J516)="",M516=""),"Description not translated ",
   IF(AND(TRIM(J516)&lt;&gt;"",TRIM(M516)&lt;&gt;"",TRIM(J516)&lt;&gt;TRIM(M516)),"Description translation&lt;&gt; lookup ", "" ))</f>
        <v/>
      </c>
      <c r="O516" s="6" t="s">
        <v>8574</v>
      </c>
      <c r="P516" s="6" t="s">
        <v>8574</v>
      </c>
    </row>
    <row r="517" spans="1:17" ht="75" x14ac:dyDescent="0.25">
      <c r="A517" s="5" t="str">
        <f>IF(TRIM(I517)="","",E517)</f>
        <v>WhitePoint</v>
      </c>
      <c r="B517" s="5" t="str">
        <f>IF(TRIM(J517)="","",H517)</f>
        <v>The chromaticity of the white point of the image. Normally this tag is not necessary, since color space is specified in the colorspace information tag (&lt;ColorSpace&gt;).</v>
      </c>
      <c r="C517" s="5" t="str">
        <f>LEFT(F517,FIND(".",F517,6))</f>
        <v>Exif.Image.</v>
      </c>
      <c r="D517" s="5" t="str">
        <f>VLOOKUP(C517,PrefixUebersetzung,2,FALSE)</f>
        <v>Exif.Image (Bild).</v>
      </c>
      <c r="E517" s="5" t="str">
        <f>MID(F517,FIND(".",F517,6)+1,99)</f>
        <v>WhitePoint</v>
      </c>
      <c r="F517" s="5" t="s">
        <v>403</v>
      </c>
      <c r="G517" s="5" t="s">
        <v>9671</v>
      </c>
      <c r="H517" s="6" t="s">
        <v>2503</v>
      </c>
      <c r="I517" s="7" t="s">
        <v>4068</v>
      </c>
      <c r="J517" s="14" t="s">
        <v>5471</v>
      </c>
      <c r="K517" s="26"/>
      <c r="L517" s="6" t="str">
        <f>IFERROR(VLOOKUP(E517,A:I,9, FALSE),"")</f>
        <v>Weißpunkt</v>
      </c>
      <c r="M517" s="6" t="str">
        <f>IFERROR(VLOOKUP(H517,B:J,9,FALSE),"")</f>
        <v>Die Farbigkeit des Weißpunktes des Bildes. Normalerweise ist dieses Tag ist nicht notwendig, da der Farbraum im Farbraum-Informations-Tag (&lt;ColorSpace&gt;) angegeben wird.</v>
      </c>
      <c r="N517" s="6" t="str">
        <f>IF(AND(TRIM(I517)="",L517=""),"Suffix not translated ",
   IF(AND(TRIM(I517)&lt;&gt;"",TRIM(L517)&lt;&gt;"",TRIM(I517)&lt;&gt;TRIM(L517)),"Suffix translation &lt;&gt; lookup ", "" ))
&amp;IF(AND(TRIM(J517)="",M517=""),"Description not translated ",
   IF(AND(TRIM(J517)&lt;&gt;"",TRIM(M517)&lt;&gt;"",TRIM(J517)&lt;&gt;TRIM(M517)),"Description translation&lt;&gt; lookup ", "" ))</f>
        <v/>
      </c>
      <c r="O517" s="6" t="s">
        <v>8574</v>
      </c>
      <c r="P517" s="6" t="s">
        <v>8574</v>
      </c>
    </row>
    <row r="518" spans="1:17" ht="30" x14ac:dyDescent="0.25">
      <c r="A518" s="5" t="str">
        <f>IF(TRIM(I518)="","",E518)</f>
        <v/>
      </c>
      <c r="B518" s="5" t="str">
        <f>IF(TRIM(J518)="","",H518)</f>
        <v/>
      </c>
      <c r="C518" s="5" t="str">
        <f>LEFT(F518,FIND(".",F518,6))</f>
        <v>Exif.Image.</v>
      </c>
      <c r="D518" s="5" t="str">
        <f>VLOOKUP(C518,PrefixUebersetzung,2,FALSE)</f>
        <v>Exif.Image (Bild).</v>
      </c>
      <c r="E518" s="5" t="str">
        <f>MID(F518,FIND(".",F518,6)+1,99)</f>
        <v>XClipPathUnits</v>
      </c>
      <c r="F518" s="5" t="s">
        <v>404</v>
      </c>
      <c r="G518" s="5" t="s">
        <v>9665</v>
      </c>
      <c r="H518" s="6" t="s">
        <v>2504</v>
      </c>
      <c r="I518" s="7"/>
      <c r="K518" s="26"/>
      <c r="L518" s="6" t="str">
        <f>IFERROR(VLOOKUP(E518,A:I,9, FALSE),"")</f>
        <v/>
      </c>
      <c r="M518" s="6" t="str">
        <f>IFERROR(VLOOKUP(H518,B:J,9,FALSE),"")</f>
        <v/>
      </c>
      <c r="N518" s="6" t="str">
        <f>IF(AND(TRIM(I518)="",L518=""),"Suffix not translated ",
   IF(AND(TRIM(I518)&lt;&gt;"",TRIM(L518)&lt;&gt;"",TRIM(I518)&lt;&gt;TRIM(L518)),"Suffix translation &lt;&gt; lookup ", "" ))
&amp;IF(AND(TRIM(J518)="",M518=""),"Description not translated ",
   IF(AND(TRIM(J518)&lt;&gt;"",TRIM(M518)&lt;&gt;"",TRIM(J518)&lt;&gt;TRIM(M518)),"Description translation&lt;&gt; lookup ", "" ))</f>
        <v xml:space="preserve">Suffix not translated Description not translated </v>
      </c>
      <c r="O518" s="6" t="s">
        <v>8574</v>
      </c>
      <c r="P518" s="6" t="s">
        <v>8574</v>
      </c>
    </row>
    <row r="519" spans="1:17" ht="30" x14ac:dyDescent="0.25">
      <c r="A519" s="5" t="str">
        <f>IF(TRIM(I519)="","",E519)</f>
        <v>XMLPacket</v>
      </c>
      <c r="B519" s="5" t="str">
        <f>IF(TRIM(J519)="","",H519)</f>
        <v>XMP Metadata (Adobe technote 9-14-02)</v>
      </c>
      <c r="C519" s="5" t="str">
        <f>LEFT(F519,FIND(".",F519,6))</f>
        <v>Exif.Image.</v>
      </c>
      <c r="D519" s="5" t="str">
        <f>VLOOKUP(C519,PrefixUebersetzung,2,FALSE)</f>
        <v>Exif.Image (Bild).</v>
      </c>
      <c r="E519" s="5" t="str">
        <f>MID(F519,FIND(".",F519,6)+1,99)</f>
        <v>XMLPacket</v>
      </c>
      <c r="F519" s="5" t="s">
        <v>405</v>
      </c>
      <c r="G519" s="5" t="s">
        <v>9670</v>
      </c>
      <c r="H519" s="6" t="s">
        <v>2505</v>
      </c>
      <c r="I519" s="7" t="s">
        <v>4300</v>
      </c>
      <c r="J519" s="14" t="s">
        <v>3893</v>
      </c>
      <c r="K519" s="26"/>
      <c r="L519" s="6" t="str">
        <f>IFERROR(VLOOKUP(E519,A:I,9, FALSE),"")</f>
        <v>XML Paket</v>
      </c>
      <c r="M519" s="6" t="str">
        <f>IFERROR(VLOOKUP(H519,B:J,9,FALSE),"")</f>
        <v>XMP-Metadaten (Adobe technote 9-14-02)</v>
      </c>
      <c r="N519" s="6" t="str">
        <f>IF(AND(TRIM(I519)="",L519=""),"Suffix not translated ",
   IF(AND(TRIM(I519)&lt;&gt;"",TRIM(L519)&lt;&gt;"",TRIM(I519)&lt;&gt;TRIM(L519)),"Suffix translation &lt;&gt; lookup ", "" ))
&amp;IF(AND(TRIM(J519)="",M519=""),"Description not translated ",
   IF(AND(TRIM(J519)&lt;&gt;"",TRIM(M519)&lt;&gt;"",TRIM(J519)&lt;&gt;TRIM(M519)),"Description translation&lt;&gt; lookup ", "" ))</f>
        <v/>
      </c>
      <c r="O519" s="6" t="s">
        <v>8574</v>
      </c>
      <c r="P519" s="6" t="s">
        <v>8574</v>
      </c>
      <c r="Q519" s="6" t="s">
        <v>9567</v>
      </c>
    </row>
    <row r="520" spans="1:17" ht="30" x14ac:dyDescent="0.25">
      <c r="A520" s="5" t="str">
        <f>IF(TRIM(I520)="","",E520)</f>
        <v>XPAuthor</v>
      </c>
      <c r="B520" s="5" t="str">
        <f>IF(TRIM(J520)="","",H520)</f>
        <v>Author tag used by Windows, encoded in UCS2</v>
      </c>
      <c r="C520" s="5" t="str">
        <f>LEFT(F520,FIND(".",F520,6))</f>
        <v>Exif.Image.</v>
      </c>
      <c r="D520" s="5" t="str">
        <f>VLOOKUP(C520,PrefixUebersetzung,2,FALSE)</f>
        <v>Exif.Image (Bild).</v>
      </c>
      <c r="E520" s="5" t="str">
        <f>MID(F520,FIND(".",F520,6)+1,99)</f>
        <v>XPAuthor</v>
      </c>
      <c r="F520" s="5" t="s">
        <v>406</v>
      </c>
      <c r="G520" s="5" t="s">
        <v>9670</v>
      </c>
      <c r="H520" s="6" t="s">
        <v>2506</v>
      </c>
      <c r="I520" s="7" t="s">
        <v>4301</v>
      </c>
      <c r="J520" s="14" t="s">
        <v>5472</v>
      </c>
      <c r="K520" s="26"/>
      <c r="L520" s="6" t="str">
        <f>IFERROR(VLOOKUP(E520,A:I,9, FALSE),"")</f>
        <v>XP Autor</v>
      </c>
      <c r="M520" s="6" t="str">
        <f>IFERROR(VLOOKUP(H520,B:J,9,FALSE),"")</f>
        <v>Autor-Tag von Windows verwendet, in UCS-2 codiert</v>
      </c>
      <c r="N520" s="6" t="str">
        <f>IF(AND(TRIM(I520)="",L520=""),"Suffix not translated ",
   IF(AND(TRIM(I520)&lt;&gt;"",TRIM(L520)&lt;&gt;"",TRIM(I520)&lt;&gt;TRIM(L520)),"Suffix translation &lt;&gt; lookup ", "" ))
&amp;IF(AND(TRIM(J520)="",M520=""),"Description not translated ",
   IF(AND(TRIM(J520)&lt;&gt;"",TRIM(M520)&lt;&gt;"",TRIM(J520)&lt;&gt;TRIM(M520)),"Description translation&lt;&gt; lookup ", "" ))</f>
        <v/>
      </c>
      <c r="O520" s="6" t="s">
        <v>8574</v>
      </c>
      <c r="P520" s="6" t="s">
        <v>8574</v>
      </c>
      <c r="Q520" s="6" t="s">
        <v>9146</v>
      </c>
    </row>
    <row r="521" spans="1:17" ht="30" x14ac:dyDescent="0.25">
      <c r="A521" s="5" t="str">
        <f>IF(TRIM(I521)="","",E521)</f>
        <v>XPComment</v>
      </c>
      <c r="B521" s="5" t="str">
        <f>IF(TRIM(J521)="","",H521)</f>
        <v>Comment tag used by Windows, encoded in UCS2</v>
      </c>
      <c r="C521" s="5" t="str">
        <f>LEFT(F521,FIND(".",F521,6))</f>
        <v>Exif.Image.</v>
      </c>
      <c r="D521" s="5" t="str">
        <f>VLOOKUP(C521,PrefixUebersetzung,2,FALSE)</f>
        <v>Exif.Image (Bild).</v>
      </c>
      <c r="E521" s="5" t="str">
        <f>MID(F521,FIND(".",F521,6)+1,99)</f>
        <v>XPComment</v>
      </c>
      <c r="F521" s="5" t="s">
        <v>407</v>
      </c>
      <c r="G521" s="5" t="s">
        <v>9670</v>
      </c>
      <c r="H521" s="6" t="s">
        <v>2507</v>
      </c>
      <c r="I521" s="7" t="s">
        <v>4302</v>
      </c>
      <c r="J521" s="14" t="s">
        <v>5473</v>
      </c>
      <c r="K521" s="26"/>
      <c r="L521" s="6" t="str">
        <f>IFERROR(VLOOKUP(E521,A:I,9, FALSE),"")</f>
        <v>XP Kommentar</v>
      </c>
      <c r="M521" s="6" t="str">
        <f>IFERROR(VLOOKUP(H521,B:J,9,FALSE),"")</f>
        <v>Kommentar-Tag von Windows verwendet, in UCS-2 codiert</v>
      </c>
      <c r="N521" s="6" t="str">
        <f>IF(AND(TRIM(I521)="",L521=""),"Suffix not translated ",
   IF(AND(TRIM(I521)&lt;&gt;"",TRIM(L521)&lt;&gt;"",TRIM(I521)&lt;&gt;TRIM(L521)),"Suffix translation &lt;&gt; lookup ", "" ))
&amp;IF(AND(TRIM(J521)="",M521=""),"Description not translated ",
   IF(AND(TRIM(J521)&lt;&gt;"",TRIM(M521)&lt;&gt;"",TRIM(J521)&lt;&gt;TRIM(M521)),"Description translation&lt;&gt; lookup ", "" ))</f>
        <v/>
      </c>
      <c r="O521" s="6" t="s">
        <v>8574</v>
      </c>
      <c r="P521" s="6" t="s">
        <v>8574</v>
      </c>
      <c r="Q521" s="6" t="s">
        <v>9210</v>
      </c>
    </row>
    <row r="522" spans="1:17" ht="30" x14ac:dyDescent="0.25">
      <c r="A522" s="5" t="str">
        <f>IF(TRIM(I522)="","",E522)</f>
        <v>XPKeywords</v>
      </c>
      <c r="B522" s="5" t="str">
        <f>IF(TRIM(J522)="","",H522)</f>
        <v>Keywords tag used by Windows, encoded in UCS2</v>
      </c>
      <c r="C522" s="5" t="str">
        <f>LEFT(F522,FIND(".",F522,6))</f>
        <v>Exif.Image.</v>
      </c>
      <c r="D522" s="5" t="str">
        <f>VLOOKUP(C522,PrefixUebersetzung,2,FALSE)</f>
        <v>Exif.Image (Bild).</v>
      </c>
      <c r="E522" s="5" t="str">
        <f>MID(F522,FIND(".",F522,6)+1,99)</f>
        <v>XPKeywords</v>
      </c>
      <c r="F522" s="5" t="s">
        <v>408</v>
      </c>
      <c r="G522" s="5" t="s">
        <v>9670</v>
      </c>
      <c r="H522" s="6" t="s">
        <v>2508</v>
      </c>
      <c r="I522" s="7" t="s">
        <v>4303</v>
      </c>
      <c r="J522" s="14" t="s">
        <v>3894</v>
      </c>
      <c r="K522" s="26"/>
      <c r="L522" s="6" t="str">
        <f>IFERROR(VLOOKUP(E522,A:I,9, FALSE),"")</f>
        <v>XP Schlüsselworte</v>
      </c>
      <c r="M522" s="6" t="str">
        <f>IFERROR(VLOOKUP(H522,B:J,9,FALSE),"")</f>
        <v>Keywords tag von Windows verwendet, in UCS-2 codiert</v>
      </c>
      <c r="N522" s="6" t="str">
        <f>IF(AND(TRIM(I522)="",L522=""),"Suffix not translated ",
   IF(AND(TRIM(I522)&lt;&gt;"",TRIM(L522)&lt;&gt;"",TRIM(I522)&lt;&gt;TRIM(L522)),"Suffix translation &lt;&gt; lookup ", "" ))
&amp;IF(AND(TRIM(J522)="",M522=""),"Description not translated ",
   IF(AND(TRIM(J522)&lt;&gt;"",TRIM(M522)&lt;&gt;"",TRIM(J522)&lt;&gt;TRIM(M522)),"Description translation&lt;&gt; lookup ", "" ))</f>
        <v/>
      </c>
      <c r="O522" s="6" t="s">
        <v>8574</v>
      </c>
      <c r="P522" s="6" t="s">
        <v>8574</v>
      </c>
      <c r="Q522" s="6" t="s">
        <v>9383</v>
      </c>
    </row>
    <row r="523" spans="1:17" ht="30" x14ac:dyDescent="0.25">
      <c r="A523" s="5" t="str">
        <f>IF(TRIM(I523)="","",E523)</f>
        <v>XPSubject</v>
      </c>
      <c r="B523" s="5" t="str">
        <f>IF(TRIM(J523)="","",H523)</f>
        <v>Subject tag used by Windows, encoded in UCS2</v>
      </c>
      <c r="C523" s="5" t="str">
        <f>LEFT(F523,FIND(".",F523,6))</f>
        <v>Exif.Image.</v>
      </c>
      <c r="D523" s="5" t="str">
        <f>VLOOKUP(C523,PrefixUebersetzung,2,FALSE)</f>
        <v>Exif.Image (Bild).</v>
      </c>
      <c r="E523" s="5" t="str">
        <f>MID(F523,FIND(".",F523,6)+1,99)</f>
        <v>XPSubject</v>
      </c>
      <c r="F523" s="5" t="s">
        <v>409</v>
      </c>
      <c r="G523" s="5" t="s">
        <v>9670</v>
      </c>
      <c r="H523" s="6" t="s">
        <v>2509</v>
      </c>
      <c r="I523" s="7" t="s">
        <v>4304</v>
      </c>
      <c r="J523" s="14" t="s">
        <v>5474</v>
      </c>
      <c r="K523" s="26"/>
      <c r="L523" s="6" t="str">
        <f>IFERROR(VLOOKUP(E523,A:I,9, FALSE),"")</f>
        <v>XP Betreff</v>
      </c>
      <c r="M523" s="6" t="str">
        <f>IFERROR(VLOOKUP(H523,B:J,9,FALSE),"")</f>
        <v>Betreff-Tag von Windows verwendet, in UCS-2 codiert</v>
      </c>
      <c r="N523" s="6" t="str">
        <f>IF(AND(TRIM(I523)="",L523=""),"Suffix not translated ",
   IF(AND(TRIM(I523)&lt;&gt;"",TRIM(L523)&lt;&gt;"",TRIM(I523)&lt;&gt;TRIM(L523)),"Suffix translation &lt;&gt; lookup ", "" ))
&amp;IF(AND(TRIM(J523)="",M523=""),"Description not translated ",
   IF(AND(TRIM(J523)&lt;&gt;"",TRIM(M523)&lt;&gt;"",TRIM(J523)&lt;&gt;TRIM(M523)),"Description translation&lt;&gt; lookup ", "" ))</f>
        <v/>
      </c>
      <c r="O523" s="6" t="s">
        <v>8574</v>
      </c>
      <c r="P523" s="6" t="s">
        <v>8574</v>
      </c>
      <c r="Q523" s="6" t="s">
        <v>9502</v>
      </c>
    </row>
    <row r="524" spans="1:17" ht="30" x14ac:dyDescent="0.25">
      <c r="A524" s="5" t="str">
        <f>IF(TRIM(I524)="","",E524)</f>
        <v>XPTitle</v>
      </c>
      <c r="B524" s="5" t="str">
        <f>IF(TRIM(J524)="","",H524)</f>
        <v>Title tag used by Windows, encoded in UCS2</v>
      </c>
      <c r="C524" s="5" t="str">
        <f>LEFT(F524,FIND(".",F524,6))</f>
        <v>Exif.Image.</v>
      </c>
      <c r="D524" s="5" t="str">
        <f>VLOOKUP(C524,PrefixUebersetzung,2,FALSE)</f>
        <v>Exif.Image (Bild).</v>
      </c>
      <c r="E524" s="5" t="str">
        <f>MID(F524,FIND(".",F524,6)+1,99)</f>
        <v>XPTitle</v>
      </c>
      <c r="F524" s="5" t="s">
        <v>410</v>
      </c>
      <c r="G524" s="5" t="s">
        <v>9670</v>
      </c>
      <c r="H524" s="6" t="s">
        <v>2510</v>
      </c>
      <c r="I524" s="7" t="s">
        <v>4305</v>
      </c>
      <c r="J524" s="14" t="s">
        <v>3895</v>
      </c>
      <c r="K524" s="26"/>
      <c r="L524" s="6" t="str">
        <f>IFERROR(VLOOKUP(E524,A:I,9, FALSE),"")</f>
        <v>XP Titel</v>
      </c>
      <c r="M524" s="6" t="str">
        <f>IFERROR(VLOOKUP(H524,B:J,9,FALSE),"")</f>
        <v>Titel-Tag von Windows verwendet, in UCS-2 codiert</v>
      </c>
      <c r="N524" s="6" t="str">
        <f>IF(AND(TRIM(I524)="",L524=""),"Suffix not translated ",
   IF(AND(TRIM(I524)&lt;&gt;"",TRIM(L524)&lt;&gt;"",TRIM(I524)&lt;&gt;TRIM(L524)),"Suffix translation &lt;&gt; lookup ", "" ))
&amp;IF(AND(TRIM(J524)="",M524=""),"Description not translated ",
   IF(AND(TRIM(J524)&lt;&gt;"",TRIM(M524)&lt;&gt;"",TRIM(J524)&lt;&gt;TRIM(M524)),"Description translation&lt;&gt; lookup ", "" ))</f>
        <v/>
      </c>
      <c r="O524" s="6" t="s">
        <v>8574</v>
      </c>
      <c r="P524" s="6" t="s">
        <v>8574</v>
      </c>
      <c r="Q524" s="6" t="s">
        <v>9544</v>
      </c>
    </row>
    <row r="525" spans="1:17" ht="75" x14ac:dyDescent="0.25">
      <c r="A525" s="5" t="str">
        <f>IF(TRIM(I525)="","",E525)</f>
        <v>XResolution</v>
      </c>
      <c r="B525" s="5" t="str">
        <f>IF(TRIM(J525)="","",H525)</f>
        <v>The number of pixels per &lt;ResolutionUnit&gt; in the &lt;ImageWidth&gt; direction. When the image resolution is unknown, 72 [dpi] is designated.</v>
      </c>
      <c r="C525" s="5" t="str">
        <f>LEFT(F525,FIND(".",F525,6))</f>
        <v>Exif.Image.</v>
      </c>
      <c r="D525" s="5" t="str">
        <f>VLOOKUP(C525,PrefixUebersetzung,2,FALSE)</f>
        <v>Exif.Image (Bild).</v>
      </c>
      <c r="E525" s="5" t="str">
        <f>MID(F525,FIND(".",F525,6)+1,99)</f>
        <v>XResolution</v>
      </c>
      <c r="F525" s="5" t="s">
        <v>411</v>
      </c>
      <c r="G525" s="5" t="s">
        <v>9671</v>
      </c>
      <c r="H525" s="6" t="s">
        <v>2511</v>
      </c>
      <c r="I525" s="7" t="s">
        <v>4306</v>
      </c>
      <c r="J525" s="14" t="s">
        <v>5475</v>
      </c>
      <c r="K525" s="26"/>
      <c r="L525" s="6" t="str">
        <f>IFERROR(VLOOKUP(E525,A:I,9, FALSE),"")</f>
        <v>Auflösung X</v>
      </c>
      <c r="M525" s="6" t="str">
        <f>IFERROR(VLOOKUP(H525,B:J,9,FALSE),"")</f>
        <v>Die Anzahl von Pixeln pro &lt;ResolutionUnit&gt; im &lt;ImageWidth&gt; Richtung. Wenn die Bildauflösung unbekannt ist, wird 72 [dpi] zugeordnet.</v>
      </c>
      <c r="N525" s="6" t="str">
        <f>IF(AND(TRIM(I525)="",L525=""),"Suffix not translated ",
   IF(AND(TRIM(I525)&lt;&gt;"",TRIM(L525)&lt;&gt;"",TRIM(I525)&lt;&gt;TRIM(L525)),"Suffix translation &lt;&gt; lookup ", "" ))
&amp;IF(AND(TRIM(J525)="",M525=""),"Description not translated ",
   IF(AND(TRIM(J525)&lt;&gt;"",TRIM(M525)&lt;&gt;"",TRIM(J525)&lt;&gt;TRIM(M525)),"Description translation&lt;&gt; lookup ", "" ))</f>
        <v/>
      </c>
      <c r="O525" s="6" t="s">
        <v>8574</v>
      </c>
      <c r="P525" s="6" t="s">
        <v>8574</v>
      </c>
    </row>
    <row r="526" spans="1:17" ht="165" x14ac:dyDescent="0.25">
      <c r="A526" s="5" t="str">
        <f>IF(TRIM(I526)="","",E526)</f>
        <v>YCbCrCoefficients</v>
      </c>
      <c r="B526" s="5" t="str">
        <f>IF(TRIM(J526)="","",H526)</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526" s="5" t="str">
        <f>LEFT(F526,FIND(".",F526,6))</f>
        <v>Exif.Image.</v>
      </c>
      <c r="D526" s="5" t="str">
        <f>VLOOKUP(C526,PrefixUebersetzung,2,FALSE)</f>
        <v>Exif.Image (Bild).</v>
      </c>
      <c r="E526" s="5" t="str">
        <f>MID(F526,FIND(".",F526,6)+1,99)</f>
        <v>YCbCrCoefficients</v>
      </c>
      <c r="F526" s="5" t="s">
        <v>412</v>
      </c>
      <c r="G526" s="5" t="s">
        <v>9671</v>
      </c>
      <c r="H526" s="6" t="s">
        <v>2512</v>
      </c>
      <c r="I526" s="7" t="s">
        <v>5171</v>
      </c>
      <c r="J526" s="14" t="s">
        <v>5476</v>
      </c>
      <c r="K526" s="26"/>
      <c r="L526" s="6" t="str">
        <f>IFERROR(VLOOKUP(E526,A:I,9, FALSE),"")</f>
        <v>YCbCr Koeffizienten</v>
      </c>
      <c r="M526" s="6" t="str">
        <f>IFERROR(INDEX(J:J,MATCH(TRUE,INDEX(B:B=H526,0),0)),"")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526" s="6" t="str">
        <f>IF(AND(TRIM(I526)="",L526=""),"Suffix not translated ",
   IF(AND(TRIM(I526)&lt;&gt;"",TRIM(L526)&lt;&gt;"",TRIM(I526)&lt;&gt;TRIM(L526)),"Suffix translation &lt;&gt; lookup ", "" ))
&amp;IF(AND(TRIM(J526)="",M526=""),"Description not translated ",
   IF(AND(TRIM(J526)&lt;&gt;"",TRIM(M526)&lt;&gt;"",TRIM(J526)&lt;&gt;TRIM(M526)),"Description translation&lt;&gt; lookup ", "" ))</f>
        <v/>
      </c>
      <c r="O526" s="6" t="s">
        <v>8574</v>
      </c>
      <c r="P526" s="6" t="s">
        <v>8574</v>
      </c>
    </row>
    <row r="527" spans="1:17" ht="225" x14ac:dyDescent="0.25">
      <c r="A527" s="5" t="str">
        <f>IF(TRIM(I527)="","",E527)</f>
        <v>YCbCrPositioning</v>
      </c>
      <c r="B527" s="5" t="str">
        <f>IF(TRIM(J527)="","",H527)</f>
        <v/>
      </c>
      <c r="C527" s="5" t="str">
        <f>LEFT(F527,FIND(".",F527,6))</f>
        <v>Exif.Image.</v>
      </c>
      <c r="D527" s="5" t="str">
        <f>VLOOKUP(C527,PrefixUebersetzung,2,FALSE)</f>
        <v>Exif.Image (Bild).</v>
      </c>
      <c r="E527" s="5" t="str">
        <f>MID(F527,FIND(".",F527,6)+1,99)</f>
        <v>YCbCrPositioning</v>
      </c>
      <c r="F527" s="5" t="s">
        <v>413</v>
      </c>
      <c r="G527" s="5" t="s">
        <v>9664</v>
      </c>
      <c r="H527" s="6" t="s">
        <v>2513</v>
      </c>
      <c r="I527" s="7" t="s">
        <v>5172</v>
      </c>
      <c r="K527" s="26"/>
      <c r="L527" s="6" t="str">
        <f>IFERROR(VLOOKUP(E527,A:I,9, FALSE),"")</f>
        <v>YCbCr Positionierung</v>
      </c>
      <c r="M527" s="6" t="str">
        <f>IFERROR(INDEX(J:J,MATCH(TRUE,INDEX(B:B=H527,0),0)),"")</f>
        <v/>
      </c>
      <c r="N527" s="6"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Description not translated </v>
      </c>
      <c r="O527" s="6" t="s">
        <v>8574</v>
      </c>
      <c r="P527" s="6" t="s">
        <v>8574</v>
      </c>
    </row>
    <row r="528" spans="1:17" ht="60" x14ac:dyDescent="0.25">
      <c r="A528" s="5" t="str">
        <f>IF(TRIM(I528)="","",E528)</f>
        <v>YCbCrSubSampling</v>
      </c>
      <c r="B528" s="5" t="str">
        <f>IF(TRIM(J528)="","",H528)</f>
        <v/>
      </c>
      <c r="C528" s="5" t="str">
        <f>LEFT(F528,FIND(".",F528,6))</f>
        <v>Exif.Image.</v>
      </c>
      <c r="D528" s="5" t="str">
        <f>VLOOKUP(C528,PrefixUebersetzung,2,FALSE)</f>
        <v>Exif.Image (Bild).</v>
      </c>
      <c r="E528" s="5" t="str">
        <f>MID(F528,FIND(".",F528,6)+1,99)</f>
        <v>YCbCrSubSampling</v>
      </c>
      <c r="F528" s="5" t="s">
        <v>414</v>
      </c>
      <c r="G528" s="5" t="s">
        <v>9664</v>
      </c>
      <c r="H528" s="6" t="s">
        <v>2514</v>
      </c>
      <c r="I528" s="7" t="s">
        <v>5173</v>
      </c>
      <c r="K528" s="26"/>
      <c r="L528" s="6" t="str">
        <f>IFERROR(VLOOKUP(E528,A:I,9, FALSE),"")</f>
        <v>YCbCr Unterabtastung</v>
      </c>
      <c r="M528" s="6" t="str">
        <f>IFERROR(VLOOKUP(H528,B:J,9,FALSE),"")</f>
        <v/>
      </c>
      <c r="N528" s="6"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Description not translated </v>
      </c>
      <c r="O528" s="6" t="s">
        <v>8574</v>
      </c>
      <c r="P528" s="6" t="s">
        <v>8574</v>
      </c>
    </row>
    <row r="529" spans="1:17" ht="30" x14ac:dyDescent="0.25">
      <c r="A529" s="5" t="str">
        <f>IF(TRIM(I529)="","",E529)</f>
        <v/>
      </c>
      <c r="B529" s="5" t="str">
        <f>IF(TRIM(J529)="","",H529)</f>
        <v/>
      </c>
      <c r="C529" s="5" t="str">
        <f>LEFT(F529,FIND(".",F529,6))</f>
        <v>Exif.Image.</v>
      </c>
      <c r="D529" s="5" t="str">
        <f>VLOOKUP(C529,PrefixUebersetzung,2,FALSE)</f>
        <v>Exif.Image (Bild).</v>
      </c>
      <c r="E529" s="5" t="str">
        <f>MID(F529,FIND(".",F529,6)+1,99)</f>
        <v>YClipPathUnits</v>
      </c>
      <c r="F529" s="5" t="s">
        <v>415</v>
      </c>
      <c r="G529" s="5" t="s">
        <v>9665</v>
      </c>
      <c r="H529" s="6" t="s">
        <v>2515</v>
      </c>
      <c r="I529" s="7"/>
      <c r="K529" s="26"/>
      <c r="L529" s="6" t="str">
        <f>IFERROR(VLOOKUP(E529,A:I,9, FALSE),"")</f>
        <v/>
      </c>
      <c r="M529" s="6" t="str">
        <f>IFERROR(VLOOKUP(H529,B:J,9,FALSE),"")</f>
        <v/>
      </c>
      <c r="N529" s="6"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6" t="s">
        <v>8574</v>
      </c>
      <c r="P529" s="6" t="s">
        <v>8574</v>
      </c>
    </row>
    <row r="530" spans="1:17" ht="60" x14ac:dyDescent="0.25">
      <c r="A530" s="5" t="str">
        <f>IF(TRIM(I530)="","",E530)</f>
        <v>YResolution</v>
      </c>
      <c r="B530" s="5" t="str">
        <f>IF(TRIM(J530)="","",H530)</f>
        <v>The number of pixels per &lt;ResolutionUnit&gt; in the &lt;ImageLength&gt; direction. The same value as &lt;XResolution&gt; is designated.</v>
      </c>
      <c r="C530" s="5" t="str">
        <f>LEFT(F530,FIND(".",F530,6))</f>
        <v>Exif.Image.</v>
      </c>
      <c r="D530" s="5" t="str">
        <f>VLOOKUP(C530,PrefixUebersetzung,2,FALSE)</f>
        <v>Exif.Image (Bild).</v>
      </c>
      <c r="E530" s="5" t="str">
        <f>MID(F530,FIND(".",F530,6)+1,99)</f>
        <v>YResolution</v>
      </c>
      <c r="F530" s="5" t="s">
        <v>416</v>
      </c>
      <c r="G530" s="5" t="s">
        <v>9671</v>
      </c>
      <c r="H530" s="6" t="s">
        <v>2516</v>
      </c>
      <c r="I530" s="7" t="s">
        <v>4263</v>
      </c>
      <c r="J530" s="14" t="s">
        <v>5477</v>
      </c>
      <c r="K530" s="26"/>
      <c r="L530" s="6" t="str">
        <f>IFERROR(VLOOKUP(E530,A:I,9, FALSE),"")</f>
        <v>Auflösung Y</v>
      </c>
      <c r="M530" s="6" t="str">
        <f>IFERROR(VLOOKUP(H530,B:J,9,FALSE),"")</f>
        <v>Die Anzahl von Pixeln pro &lt;ResolutionUnit&gt; im &lt;ImageLength&gt; Richtung. Der gleiche Wert wie für &lt;XResolution&gt; wird zugeordnet.</v>
      </c>
      <c r="N530" s="6" t="str">
        <f>IF(AND(TRIM(I530)="",L530=""),"Suffix not translated ",
   IF(AND(TRIM(I530)&lt;&gt;"",TRIM(L530)&lt;&gt;"",TRIM(I530)&lt;&gt;TRIM(L530)),"Suffix translation &lt;&gt; lookup ", "" ))
&amp;IF(AND(TRIM(J530)="",M530=""),"Description not translated ",
   IF(AND(TRIM(J530)&lt;&gt;"",TRIM(M530)&lt;&gt;"",TRIM(J530)&lt;&gt;TRIM(M530)),"Description translation&lt;&gt; lookup ", "" ))</f>
        <v/>
      </c>
      <c r="O530" s="6" t="s">
        <v>8574</v>
      </c>
      <c r="P530" s="6" t="s">
        <v>8574</v>
      </c>
    </row>
    <row r="531" spans="1:17" ht="90" x14ac:dyDescent="0.25">
      <c r="A531" s="5" t="str">
        <f>IF(TRIM(I531)="","",E531)</f>
        <v>InteroperabilityIndex</v>
      </c>
      <c r="B531" s="5" t="str">
        <f>IF(TRIM(J531)="","",H531)</f>
        <v>Indicates the identification of the Interoperability rule. Use "R98" for stating ExifR98 Rules. Four bytes used including the termination code (NULL). see the separate volume of Recommended Exif Interoperability Rules (ExifR98) for other tags used for ExifR98.</v>
      </c>
      <c r="C531" s="5" t="str">
        <f>LEFT(F531,FIND(".",F531,6))</f>
        <v>Exif.Iop.</v>
      </c>
      <c r="D531" s="5" t="str">
        <f>VLOOKUP(C531,PrefixUebersetzung,2,FALSE)</f>
        <v>Exif.Iop.</v>
      </c>
      <c r="E531" s="5" t="str">
        <f>MID(F531,FIND(".",F531,6)+1,99)</f>
        <v>InteroperabilityIndex</v>
      </c>
      <c r="F531" s="5" t="s">
        <v>417</v>
      </c>
      <c r="G531" s="5" t="s">
        <v>9666</v>
      </c>
      <c r="H531" s="6" t="s">
        <v>2517</v>
      </c>
      <c r="I531" s="24" t="s">
        <v>5174</v>
      </c>
      <c r="J531" s="14" t="s">
        <v>5479</v>
      </c>
      <c r="K531" s="26"/>
      <c r="L531" s="6" t="str">
        <f>IFERROR(VLOOKUP(E531,A:I,9, FALSE),"")</f>
        <v>Interoperabilität Index</v>
      </c>
      <c r="N531" s="6" t="str">
        <f>IF(AND(TRIM(I531)="",L531=""),"Suffix not translated ",
   IF(AND(TRIM(I531)&lt;&gt;"",TRIM(L531)&lt;&gt;"",TRIM(I531)&lt;&gt;TRIM(L531)),"Suffix translation &lt;&gt; lookup ", "" ))
&amp;IF(AND(TRIM(J531)="",M531=""),"Description not translated ",
   IF(AND(TRIM(J531)&lt;&gt;"",TRIM(M531)&lt;&gt;"",TRIM(J531)&lt;&gt;TRIM(M531)),"Description translation&lt;&gt; lookup ", "" ))</f>
        <v/>
      </c>
      <c r="O531" s="6" t="s">
        <v>8574</v>
      </c>
      <c r="P531" s="6" t="s">
        <v>8574</v>
      </c>
    </row>
    <row r="532" spans="1:17" x14ac:dyDescent="0.25">
      <c r="A532" s="5" t="str">
        <f>IF(TRIM(I532)="","",E532)</f>
        <v>InteroperabilityVersion</v>
      </c>
      <c r="B532" s="5" t="str">
        <f>IF(TRIM(J532)="","",H532)</f>
        <v>Interoperability version</v>
      </c>
      <c r="C532" s="5" t="str">
        <f>LEFT(F532,FIND(".",F532,6))</f>
        <v>Exif.Iop.</v>
      </c>
      <c r="D532" s="5" t="str">
        <f>VLOOKUP(C532,PrefixUebersetzung,2,FALSE)</f>
        <v>Exif.Iop.</v>
      </c>
      <c r="E532" s="5" t="str">
        <f>MID(F532,FIND(".",F532,6)+1,99)</f>
        <v>InteroperabilityVersion</v>
      </c>
      <c r="F532" s="5" t="s">
        <v>418</v>
      </c>
      <c r="G532" s="5" t="s">
        <v>9669</v>
      </c>
      <c r="H532" s="6" t="s">
        <v>2518</v>
      </c>
      <c r="I532" s="24" t="s">
        <v>3896</v>
      </c>
      <c r="J532" s="14" t="s">
        <v>3896</v>
      </c>
      <c r="K532" s="26"/>
      <c r="N532" s="6" t="str">
        <f>IF(AND(TRIM(I532)="",L532=""),"Suffix not translated ",
   IF(AND(TRIM(I532)&lt;&gt;"",TRIM(L532)&lt;&gt;"",TRIM(I532)&lt;&gt;TRIM(L532)),"Suffix translation &lt;&gt; lookup ", "" ))
&amp;IF(AND(TRIM(J532)="",M532=""),"Description not translated ",
   IF(AND(TRIM(J532)&lt;&gt;"",TRIM(M532)&lt;&gt;"",TRIM(J532)&lt;&gt;TRIM(M532)),"Description translation&lt;&gt; lookup ", "" ))</f>
        <v/>
      </c>
      <c r="O532" s="6" t="s">
        <v>8574</v>
      </c>
      <c r="P532" s="6" t="s">
        <v>8574</v>
      </c>
      <c r="Q532" s="6" t="s">
        <v>9380</v>
      </c>
    </row>
    <row r="533" spans="1:17" x14ac:dyDescent="0.25">
      <c r="A533" s="5" t="str">
        <f>IF(TRIM(I533)="","",E533)</f>
        <v>RelatedImageFileFormat</v>
      </c>
      <c r="B533" s="5" t="str">
        <f>IF(TRIM(J533)="","",H533)</f>
        <v>File format of image file</v>
      </c>
      <c r="C533" s="5" t="str">
        <f>LEFT(F533,FIND(".",F533,6))</f>
        <v>Exif.Iop.</v>
      </c>
      <c r="D533" s="5" t="str">
        <f>VLOOKUP(C533,PrefixUebersetzung,2,FALSE)</f>
        <v>Exif.Iop.</v>
      </c>
      <c r="E533" s="5" t="str">
        <f>MID(F533,FIND(".",F533,6)+1,99)</f>
        <v>RelatedImageFileFormat</v>
      </c>
      <c r="F533" s="5" t="s">
        <v>419</v>
      </c>
      <c r="G533" s="5" t="s">
        <v>9666</v>
      </c>
      <c r="H533" s="6" t="s">
        <v>2519</v>
      </c>
      <c r="I533" s="31" t="s">
        <v>3897</v>
      </c>
      <c r="J533" s="14" t="s">
        <v>3897</v>
      </c>
      <c r="K533" s="26"/>
      <c r="N533" s="6" t="str">
        <f>IF(AND(TRIM(I533)="",L533=""),"Suffix not translated ",
   IF(AND(TRIM(I533)&lt;&gt;"",TRIM(L533)&lt;&gt;"",TRIM(I533)&lt;&gt;TRIM(L533)),"Suffix translation &lt;&gt; lookup ", "" ))
&amp;IF(AND(TRIM(J533)="",M533=""),"Description not translated ",
   IF(AND(TRIM(J533)&lt;&gt;"",TRIM(M533)&lt;&gt;"",TRIM(J533)&lt;&gt;TRIM(M533)),"Description translation&lt;&gt; lookup ", "" ))</f>
        <v/>
      </c>
      <c r="O533" s="6" t="s">
        <v>8574</v>
      </c>
      <c r="P533" s="6" t="s">
        <v>8574</v>
      </c>
      <c r="Q533" s="6" t="s">
        <v>3897</v>
      </c>
    </row>
    <row r="534" spans="1:17" x14ac:dyDescent="0.25">
      <c r="A534" s="5" t="str">
        <f>IF(TRIM(I534)="","",E534)</f>
        <v>RelatedImageLength</v>
      </c>
      <c r="B534" s="5" t="str">
        <f>IF(TRIM(J534)="","",H534)</f>
        <v/>
      </c>
      <c r="C534" s="5" t="str">
        <f>LEFT(F534,FIND(".",F534,6))</f>
        <v>Exif.Iop.</v>
      </c>
      <c r="D534" s="5" t="str">
        <f>VLOOKUP(C534,PrefixUebersetzung,2,FALSE)</f>
        <v>Exif.Iop.</v>
      </c>
      <c r="E534" s="5" t="str">
        <f>MID(F534,FIND(".",F534,6)+1,99)</f>
        <v>RelatedImageLength</v>
      </c>
      <c r="F534" s="5" t="s">
        <v>420</v>
      </c>
      <c r="G534" s="5" t="s">
        <v>9667</v>
      </c>
      <c r="H534" s="6" t="s">
        <v>2236</v>
      </c>
      <c r="I534" s="31" t="s">
        <v>3795</v>
      </c>
      <c r="K534" s="26"/>
      <c r="M534" s="6" t="str">
        <f>IFERROR(VLOOKUP(H534,B:J,9,FALSE),"")</f>
        <v>Bildhöhe</v>
      </c>
      <c r="N534" s="6" t="str">
        <f>IF(AND(TRIM(I534)="",L534=""),"Suffix not translated ",
   IF(AND(TRIM(I534)&lt;&gt;"",TRIM(L534)&lt;&gt;"",TRIM(I534)&lt;&gt;TRIM(L534)),"Suffix translation &lt;&gt; lookup ", "" ))
&amp;IF(AND(TRIM(J534)="",M534=""),"Description not translated ",
   IF(AND(TRIM(J534)&lt;&gt;"",TRIM(M534)&lt;&gt;"",TRIM(J534)&lt;&gt;TRIM(M534)),"Description translation&lt;&gt; lookup ", "" ))</f>
        <v/>
      </c>
      <c r="O534" s="6" t="s">
        <v>8574</v>
      </c>
    </row>
    <row r="535" spans="1:17" x14ac:dyDescent="0.25">
      <c r="A535" s="5" t="str">
        <f>IF(TRIM(I535)="","",E535)</f>
        <v>RelatedImageWidth</v>
      </c>
      <c r="B535" s="5" t="str">
        <f>IF(TRIM(J535)="","",H535)</f>
        <v/>
      </c>
      <c r="C535" s="5" t="str">
        <f>LEFT(F535,FIND(".",F535,6))</f>
        <v>Exif.Iop.</v>
      </c>
      <c r="D535" s="5" t="str">
        <f>VLOOKUP(C535,PrefixUebersetzung,2,FALSE)</f>
        <v>Exif.Iop.</v>
      </c>
      <c r="E535" s="5" t="str">
        <f>MID(F535,FIND(".",F535,6)+1,99)</f>
        <v>RelatedImageWidth</v>
      </c>
      <c r="F535" s="5" t="s">
        <v>421</v>
      </c>
      <c r="G535" s="5" t="s">
        <v>9667</v>
      </c>
      <c r="H535" s="6" t="s">
        <v>2238</v>
      </c>
      <c r="I535" s="31" t="s">
        <v>3797</v>
      </c>
      <c r="K535" s="26"/>
      <c r="M535" s="6" t="str">
        <f>IFERROR(VLOOKUP(H535,B:J,9,FALSE),"")</f>
        <v>Bildbreite</v>
      </c>
      <c r="N535" s="6" t="str">
        <f>IF(AND(TRIM(I535)="",L535=""),"Suffix not translated ",
   IF(AND(TRIM(I535)&lt;&gt;"",TRIM(L535)&lt;&gt;"",TRIM(I535)&lt;&gt;TRIM(L535)),"Suffix translation &lt;&gt; lookup ", "" ))
&amp;IF(AND(TRIM(J535)="",M535=""),"Description not translated ",
   IF(AND(TRIM(J535)&lt;&gt;"",TRIM(M535)&lt;&gt;"",TRIM(J535)&lt;&gt;TRIM(M535)),"Description translation&lt;&gt; lookup ", "" ))</f>
        <v/>
      </c>
      <c r="O535" s="6" t="s">
        <v>8574</v>
      </c>
    </row>
    <row r="536" spans="1:17" ht="30" x14ac:dyDescent="0.25">
      <c r="A536" s="5" t="str">
        <f>IF(TRIM(I536)="","",E536)</f>
        <v>ByteOrder</v>
      </c>
      <c r="B536" s="5" t="str">
        <f>IF(TRIM(J536)="","",H536)</f>
        <v>Byte order used to encode MakerNote tags, 'MM' (big-endian) or 'II' (little-endian).</v>
      </c>
      <c r="C536" s="5" t="str">
        <f>LEFT(F536,FIND(".",F536,6))</f>
        <v>Exif.MakerNote.</v>
      </c>
      <c r="D536" s="5" t="str">
        <f>VLOOKUP(C536,PrefixUebersetzung,2,FALSE)</f>
        <v>Exif.MakerNote (Herstellernotiz).</v>
      </c>
      <c r="E536" s="5" t="str">
        <f>MID(F536,FIND(".",F536,6)+1,99)</f>
        <v>ByteOrder</v>
      </c>
      <c r="F536" s="5" t="s">
        <v>422</v>
      </c>
      <c r="G536" s="5" t="s">
        <v>9666</v>
      </c>
      <c r="H536" s="6" t="s">
        <v>2520</v>
      </c>
      <c r="I536" s="7" t="s">
        <v>4872</v>
      </c>
      <c r="J536" s="14" t="s">
        <v>5480</v>
      </c>
      <c r="K536" s="26"/>
      <c r="N536" s="6" t="str">
        <f>IF(AND(TRIM(I536)="",L536=""),"Suffix not translated ",
   IF(AND(TRIM(I536)&lt;&gt;"",TRIM(L536)&lt;&gt;"",TRIM(I536)&lt;&gt;TRIM(L536)),"Suffix translation &lt;&gt; lookup ", "" ))
&amp;IF(AND(TRIM(J536)="",M536=""),"Description not translated ",
   IF(AND(TRIM(J536)&lt;&gt;"",TRIM(M536)&lt;&gt;"",TRIM(J536)&lt;&gt;TRIM(M536)),"Description translation&lt;&gt; lookup ", "" ))</f>
        <v/>
      </c>
      <c r="O536" s="6" t="s">
        <v>8574</v>
      </c>
      <c r="P536" s="6" t="s">
        <v>8574</v>
      </c>
    </row>
    <row r="537" spans="1:17" ht="30" x14ac:dyDescent="0.25">
      <c r="A537" s="5" t="str">
        <f>IF(TRIM(I537)="","",E537)</f>
        <v>Offset</v>
      </c>
      <c r="B537" s="5" t="str">
        <f>IF(TRIM(J537)="","",H537)</f>
        <v>Offset of the makernote from the start of the TIFF header.</v>
      </c>
      <c r="C537" s="5" t="str">
        <f>LEFT(F537,FIND(".",F537,6))</f>
        <v>Exif.MakerNote.</v>
      </c>
      <c r="D537" s="5" t="str">
        <f>VLOOKUP(C537,PrefixUebersetzung,2,FALSE)</f>
        <v>Exif.MakerNote (Herstellernotiz).</v>
      </c>
      <c r="E537" s="5" t="str">
        <f>MID(F537,FIND(".",F537,6)+1,99)</f>
        <v>Offset</v>
      </c>
      <c r="F537" s="5" t="s">
        <v>423</v>
      </c>
      <c r="G537" s="5" t="s">
        <v>9667</v>
      </c>
      <c r="H537" s="6" t="s">
        <v>2521</v>
      </c>
      <c r="I537" s="7" t="s">
        <v>4210</v>
      </c>
      <c r="J537" s="14" t="s">
        <v>3898</v>
      </c>
      <c r="K537" s="26"/>
      <c r="N537" s="6" t="str">
        <f>IF(AND(TRIM(I537)="",L537=""),"Suffix not translated ",
   IF(AND(TRIM(I537)&lt;&gt;"",TRIM(L537)&lt;&gt;"",TRIM(I537)&lt;&gt;TRIM(L537)),"Suffix translation &lt;&gt; lookup ", "" ))
&amp;IF(AND(TRIM(J537)="",M537=""),"Description not translated ",
   IF(AND(TRIM(J537)&lt;&gt;"",TRIM(M537)&lt;&gt;"",TRIM(J537)&lt;&gt;TRIM(M537)),"Description translation&lt;&gt; lookup ", "" ))</f>
        <v/>
      </c>
      <c r="O537" s="6" t="s">
        <v>8574</v>
      </c>
      <c r="P537" s="6" t="s">
        <v>8574</v>
      </c>
    </row>
    <row r="538" spans="1:17" x14ac:dyDescent="0.25">
      <c r="A538" s="5" t="str">
        <f>IF(TRIM(I538)="","",E538)</f>
        <v/>
      </c>
      <c r="B538" s="5" t="str">
        <f>IF(TRIM(J538)="","",H538)</f>
        <v/>
      </c>
      <c r="C538" s="5" t="str">
        <f>LEFT(F538,FIND(".",F538,6))</f>
        <v>Exif.Minolta.</v>
      </c>
      <c r="D538" s="5" t="str">
        <f>VLOOKUP(C538,PrefixUebersetzung,2,FALSE)</f>
        <v>Exif.Minolta.</v>
      </c>
      <c r="E538" s="5" t="str">
        <f>MID(F538,FIND(".",F538,6)+1,99)</f>
        <v>0x0103</v>
      </c>
      <c r="F538" s="5" t="s">
        <v>424</v>
      </c>
      <c r="G538" s="5" t="s">
        <v>9667</v>
      </c>
      <c r="H538" s="6" t="s">
        <v>2138</v>
      </c>
      <c r="I538" s="7"/>
      <c r="K538" s="26"/>
      <c r="M538" s="6" t="str">
        <f>IFERROR(VLOOKUP(H538,B:J,9,FALSE),"")</f>
        <v>Unbekannt</v>
      </c>
      <c r="N538" s="6"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v>
      </c>
      <c r="O538" s="6" t="s">
        <v>8574</v>
      </c>
    </row>
    <row r="539" spans="1:17" ht="30" x14ac:dyDescent="0.25">
      <c r="A539" s="5" t="str">
        <f>IF(TRIM(I539)="","",E539)</f>
        <v>CameraSettings5D</v>
      </c>
      <c r="B539" s="5" t="str">
        <f>IF(TRIM(J539)="","",H539)</f>
        <v>Camera Settings (for Dynax 5D model)</v>
      </c>
      <c r="C539" s="5" t="str">
        <f>LEFT(F539,FIND(".",F539,6))</f>
        <v>Exif.Minolta.</v>
      </c>
      <c r="D539" s="5" t="str">
        <f>VLOOKUP(C539,PrefixUebersetzung,2,FALSE)</f>
        <v>Exif.Minolta.</v>
      </c>
      <c r="E539" s="5" t="str">
        <f>MID(F539,FIND(".",F539,6)+1,99)</f>
        <v>CameraSettings5D</v>
      </c>
      <c r="F539" s="5" t="s">
        <v>425</v>
      </c>
      <c r="G539" s="5" t="s">
        <v>9669</v>
      </c>
      <c r="H539" s="6" t="s">
        <v>2522</v>
      </c>
      <c r="I539" s="31" t="s">
        <v>4873</v>
      </c>
      <c r="J539" s="14" t="s">
        <v>3899</v>
      </c>
      <c r="K539" s="26"/>
      <c r="N539" s="6" t="str">
        <f>IF(AND(TRIM(I539)="",L539=""),"Suffix not translated ",
   IF(AND(TRIM(I539)&lt;&gt;"",TRIM(L539)&lt;&gt;"",TRIM(I539)&lt;&gt;TRIM(L539)),"Suffix translation &lt;&gt; lookup ", "" ))
&amp;IF(AND(TRIM(J539)="",M539=""),"Description not translated ",
   IF(AND(TRIM(J539)&lt;&gt;"",TRIM(M539)&lt;&gt;"",TRIM(J539)&lt;&gt;TRIM(M539)),"Description translation&lt;&gt; lookup ", "" ))</f>
        <v/>
      </c>
      <c r="O539" s="6" t="s">
        <v>8574</v>
      </c>
      <c r="P539" s="6" t="s">
        <v>8574</v>
      </c>
      <c r="Q539" s="6" t="s">
        <v>9185</v>
      </c>
    </row>
    <row r="540" spans="1:17" ht="30" x14ac:dyDescent="0.25">
      <c r="A540" s="5" t="str">
        <f>IF(TRIM(I540)="","",E540)</f>
        <v>CameraSettings7D</v>
      </c>
      <c r="B540" s="5" t="str">
        <f>IF(TRIM(J540)="","",H540)</f>
        <v>Camera Settings (for Dynax 7D model)</v>
      </c>
      <c r="C540" s="5" t="str">
        <f>LEFT(F540,FIND(".",F540,6))</f>
        <v>Exif.Minolta.</v>
      </c>
      <c r="D540" s="5" t="str">
        <f>VLOOKUP(C540,PrefixUebersetzung,2,FALSE)</f>
        <v>Exif.Minolta.</v>
      </c>
      <c r="E540" s="5" t="str">
        <f>MID(F540,FIND(".",F540,6)+1,99)</f>
        <v>CameraSettings7D</v>
      </c>
      <c r="F540" s="5" t="s">
        <v>426</v>
      </c>
      <c r="G540" s="5" t="s">
        <v>9669</v>
      </c>
      <c r="H540" s="6" t="s">
        <v>2523</v>
      </c>
      <c r="I540" s="31" t="s">
        <v>4874</v>
      </c>
      <c r="J540" s="14" t="s">
        <v>3900</v>
      </c>
      <c r="K540" s="26"/>
      <c r="N540" s="6" t="str">
        <f>IF(AND(TRIM(I540)="",L540=""),"Suffix not translated ",
   IF(AND(TRIM(I540)&lt;&gt;"",TRIM(L540)&lt;&gt;"",TRIM(I540)&lt;&gt;TRIM(L540)),"Suffix translation &lt;&gt; lookup ", "" ))
&amp;IF(AND(TRIM(J540)="",M540=""),"Description not translated ",
   IF(AND(TRIM(J540)&lt;&gt;"",TRIM(M540)&lt;&gt;"",TRIM(J540)&lt;&gt;TRIM(M540)),"Description translation&lt;&gt; lookup ", "" ))</f>
        <v/>
      </c>
      <c r="O540" s="6" t="s">
        <v>8574</v>
      </c>
      <c r="P540" s="6" t="s">
        <v>8574</v>
      </c>
      <c r="Q540" s="6" t="s">
        <v>9186</v>
      </c>
    </row>
    <row r="541" spans="1:17" ht="30" x14ac:dyDescent="0.25">
      <c r="A541" s="5" t="str">
        <f>IF(TRIM(I541)="","",E541)</f>
        <v>CameraSettingsStdNew</v>
      </c>
      <c r="B541" s="5" t="str">
        <f>IF(TRIM(J541)="","",H541)</f>
        <v>Standard Camera settings (New Camera Models like D7u, D7i, and D7hi)</v>
      </c>
      <c r="C541" s="5" t="str">
        <f>LEFT(F541,FIND(".",F541,6))</f>
        <v>Exif.Minolta.</v>
      </c>
      <c r="D541" s="5" t="str">
        <f>VLOOKUP(C541,PrefixUebersetzung,2,FALSE)</f>
        <v>Exif.Minolta.</v>
      </c>
      <c r="E541" s="5" t="str">
        <f>MID(F541,FIND(".",F541,6)+1,99)</f>
        <v>CameraSettingsStdNew</v>
      </c>
      <c r="F541" s="5" t="s">
        <v>427</v>
      </c>
      <c r="G541" s="5" t="s">
        <v>9669</v>
      </c>
      <c r="H541" s="6" t="s">
        <v>2524</v>
      </c>
      <c r="I541" s="31" t="s">
        <v>5090</v>
      </c>
      <c r="J541" s="14" t="s">
        <v>3901</v>
      </c>
      <c r="K541" s="26"/>
      <c r="N541" s="6" t="str">
        <f>IF(AND(TRIM(I541)="",L541=""),"Suffix not translated ",
   IF(AND(TRIM(I541)&lt;&gt;"",TRIM(L541)&lt;&gt;"",TRIM(I541)&lt;&gt;TRIM(L541)),"Suffix translation &lt;&gt; lookup ", "" ))
&amp;IF(AND(TRIM(J541)="",M541=""),"Description not translated ",
   IF(AND(TRIM(J541)&lt;&gt;"",TRIM(M541)&lt;&gt;"",TRIM(J541)&lt;&gt;TRIM(M541)),"Description translation&lt;&gt; lookup ", "" ))</f>
        <v/>
      </c>
      <c r="O541" s="6" t="s">
        <v>8574</v>
      </c>
      <c r="P541" s="6" t="s">
        <v>8574</v>
      </c>
    </row>
    <row r="542" spans="1:17" ht="30" x14ac:dyDescent="0.25">
      <c r="A542" s="5" t="str">
        <f>IF(TRIM(I542)="","",E542)</f>
        <v>CameraSettingsStdOld</v>
      </c>
      <c r="B542" s="5" t="str">
        <f>IF(TRIM(J542)="","",H542)</f>
        <v>Standard Camera settings (Old Camera models like D5, D7, S304, and S404)</v>
      </c>
      <c r="C542" s="5" t="str">
        <f>LEFT(F542,FIND(".",F542,6))</f>
        <v>Exif.Minolta.</v>
      </c>
      <c r="D542" s="5" t="str">
        <f>VLOOKUP(C542,PrefixUebersetzung,2,FALSE)</f>
        <v>Exif.Minolta.</v>
      </c>
      <c r="E542" s="5" t="str">
        <f>MID(F542,FIND(".",F542,6)+1,99)</f>
        <v>CameraSettingsStdOld</v>
      </c>
      <c r="F542" s="5" t="s">
        <v>428</v>
      </c>
      <c r="G542" s="5" t="s">
        <v>9669</v>
      </c>
      <c r="H542" s="6" t="s">
        <v>2525</v>
      </c>
      <c r="I542" s="31" t="s">
        <v>5091</v>
      </c>
      <c r="J542" s="14" t="s">
        <v>3902</v>
      </c>
      <c r="K542" s="26"/>
      <c r="N542" s="6" t="str">
        <f>IF(AND(TRIM(I542)="",L542=""),"Suffix not translated ",
   IF(AND(TRIM(I542)&lt;&gt;"",TRIM(L542)&lt;&gt;"",TRIM(I542)&lt;&gt;TRIM(L542)),"Suffix translation &lt;&gt; lookup ", "" ))
&amp;IF(AND(TRIM(J542)="",M542=""),"Description not translated ",
   IF(AND(TRIM(J542)&lt;&gt;"",TRIM(M542)&lt;&gt;"",TRIM(J542)&lt;&gt;TRIM(M542)),"Description translation&lt;&gt; lookup ", "" ))</f>
        <v/>
      </c>
      <c r="O542" s="6" t="s">
        <v>8574</v>
      </c>
      <c r="P542" s="6" t="s">
        <v>8574</v>
      </c>
    </row>
    <row r="543" spans="1:17" ht="30" x14ac:dyDescent="0.25">
      <c r="A543" s="5" t="str">
        <f>IF(TRIM(I543)="","",E543)</f>
        <v>CameraSettingsZ1</v>
      </c>
      <c r="B543" s="5" t="str">
        <f>IF(TRIM(J543)="","",H543)</f>
        <v>Camera Settings (for Z1, DImage X, and F100 models)</v>
      </c>
      <c r="C543" s="5" t="str">
        <f>LEFT(F543,FIND(".",F543,6))</f>
        <v>Exif.Minolta.</v>
      </c>
      <c r="D543" s="5" t="str">
        <f>VLOOKUP(C543,PrefixUebersetzung,2,FALSE)</f>
        <v>Exif.Minolta.</v>
      </c>
      <c r="E543" s="5" t="str">
        <f>MID(F543,FIND(".",F543,6)+1,99)</f>
        <v>CameraSettingsZ1</v>
      </c>
      <c r="F543" s="5" t="s">
        <v>429</v>
      </c>
      <c r="G543" s="5" t="s">
        <v>9669</v>
      </c>
      <c r="H543" s="6" t="s">
        <v>2526</v>
      </c>
      <c r="I543" s="31" t="s">
        <v>4875</v>
      </c>
      <c r="J543" s="14" t="s">
        <v>3903</v>
      </c>
      <c r="K543" s="26"/>
      <c r="N543" s="6" t="str">
        <f>IF(AND(TRIM(I543)="",L543=""),"Suffix not translated ",
   IF(AND(TRIM(I543)&lt;&gt;"",TRIM(L543)&lt;&gt;"",TRIM(I543)&lt;&gt;TRIM(L543)),"Suffix translation &lt;&gt; lookup ", "" ))
&amp;IF(AND(TRIM(J543)="",M543=""),"Description not translated ",
   IF(AND(TRIM(J543)&lt;&gt;"",TRIM(M543)&lt;&gt;"",TRIM(J543)&lt;&gt;TRIM(M543)),"Description translation&lt;&gt; lookup ", "" ))</f>
        <v/>
      </c>
      <c r="O543" s="6" t="s">
        <v>8574</v>
      </c>
      <c r="P543" s="6" t="s">
        <v>8574</v>
      </c>
      <c r="Q543" s="6" t="s">
        <v>9187</v>
      </c>
    </row>
    <row r="544" spans="1:17" ht="30" x14ac:dyDescent="0.25">
      <c r="A544" s="5" t="str">
        <f>IF(TRIM(I544)="","",E544)</f>
        <v>ColorCompensationFilter</v>
      </c>
      <c r="B544" s="5" t="str">
        <f>IF(TRIM(J544)="","",H544)</f>
        <v>Color Compensation Filter: negative is green, positive is magenta</v>
      </c>
      <c r="C544" s="5" t="str">
        <f>LEFT(F544,FIND(".",F544,6))</f>
        <v>Exif.Minolta.</v>
      </c>
      <c r="D544" s="5" t="str">
        <f>VLOOKUP(C544,PrefixUebersetzung,2,FALSE)</f>
        <v>Exif.Minolta.</v>
      </c>
      <c r="E544" s="5" t="str">
        <f>MID(F544,FIND(".",F544,6)+1,99)</f>
        <v>ColorCompensationFilter</v>
      </c>
      <c r="F544" s="5" t="s">
        <v>430</v>
      </c>
      <c r="G544" s="5" t="s">
        <v>9667</v>
      </c>
      <c r="H544" s="6" t="s">
        <v>2527</v>
      </c>
      <c r="I544" s="7" t="s">
        <v>4876</v>
      </c>
      <c r="J544" s="14" t="s">
        <v>5422</v>
      </c>
      <c r="K544" s="26"/>
      <c r="L544" s="6" t="str">
        <f>IFERROR(VLOOKUP(E544,A:I,9, FALSE),"")</f>
        <v>Farbkompensationsfilter</v>
      </c>
      <c r="M544" s="6" t="str">
        <f>IFERROR(VLOOKUP(H544,B:J,9,FALSE),"")</f>
        <v>Farbkompensationsfilter: negativ ist grün, positiv ist magenta</v>
      </c>
      <c r="N544" s="6" t="str">
        <f>IF(AND(TRIM(I544)="",L544=""),"Suffix not translated ",
   IF(AND(TRIM(I544)&lt;&gt;"",TRIM(L544)&lt;&gt;"",TRIM(I544)&lt;&gt;TRIM(L544)),"Suffix translation &lt;&gt; lookup ", "" ))
&amp;IF(AND(TRIM(J544)="",M544=""),"Description not translated ",
   IF(AND(TRIM(J544)&lt;&gt;"",TRIM(M544)&lt;&gt;"",TRIM(J544)&lt;&gt;TRIM(M544)),"Description translation&lt;&gt; lookup ", "" ))</f>
        <v/>
      </c>
      <c r="O544" s="6" t="s">
        <v>8574</v>
      </c>
      <c r="P544" s="6" t="s">
        <v>8574</v>
      </c>
    </row>
    <row r="545" spans="1:17" x14ac:dyDescent="0.25">
      <c r="A545" s="5" t="str">
        <f>IF(TRIM(I545)="","",E545)</f>
        <v/>
      </c>
      <c r="B545" s="5" t="str">
        <f>IF(TRIM(J545)="","",H545)</f>
        <v/>
      </c>
      <c r="C545" s="5" t="str">
        <f>LEFT(F545,FIND(".",F545,6))</f>
        <v>Exif.Minolta.</v>
      </c>
      <c r="D545" s="5" t="str">
        <f>VLOOKUP(C545,PrefixUebersetzung,2,FALSE)</f>
        <v>Exif.Minolta.</v>
      </c>
      <c r="E545" s="5" t="str">
        <f>MID(F545,FIND(".",F545,6)+1,99)</f>
        <v>ColorMode</v>
      </c>
      <c r="F545" s="5" t="s">
        <v>431</v>
      </c>
      <c r="G545" s="5" t="s">
        <v>9667</v>
      </c>
      <c r="H545" s="6" t="s">
        <v>2528</v>
      </c>
      <c r="K545" s="26"/>
      <c r="L545" s="6" t="str">
        <f>IFERROR(VLOOKUP(E545,A:I,9, FALSE),"")</f>
        <v>Farbmodus</v>
      </c>
      <c r="M545" s="6" t="str">
        <f>IFERROR(VLOOKUP(H545,B:J,9,FALSE),"")</f>
        <v>Farbmodus</v>
      </c>
      <c r="N545" s="6" t="str">
        <f>IF(AND(TRIM(I545)="",L545=""),"Suffix not translated ",
   IF(AND(TRIM(I545)&lt;&gt;"",TRIM(L545)&lt;&gt;"",TRIM(I545)&lt;&gt;TRIM(L545)),"Suffix translation &lt;&gt; lookup ", "" ))
&amp;IF(AND(TRIM(J545)="",M545=""),"Description not translated ",
   IF(AND(TRIM(J545)&lt;&gt;"",TRIM(M545)&lt;&gt;"",TRIM(J545)&lt;&gt;TRIM(M545)),"Description translation&lt;&gt; lookup ", "" ))</f>
        <v/>
      </c>
    </row>
    <row r="546" spans="1:17" x14ac:dyDescent="0.25">
      <c r="A546" s="5" t="str">
        <f>IF(TRIM(I546)="","",E546)</f>
        <v/>
      </c>
      <c r="B546" s="5" t="str">
        <f>IF(TRIM(J546)="","",H546)</f>
        <v/>
      </c>
      <c r="C546" s="5" t="str">
        <f>LEFT(F546,FIND(".",F546,6))</f>
        <v>Exif.Minolta.</v>
      </c>
      <c r="D546" s="5" t="str">
        <f>VLOOKUP(C546,PrefixUebersetzung,2,FALSE)</f>
        <v>Exif.Minolta.</v>
      </c>
      <c r="E546" s="5" t="str">
        <f>MID(F546,FIND(".",F546,6)+1,99)</f>
        <v>ColorTemperature</v>
      </c>
      <c r="F546" s="5" t="s">
        <v>432</v>
      </c>
      <c r="G546" s="5" t="s">
        <v>9667</v>
      </c>
      <c r="H546" s="6" t="s">
        <v>2529</v>
      </c>
      <c r="K546" s="26"/>
      <c r="L546" s="6" t="str">
        <f>IFERROR(VLOOKUP(E546,A:I,9, FALSE),"")</f>
        <v>Farbtemperatur</v>
      </c>
      <c r="M546" s="6" t="str">
        <f>IFERROR(VLOOKUP(H546,B:J,9,FALSE),"")</f>
        <v>Farbtemperatur</v>
      </c>
      <c r="N546" s="6" t="str">
        <f>IF(AND(TRIM(I546)="",L546=""),"Suffix not translated ",
   IF(AND(TRIM(I546)&lt;&gt;"",TRIM(L546)&lt;&gt;"",TRIM(I546)&lt;&gt;TRIM(L546)),"Suffix translation &lt;&gt; lookup ", "" ))
&amp;IF(AND(TRIM(J546)="",M546=""),"Description not translated ",
   IF(AND(TRIM(J546)&lt;&gt;"",TRIM(M546)&lt;&gt;"",TRIM(J546)&lt;&gt;TRIM(M546)),"Description translation&lt;&gt; lookup ", "" ))</f>
        <v/>
      </c>
    </row>
    <row r="547" spans="1:17" x14ac:dyDescent="0.25">
      <c r="A547" s="5" t="str">
        <f>IF(TRIM(I547)="","",E547)</f>
        <v>CompressedImageSize</v>
      </c>
      <c r="B547" s="5" t="str">
        <f>IF(TRIM(J547)="","",H547)</f>
        <v>Compressed image size</v>
      </c>
      <c r="C547" s="5" t="str">
        <f>LEFT(F547,FIND(".",F547,6))</f>
        <v>Exif.Minolta.</v>
      </c>
      <c r="D547" s="5" t="str">
        <f>VLOOKUP(C547,PrefixUebersetzung,2,FALSE)</f>
        <v>Exif.Minolta.</v>
      </c>
      <c r="E547" s="5" t="str">
        <f>MID(F547,FIND(".",F547,6)+1,99)</f>
        <v>CompressedImageSize</v>
      </c>
      <c r="F547" s="5" t="s">
        <v>433</v>
      </c>
      <c r="G547" s="5" t="s">
        <v>9667</v>
      </c>
      <c r="H547" s="6" t="s">
        <v>2530</v>
      </c>
      <c r="I547" s="7" t="s">
        <v>4307</v>
      </c>
      <c r="J547" s="14" t="s">
        <v>4307</v>
      </c>
      <c r="K547" s="26"/>
      <c r="N547" s="6" t="str">
        <f>IF(AND(TRIM(I547)="",L547=""),"Suffix not translated ",
   IF(AND(TRIM(I547)&lt;&gt;"",TRIM(L547)&lt;&gt;"",TRIM(I547)&lt;&gt;TRIM(L547)),"Suffix translation &lt;&gt; lookup ", "" ))
&amp;IF(AND(TRIM(J547)="",M547=""),"Description not translated ",
   IF(AND(TRIM(J547)&lt;&gt;"",TRIM(M547)&lt;&gt;"",TRIM(J547)&lt;&gt;TRIM(M547)),"Description translation&lt;&gt; lookup ", "" ))</f>
        <v/>
      </c>
      <c r="O547" s="6" t="s">
        <v>8574</v>
      </c>
      <c r="P547" s="6" t="s">
        <v>8574</v>
      </c>
      <c r="Q547" s="6" t="s">
        <v>9212</v>
      </c>
    </row>
    <row r="548" spans="1:17" ht="30" x14ac:dyDescent="0.25">
      <c r="A548" s="5" t="str">
        <f>IF(TRIM(I548)="","",E548)</f>
        <v>FlashExposureComp</v>
      </c>
      <c r="B548" s="5" t="str">
        <f>IF(TRIM(J548)="","",H548)</f>
        <v>Flash exposure compensation in EV</v>
      </c>
      <c r="C548" s="5" t="str">
        <f>LEFT(F548,FIND(".",F548,6))</f>
        <v>Exif.Minolta.</v>
      </c>
      <c r="D548" s="5" t="str">
        <f>VLOOKUP(C548,PrefixUebersetzung,2,FALSE)</f>
        <v>Exif.Minolta.</v>
      </c>
      <c r="E548" s="5" t="str">
        <f>MID(F548,FIND(".",F548,6)+1,99)</f>
        <v>FlashExposureComp</v>
      </c>
      <c r="F548" s="5" t="s">
        <v>434</v>
      </c>
      <c r="G548" s="5" t="s">
        <v>9672</v>
      </c>
      <c r="H548" s="6" t="s">
        <v>2531</v>
      </c>
      <c r="I548" s="31" t="s">
        <v>3992</v>
      </c>
      <c r="J548" s="14" t="s">
        <v>5189</v>
      </c>
      <c r="K548" s="26"/>
      <c r="L548" s="6" t="str">
        <f>IFERROR(VLOOKUP(E548,A:I,9, FALSE),"")</f>
        <v>Blitzbelichtungskorrektur</v>
      </c>
      <c r="M548" s="6" t="str">
        <f>IFERROR(VLOOKUP(H548,B:J,9,FALSE),"")</f>
        <v>Blitzbelichtungskorrektur in EV</v>
      </c>
      <c r="N548" s="6" t="str">
        <f>IF(AND(TRIM(I548)="",L548=""),"Suffix not translated ",
   IF(AND(TRIM(I548)&lt;&gt;"",TRIM(L548)&lt;&gt;"",TRIM(I548)&lt;&gt;TRIM(L548)),"Suffix translation &lt;&gt; lookup ", "" ))
&amp;IF(AND(TRIM(J548)="",M548=""),"Description not translated ",
   IF(AND(TRIM(J548)&lt;&gt;"",TRIM(M548)&lt;&gt;"",TRIM(J548)&lt;&gt;TRIM(M548)),"Description translation&lt;&gt; lookup ", "" ))</f>
        <v/>
      </c>
      <c r="O548" s="6" t="s">
        <v>8574</v>
      </c>
      <c r="P548" s="6" t="s">
        <v>8574</v>
      </c>
      <c r="Q548" s="6" t="s">
        <v>9317</v>
      </c>
    </row>
    <row r="549" spans="1:17" x14ac:dyDescent="0.25">
      <c r="A549" s="5" t="str">
        <f>IF(TRIM(I549)="","",E549)</f>
        <v/>
      </c>
      <c r="B549" s="5" t="str">
        <f>IF(TRIM(J549)="","",H549)</f>
        <v/>
      </c>
      <c r="C549" s="5" t="str">
        <f>LEFT(F549,FIND(".",F549,6))</f>
        <v>Exif.Minolta.</v>
      </c>
      <c r="D549" s="5" t="str">
        <f>VLOOKUP(C549,PrefixUebersetzung,2,FALSE)</f>
        <v>Exif.Minolta.</v>
      </c>
      <c r="E549" s="5" t="str">
        <f>MID(F549,FIND(".",F549,6)+1,99)</f>
        <v>ImageStabilization</v>
      </c>
      <c r="F549" s="5" t="s">
        <v>435</v>
      </c>
      <c r="G549" s="5" t="s">
        <v>9667</v>
      </c>
      <c r="H549" s="6" t="s">
        <v>2198</v>
      </c>
      <c r="K549" s="26"/>
      <c r="L549" s="6" t="str">
        <f>IFERROR(VLOOKUP(E549,A:I,9, FALSE),"")</f>
        <v>Bildstabilisierung</v>
      </c>
      <c r="M549" s="6" t="str">
        <f>IFERROR(VLOOKUP(H549,B:J,9,FALSE),"")</f>
        <v>Bildstabilisierung</v>
      </c>
      <c r="N549" s="6" t="str">
        <f>IF(AND(TRIM(I549)="",L549=""),"Suffix not translated ",
   IF(AND(TRIM(I549)&lt;&gt;"",TRIM(L549)&lt;&gt;"",TRIM(I549)&lt;&gt;TRIM(L549)),"Suffix translation &lt;&gt; lookup ", "" ))
&amp;IF(AND(TRIM(J549)="",M549=""),"Description not translated ",
   IF(AND(TRIM(J549)&lt;&gt;"",TRIM(M549)&lt;&gt;"",TRIM(J549)&lt;&gt;TRIM(M549)),"Description translation&lt;&gt; lookup ", "" ))</f>
        <v/>
      </c>
    </row>
    <row r="550" spans="1:17" x14ac:dyDescent="0.25">
      <c r="A550" s="5" t="str">
        <f>IF(TRIM(I550)="","",E550)</f>
        <v>ImageStabilizationA100</v>
      </c>
      <c r="B550" s="5" t="str">
        <f>IF(TRIM(J550)="","",H550)</f>
        <v>Image Stabilization for the Sony DSLR-A100</v>
      </c>
      <c r="C550" s="5" t="str">
        <f>LEFT(F550,FIND(".",F550,6))</f>
        <v>Exif.Minolta.</v>
      </c>
      <c r="D550" s="5" t="str">
        <f>VLOOKUP(C550,PrefixUebersetzung,2,FALSE)</f>
        <v>Exif.Minolta.</v>
      </c>
      <c r="E550" s="5" t="str">
        <f>MID(F550,FIND(".",F550,6)+1,99)</f>
        <v>ImageStabilizationA100</v>
      </c>
      <c r="F550" s="5" t="s">
        <v>436</v>
      </c>
      <c r="G550" s="5" t="s">
        <v>9667</v>
      </c>
      <c r="H550" s="6" t="s">
        <v>2532</v>
      </c>
      <c r="I550" s="31" t="s">
        <v>4308</v>
      </c>
      <c r="J550" s="14" t="s">
        <v>3905</v>
      </c>
      <c r="K550" s="26"/>
      <c r="N550" s="6" t="str">
        <f>IF(AND(TRIM(I550)="",L550=""),"Suffix not translated ",
   IF(AND(TRIM(I550)&lt;&gt;"",TRIM(L550)&lt;&gt;"",TRIM(I550)&lt;&gt;TRIM(L550)),"Suffix translation &lt;&gt; lookup ", "" ))
&amp;IF(AND(TRIM(J550)="",M550=""),"Description not translated ",
   IF(AND(TRIM(J550)&lt;&gt;"",TRIM(M550)&lt;&gt;"",TRIM(J550)&lt;&gt;TRIM(M550)),"Description translation&lt;&gt; lookup ", "" ))</f>
        <v/>
      </c>
      <c r="O550" s="6" t="s">
        <v>8574</v>
      </c>
      <c r="P550" s="6" t="s">
        <v>8574</v>
      </c>
      <c r="Q550" s="6" t="s">
        <v>9359</v>
      </c>
    </row>
    <row r="551" spans="1:17" x14ac:dyDescent="0.25">
      <c r="A551" s="5" t="str">
        <f>IF(TRIM(I551)="","",E551)</f>
        <v>ImageStabilizationData</v>
      </c>
      <c r="B551" s="5" t="str">
        <f>IF(TRIM(J551)="","",H551)</f>
        <v>Image stabilization data</v>
      </c>
      <c r="C551" s="5" t="str">
        <f>LEFT(F551,FIND(".",F551,6))</f>
        <v>Exif.Minolta.</v>
      </c>
      <c r="D551" s="5" t="str">
        <f>VLOOKUP(C551,PrefixUebersetzung,2,FALSE)</f>
        <v>Exif.Minolta.</v>
      </c>
      <c r="E551" s="5" t="str">
        <f>MID(F551,FIND(".",F551,6)+1,99)</f>
        <v>ImageStabilizationData</v>
      </c>
      <c r="F551" s="5" t="s">
        <v>437</v>
      </c>
      <c r="G551" s="5" t="s">
        <v>9669</v>
      </c>
      <c r="H551" s="6" t="s">
        <v>2533</v>
      </c>
      <c r="I551" s="31" t="s">
        <v>3906</v>
      </c>
      <c r="J551" s="14" t="s">
        <v>3906</v>
      </c>
      <c r="K551" s="26"/>
      <c r="N551" s="6" t="str">
        <f>IF(AND(TRIM(I551)="",L551=""),"Suffix not translated ",
   IF(AND(TRIM(I551)&lt;&gt;"",TRIM(L551)&lt;&gt;"",TRIM(I551)&lt;&gt;TRIM(L551)),"Suffix translation &lt;&gt; lookup ", "" ))
&amp;IF(AND(TRIM(J551)="",M551=""),"Description not translated ",
   IF(AND(TRIM(J551)&lt;&gt;"",TRIM(M551)&lt;&gt;"",TRIM(J551)&lt;&gt;TRIM(M551)),"Description translation&lt;&gt; lookup ", "" ))</f>
        <v/>
      </c>
      <c r="O551" s="6" t="s">
        <v>8574</v>
      </c>
      <c r="P551" s="6" t="s">
        <v>8574</v>
      </c>
      <c r="Q551" s="6" t="s">
        <v>9359</v>
      </c>
    </row>
    <row r="552" spans="1:17" x14ac:dyDescent="0.25">
      <c r="A552" s="5" t="str">
        <f>IF(TRIM(I552)="","",E552)</f>
        <v>LensID</v>
      </c>
      <c r="B552" s="5" t="str">
        <f>IF(TRIM(J552)="","",H552)</f>
        <v>Lens identifier</v>
      </c>
      <c r="C552" s="5" t="str">
        <f>LEFT(F552,FIND(".",F552,6))</f>
        <v>Exif.Minolta.</v>
      </c>
      <c r="D552" s="5" t="str">
        <f>VLOOKUP(C552,PrefixUebersetzung,2,FALSE)</f>
        <v>Exif.Minolta.</v>
      </c>
      <c r="E552" s="5" t="str">
        <f>MID(F552,FIND(".",F552,6)+1,99)</f>
        <v>LensID</v>
      </c>
      <c r="F552" s="5" t="s">
        <v>438</v>
      </c>
      <c r="G552" s="5" t="s">
        <v>9667</v>
      </c>
      <c r="H552" s="6" t="s">
        <v>2534</v>
      </c>
      <c r="I552" s="31" t="s">
        <v>3907</v>
      </c>
      <c r="J552" s="14" t="s">
        <v>3907</v>
      </c>
      <c r="K552" s="26"/>
      <c r="L552" s="6" t="str">
        <f>IFERROR(VLOOKUP(E552,A:I,9, FALSE),"")</f>
        <v>Objektiv Kennung</v>
      </c>
      <c r="M552" s="6" t="str">
        <f>IFERROR(VLOOKUP(H552,B:J,9,FALSE),"")</f>
        <v>Objektiv Kennung</v>
      </c>
      <c r="N552" s="6" t="str">
        <f>IF(AND(TRIM(I552)="",L552=""),"Suffix not translated ",
   IF(AND(TRIM(I552)&lt;&gt;"",TRIM(L552)&lt;&gt;"",TRIM(I552)&lt;&gt;TRIM(L552)),"Suffix translation &lt;&gt; lookup ", "" ))
&amp;IF(AND(TRIM(J552)="",M552=""),"Description not translated ",
   IF(AND(TRIM(J552)&lt;&gt;"",TRIM(M552)&lt;&gt;"",TRIM(J552)&lt;&gt;TRIM(M552)),"Description translation&lt;&gt; lookup ", "" ))</f>
        <v/>
      </c>
      <c r="O552" s="6" t="s">
        <v>8574</v>
      </c>
      <c r="P552" s="6" t="s">
        <v>8574</v>
      </c>
      <c r="Q552" s="6" t="s">
        <v>9399</v>
      </c>
    </row>
    <row r="553" spans="1:17" x14ac:dyDescent="0.25">
      <c r="A553" s="5" t="str">
        <f>IF(TRIM(I553)="","",E553)</f>
        <v/>
      </c>
      <c r="B553" s="5" t="str">
        <f>IF(TRIM(J553)="","",H553)</f>
        <v/>
      </c>
      <c r="C553" s="5" t="str">
        <f>LEFT(F553,FIND(".",F553,6))</f>
        <v>Exif.Minolta.</v>
      </c>
      <c r="D553" s="5" t="str">
        <f>VLOOKUP(C553,PrefixUebersetzung,2,FALSE)</f>
        <v>Exif.Minolta.</v>
      </c>
      <c r="E553" s="5" t="str">
        <f>MID(F553,FIND(".",F553,6)+1,99)</f>
        <v>PrintIM</v>
      </c>
      <c r="F553" s="5" t="s">
        <v>439</v>
      </c>
      <c r="G553" s="5" t="s">
        <v>9669</v>
      </c>
      <c r="H553" s="6" t="s">
        <v>2535</v>
      </c>
      <c r="K553" s="26"/>
      <c r="L553" s="6" t="str">
        <f>IFERROR(VLOOKUP(E553,A:I,9, FALSE),"")</f>
        <v>PrintIM</v>
      </c>
      <c r="M553" s="6" t="str">
        <f>IFERROR(VLOOKUP(H553,B:J,9,FALSE),"")</f>
        <v>PrintIM Informationen</v>
      </c>
      <c r="N553" s="6" t="str">
        <f>IF(AND(TRIM(I553)="",L553=""),"Suffix not translated ",
   IF(AND(TRIM(I553)&lt;&gt;"",TRIM(L553)&lt;&gt;"",TRIM(I553)&lt;&gt;TRIM(L553)),"Suffix translation &lt;&gt; lookup ", "" ))
&amp;IF(AND(TRIM(J553)="",M553=""),"Description not translated ",
   IF(AND(TRIM(J553)&lt;&gt;"",TRIM(M553)&lt;&gt;"",TRIM(J553)&lt;&gt;TRIM(M553)),"Description translation&lt;&gt; lookup ", "" ))</f>
        <v/>
      </c>
    </row>
    <row r="554" spans="1:17" x14ac:dyDescent="0.25">
      <c r="A554" s="5" t="str">
        <f>IF(TRIM(I554)="","",E554)</f>
        <v/>
      </c>
      <c r="B554" s="5" t="str">
        <f>IF(TRIM(J554)="","",H554)</f>
        <v>Image quality</v>
      </c>
      <c r="C554" s="5" t="str">
        <f>LEFT(F554,FIND(".",F554,6))</f>
        <v>Exif.Minolta.</v>
      </c>
      <c r="D554" s="5" t="str">
        <f>VLOOKUP(C554,PrefixUebersetzung,2,FALSE)</f>
        <v>Exif.Minolta.</v>
      </c>
      <c r="E554" s="5" t="str">
        <f>MID(F554,FIND(".",F554,6)+1,99)</f>
        <v>Quality</v>
      </c>
      <c r="F554" s="5" t="s">
        <v>440</v>
      </c>
      <c r="G554" s="5" t="s">
        <v>9667</v>
      </c>
      <c r="H554" s="6" t="s">
        <v>2536</v>
      </c>
      <c r="J554" s="14" t="s">
        <v>3909</v>
      </c>
      <c r="K554" s="26"/>
      <c r="L554" s="6" t="str">
        <f>IFERROR(VLOOKUP(E554,A:I,9, FALSE),"")</f>
        <v>Qualität</v>
      </c>
      <c r="M554" s="6" t="str">
        <f>IFERROR(VLOOKUP(H554,B:J,9,FALSE),"")</f>
        <v>Bildqualität</v>
      </c>
      <c r="N554" s="6" t="str">
        <f>IF(AND(TRIM(I554)="",L554=""),"Suffix not translated ",
   IF(AND(TRIM(I554)&lt;&gt;"",TRIM(L554)&lt;&gt;"",TRIM(I554)&lt;&gt;TRIM(L554)),"Suffix translation &lt;&gt; lookup ", "" ))
&amp;IF(AND(TRIM(J554)="",M554=""),"Description not translated ",
   IF(AND(TRIM(J554)&lt;&gt;"",TRIM(M554)&lt;&gt;"",TRIM(J554)&lt;&gt;TRIM(M554)),"Description translation&lt;&gt; lookup ", "" ))</f>
        <v/>
      </c>
      <c r="P554" s="6" t="s">
        <v>8574</v>
      </c>
      <c r="Q554" s="6" t="s">
        <v>9337</v>
      </c>
    </row>
    <row r="555" spans="1:17" x14ac:dyDescent="0.25">
      <c r="A555" s="5" t="str">
        <f>IF(TRIM(I555)="","",E555)</f>
        <v>RawAndJpgRecording</v>
      </c>
      <c r="B555" s="5" t="str">
        <f>IF(TRIM(J555)="","",H555)</f>
        <v>RAW and JPG files recording</v>
      </c>
      <c r="C555" s="5" t="str">
        <f>LEFT(F555,FIND(".",F555,6))</f>
        <v>Exif.Minolta.</v>
      </c>
      <c r="D555" s="5" t="str">
        <f>VLOOKUP(C555,PrefixUebersetzung,2,FALSE)</f>
        <v>Exif.Minolta.</v>
      </c>
      <c r="E555" s="5" t="str">
        <f>MID(F555,FIND(".",F555,6)+1,99)</f>
        <v>RawAndJpgRecording</v>
      </c>
      <c r="F555" s="5" t="s">
        <v>441</v>
      </c>
      <c r="G555" s="5" t="s">
        <v>9667</v>
      </c>
      <c r="H555" s="6" t="s">
        <v>2537</v>
      </c>
      <c r="I555" s="31" t="s">
        <v>4309</v>
      </c>
      <c r="J555" s="14" t="s">
        <v>5188</v>
      </c>
      <c r="K555" s="26"/>
      <c r="N555" s="6" t="str">
        <f>IF(AND(TRIM(I555)="",L555=""),"Suffix not translated ",
   IF(AND(TRIM(I555)&lt;&gt;"",TRIM(L555)&lt;&gt;"",TRIM(I555)&lt;&gt;TRIM(L555)),"Suffix translation &lt;&gt; lookup ", "" ))
&amp;IF(AND(TRIM(J555)="",M555=""),"Description not translated ",
   IF(AND(TRIM(J555)&lt;&gt;"",TRIM(M555)&lt;&gt;"",TRIM(J555)&lt;&gt;TRIM(M555)),"Description translation&lt;&gt; lookup ", "" ))</f>
        <v/>
      </c>
      <c r="O555" s="6" t="s">
        <v>8574</v>
      </c>
      <c r="P555" s="6" t="s">
        <v>8574</v>
      </c>
    </row>
    <row r="556" spans="1:17" x14ac:dyDescent="0.25">
      <c r="A556" s="5" t="str">
        <f>IF(TRIM(I556)="","",E556)</f>
        <v>SceneMode</v>
      </c>
      <c r="B556" s="5" t="str">
        <f>IF(TRIM(J556)="","",H556)</f>
        <v>Scene Mode</v>
      </c>
      <c r="C556" s="5" t="str">
        <f>LEFT(F556,FIND(".",F556,6))</f>
        <v>Exif.Minolta.</v>
      </c>
      <c r="D556" s="5" t="str">
        <f>VLOOKUP(C556,PrefixUebersetzung,2,FALSE)</f>
        <v>Exif.Minolta.</v>
      </c>
      <c r="E556" s="5" t="str">
        <f>MID(F556,FIND(".",F556,6)+1,99)</f>
        <v>SceneMode</v>
      </c>
      <c r="F556" s="5" t="s">
        <v>442</v>
      </c>
      <c r="G556" s="5" t="s">
        <v>9667</v>
      </c>
      <c r="H556" s="6" t="s">
        <v>2538</v>
      </c>
      <c r="I556" s="31" t="s">
        <v>4877</v>
      </c>
      <c r="J556" s="14" t="s">
        <v>4877</v>
      </c>
      <c r="K556" s="26"/>
      <c r="L556" s="6" t="str">
        <f>IFERROR(VLOOKUP(E556,A:I,9, FALSE),"")</f>
        <v>Szenenmodus</v>
      </c>
      <c r="M556" s="6" t="str">
        <f>IFERROR(VLOOKUP(H556,B:J,9,FALSE),"")</f>
        <v>Szenenmodus</v>
      </c>
      <c r="N556" s="6" t="str">
        <f>IF(AND(TRIM(I556)="",L556=""),"Suffix not translated ",
   IF(AND(TRIM(I556)&lt;&gt;"",TRIM(L556)&lt;&gt;"",TRIM(I556)&lt;&gt;TRIM(L556)),"Suffix translation &lt;&gt; lookup ", "" ))
&amp;IF(AND(TRIM(J556)="",M556=""),"Description not translated ",
   IF(AND(TRIM(J556)&lt;&gt;"",TRIM(M556)&lt;&gt;"",TRIM(J556)&lt;&gt;TRIM(M556)),"Description translation&lt;&gt; lookup ", "" ))</f>
        <v/>
      </c>
      <c r="O556" s="6" t="s">
        <v>8574</v>
      </c>
      <c r="P556" s="6" t="s">
        <v>8574</v>
      </c>
      <c r="Q556" s="6" t="s">
        <v>4877</v>
      </c>
    </row>
    <row r="557" spans="1:17" x14ac:dyDescent="0.25">
      <c r="A557" s="5" t="str">
        <f>IF(TRIM(I557)="","",E557)</f>
        <v>Teleconverter</v>
      </c>
      <c r="B557" s="5" t="str">
        <f>IF(TRIM(J557)="","",H557)</f>
        <v>Teleconverter Model</v>
      </c>
      <c r="C557" s="5" t="str">
        <f>LEFT(F557,FIND(".",F557,6))</f>
        <v>Exif.Minolta.</v>
      </c>
      <c r="D557" s="5" t="str">
        <f>VLOOKUP(C557,PrefixUebersetzung,2,FALSE)</f>
        <v>Exif.Minolta.</v>
      </c>
      <c r="E557" s="5" t="str">
        <f>MID(F557,FIND(".",F557,6)+1,99)</f>
        <v>Teleconverter</v>
      </c>
      <c r="F557" s="5" t="s">
        <v>443</v>
      </c>
      <c r="G557" s="5" t="s">
        <v>9667</v>
      </c>
      <c r="H557" s="6" t="s">
        <v>2539</v>
      </c>
      <c r="I557" s="7" t="s">
        <v>4310</v>
      </c>
      <c r="J557" s="14" t="s">
        <v>3910</v>
      </c>
      <c r="K557" s="26"/>
      <c r="L557" s="6" t="str">
        <f>IFERROR(VLOOKUP(E557,A:I,9, FALSE),"")</f>
        <v>Telekonverter</v>
      </c>
      <c r="M557" s="6" t="str">
        <f>IFERROR(VLOOKUP(H557,B:J,9,FALSE),"")</f>
        <v>Telekonverter Modell</v>
      </c>
      <c r="N557" s="6" t="str">
        <f>IF(AND(TRIM(I557)="",L557=""),"Suffix not translated ",
   IF(AND(TRIM(I557)&lt;&gt;"",TRIM(L557)&lt;&gt;"",TRIM(I557)&lt;&gt;TRIM(L557)),"Suffix translation &lt;&gt; lookup ", "" ))
&amp;IF(AND(TRIM(J557)="",M557=""),"Description not translated ",
   IF(AND(TRIM(J557)&lt;&gt;"",TRIM(M557)&lt;&gt;"",TRIM(J557)&lt;&gt;TRIM(M557)),"Description translation&lt;&gt; lookup ", "" ))</f>
        <v/>
      </c>
      <c r="O557" s="6" t="s">
        <v>8574</v>
      </c>
      <c r="P557" s="6" t="s">
        <v>8574</v>
      </c>
      <c r="Q557" s="6" t="s">
        <v>9288</v>
      </c>
    </row>
    <row r="558" spans="1:17" x14ac:dyDescent="0.25">
      <c r="A558" s="5" t="str">
        <f>IF(TRIM(I558)="","",E558)</f>
        <v>Thumbnail</v>
      </c>
      <c r="B558" s="5" t="str">
        <f>IF(TRIM(J558)="","",H558)</f>
        <v>Jpeg thumbnail 640x480 pixels</v>
      </c>
      <c r="C558" s="5" t="str">
        <f>LEFT(F558,FIND(".",F558,6))</f>
        <v>Exif.Minolta.</v>
      </c>
      <c r="D558" s="5" t="str">
        <f>VLOOKUP(C558,PrefixUebersetzung,2,FALSE)</f>
        <v>Exif.Minolta.</v>
      </c>
      <c r="E558" s="5" t="str">
        <f>MID(F558,FIND(".",F558,6)+1,99)</f>
        <v>Thumbnail</v>
      </c>
      <c r="F558" s="5" t="s">
        <v>444</v>
      </c>
      <c r="G558" s="5" t="s">
        <v>9669</v>
      </c>
      <c r="H558" s="6" t="s">
        <v>2540</v>
      </c>
      <c r="I558" s="7" t="s">
        <v>4003</v>
      </c>
      <c r="J558" s="14" t="s">
        <v>3911</v>
      </c>
      <c r="K558" s="26"/>
      <c r="L558" s="6" t="str">
        <f>IFERROR(VLOOKUP(E558,A:I,9, FALSE),"")</f>
        <v>Miniaturansicht</v>
      </c>
      <c r="N558" s="6" t="str">
        <f>IF(AND(TRIM(I558)="",L558=""),"Suffix not translated ",
   IF(AND(TRIM(I558)&lt;&gt;"",TRIM(L558)&lt;&gt;"",TRIM(I558)&lt;&gt;TRIM(L558)),"Suffix translation &lt;&gt; lookup ", "" ))
&amp;IF(AND(TRIM(J558)="",M558=""),"Description not translated ",
   IF(AND(TRIM(J558)&lt;&gt;"",TRIM(M558)&lt;&gt;"",TRIM(J558)&lt;&gt;TRIM(M558)),"Description translation&lt;&gt; lookup ", "" ))</f>
        <v/>
      </c>
      <c r="O558" s="6" t="s">
        <v>8574</v>
      </c>
      <c r="P558" s="6" t="s">
        <v>8574</v>
      </c>
      <c r="Q558" s="6" t="s">
        <v>9382</v>
      </c>
    </row>
    <row r="559" spans="1:17" x14ac:dyDescent="0.25">
      <c r="A559" s="5" t="str">
        <f>IF(TRIM(I559)="","",E559)</f>
        <v>ThumbnailLength</v>
      </c>
      <c r="B559" s="5" t="str">
        <f>IF(TRIM(J559)="","",H559)</f>
        <v>Size of the thumbnail</v>
      </c>
      <c r="C559" s="5" t="str">
        <f>LEFT(F559,FIND(".",F559,6))</f>
        <v>Exif.Minolta.</v>
      </c>
      <c r="D559" s="5" t="str">
        <f>VLOOKUP(C559,PrefixUebersetzung,2,FALSE)</f>
        <v>Exif.Minolta.</v>
      </c>
      <c r="E559" s="5" t="str">
        <f>MID(F559,FIND(".",F559,6)+1,99)</f>
        <v>ThumbnailLength</v>
      </c>
      <c r="F559" s="5" t="s">
        <v>445</v>
      </c>
      <c r="G559" s="5" t="s">
        <v>9667</v>
      </c>
      <c r="H559" s="6" t="s">
        <v>2541</v>
      </c>
      <c r="I559" s="7" t="s">
        <v>6756</v>
      </c>
      <c r="J559" s="14" t="s">
        <v>3912</v>
      </c>
      <c r="K559" s="26"/>
      <c r="L559" s="6" t="str">
        <f>IFERROR(VLOOKUP(E559,A:I,9, FALSE),"")</f>
        <v>Vorschaubild Größe</v>
      </c>
      <c r="N559" s="6" t="str">
        <f>IF(AND(TRIM(I559)="",L559=""),"Suffix not translated ",
   IF(AND(TRIM(I559)&lt;&gt;"",TRIM(L559)&lt;&gt;"",TRIM(I559)&lt;&gt;TRIM(L559)),"Suffix translation &lt;&gt; lookup ", "" ))
&amp;IF(AND(TRIM(J559)="",M559=""),"Description not translated ",
   IF(AND(TRIM(J559)&lt;&gt;"",TRIM(M559)&lt;&gt;"",TRIM(J559)&lt;&gt;TRIM(M559)),"Description translation&lt;&gt; lookup ", "" ))</f>
        <v/>
      </c>
      <c r="O559" s="6" t="s">
        <v>8574</v>
      </c>
      <c r="P559" s="6" t="s">
        <v>8574</v>
      </c>
      <c r="Q559" s="6" t="s">
        <v>9489</v>
      </c>
    </row>
    <row r="560" spans="1:17" x14ac:dyDescent="0.25">
      <c r="A560" s="5" t="str">
        <f>IF(TRIM(I560)="","",E560)</f>
        <v>ThumbnailOffset</v>
      </c>
      <c r="B560" s="5" t="str">
        <f>IF(TRIM(J560)="","",H560)</f>
        <v>Offset of the thumbnail</v>
      </c>
      <c r="C560" s="5" t="str">
        <f>LEFT(F560,FIND(".",F560,6))</f>
        <v>Exif.Minolta.</v>
      </c>
      <c r="D560" s="5" t="str">
        <f>VLOOKUP(C560,PrefixUebersetzung,2,FALSE)</f>
        <v>Exif.Minolta.</v>
      </c>
      <c r="E560" s="5" t="str">
        <f>MID(F560,FIND(".",F560,6)+1,99)</f>
        <v>ThumbnailOffset</v>
      </c>
      <c r="F560" s="5" t="s">
        <v>446</v>
      </c>
      <c r="G560" s="5" t="s">
        <v>9667</v>
      </c>
      <c r="H560" s="6" t="s">
        <v>2542</v>
      </c>
      <c r="I560" s="7" t="s">
        <v>4879</v>
      </c>
      <c r="J560" s="14" t="s">
        <v>3913</v>
      </c>
      <c r="K560" s="26"/>
      <c r="L560" s="6" t="str">
        <f>IFERROR(VLOOKUP(E560,A:I,9, FALSE),"")</f>
        <v>Miniaturansicht Offset</v>
      </c>
      <c r="N560" s="6" t="str">
        <f>IF(AND(TRIM(I560)="",L560=""),"Suffix not translated ",
   IF(AND(TRIM(I560)&lt;&gt;"",TRIM(L560)&lt;&gt;"",TRIM(I560)&lt;&gt;TRIM(L560)),"Suffix translation &lt;&gt; lookup ", "" ))
&amp;IF(AND(TRIM(J560)="",M560=""),"Description not translated ",
   IF(AND(TRIM(J560)&lt;&gt;"",TRIM(M560)&lt;&gt;"",TRIM(J560)&lt;&gt;TRIM(M560)),"Description translation&lt;&gt; lookup ", "" ))</f>
        <v/>
      </c>
      <c r="O560" s="6" t="s">
        <v>8574</v>
      </c>
      <c r="P560" s="6" t="s">
        <v>8574</v>
      </c>
      <c r="Q560" s="6" t="s">
        <v>9434</v>
      </c>
    </row>
    <row r="561" spans="1:17" x14ac:dyDescent="0.25">
      <c r="A561" s="5" t="str">
        <f>IF(TRIM(I561)="","",E561)</f>
        <v/>
      </c>
      <c r="B561" s="5" t="str">
        <f>IF(TRIM(J561)="","",H561)</f>
        <v>String 'MLT0' (not null terminated)</v>
      </c>
      <c r="C561" s="5" t="str">
        <f>LEFT(F561,FIND(".",F561,6))</f>
        <v>Exif.Minolta.</v>
      </c>
      <c r="D561" s="5" t="str">
        <f>VLOOKUP(C561,PrefixUebersetzung,2,FALSE)</f>
        <v>Exif.Minolta.</v>
      </c>
      <c r="E561" s="5" t="str">
        <f>MID(F561,FIND(".",F561,6)+1,99)</f>
        <v>Version</v>
      </c>
      <c r="F561" s="5" t="s">
        <v>447</v>
      </c>
      <c r="G561" s="5" t="s">
        <v>9669</v>
      </c>
      <c r="H561" s="6" t="s">
        <v>2543</v>
      </c>
      <c r="I561" s="7"/>
      <c r="J561" s="14" t="s">
        <v>5186</v>
      </c>
      <c r="K561" s="26"/>
      <c r="L561" s="6" t="str">
        <f>IFERROR(VLOOKUP(E561,A:I,9, FALSE),"")</f>
        <v>Version</v>
      </c>
      <c r="N561" s="6" t="str">
        <f>IF(AND(TRIM(I561)="",L561=""),"Suffix not translated ",
   IF(AND(TRIM(I561)&lt;&gt;"",TRIM(L561)&lt;&gt;"",TRIM(I561)&lt;&gt;TRIM(L561)),"Suffix translation &lt;&gt; lookup ", "" ))
&amp;IF(AND(TRIM(J561)="",M561=""),"Description not translated ",
   IF(AND(TRIM(J561)&lt;&gt;"",TRIM(M561)&lt;&gt;"",TRIM(J561)&lt;&gt;TRIM(M561)),"Description translation&lt;&gt; lookup ", "" ))</f>
        <v/>
      </c>
      <c r="P561" s="6" t="s">
        <v>8574</v>
      </c>
    </row>
    <row r="562" spans="1:17" x14ac:dyDescent="0.25">
      <c r="A562" s="5" t="str">
        <f>IF(TRIM(I562)="","",E562)</f>
        <v>WBInfoA100</v>
      </c>
      <c r="B562" s="5" t="str">
        <f>IF(TRIM(J562)="","",H562)</f>
        <v>White balance information for the Sony DSLR-A100</v>
      </c>
      <c r="C562" s="5" t="str">
        <f>LEFT(F562,FIND(".",F562,6))</f>
        <v>Exif.Minolta.</v>
      </c>
      <c r="D562" s="5" t="str">
        <f>VLOOKUP(C562,PrefixUebersetzung,2,FALSE)</f>
        <v>Exif.Minolta.</v>
      </c>
      <c r="E562" s="5" t="str">
        <f>MID(F562,FIND(".",F562,6)+1,99)</f>
        <v>WBInfoA100</v>
      </c>
      <c r="F562" s="5" t="s">
        <v>448</v>
      </c>
      <c r="G562" s="5" t="s">
        <v>9669</v>
      </c>
      <c r="H562" s="6" t="s">
        <v>2544</v>
      </c>
      <c r="I562" s="31" t="s">
        <v>4311</v>
      </c>
      <c r="J562" s="14" t="s">
        <v>5187</v>
      </c>
      <c r="K562" s="26"/>
      <c r="N562" s="6" t="str">
        <f>IF(AND(TRIM(I562)="",L562=""),"Suffix not translated ",
   IF(AND(TRIM(I562)&lt;&gt;"",TRIM(L562)&lt;&gt;"",TRIM(I562)&lt;&gt;TRIM(L562)),"Suffix translation &lt;&gt; lookup ", "" ))
&amp;IF(AND(TRIM(J562)="",M562=""),"Description not translated ",
   IF(AND(TRIM(J562)&lt;&gt;"",TRIM(M562)&lt;&gt;"",TRIM(J562)&lt;&gt;TRIM(M562)),"Description translation&lt;&gt; lookup ", "" ))</f>
        <v/>
      </c>
      <c r="O562" s="6" t="s">
        <v>8574</v>
      </c>
      <c r="P562" s="6" t="s">
        <v>8574</v>
      </c>
    </row>
    <row r="563" spans="1:17" x14ac:dyDescent="0.25">
      <c r="A563" s="5" t="str">
        <f>IF(TRIM(I563)="","",E563)</f>
        <v/>
      </c>
      <c r="B563" s="5" t="str">
        <f>IF(TRIM(J563)="","",H563)</f>
        <v/>
      </c>
      <c r="C563" s="5" t="str">
        <f>LEFT(F563,FIND(".",F563,6))</f>
        <v>Exif.Minolta.</v>
      </c>
      <c r="D563" s="5" t="str">
        <f>VLOOKUP(C563,PrefixUebersetzung,2,FALSE)</f>
        <v>Exif.Minolta.</v>
      </c>
      <c r="E563" s="5" t="str">
        <f>MID(F563,FIND(".",F563,6)+1,99)</f>
        <v>WhiteBalance</v>
      </c>
      <c r="F563" s="5" t="s">
        <v>449</v>
      </c>
      <c r="G563" s="5" t="s">
        <v>9667</v>
      </c>
      <c r="H563" s="6" t="s">
        <v>2250</v>
      </c>
      <c r="K563" s="26"/>
      <c r="L563" s="6" t="str">
        <f>IFERROR(VLOOKUP(E563,A:I,9, FALSE),"")</f>
        <v>Weißabgleich</v>
      </c>
      <c r="M563" s="6" t="str">
        <f>IFERROR(VLOOKUP(H563,B:J,9,FALSE),"")</f>
        <v>Weißabgleich</v>
      </c>
      <c r="N563" s="6" t="str">
        <f>IF(AND(TRIM(I563)="",L563=""),"Suffix not translated ",
   IF(AND(TRIM(I563)&lt;&gt;"",TRIM(L563)&lt;&gt;"",TRIM(I563)&lt;&gt;TRIM(L563)),"Suffix translation &lt;&gt; lookup ", "" ))
&amp;IF(AND(TRIM(J563)="",M563=""),"Description not translated ",
   IF(AND(TRIM(J563)&lt;&gt;"",TRIM(M563)&lt;&gt;"",TRIM(J563)&lt;&gt;TRIM(M563)),"Description translation&lt;&gt; lookup ", "" ))</f>
        <v/>
      </c>
    </row>
    <row r="564" spans="1:17" ht="30" x14ac:dyDescent="0.25">
      <c r="A564" s="5" t="str">
        <f>IF(TRIM(I564)="","",E564)</f>
        <v>WhiteBalanceFineTune</v>
      </c>
      <c r="B564" s="5" t="str">
        <f>IF(TRIM(J564)="","",H564)</f>
        <v>White Balance Fine Tune Value</v>
      </c>
      <c r="C564" s="5" t="str">
        <f>LEFT(F564,FIND(".",F564,6))</f>
        <v>Exif.Minolta.</v>
      </c>
      <c r="D564" s="5" t="str">
        <f>VLOOKUP(C564,PrefixUebersetzung,2,FALSE)</f>
        <v>Exif.Minolta.</v>
      </c>
      <c r="E564" s="5" t="str">
        <f>MID(F564,FIND(".",F564,6)+1,99)</f>
        <v>WhiteBalanceFineTune</v>
      </c>
      <c r="F564" s="5" t="s">
        <v>450</v>
      </c>
      <c r="G564" s="5" t="s">
        <v>9667</v>
      </c>
      <c r="H564" s="6" t="s">
        <v>2545</v>
      </c>
      <c r="I564" s="31" t="s">
        <v>4097</v>
      </c>
      <c r="J564" s="14" t="s">
        <v>3914</v>
      </c>
      <c r="K564" s="26"/>
      <c r="L564" s="6" t="str">
        <f>IFERROR(VLOOKUP(E564,A:I,9, FALSE),"")</f>
        <v>Weißabgleich Feinabstimmung</v>
      </c>
      <c r="M564" s="6" t="str">
        <f>IFERROR(VLOOKUP(H564,B:J,9,FALSE),"")</f>
        <v>Weißabgleich Feinabstimmwert</v>
      </c>
      <c r="N564" s="6" t="str">
        <f>IF(AND(TRIM(I564)="",L564=""),"Suffix not translated ",
   IF(AND(TRIM(I564)&lt;&gt;"",TRIM(L564)&lt;&gt;"",TRIM(I564)&lt;&gt;TRIM(L564)),"Suffix translation &lt;&gt; lookup ", "" ))
&amp;IF(AND(TRIM(J564)="",M564=""),"Description not translated ",
   IF(AND(TRIM(J564)&lt;&gt;"",TRIM(M564)&lt;&gt;"",TRIM(J564)&lt;&gt;TRIM(M564)),"Description translation&lt;&gt; lookup ", "" ))</f>
        <v/>
      </c>
      <c r="O564" s="6" t="s">
        <v>8574</v>
      </c>
      <c r="P564" s="6" t="s">
        <v>8574</v>
      </c>
      <c r="Q564" s="6" t="s">
        <v>9554</v>
      </c>
    </row>
    <row r="565" spans="1:17" x14ac:dyDescent="0.25">
      <c r="A565" s="5" t="str">
        <f>IF(TRIM(I565)="","",E565)</f>
        <v/>
      </c>
      <c r="B565" s="5" t="str">
        <f>IF(TRIM(J565)="","",H565)</f>
        <v>Zone matching</v>
      </c>
      <c r="C565" s="5" t="str">
        <f>LEFT(F565,FIND(".",F565,6))</f>
        <v>Exif.Minolta.</v>
      </c>
      <c r="D565" s="5" t="str">
        <f>VLOOKUP(C565,PrefixUebersetzung,2,FALSE)</f>
        <v>Exif.Minolta.</v>
      </c>
      <c r="E565" s="5" t="str">
        <f>MID(F565,FIND(".",F565,6)+1,99)</f>
        <v>ZoneMatching</v>
      </c>
      <c r="F565" s="5" t="s">
        <v>451</v>
      </c>
      <c r="G565" s="5" t="s">
        <v>9667</v>
      </c>
      <c r="H565" s="6" t="s">
        <v>2546</v>
      </c>
      <c r="I565" s="7"/>
      <c r="J565" s="6" t="s">
        <v>9455</v>
      </c>
      <c r="K565" s="26"/>
      <c r="L565" s="6" t="str">
        <f>IFERROR(VLOOKUP(E565,A:I,9, FALSE),"")</f>
        <v/>
      </c>
      <c r="M565" s="6" t="str">
        <f>IFERROR(VLOOKUP(H565,B:J,9,FALSE),"")</f>
        <v>Zonenabgleich</v>
      </c>
      <c r="N565" s="6"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v>
      </c>
      <c r="O565" s="6" t="s">
        <v>8574</v>
      </c>
      <c r="P565" s="6" t="s">
        <v>8574</v>
      </c>
    </row>
    <row r="566" spans="1:17" x14ac:dyDescent="0.25">
      <c r="A566" s="5" t="str">
        <f>IF(TRIM(I566)="","",E566)</f>
        <v/>
      </c>
      <c r="B566" s="5" t="str">
        <f>IF(TRIM(J566)="","",H566)</f>
        <v/>
      </c>
      <c r="C566" s="5" t="str">
        <f>LEFT(F566,FIND(".",F566,6))</f>
        <v>Exif.MinoltaCs5D.</v>
      </c>
      <c r="D566" s="5" t="str">
        <f>VLOOKUP(C566,PrefixUebersetzung,2,FALSE)</f>
        <v>Exif.MinoltaCs5D.</v>
      </c>
      <c r="E566" s="5" t="str">
        <f>MID(F566,FIND(".",F566,6)+1,99)</f>
        <v>AFMode</v>
      </c>
      <c r="F566" s="5" t="s">
        <v>452</v>
      </c>
      <c r="G566" s="5" t="s">
        <v>9664</v>
      </c>
      <c r="H566" s="6" t="s">
        <v>2547</v>
      </c>
      <c r="K566" s="26"/>
      <c r="L566" s="6" t="str">
        <f>IFERROR(VLOOKUP(E566,A:I,9, FALSE),"")</f>
        <v>AF Modus</v>
      </c>
      <c r="M566" s="6" t="str">
        <f>IFERROR(VLOOKUP(H566,B:J,9,FALSE),"")</f>
        <v>AF Modus</v>
      </c>
      <c r="N566" s="6" t="str">
        <f>IF(AND(TRIM(I566)="",L566=""),"Suffix not translated ",
   IF(AND(TRIM(I566)&lt;&gt;"",TRIM(L566)&lt;&gt;"",TRIM(I566)&lt;&gt;TRIM(L566)),"Suffix translation &lt;&gt; lookup ", "" ))
&amp;IF(AND(TRIM(J566)="",M566=""),"Description not translated ",
   IF(AND(TRIM(J566)&lt;&gt;"",TRIM(M566)&lt;&gt;"",TRIM(J566)&lt;&gt;TRIM(M566)),"Description translation&lt;&gt; lookup ", "" ))</f>
        <v/>
      </c>
    </row>
    <row r="567" spans="1:17" x14ac:dyDescent="0.25">
      <c r="A567" s="5" t="str">
        <f>IF(TRIM(I567)="","",E567)</f>
        <v>Color Temperature</v>
      </c>
      <c r="B567" s="5" t="str">
        <f>IF(TRIM(J567)="","",H567)</f>
        <v/>
      </c>
      <c r="C567" s="5" t="str">
        <f>LEFT(F567,FIND(".",F567,6))</f>
        <v>Exif.MinoltaCs5D.</v>
      </c>
      <c r="D567" s="5" t="str">
        <f>VLOOKUP(C567,PrefixUebersetzung,2,FALSE)</f>
        <v>Exif.MinoltaCs5D.</v>
      </c>
      <c r="E567" s="5" t="str">
        <f>MID(F567,FIND(".",F567,6)+1,99)</f>
        <v>Color Temperature</v>
      </c>
      <c r="F567" s="5" t="s">
        <v>453</v>
      </c>
      <c r="G567" s="5" t="s">
        <v>9665</v>
      </c>
      <c r="H567" s="6" t="s">
        <v>2240</v>
      </c>
      <c r="I567" s="31" t="s">
        <v>4880</v>
      </c>
      <c r="K567" s="26"/>
      <c r="M567" s="6" t="str">
        <f>IFERROR(VLOOKUP(H567,B:J,9,FALSE),"")</f>
        <v>Farbtemperatur</v>
      </c>
      <c r="N567" s="6" t="str">
        <f>IF(AND(TRIM(I567)="",L567=""),"Suffix not translated ",
   IF(AND(TRIM(I567)&lt;&gt;"",TRIM(L567)&lt;&gt;"",TRIM(I567)&lt;&gt;TRIM(L567)),"Suffix translation &lt;&gt; lookup ", "" ))
&amp;IF(AND(TRIM(J567)="",M567=""),"Description not translated ",
   IF(AND(TRIM(J567)&lt;&gt;"",TRIM(M567)&lt;&gt;"",TRIM(J567)&lt;&gt;TRIM(M567)),"Description translation&lt;&gt; lookup ", "" ))</f>
        <v/>
      </c>
      <c r="O567" s="6" t="s">
        <v>8574</v>
      </c>
    </row>
    <row r="568" spans="1:17" x14ac:dyDescent="0.25">
      <c r="A568" s="5" t="str">
        <f>IF(TRIM(I568)="","",E568)</f>
        <v/>
      </c>
      <c r="B568" s="5" t="str">
        <f>IF(TRIM(J568)="","",H568)</f>
        <v>Color space</v>
      </c>
      <c r="C568" s="5" t="str">
        <f>LEFT(F568,FIND(".",F568,6))</f>
        <v>Exif.MinoltaCs5D.</v>
      </c>
      <c r="D568" s="5" t="str">
        <f>VLOOKUP(C568,PrefixUebersetzung,2,FALSE)</f>
        <v>Exif.MinoltaCs5D.</v>
      </c>
      <c r="E568" s="5" t="str">
        <f>MID(F568,FIND(".",F568,6)+1,99)</f>
        <v>ColorSpace</v>
      </c>
      <c r="F568" s="5" t="s">
        <v>454</v>
      </c>
      <c r="G568" s="5" t="s">
        <v>9664</v>
      </c>
      <c r="H568" s="6" t="s">
        <v>2548</v>
      </c>
      <c r="J568" s="14" t="s">
        <v>3718</v>
      </c>
      <c r="K568" s="26"/>
      <c r="L568" s="6" t="str">
        <f>IFERROR(VLOOKUP(E568,A:I,9, FALSE),"")</f>
        <v>Farbraum</v>
      </c>
      <c r="M568" s="6" t="str">
        <f>IFERROR(VLOOKUP(H568,B:J,9,FALSE),"")</f>
        <v>Farbraum</v>
      </c>
      <c r="N568" s="6" t="str">
        <f>IF(AND(TRIM(I568)="",L568=""),"Suffix not translated ",
   IF(AND(TRIM(I568)&lt;&gt;"",TRIM(L568)&lt;&gt;"",TRIM(I568)&lt;&gt;TRIM(L568)),"Suffix translation &lt;&gt; lookup ", "" ))
&amp;IF(AND(TRIM(J568)="",M568=""),"Description not translated ",
   IF(AND(TRIM(J568)&lt;&gt;"",TRIM(M568)&lt;&gt;"",TRIM(J568)&lt;&gt;TRIM(M568)),"Description translation&lt;&gt; lookup ", "" ))</f>
        <v/>
      </c>
      <c r="P568" s="6" t="s">
        <v>8574</v>
      </c>
      <c r="Q568" s="6" t="s">
        <v>3718</v>
      </c>
    </row>
    <row r="569" spans="1:17" x14ac:dyDescent="0.25">
      <c r="A569" s="5" t="str">
        <f>IF(TRIM(I569)="","",E569)</f>
        <v/>
      </c>
      <c r="B569" s="5" t="str">
        <f>IF(TRIM(J569)="","",H569)</f>
        <v/>
      </c>
      <c r="C569" s="5" t="str">
        <f>LEFT(F569,FIND(".",F569,6))</f>
        <v>Exif.MinoltaCs5D.</v>
      </c>
      <c r="D569" s="5" t="str">
        <f>VLOOKUP(C569,PrefixUebersetzung,2,FALSE)</f>
        <v>Exif.MinoltaCs5D.</v>
      </c>
      <c r="E569" s="5" t="str">
        <f>MID(F569,FIND(".",F569,6)+1,99)</f>
        <v>ColorTemperature</v>
      </c>
      <c r="F569" s="5" t="s">
        <v>455</v>
      </c>
      <c r="G569" s="5" t="s">
        <v>9665</v>
      </c>
      <c r="H569" s="6" t="s">
        <v>2529</v>
      </c>
      <c r="K569" s="26"/>
      <c r="L569" s="6" t="str">
        <f>IFERROR(VLOOKUP(E569,A:I,9, FALSE),"")</f>
        <v>Farbtemperatur</v>
      </c>
      <c r="M569" s="6" t="str">
        <f>IFERROR(VLOOKUP(H569,B:J,9,FALSE),"")</f>
        <v>Farbtemperatur</v>
      </c>
      <c r="N569" s="6" t="str">
        <f>IF(AND(TRIM(I569)="",L569=""),"Suffix not translated ",
   IF(AND(TRIM(I569)&lt;&gt;"",TRIM(L569)&lt;&gt;"",TRIM(I569)&lt;&gt;TRIM(L569)),"Suffix translation &lt;&gt; lookup ", "" ))
&amp;IF(AND(TRIM(J569)="",M569=""),"Description not translated ",
   IF(AND(TRIM(J569)&lt;&gt;"",TRIM(M569)&lt;&gt;"",TRIM(J569)&lt;&gt;TRIM(M569)),"Description translation&lt;&gt; lookup ", "" ))</f>
        <v/>
      </c>
    </row>
    <row r="570" spans="1:17" x14ac:dyDescent="0.25">
      <c r="A570" s="5" t="str">
        <f>IF(TRIM(I570)="","",E570)</f>
        <v/>
      </c>
      <c r="B570" s="5" t="str">
        <f>IF(TRIM(J570)="","",H570)</f>
        <v/>
      </c>
      <c r="C570" s="5" t="str">
        <f>LEFT(F570,FIND(".",F570,6))</f>
        <v>Exif.MinoltaCs5D.</v>
      </c>
      <c r="D570" s="5" t="str">
        <f>VLOOKUP(C570,PrefixUebersetzung,2,FALSE)</f>
        <v>Exif.MinoltaCs5D.</v>
      </c>
      <c r="E570" s="5" t="str">
        <f>MID(F570,FIND(".",F570,6)+1,99)</f>
        <v>Contrast</v>
      </c>
      <c r="F570" s="5" t="s">
        <v>456</v>
      </c>
      <c r="G570" s="5" t="s">
        <v>9664</v>
      </c>
      <c r="H570" s="6" t="s">
        <v>2549</v>
      </c>
      <c r="K570" s="26"/>
      <c r="L570" s="6" t="str">
        <f>IFERROR(VLOOKUP(E570,A:I,9, FALSE),"")</f>
        <v>Kontrast</v>
      </c>
      <c r="M570" s="6" t="str">
        <f>IFERROR(VLOOKUP(H570,B:J,9,FALSE),"")</f>
        <v>Kontrast</v>
      </c>
      <c r="N570" s="6" t="str">
        <f>IF(AND(TRIM(I570)="",L570=""),"Suffix not translated ",
   IF(AND(TRIM(I570)&lt;&gt;"",TRIM(L570)&lt;&gt;"",TRIM(I570)&lt;&gt;TRIM(L570)),"Suffix translation &lt;&gt; lookup ", "" ))
&amp;IF(AND(TRIM(J570)="",M570=""),"Description not translated ",
   IF(AND(TRIM(J570)&lt;&gt;"",TRIM(M570)&lt;&gt;"",TRIM(J570)&lt;&gt;TRIM(M570)),"Description translation&lt;&gt; lookup ", "" ))</f>
        <v/>
      </c>
    </row>
    <row r="571" spans="1:17" x14ac:dyDescent="0.25">
      <c r="A571" s="5" t="str">
        <f>IF(TRIM(I571)="","",E571)</f>
        <v>ExposureCompensation</v>
      </c>
      <c r="B571" s="5" t="str">
        <f>IF(TRIM(J571)="","",H571)</f>
        <v>Exposure compensation</v>
      </c>
      <c r="C571" s="5" t="str">
        <f>LEFT(F571,FIND(".",F571,6))</f>
        <v>Exif.MinoltaCs5D.</v>
      </c>
      <c r="D571" s="5" t="str">
        <f>VLOOKUP(C571,PrefixUebersetzung,2,FALSE)</f>
        <v>Exif.MinoltaCs5D.</v>
      </c>
      <c r="E571" s="5" t="str">
        <f>MID(F571,FIND(".",F571,6)+1,99)</f>
        <v>ExposureCompensation</v>
      </c>
      <c r="F571" s="5" t="s">
        <v>457</v>
      </c>
      <c r="G571" s="5" t="s">
        <v>9664</v>
      </c>
      <c r="H571" s="6" t="s">
        <v>2550</v>
      </c>
      <c r="I571" s="31" t="s">
        <v>3916</v>
      </c>
      <c r="J571" s="14" t="s">
        <v>3916</v>
      </c>
      <c r="K571" s="26"/>
      <c r="L571" s="6" t="str">
        <f>IFERROR(VLOOKUP(E571,A:I,9, FALSE),"")</f>
        <v>Belichtungskorrektur</v>
      </c>
      <c r="M571" s="6" t="str">
        <f>IFERROR(VLOOKUP(H571,B:J,9,FALSE),"")</f>
        <v>Belichtungskorrektur</v>
      </c>
      <c r="N571" s="6" t="str">
        <f>IF(AND(TRIM(I571)="",L571=""),"Suffix not translated ",
   IF(AND(TRIM(I571)&lt;&gt;"",TRIM(L571)&lt;&gt;"",TRIM(I571)&lt;&gt;TRIM(L571)),"Suffix translation &lt;&gt; lookup ", "" ))
&amp;IF(AND(TRIM(J571)="",M571=""),"Description not translated ",
   IF(AND(TRIM(J571)&lt;&gt;"",TRIM(M571)&lt;&gt;"",TRIM(J571)&lt;&gt;TRIM(M571)),"Description translation&lt;&gt; lookup ", "" ))</f>
        <v/>
      </c>
      <c r="O571" s="6" t="s">
        <v>8574</v>
      </c>
      <c r="P571" s="6" t="s">
        <v>8574</v>
      </c>
      <c r="Q571" s="6" t="s">
        <v>9176</v>
      </c>
    </row>
    <row r="572" spans="1:17" x14ac:dyDescent="0.25">
      <c r="A572" s="5" t="str">
        <f>IF(TRIM(I572)="","",E572)</f>
        <v>ExposureManualBias</v>
      </c>
      <c r="B572" s="5" t="str">
        <f>IF(TRIM(J572)="","",H572)</f>
        <v>Exposure manual bias</v>
      </c>
      <c r="C572" s="5" t="str">
        <f>LEFT(F572,FIND(".",F572,6))</f>
        <v>Exif.MinoltaCs5D.</v>
      </c>
      <c r="D572" s="5" t="str">
        <f>VLOOKUP(C572,PrefixUebersetzung,2,FALSE)</f>
        <v>Exif.MinoltaCs5D.</v>
      </c>
      <c r="E572" s="5" t="str">
        <f>MID(F572,FIND(".",F572,6)+1,99)</f>
        <v>ExposureManualBias</v>
      </c>
      <c r="F572" s="5" t="s">
        <v>458</v>
      </c>
      <c r="G572" s="5" t="s">
        <v>9664</v>
      </c>
      <c r="H572" s="6" t="s">
        <v>2551</v>
      </c>
      <c r="I572" s="31" t="s">
        <v>4881</v>
      </c>
      <c r="J572" s="14" t="s">
        <v>4881</v>
      </c>
      <c r="K572" s="26"/>
      <c r="N572" s="6" t="str">
        <f>IF(AND(TRIM(I572)="",L572=""),"Suffix not translated ",
   IF(AND(TRIM(I572)&lt;&gt;"",TRIM(L572)&lt;&gt;"",TRIM(I572)&lt;&gt;TRIM(L572)),"Suffix translation &lt;&gt; lookup ", "" ))
&amp;IF(AND(TRIM(J572)="",M572=""),"Description not translated ",
   IF(AND(TRIM(J572)&lt;&gt;"",TRIM(M572)&lt;&gt;"",TRIM(J572)&lt;&gt;TRIM(M572)),"Description translation&lt;&gt; lookup ", "" ))</f>
        <v/>
      </c>
      <c r="O572" s="6" t="s">
        <v>8574</v>
      </c>
      <c r="P572" s="6" t="s">
        <v>8574</v>
      </c>
      <c r="Q572" s="6" t="s">
        <v>9284</v>
      </c>
    </row>
    <row r="573" spans="1:17" x14ac:dyDescent="0.25">
      <c r="A573" s="5" t="str">
        <f>IF(TRIM(I573)="","",E573)</f>
        <v>ExposureMode</v>
      </c>
      <c r="B573" s="5" t="str">
        <f>IF(TRIM(J573)="","",H573)</f>
        <v>Exposure mode</v>
      </c>
      <c r="C573" s="5" t="str">
        <f>LEFT(F573,FIND(".",F573,6))</f>
        <v>Exif.MinoltaCs5D.</v>
      </c>
      <c r="D573" s="5" t="str">
        <f>VLOOKUP(C573,PrefixUebersetzung,2,FALSE)</f>
        <v>Exif.MinoltaCs5D.</v>
      </c>
      <c r="E573" s="5" t="str">
        <f>MID(F573,FIND(".",F573,6)+1,99)</f>
        <v>ExposureMode</v>
      </c>
      <c r="F573" s="5" t="s">
        <v>459</v>
      </c>
      <c r="G573" s="5" t="s">
        <v>9664</v>
      </c>
      <c r="H573" s="6" t="s">
        <v>2552</v>
      </c>
      <c r="I573" s="31" t="s">
        <v>3917</v>
      </c>
      <c r="J573" s="14" t="s">
        <v>3917</v>
      </c>
      <c r="K573" s="26"/>
      <c r="L573" s="6" t="str">
        <f>IFERROR(VLOOKUP(E573,A:I,9, FALSE),"")</f>
        <v>Belichtungsmodus</v>
      </c>
      <c r="M573" s="6" t="str">
        <f>IFERROR(VLOOKUP(H573,B:J,9,FALSE),"")</f>
        <v>Belichtungsmodus</v>
      </c>
      <c r="N573" s="6" t="str">
        <f>IF(AND(TRIM(I573)="",L573=""),"Suffix not translated ",
   IF(AND(TRIM(I573)&lt;&gt;"",TRIM(L573)&lt;&gt;"",TRIM(I573)&lt;&gt;TRIM(L573)),"Suffix translation &lt;&gt; lookup ", "" ))
&amp;IF(AND(TRIM(J573)="",M573=""),"Description not translated ",
   IF(AND(TRIM(J573)&lt;&gt;"",TRIM(M573)&lt;&gt;"",TRIM(J573)&lt;&gt;TRIM(M573)),"Description translation&lt;&gt; lookup ", "" ))</f>
        <v/>
      </c>
      <c r="O573" s="6" t="s">
        <v>8574</v>
      </c>
      <c r="P573" s="6" t="s">
        <v>8574</v>
      </c>
      <c r="Q573" s="6" t="s">
        <v>3917</v>
      </c>
    </row>
    <row r="574" spans="1:17" x14ac:dyDescent="0.25">
      <c r="A574" s="5" t="str">
        <f>IF(TRIM(I574)="","",E574)</f>
        <v/>
      </c>
      <c r="B574" s="5" t="str">
        <f>IF(TRIM(J574)="","",H574)</f>
        <v/>
      </c>
      <c r="C574" s="5" t="str">
        <f>LEFT(F574,FIND(".",F574,6))</f>
        <v>Exif.MinoltaCs5D.</v>
      </c>
      <c r="D574" s="5" t="str">
        <f>VLOOKUP(C574,PrefixUebersetzung,2,FALSE)</f>
        <v>Exif.MinoltaCs5D.</v>
      </c>
      <c r="E574" s="5" t="str">
        <f>MID(F574,FIND(".",F574,6)+1,99)</f>
        <v>ExposureRevision</v>
      </c>
      <c r="F574" s="5" t="s">
        <v>460</v>
      </c>
      <c r="G574" s="5" t="s">
        <v>9664</v>
      </c>
      <c r="H574" s="6" t="s">
        <v>2553</v>
      </c>
      <c r="I574" s="7"/>
      <c r="K574" s="26"/>
      <c r="N574" s="6" t="str">
        <f>IF(AND(TRIM(I574)="",L574=""),"Suffix not translated ",
   IF(AND(TRIM(I574)&lt;&gt;"",TRIM(L574)&lt;&gt;"",TRIM(I574)&lt;&gt;TRIM(L574)),"Suffix translation &lt;&gt; lookup ", "" ))
&amp;IF(AND(TRIM(J574)="",M574=""),"Description not translated ",
   IF(AND(TRIM(J574)&lt;&gt;"",TRIM(M574)&lt;&gt;"",TRIM(J574)&lt;&gt;TRIM(M574)),"Description translation&lt;&gt; lookup ", "" ))</f>
        <v xml:space="preserve">Suffix not translated Description not translated </v>
      </c>
      <c r="O574" s="6" t="s">
        <v>8574</v>
      </c>
      <c r="P574" s="6" t="s">
        <v>8574</v>
      </c>
    </row>
    <row r="575" spans="1:17" x14ac:dyDescent="0.25">
      <c r="A575" s="5" t="str">
        <f>IF(TRIM(I575)="","",E575)</f>
        <v/>
      </c>
      <c r="B575" s="5" t="str">
        <f>IF(TRIM(J575)="","",H575)</f>
        <v>Exposure time</v>
      </c>
      <c r="C575" s="5" t="str">
        <f>LEFT(F575,FIND(".",F575,6))</f>
        <v>Exif.MinoltaCs5D.</v>
      </c>
      <c r="D575" s="5" t="str">
        <f>VLOOKUP(C575,PrefixUebersetzung,2,FALSE)</f>
        <v>Exif.MinoltaCs5D.</v>
      </c>
      <c r="E575" s="5" t="str">
        <f>MID(F575,FIND(".",F575,6)+1,99)</f>
        <v>ExposureTime</v>
      </c>
      <c r="F575" s="5" t="s">
        <v>461</v>
      </c>
      <c r="G575" s="5" t="s">
        <v>9664</v>
      </c>
      <c r="H575" s="6" t="s">
        <v>2554</v>
      </c>
      <c r="J575" s="14" t="s">
        <v>3918</v>
      </c>
      <c r="K575" s="26"/>
      <c r="L575" s="6" t="str">
        <f>IFERROR(VLOOKUP(E575,A:I,9, FALSE),"")</f>
        <v>Belichtungszeit</v>
      </c>
      <c r="M575" s="6" t="str">
        <f>IFERROR(VLOOKUP(H575,B:J,9,FALSE),"")</f>
        <v>Belichtungszeit</v>
      </c>
      <c r="N575" s="6" t="str">
        <f>IF(AND(TRIM(I575)="",L575=""),"Suffix not translated ",
   IF(AND(TRIM(I575)&lt;&gt;"",TRIM(L575)&lt;&gt;"",TRIM(I575)&lt;&gt;TRIM(L575)),"Suffix translation &lt;&gt; lookup ", "" ))
&amp;IF(AND(TRIM(J575)="",M575=""),"Description not translated ",
   IF(AND(TRIM(J575)&lt;&gt;"",TRIM(M575)&lt;&gt;"",TRIM(J575)&lt;&gt;TRIM(M575)),"Description translation&lt;&gt; lookup ", "" ))</f>
        <v/>
      </c>
      <c r="P575" s="6" t="s">
        <v>8574</v>
      </c>
      <c r="Q575" s="6" t="s">
        <v>3918</v>
      </c>
    </row>
    <row r="576" spans="1:17" x14ac:dyDescent="0.25">
      <c r="A576" s="5" t="str">
        <f>IF(TRIM(I576)="","",E576)</f>
        <v>FlashFired</v>
      </c>
      <c r="B576" s="5" t="str">
        <f>IF(TRIM(J576)="","",H576)</f>
        <v>Flash fired</v>
      </c>
      <c r="C576" s="5" t="str">
        <f>LEFT(F576,FIND(".",F576,6))</f>
        <v>Exif.MinoltaCs5D.</v>
      </c>
      <c r="D576" s="5" t="str">
        <f>VLOOKUP(C576,PrefixUebersetzung,2,FALSE)</f>
        <v>Exif.MinoltaCs5D.</v>
      </c>
      <c r="E576" s="5" t="str">
        <f>MID(F576,FIND(".",F576,6)+1,99)</f>
        <v>FlashFired</v>
      </c>
      <c r="F576" s="5" t="s">
        <v>462</v>
      </c>
      <c r="G576" s="5" t="s">
        <v>9664</v>
      </c>
      <c r="H576" s="6" t="s">
        <v>2555</v>
      </c>
      <c r="I576" s="31" t="s">
        <v>3919</v>
      </c>
      <c r="J576" s="14" t="s">
        <v>3919</v>
      </c>
      <c r="K576" s="26"/>
      <c r="L576" s="6" t="str">
        <f>IFERROR(VLOOKUP(E576,A:I,9, FALSE),"")</f>
        <v>Blitz ausgelöst</v>
      </c>
      <c r="M576" s="6" t="str">
        <f>IFERROR(VLOOKUP(H576,B:J,9,FALSE),"")</f>
        <v>Blitz ausgelöst</v>
      </c>
      <c r="N576" s="6" t="str">
        <f>IF(AND(TRIM(I576)="",L576=""),"Suffix not translated ",
   IF(AND(TRIM(I576)&lt;&gt;"",TRIM(L576)&lt;&gt;"",TRIM(I576)&lt;&gt;TRIM(L576)),"Suffix translation &lt;&gt; lookup ", "" ))
&amp;IF(AND(TRIM(J576)="",M576=""),"Description not translated ",
   IF(AND(TRIM(J576)&lt;&gt;"",TRIM(M576)&lt;&gt;"",TRIM(J576)&lt;&gt;TRIM(M576)),"Description translation&lt;&gt; lookup ", "" ))</f>
        <v/>
      </c>
      <c r="O576" s="6" t="s">
        <v>8574</v>
      </c>
      <c r="P576" s="6" t="s">
        <v>8574</v>
      </c>
      <c r="Q576" s="6" t="s">
        <v>9315</v>
      </c>
    </row>
    <row r="577" spans="1:17" x14ac:dyDescent="0.25">
      <c r="A577" s="5" t="str">
        <f>IF(TRIM(I577)="","",E577)</f>
        <v/>
      </c>
      <c r="B577" s="5" t="str">
        <f>IF(TRIM(J577)="","",H577)</f>
        <v>The F-Number</v>
      </c>
      <c r="C577" s="5" t="str">
        <f>LEFT(F577,FIND(".",F577,6))</f>
        <v>Exif.MinoltaCs5D.</v>
      </c>
      <c r="D577" s="5" t="str">
        <f>VLOOKUP(C577,PrefixUebersetzung,2,FALSE)</f>
        <v>Exif.MinoltaCs5D.</v>
      </c>
      <c r="E577" s="5" t="str">
        <f>MID(F577,FIND(".",F577,6)+1,99)</f>
        <v>FNumber</v>
      </c>
      <c r="F577" s="5" t="s">
        <v>463</v>
      </c>
      <c r="G577" s="5" t="s">
        <v>9664</v>
      </c>
      <c r="H577" s="6" t="s">
        <v>2556</v>
      </c>
      <c r="I577" s="7"/>
      <c r="J577" s="14" t="s">
        <v>4859</v>
      </c>
      <c r="K577" s="26"/>
      <c r="L577" s="6" t="str">
        <f>IFERROR(VLOOKUP(E577,A:I,9, FALSE),"")</f>
        <v>Blendenzahl</v>
      </c>
      <c r="M577" s="6" t="str">
        <f>IFERROR(VLOOKUP(H577,B:J,9,FALSE),"")</f>
        <v>Blendenzahl</v>
      </c>
      <c r="N577" s="6" t="str">
        <f>IF(AND(TRIM(I577)="",L577=""),"Suffix not translated ",
   IF(AND(TRIM(I577)&lt;&gt;"",TRIM(L577)&lt;&gt;"",TRIM(I577)&lt;&gt;TRIM(L577)),"Suffix translation &lt;&gt; lookup ", "" ))
&amp;IF(AND(TRIM(J577)="",M577=""),"Description not translated ",
   IF(AND(TRIM(J577)&lt;&gt;"",TRIM(M577)&lt;&gt;"",TRIM(J577)&lt;&gt;TRIM(M577)),"Description translation&lt;&gt; lookup ", "" ))</f>
        <v/>
      </c>
      <c r="P577" s="6" t="s">
        <v>8574</v>
      </c>
      <c r="Q577" s="6" t="s">
        <v>9517</v>
      </c>
    </row>
    <row r="578" spans="1:17" x14ac:dyDescent="0.25">
      <c r="A578" s="5" t="str">
        <f>IF(TRIM(I578)="","",E578)</f>
        <v>FocusArea</v>
      </c>
      <c r="B578" s="5" t="str">
        <f>IF(TRIM(J578)="","",H578)</f>
        <v>Focus area</v>
      </c>
      <c r="C578" s="5" t="str">
        <f>LEFT(F578,FIND(".",F578,6))</f>
        <v>Exif.MinoltaCs5D.</v>
      </c>
      <c r="D578" s="5" t="str">
        <f>VLOOKUP(C578,PrefixUebersetzung,2,FALSE)</f>
        <v>Exif.MinoltaCs5D.</v>
      </c>
      <c r="E578" s="5" t="str">
        <f>MID(F578,FIND(".",F578,6)+1,99)</f>
        <v>FocusArea</v>
      </c>
      <c r="F578" s="5" t="s">
        <v>464</v>
      </c>
      <c r="G578" s="5" t="s">
        <v>9664</v>
      </c>
      <c r="H578" s="6" t="s">
        <v>2557</v>
      </c>
      <c r="I578" s="31" t="s">
        <v>4882</v>
      </c>
      <c r="J578" s="14" t="s">
        <v>4882</v>
      </c>
      <c r="K578" s="26"/>
      <c r="L578" s="6" t="str">
        <f>IFERROR(VLOOKUP(E578,A:I,9, FALSE),"")</f>
        <v>Fokusbereich</v>
      </c>
      <c r="M578" s="6" t="str">
        <f>IFERROR(VLOOKUP(H578,B:J,9,FALSE),"")</f>
        <v>Fokusbereich</v>
      </c>
      <c r="N578" s="6" t="str">
        <f>IF(AND(TRIM(I578)="",L578=""),"Suffix not translated ",
   IF(AND(TRIM(I578)&lt;&gt;"",TRIM(L578)&lt;&gt;"",TRIM(I578)&lt;&gt;TRIM(L578)),"Suffix translation &lt;&gt; lookup ", "" ))
&amp;IF(AND(TRIM(J578)="",M578=""),"Description not translated ",
   IF(AND(TRIM(J578)&lt;&gt;"",TRIM(M578)&lt;&gt;"",TRIM(J578)&lt;&gt;TRIM(M578)),"Description translation&lt;&gt; lookup ", "" ))</f>
        <v/>
      </c>
      <c r="O578" s="6" t="s">
        <v>8574</v>
      </c>
      <c r="P578" s="6" t="s">
        <v>8574</v>
      </c>
      <c r="Q578" s="6" t="s">
        <v>4882</v>
      </c>
    </row>
    <row r="579" spans="1:17" x14ac:dyDescent="0.25">
      <c r="A579" s="5" t="str">
        <f>IF(TRIM(I579)="","",E579)</f>
        <v/>
      </c>
      <c r="B579" s="5" t="str">
        <f>IF(TRIM(J579)="","",H579)</f>
        <v/>
      </c>
      <c r="C579" s="5" t="str">
        <f>LEFT(F579,FIND(".",F579,6))</f>
        <v>Exif.MinoltaCs5D.</v>
      </c>
      <c r="D579" s="5" t="str">
        <f>VLOOKUP(C579,PrefixUebersetzung,2,FALSE)</f>
        <v>Exif.MinoltaCs5D.</v>
      </c>
      <c r="E579" s="5" t="str">
        <f>MID(F579,FIND(".",F579,6)+1,99)</f>
        <v>FocusMode</v>
      </c>
      <c r="F579" s="5" t="s">
        <v>465</v>
      </c>
      <c r="G579" s="5" t="s">
        <v>9664</v>
      </c>
      <c r="H579" s="6" t="s">
        <v>2558</v>
      </c>
      <c r="I579" s="7"/>
      <c r="K579" s="26"/>
      <c r="L579" s="6" t="str">
        <f>IFERROR(VLOOKUP(E579,A:I,9, FALSE),"")</f>
        <v>Fokusmodus</v>
      </c>
      <c r="M579" s="6" t="str">
        <f>IFERROR(VLOOKUP(H579,B:J,9,FALSE),"")</f>
        <v>Fokusmodus</v>
      </c>
      <c r="N579" s="6" t="str">
        <f>IF(AND(TRIM(I579)="",L579=""),"Suffix not translated ",
   IF(AND(TRIM(I579)&lt;&gt;"",TRIM(L579)&lt;&gt;"",TRIM(I579)&lt;&gt;TRIM(L579)),"Suffix translation &lt;&gt; lookup ", "" ))
&amp;IF(AND(TRIM(J579)="",M579=""),"Description not translated ",
   IF(AND(TRIM(J579)&lt;&gt;"",TRIM(M579)&lt;&gt;"",TRIM(J579)&lt;&gt;TRIM(M579)),"Description translation&lt;&gt; lookup ", "" ))</f>
        <v/>
      </c>
    </row>
    <row r="580" spans="1:17" x14ac:dyDescent="0.25">
      <c r="A580" s="5" t="str">
        <f>IF(TRIM(I580)="","",E580)</f>
        <v>FocusPosition</v>
      </c>
      <c r="B580" s="5" t="str">
        <f>IF(TRIM(J580)="","",H580)</f>
        <v>Focus position</v>
      </c>
      <c r="C580" s="5" t="str">
        <f>LEFT(F580,FIND(".",F580,6))</f>
        <v>Exif.MinoltaCs5D.</v>
      </c>
      <c r="D580" s="5" t="str">
        <f>VLOOKUP(C580,PrefixUebersetzung,2,FALSE)</f>
        <v>Exif.MinoltaCs5D.</v>
      </c>
      <c r="E580" s="5" t="str">
        <f>MID(F580,FIND(".",F580,6)+1,99)</f>
        <v>FocusPosition</v>
      </c>
      <c r="F580" s="5" t="s">
        <v>466</v>
      </c>
      <c r="G580" s="5" t="s">
        <v>9664</v>
      </c>
      <c r="H580" s="6" t="s">
        <v>2559</v>
      </c>
      <c r="I580" s="7" t="s">
        <v>4883</v>
      </c>
      <c r="J580" s="14" t="s">
        <v>4883</v>
      </c>
      <c r="K580" s="26"/>
      <c r="L580" s="6" t="str">
        <f>IFERROR(VLOOKUP(E580,A:I,9, FALSE),"")</f>
        <v>Fokusposition</v>
      </c>
      <c r="M580" s="6" t="str">
        <f>IFERROR(VLOOKUP(H580,B:J,9,FALSE),"")</f>
        <v>Fokusposition</v>
      </c>
      <c r="N580" s="6" t="str">
        <f>IF(AND(TRIM(I580)="",L580=""),"Suffix not translated ",
   IF(AND(TRIM(I580)&lt;&gt;"",TRIM(L580)&lt;&gt;"",TRIM(I580)&lt;&gt;TRIM(L580)),"Suffix translation &lt;&gt; lookup ", "" ))
&amp;IF(AND(TRIM(J580)="",M580=""),"Description not translated ",
   IF(AND(TRIM(J580)&lt;&gt;"",TRIM(M580)&lt;&gt;"",TRIM(J580)&lt;&gt;TRIM(M580)),"Description translation&lt;&gt; lookup ", "" ))</f>
        <v/>
      </c>
      <c r="O580" s="6" t="s">
        <v>8574</v>
      </c>
      <c r="P580" s="6" t="s">
        <v>8574</v>
      </c>
      <c r="Q580" s="6" t="s">
        <v>4883</v>
      </c>
    </row>
    <row r="581" spans="1:17" x14ac:dyDescent="0.25">
      <c r="A581" s="5" t="str">
        <f>IF(TRIM(I581)="","",E581)</f>
        <v/>
      </c>
      <c r="B581" s="5" t="str">
        <f>IF(TRIM(J581)="","",H581)</f>
        <v>Free memory card images</v>
      </c>
      <c r="C581" s="5" t="str">
        <f>LEFT(F581,FIND(".",F581,6))</f>
        <v>Exif.MinoltaCs5D.</v>
      </c>
      <c r="D581" s="5" t="str">
        <f>VLOOKUP(C581,PrefixUebersetzung,2,FALSE)</f>
        <v>Exif.MinoltaCs5D.</v>
      </c>
      <c r="E581" s="5" t="str">
        <f>MID(F581,FIND(".",F581,6)+1,99)</f>
        <v>FreeMemoryCardImages</v>
      </c>
      <c r="F581" s="5" t="s">
        <v>467</v>
      </c>
      <c r="G581" s="5" t="s">
        <v>9664</v>
      </c>
      <c r="H581" s="6" t="s">
        <v>2560</v>
      </c>
      <c r="I581" s="7"/>
      <c r="J581" s="6" t="s">
        <v>9329</v>
      </c>
      <c r="K581" s="26"/>
      <c r="L581" s="6" t="str">
        <f>IFERROR(VLOOKUP(E581,A:I,9, FALSE),"")</f>
        <v/>
      </c>
      <c r="M581" s="6" t="str">
        <f>IFERROR(VLOOKUP(H581,B:J,9,FALSE),"")</f>
        <v>Freie Bilder auf der Speicherkarte</v>
      </c>
      <c r="N581" s="6"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v>
      </c>
      <c r="O581" s="6" t="s">
        <v>8574</v>
      </c>
      <c r="P581" s="6" t="s">
        <v>8574</v>
      </c>
    </row>
    <row r="582" spans="1:17" x14ac:dyDescent="0.25">
      <c r="A582" s="5" t="str">
        <f>IF(TRIM(I582)="","",E582)</f>
        <v/>
      </c>
      <c r="B582" s="5" t="str">
        <f>IF(TRIM(J582)="","",H582)</f>
        <v>Image number</v>
      </c>
      <c r="C582" s="5" t="str">
        <f>LEFT(F582,FIND(".",F582,6))</f>
        <v>Exif.MinoltaCs5D.</v>
      </c>
      <c r="D582" s="5" t="str">
        <f>VLOOKUP(C582,PrefixUebersetzung,2,FALSE)</f>
        <v>Exif.MinoltaCs5D.</v>
      </c>
      <c r="E582" s="5" t="str">
        <f>MID(F582,FIND(".",F582,6)+1,99)</f>
        <v>ImageNumber</v>
      </c>
      <c r="F582" s="5" t="s">
        <v>468</v>
      </c>
      <c r="G582" s="5" t="s">
        <v>9664</v>
      </c>
      <c r="H582" s="6" t="s">
        <v>2561</v>
      </c>
      <c r="J582" s="14" t="s">
        <v>3833</v>
      </c>
      <c r="K582" s="26"/>
      <c r="L582" s="6" t="str">
        <f>IFERROR(VLOOKUP(E582,A:I,9, FALSE),"")</f>
        <v>Bildnummer</v>
      </c>
      <c r="M582" s="6" t="str">
        <f>IFERROR(VLOOKUP(H582,B:J,9,FALSE),"")</f>
        <v>Bildnummer</v>
      </c>
      <c r="N582" s="6" t="str">
        <f>IF(AND(TRIM(I582)="",L582=""),"Suffix not translated ",
   IF(AND(TRIM(I582)&lt;&gt;"",TRIM(L582)&lt;&gt;"",TRIM(I582)&lt;&gt;TRIM(L582)),"Suffix translation &lt;&gt; lookup ", "" ))
&amp;IF(AND(TRIM(J582)="",M582=""),"Description not translated ",
   IF(AND(TRIM(J582)&lt;&gt;"",TRIM(M582)&lt;&gt;"",TRIM(J582)&lt;&gt;TRIM(M582)),"Description translation&lt;&gt; lookup ", "" ))</f>
        <v/>
      </c>
      <c r="P582" s="6" t="s">
        <v>8574</v>
      </c>
      <c r="Q582" s="6" t="s">
        <v>3833</v>
      </c>
    </row>
    <row r="583" spans="1:17" x14ac:dyDescent="0.25">
      <c r="A583" s="5" t="str">
        <f>IF(TRIM(I583)="","",E583)</f>
        <v/>
      </c>
      <c r="B583" s="5" t="str">
        <f>IF(TRIM(J583)="","",H583)</f>
        <v/>
      </c>
      <c r="C583" s="5" t="str">
        <f>LEFT(F583,FIND(".",F583,6))</f>
        <v>Exif.MinoltaCs5D.</v>
      </c>
      <c r="D583" s="5" t="str">
        <f>VLOOKUP(C583,PrefixUebersetzung,2,FALSE)</f>
        <v>Exif.MinoltaCs5D.</v>
      </c>
      <c r="E583" s="5" t="str">
        <f>MID(F583,FIND(".",F583,6)+1,99)</f>
        <v>ImageSize</v>
      </c>
      <c r="F583" s="5" t="s">
        <v>469</v>
      </c>
      <c r="G583" s="5" t="s">
        <v>9664</v>
      </c>
      <c r="H583" s="6" t="s">
        <v>2197</v>
      </c>
      <c r="K583" s="26"/>
      <c r="L583" s="6" t="str">
        <f>IFERROR(VLOOKUP(E583,A:I,9, FALSE),"")</f>
        <v>Bildgröße</v>
      </c>
      <c r="M583" s="6" t="str">
        <f>IFERROR(VLOOKUP(H583,B:J,9,FALSE),"")</f>
        <v>Bildgröße</v>
      </c>
      <c r="N583" s="6" t="str">
        <f>IF(AND(TRIM(I583)="",L583=""),"Suffix not translated ",
   IF(AND(TRIM(I583)&lt;&gt;"",TRIM(L583)&lt;&gt;"",TRIM(I583)&lt;&gt;TRIM(L583)),"Suffix translation &lt;&gt; lookup ", "" ))
&amp;IF(AND(TRIM(J583)="",M583=""),"Description not translated ",
   IF(AND(TRIM(J583)&lt;&gt;"",TRIM(M583)&lt;&gt;"",TRIM(J583)&lt;&gt;TRIM(M583)),"Description translation&lt;&gt; lookup ", "" ))</f>
        <v/>
      </c>
    </row>
    <row r="584" spans="1:17" x14ac:dyDescent="0.25">
      <c r="A584" s="5" t="str">
        <f>IF(TRIM(I584)="","",E584)</f>
        <v/>
      </c>
      <c r="B584" s="5" t="str">
        <f>IF(TRIM(J584)="","",H584)</f>
        <v/>
      </c>
      <c r="C584" s="5" t="str">
        <f>LEFT(F584,FIND(".",F584,6))</f>
        <v>Exif.MinoltaCs5D.</v>
      </c>
      <c r="D584" s="5" t="str">
        <f>VLOOKUP(C584,PrefixUebersetzung,2,FALSE)</f>
        <v>Exif.MinoltaCs5D.</v>
      </c>
      <c r="E584" s="5" t="str">
        <f>MID(F584,FIND(".",F584,6)+1,99)</f>
        <v>ImageStabilization</v>
      </c>
      <c r="F584" s="5" t="s">
        <v>470</v>
      </c>
      <c r="G584" s="5" t="s">
        <v>9664</v>
      </c>
      <c r="H584" s="6" t="s">
        <v>2198</v>
      </c>
      <c r="K584" s="26"/>
      <c r="L584" s="6" t="str">
        <f>IFERROR(VLOOKUP(E584,A:I,9, FALSE),"")</f>
        <v>Bildstabilisierung</v>
      </c>
      <c r="M584" s="6" t="str">
        <f>IFERROR(VLOOKUP(H584,B:J,9,FALSE),"")</f>
        <v>Bildstabilisierung</v>
      </c>
      <c r="N584" s="6" t="str">
        <f>IF(AND(TRIM(I584)="",L584=""),"Suffix not translated ",
   IF(AND(TRIM(I584)&lt;&gt;"",TRIM(L584)&lt;&gt;"",TRIM(I584)&lt;&gt;TRIM(L584)),"Suffix translation &lt;&gt; lookup ", "" ))
&amp;IF(AND(TRIM(J584)="",M584=""),"Description not translated ",
   IF(AND(TRIM(J584)&lt;&gt;"",TRIM(M584)&lt;&gt;"",TRIM(J584)&lt;&gt;TRIM(M584)),"Description translation&lt;&gt; lookup ", "" ))</f>
        <v/>
      </c>
    </row>
    <row r="585" spans="1:17" x14ac:dyDescent="0.25">
      <c r="A585" s="5" t="str">
        <f>IF(TRIM(I585)="","",E585)</f>
        <v/>
      </c>
      <c r="B585" s="5" t="str">
        <f>IF(TRIM(J585)="","",H585)</f>
        <v/>
      </c>
      <c r="C585" s="5" t="str">
        <f>LEFT(F585,FIND(".",F585,6))</f>
        <v>Exif.MinoltaCs5D.</v>
      </c>
      <c r="D585" s="5" t="str">
        <f>VLOOKUP(C585,PrefixUebersetzung,2,FALSE)</f>
        <v>Exif.MinoltaCs5D.</v>
      </c>
      <c r="E585" s="5" t="str">
        <f>MID(F585,FIND(".",F585,6)+1,99)</f>
        <v>ISOSpeed</v>
      </c>
      <c r="F585" s="5" t="s">
        <v>471</v>
      </c>
      <c r="G585" s="5" t="s">
        <v>9664</v>
      </c>
      <c r="H585" s="6" t="s">
        <v>2199</v>
      </c>
      <c r="K585" s="26"/>
      <c r="L585" s="6" t="str">
        <f>IFERROR(VLOOKUP(E585,A:I,9, FALSE),"")</f>
        <v>ISO-Empfindlichkeit</v>
      </c>
      <c r="M585" s="6" t="str">
        <f>IFERROR(VLOOKUP(H585,B:J,9,FALSE),"")</f>
        <v>ISO-Empfindlichkeit</v>
      </c>
      <c r="N585" s="6" t="str">
        <f>IF(AND(TRIM(I585)="",L585=""),"Suffix not translated ",
   IF(AND(TRIM(I585)&lt;&gt;"",TRIM(L585)&lt;&gt;"",TRIM(I585)&lt;&gt;TRIM(L585)),"Suffix translation &lt;&gt; lookup ", "" ))
&amp;IF(AND(TRIM(J585)="",M585=""),"Description not translated ",
   IF(AND(TRIM(J585)&lt;&gt;"",TRIM(M585)&lt;&gt;"",TRIM(J585)&lt;&gt;TRIM(M585)),"Description translation&lt;&gt; lookup ", "" ))</f>
        <v/>
      </c>
    </row>
    <row r="586" spans="1:17" x14ac:dyDescent="0.25">
      <c r="A586" s="5" t="str">
        <f>IF(TRIM(I586)="","",E586)</f>
        <v/>
      </c>
      <c r="B586" s="5" t="str">
        <f>IF(TRIM(J586)="","",H586)</f>
        <v>Metering mode</v>
      </c>
      <c r="C586" s="5" t="str">
        <f>LEFT(F586,FIND(".",F586,6))</f>
        <v>Exif.MinoltaCs5D.</v>
      </c>
      <c r="D586" s="5" t="str">
        <f>VLOOKUP(C586,PrefixUebersetzung,2,FALSE)</f>
        <v>Exif.MinoltaCs5D.</v>
      </c>
      <c r="E586" s="5" t="str">
        <f>MID(F586,FIND(".",F586,6)+1,99)</f>
        <v>MeteringMode</v>
      </c>
      <c r="F586" s="5" t="s">
        <v>472</v>
      </c>
      <c r="G586" s="5" t="s">
        <v>9664</v>
      </c>
      <c r="H586" s="6" t="s">
        <v>2562</v>
      </c>
      <c r="J586" s="14" t="s">
        <v>3920</v>
      </c>
      <c r="K586" s="26"/>
      <c r="L586" s="6" t="str">
        <f>IFERROR(VLOOKUP(E586,A:I,9, FALSE),"")</f>
        <v>Messmethode</v>
      </c>
      <c r="M586" s="6" t="str">
        <f>IFERROR(VLOOKUP(H586,B:J,9,FALSE),"")</f>
        <v>Messmethode</v>
      </c>
      <c r="N586" s="6" t="str">
        <f>IF(AND(TRIM(I586)="",L586=""),"Suffix not translated ",
   IF(AND(TRIM(I586)&lt;&gt;"",TRIM(L586)&lt;&gt;"",TRIM(I586)&lt;&gt;TRIM(L586)),"Suffix translation &lt;&gt; lookup ", "" ))
&amp;IF(AND(TRIM(J586)="",M586=""),"Description not translated ",
   IF(AND(TRIM(J586)&lt;&gt;"",TRIM(M586)&lt;&gt;"",TRIM(J586)&lt;&gt;TRIM(M586)),"Description translation&lt;&gt; lookup ", "" ))</f>
        <v/>
      </c>
      <c r="P586" s="6" t="s">
        <v>8574</v>
      </c>
      <c r="Q586" s="6" t="s">
        <v>9242</v>
      </c>
    </row>
    <row r="587" spans="1:17" x14ac:dyDescent="0.25">
      <c r="A587" s="5" t="str">
        <f>IF(TRIM(I587)="","",E587)</f>
        <v/>
      </c>
      <c r="B587" s="5" t="str">
        <f>IF(TRIM(J587)="","",H587)</f>
        <v/>
      </c>
      <c r="C587" s="5" t="str">
        <f>LEFT(F587,FIND(".",F587,6))</f>
        <v>Exif.MinoltaCs5D.</v>
      </c>
      <c r="D587" s="5" t="str">
        <f>VLOOKUP(C587,PrefixUebersetzung,2,FALSE)</f>
        <v>Exif.MinoltaCs5D.</v>
      </c>
      <c r="E587" s="5" t="str">
        <f>MID(F587,FIND(".",F587,6)+1,99)</f>
        <v>NoiseReduction</v>
      </c>
      <c r="F587" s="5" t="s">
        <v>473</v>
      </c>
      <c r="G587" s="5" t="s">
        <v>9664</v>
      </c>
      <c r="H587" s="6" t="s">
        <v>2563</v>
      </c>
      <c r="I587" s="7"/>
      <c r="K587" s="26"/>
      <c r="L587" s="6" t="str">
        <f>IFERROR(VLOOKUP(E587,A:I,9, FALSE),"")</f>
        <v xml:space="preserve">Rauschreduzierung </v>
      </c>
      <c r="M587" s="6" t="str">
        <f>IFERROR(VLOOKUP(H587,B:J,9,FALSE),"")</f>
        <v xml:space="preserve">Rauschreduzierung </v>
      </c>
      <c r="N587" s="6" t="str">
        <f>IF(AND(TRIM(I587)="",L587=""),"Suffix not translated ",
   IF(AND(TRIM(I587)&lt;&gt;"",TRIM(L587)&lt;&gt;"",TRIM(I587)&lt;&gt;TRIM(L587)),"Suffix translation &lt;&gt; lookup ", "" ))
&amp;IF(AND(TRIM(J587)="",M587=""),"Description not translated ",
   IF(AND(TRIM(J587)&lt;&gt;"",TRIM(M587)&lt;&gt;"",TRIM(J587)&lt;&gt;TRIM(M587)),"Description translation&lt;&gt; lookup ", "" ))</f>
        <v/>
      </c>
    </row>
    <row r="588" spans="1:17" x14ac:dyDescent="0.25">
      <c r="A588" s="5" t="str">
        <f>IF(TRIM(I588)="","",E588)</f>
        <v>PictureFinish</v>
      </c>
      <c r="B588" s="5" t="str">
        <f>IF(TRIM(J588)="","",H588)</f>
        <v>Picture Finish</v>
      </c>
      <c r="C588" s="5" t="str">
        <f>LEFT(F588,FIND(".",F588,6))</f>
        <v>Exif.MinoltaCs5D.</v>
      </c>
      <c r="D588" s="5" t="str">
        <f>VLOOKUP(C588,PrefixUebersetzung,2,FALSE)</f>
        <v>Exif.MinoltaCs5D.</v>
      </c>
      <c r="E588" s="5" t="str">
        <f>MID(F588,FIND(".",F588,6)+1,99)</f>
        <v>PictureFinish</v>
      </c>
      <c r="F588" s="5" t="s">
        <v>474</v>
      </c>
      <c r="G588" s="5" t="s">
        <v>9664</v>
      </c>
      <c r="H588" s="6" t="s">
        <v>2564</v>
      </c>
      <c r="I588" s="31" t="s">
        <v>4312</v>
      </c>
      <c r="J588" s="14" t="s">
        <v>4312</v>
      </c>
      <c r="K588" s="26"/>
      <c r="N588" s="6" t="str">
        <f>IF(AND(TRIM(I588)="",L588=""),"Suffix not translated ",
   IF(AND(TRIM(I588)&lt;&gt;"",TRIM(L588)&lt;&gt;"",TRIM(I588)&lt;&gt;TRIM(L588)),"Suffix translation &lt;&gt; lookup ", "" ))
&amp;IF(AND(TRIM(J588)="",M588=""),"Description not translated ",
   IF(AND(TRIM(J588)&lt;&gt;"",TRIM(M588)&lt;&gt;"",TRIM(J588)&lt;&gt;TRIM(M588)),"Description translation&lt;&gt; lookup ", "" ))</f>
        <v/>
      </c>
      <c r="O588" s="6" t="s">
        <v>8574</v>
      </c>
      <c r="P588" s="6" t="s">
        <v>8574</v>
      </c>
      <c r="Q588" s="6" t="s">
        <v>9090</v>
      </c>
    </row>
    <row r="589" spans="1:17" x14ac:dyDescent="0.25">
      <c r="A589" s="5" t="str">
        <f>IF(TRIM(I589)="","",E589)</f>
        <v/>
      </c>
      <c r="B589" s="5" t="str">
        <f>IF(TRIM(J589)="","",H589)</f>
        <v/>
      </c>
      <c r="C589" s="5" t="str">
        <f>LEFT(F589,FIND(".",F589,6))</f>
        <v>Exif.MinoltaCs5D.</v>
      </c>
      <c r="D589" s="5" t="str">
        <f>VLOOKUP(C589,PrefixUebersetzung,2,FALSE)</f>
        <v>Exif.MinoltaCs5D.</v>
      </c>
      <c r="E589" s="5" t="str">
        <f>MID(F589,FIND(".",F589,6)+1,99)</f>
        <v>Quality</v>
      </c>
      <c r="F589" s="5" t="s">
        <v>475</v>
      </c>
      <c r="G589" s="5" t="s">
        <v>9664</v>
      </c>
      <c r="H589" s="6" t="s">
        <v>2536</v>
      </c>
      <c r="K589" s="26"/>
      <c r="L589" s="6" t="str">
        <f>IFERROR(VLOOKUP(E589,A:I,9, FALSE),"")</f>
        <v>Qualität</v>
      </c>
      <c r="M589" s="6" t="str">
        <f>IFERROR(VLOOKUP(H589,B:J,9,FALSE),"")</f>
        <v>Bildqualität</v>
      </c>
      <c r="N589" s="6" t="str">
        <f>IF(AND(TRIM(I589)="",L589=""),"Suffix not translated ",
   IF(AND(TRIM(I589)&lt;&gt;"",TRIM(L589)&lt;&gt;"",TRIM(I589)&lt;&gt;TRIM(L589)),"Suffix translation &lt;&gt; lookup ", "" ))
&amp;IF(AND(TRIM(J589)="",M589=""),"Description not translated ",
   IF(AND(TRIM(J589)&lt;&gt;"",TRIM(M589)&lt;&gt;"",TRIM(J589)&lt;&gt;TRIM(M589)),"Description translation&lt;&gt; lookup ", "" ))</f>
        <v/>
      </c>
    </row>
    <row r="590" spans="1:17" x14ac:dyDescent="0.25">
      <c r="A590" s="5" t="str">
        <f>IF(TRIM(I590)="","",E590)</f>
        <v>Rotation</v>
      </c>
      <c r="B590" s="5" t="str">
        <f>IF(TRIM(J590)="","",H590)</f>
        <v>Rotation</v>
      </c>
      <c r="C590" s="5" t="str">
        <f>LEFT(F590,FIND(".",F590,6))</f>
        <v>Exif.MinoltaCs5D.</v>
      </c>
      <c r="D590" s="5" t="str">
        <f>VLOOKUP(C590,PrefixUebersetzung,2,FALSE)</f>
        <v>Exif.MinoltaCs5D.</v>
      </c>
      <c r="E590" s="5" t="str">
        <f>MID(F590,FIND(".",F590,6)+1,99)</f>
        <v>Rotation</v>
      </c>
      <c r="F590" s="5" t="s">
        <v>476</v>
      </c>
      <c r="G590" s="5" t="s">
        <v>9664</v>
      </c>
      <c r="H590" s="6" t="s">
        <v>2565</v>
      </c>
      <c r="I590" s="31" t="s">
        <v>3921</v>
      </c>
      <c r="J590" s="14" t="s">
        <v>3921</v>
      </c>
      <c r="K590" s="26"/>
      <c r="L590" s="6" t="str">
        <f>IFERROR(VLOOKUP(E590,A:I,9, FALSE),"")</f>
        <v>Drehung</v>
      </c>
      <c r="M590" s="6" t="str">
        <f>IFERROR(VLOOKUP(H590,B:J,9,FALSE),"")</f>
        <v>Drehung</v>
      </c>
      <c r="N590" s="6" t="str">
        <f>IF(AND(TRIM(I590)="",L590=""),"Suffix not translated ",
   IF(AND(TRIM(I590)&lt;&gt;"",TRIM(L590)&lt;&gt;"",TRIM(I590)&lt;&gt;TRIM(L590)),"Suffix translation &lt;&gt; lookup ", "" ))
&amp;IF(AND(TRIM(J590)="",M590=""),"Description not translated ",
   IF(AND(TRIM(J590)&lt;&gt;"",TRIM(M590)&lt;&gt;"",TRIM(J590)&lt;&gt;TRIM(M590)),"Description translation&lt;&gt; lookup ", "" ))</f>
        <v/>
      </c>
      <c r="O590" s="6" t="s">
        <v>8574</v>
      </c>
      <c r="P590" s="6" t="s">
        <v>8574</v>
      </c>
      <c r="Q590" s="6" t="s">
        <v>3921</v>
      </c>
    </row>
    <row r="591" spans="1:17" x14ac:dyDescent="0.25">
      <c r="A591" s="5" t="str">
        <f>IF(TRIM(I591)="","",E591)</f>
        <v>Rotation2</v>
      </c>
      <c r="B591" s="5" t="str">
        <f>IF(TRIM(J591)="","",H591)</f>
        <v>Rotation2</v>
      </c>
      <c r="C591" s="5" t="str">
        <f>LEFT(F591,FIND(".",F591,6))</f>
        <v>Exif.MinoltaCs5D.</v>
      </c>
      <c r="D591" s="5" t="str">
        <f>VLOOKUP(C591,PrefixUebersetzung,2,FALSE)</f>
        <v>Exif.MinoltaCs5D.</v>
      </c>
      <c r="E591" s="5" t="str">
        <f>MID(F591,FIND(".",F591,6)+1,99)</f>
        <v>Rotation2</v>
      </c>
      <c r="F591" s="5" t="s">
        <v>477</v>
      </c>
      <c r="G591" s="5" t="s">
        <v>9664</v>
      </c>
      <c r="H591" s="6" t="s">
        <v>2566</v>
      </c>
      <c r="I591" s="31" t="s">
        <v>4313</v>
      </c>
      <c r="J591" s="14" t="s">
        <v>4313</v>
      </c>
      <c r="K591" s="26"/>
      <c r="N591" s="6" t="str">
        <f>IF(AND(TRIM(I591)="",L591=""),"Suffix not translated ",
   IF(AND(TRIM(I591)&lt;&gt;"",TRIM(L591)&lt;&gt;"",TRIM(I591)&lt;&gt;TRIM(L591)),"Suffix translation &lt;&gt; lookup ", "" ))
&amp;IF(AND(TRIM(J591)="",M591=""),"Description not translated ",
   IF(AND(TRIM(J591)&lt;&gt;"",TRIM(M591)&lt;&gt;"",TRIM(J591)&lt;&gt;TRIM(M591)),"Description translation&lt;&gt; lookup ", "" ))</f>
        <v/>
      </c>
      <c r="O591" s="6" t="s">
        <v>8574</v>
      </c>
      <c r="P591" s="6" t="s">
        <v>8574</v>
      </c>
      <c r="Q591" s="6" t="s">
        <v>3921</v>
      </c>
    </row>
    <row r="592" spans="1:17" x14ac:dyDescent="0.25">
      <c r="A592" s="5" t="str">
        <f>IF(TRIM(I592)="","",E592)</f>
        <v/>
      </c>
      <c r="B592" s="5" t="str">
        <f>IF(TRIM(J592)="","",H592)</f>
        <v/>
      </c>
      <c r="C592" s="5" t="str">
        <f>LEFT(F592,FIND(".",F592,6))</f>
        <v>Exif.MinoltaCs5D.</v>
      </c>
      <c r="D592" s="5" t="str">
        <f>VLOOKUP(C592,PrefixUebersetzung,2,FALSE)</f>
        <v>Exif.MinoltaCs5D.</v>
      </c>
      <c r="E592" s="5" t="str">
        <f>MID(F592,FIND(".",F592,6)+1,99)</f>
        <v>Saturation</v>
      </c>
      <c r="F592" s="5" t="s">
        <v>478</v>
      </c>
      <c r="G592" s="5" t="s">
        <v>9664</v>
      </c>
      <c r="H592" s="6" t="s">
        <v>2567</v>
      </c>
      <c r="K592" s="26"/>
      <c r="L592" s="6" t="str">
        <f>IFERROR(VLOOKUP(E592,A:I,9, FALSE),"")</f>
        <v>Sättigung</v>
      </c>
      <c r="M592" s="6" t="str">
        <f>IFERROR(VLOOKUP(H592,B:J,9,FALSE),"")</f>
        <v>Sättigung</v>
      </c>
      <c r="N592" s="6" t="str">
        <f>IF(AND(TRIM(I592)="",L592=""),"Suffix not translated ",
   IF(AND(TRIM(I592)&lt;&gt;"",TRIM(L592)&lt;&gt;"",TRIM(I592)&lt;&gt;TRIM(L592)),"Suffix translation &lt;&gt; lookup ", "" ))
&amp;IF(AND(TRIM(J592)="",M592=""),"Description not translated ",
   IF(AND(TRIM(J592)&lt;&gt;"",TRIM(M592)&lt;&gt;"",TRIM(J592)&lt;&gt;TRIM(M592)),"Description translation&lt;&gt; lookup ", "" ))</f>
        <v/>
      </c>
    </row>
    <row r="593" spans="1:17" x14ac:dyDescent="0.25">
      <c r="A593" s="5" t="str">
        <f>IF(TRIM(I593)="","",E593)</f>
        <v/>
      </c>
      <c r="B593" s="5" t="str">
        <f>IF(TRIM(J593)="","",H593)</f>
        <v/>
      </c>
      <c r="C593" s="5" t="str">
        <f>LEFT(F593,FIND(".",F593,6))</f>
        <v>Exif.MinoltaCs5D.</v>
      </c>
      <c r="D593" s="5" t="str">
        <f>VLOOKUP(C593,PrefixUebersetzung,2,FALSE)</f>
        <v>Exif.MinoltaCs5D.</v>
      </c>
      <c r="E593" s="5" t="str">
        <f>MID(F593,FIND(".",F593,6)+1,99)</f>
        <v>Sharpness</v>
      </c>
      <c r="F593" s="5" t="s">
        <v>479</v>
      </c>
      <c r="G593" s="5" t="s">
        <v>9664</v>
      </c>
      <c r="H593" s="6" t="s">
        <v>2245</v>
      </c>
      <c r="K593" s="26"/>
      <c r="L593" s="6" t="str">
        <f>IFERROR(VLOOKUP(E593,A:I,9, FALSE),"")</f>
        <v>Schärfe</v>
      </c>
      <c r="M593" s="6" t="str">
        <f>IFERROR(VLOOKUP(H593,B:J,9,FALSE),"")</f>
        <v>Schärfe</v>
      </c>
      <c r="N593" s="6" t="str">
        <f>IF(AND(TRIM(I593)="",L593=""),"Suffix not translated ",
   IF(AND(TRIM(I593)&lt;&gt;"",TRIM(L593)&lt;&gt;"",TRIM(I593)&lt;&gt;TRIM(L593)),"Suffix translation &lt;&gt; lookup ", "" ))
&amp;IF(AND(TRIM(J593)="",M593=""),"Description not translated ",
   IF(AND(TRIM(J593)&lt;&gt;"",TRIM(M593)&lt;&gt;"",TRIM(J593)&lt;&gt;TRIM(M593)),"Description translation&lt;&gt; lookup ", "" ))</f>
        <v/>
      </c>
    </row>
    <row r="594" spans="1:17" x14ac:dyDescent="0.25">
      <c r="A594" s="5" t="str">
        <f>IF(TRIM(I594)="","",E594)</f>
        <v/>
      </c>
      <c r="B594" s="5" t="str">
        <f>IF(TRIM(J594)="","",H594)</f>
        <v/>
      </c>
      <c r="C594" s="5" t="str">
        <f>LEFT(F594,FIND(".",F594,6))</f>
        <v>Exif.MinoltaCs5D.</v>
      </c>
      <c r="D594" s="5" t="str">
        <f>VLOOKUP(C594,PrefixUebersetzung,2,FALSE)</f>
        <v>Exif.MinoltaCs5D.</v>
      </c>
      <c r="E594" s="5" t="str">
        <f>MID(F594,FIND(".",F594,6)+1,99)</f>
        <v>WhiteBalance</v>
      </c>
      <c r="F594" s="5" t="s">
        <v>480</v>
      </c>
      <c r="G594" s="5" t="s">
        <v>9664</v>
      </c>
      <c r="H594" s="6" t="s">
        <v>2250</v>
      </c>
      <c r="K594" s="26"/>
      <c r="L594" s="6" t="str">
        <f>IFERROR(VLOOKUP(E594,A:I,9, FALSE),"")</f>
        <v>Weißabgleich</v>
      </c>
      <c r="M594" s="6" t="str">
        <f>IFERROR(VLOOKUP(H594,B:J,9,FALSE),"")</f>
        <v>Weißabgleich</v>
      </c>
      <c r="N594" s="6" t="str">
        <f>IF(AND(TRIM(I594)="",L594=""),"Suffix not translated ",
   IF(AND(TRIM(I594)&lt;&gt;"",TRIM(L594)&lt;&gt;"",TRIM(I594)&lt;&gt;TRIM(L594)),"Suffix translation &lt;&gt; lookup ", "" ))
&amp;IF(AND(TRIM(J594)="",M594=""),"Description not translated ",
   IF(AND(TRIM(J594)&lt;&gt;"",TRIM(M594)&lt;&gt;"",TRIM(J594)&lt;&gt;TRIM(M594)),"Description translation&lt;&gt; lookup ", "" ))</f>
        <v/>
      </c>
    </row>
    <row r="595" spans="1:17" x14ac:dyDescent="0.25">
      <c r="A595" s="5" t="str">
        <f>IF(TRIM(I595)="","",E595)</f>
        <v>AFPoints</v>
      </c>
      <c r="B595" s="5" t="str">
        <f>IF(TRIM(J595)="","",H595)</f>
        <v>AF points</v>
      </c>
      <c r="C595" s="5" t="str">
        <f>LEFT(F595,FIND(".",F595,6))</f>
        <v>Exif.MinoltaCs7D.</v>
      </c>
      <c r="D595" s="5" t="str">
        <f>VLOOKUP(C595,PrefixUebersetzung,2,FALSE)</f>
        <v>Exif.MinoltaCs7D.</v>
      </c>
      <c r="E595" s="5" t="str">
        <f>MID(F595,FIND(".",F595,6)+1,99)</f>
        <v>AFPoints</v>
      </c>
      <c r="F595" s="5" t="s">
        <v>481</v>
      </c>
      <c r="G595" s="5" t="s">
        <v>9664</v>
      </c>
      <c r="H595" s="6" t="s">
        <v>2568</v>
      </c>
      <c r="I595" s="31" t="s">
        <v>5062</v>
      </c>
      <c r="J595" s="14" t="s">
        <v>5062</v>
      </c>
      <c r="K595" s="26"/>
      <c r="N595" s="6" t="str">
        <f>IF(AND(TRIM(I595)="",L595=""),"Suffix not translated ",
   IF(AND(TRIM(I595)&lt;&gt;"",TRIM(L595)&lt;&gt;"",TRIM(I595)&lt;&gt;TRIM(L595)),"Suffix translation &lt;&gt; lookup ", "" ))
&amp;IF(AND(TRIM(J595)="",M595=""),"Description not translated ",
   IF(AND(TRIM(J595)&lt;&gt;"",TRIM(M595)&lt;&gt;"",TRIM(J595)&lt;&gt;TRIM(M595)),"Description translation&lt;&gt; lookup ", "" ))</f>
        <v/>
      </c>
      <c r="O595" s="6" t="s">
        <v>8574</v>
      </c>
      <c r="P595" s="6" t="s">
        <v>8574</v>
      </c>
      <c r="Q595" s="6" t="s">
        <v>9112</v>
      </c>
    </row>
    <row r="596" spans="1:17" x14ac:dyDescent="0.25">
      <c r="A596" s="5" t="str">
        <f>IF(TRIM(I596)="","",E596)</f>
        <v/>
      </c>
      <c r="B596" s="5" t="str">
        <f>IF(TRIM(J596)="","",H596)</f>
        <v/>
      </c>
      <c r="C596" s="5" t="str">
        <f>LEFT(F596,FIND(".",F596,6))</f>
        <v>Exif.MinoltaCs7D.</v>
      </c>
      <c r="D596" s="5" t="str">
        <f>VLOOKUP(C596,PrefixUebersetzung,2,FALSE)</f>
        <v>Exif.MinoltaCs7D.</v>
      </c>
      <c r="E596" s="5" t="str">
        <f>MID(F596,FIND(".",F596,6)+1,99)</f>
        <v>ColorSpace</v>
      </c>
      <c r="F596" s="5" t="s">
        <v>482</v>
      </c>
      <c r="G596" s="5" t="s">
        <v>9664</v>
      </c>
      <c r="H596" s="6" t="s">
        <v>2548</v>
      </c>
      <c r="K596" s="26"/>
      <c r="L596" s="6" t="str">
        <f>IFERROR(VLOOKUP(E596,A:I,9, FALSE),"")</f>
        <v>Farbraum</v>
      </c>
      <c r="M596" s="6" t="str">
        <f>IFERROR(VLOOKUP(H596,B:J,9,FALSE),"")</f>
        <v>Farbraum</v>
      </c>
      <c r="N596" s="6" t="str">
        <f>IF(AND(TRIM(I596)="",L596=""),"Suffix not translated ",
   IF(AND(TRIM(I596)&lt;&gt;"",TRIM(L596)&lt;&gt;"",TRIM(I596)&lt;&gt;TRIM(L596)),"Suffix translation &lt;&gt; lookup ", "" ))
&amp;IF(AND(TRIM(J596)="",M596=""),"Description not translated ",
   IF(AND(TRIM(J596)&lt;&gt;"",TRIM(M596)&lt;&gt;"",TRIM(J596)&lt;&gt;TRIM(M596)),"Description translation&lt;&gt; lookup ", "" ))</f>
        <v/>
      </c>
    </row>
    <row r="597" spans="1:17" x14ac:dyDescent="0.25">
      <c r="A597" s="5" t="str">
        <f>IF(TRIM(I597)="","",E597)</f>
        <v/>
      </c>
      <c r="B597" s="5" t="str">
        <f>IF(TRIM(J597)="","",H597)</f>
        <v/>
      </c>
      <c r="C597" s="5" t="str">
        <f>LEFT(F597,FIND(".",F597,6))</f>
        <v>Exif.MinoltaCs7D.</v>
      </c>
      <c r="D597" s="5" t="str">
        <f>VLOOKUP(C597,PrefixUebersetzung,2,FALSE)</f>
        <v>Exif.MinoltaCs7D.</v>
      </c>
      <c r="E597" s="5" t="str">
        <f>MID(F597,FIND(".",F597,6)+1,99)</f>
        <v>ColorTemperature</v>
      </c>
      <c r="F597" s="5" t="s">
        <v>483</v>
      </c>
      <c r="G597" s="5" t="s">
        <v>9665</v>
      </c>
      <c r="H597" s="6" t="s">
        <v>2529</v>
      </c>
      <c r="K597" s="26"/>
      <c r="L597" s="6" t="str">
        <f>IFERROR(VLOOKUP(E597,A:I,9, FALSE),"")</f>
        <v>Farbtemperatur</v>
      </c>
      <c r="M597" s="6" t="str">
        <f>IFERROR(VLOOKUP(H597,B:J,9,FALSE),"")</f>
        <v>Farbtemperatur</v>
      </c>
      <c r="N597" s="6" t="str">
        <f>IF(AND(TRIM(I597)="",L597=""),"Suffix not translated ",
   IF(AND(TRIM(I597)&lt;&gt;"",TRIM(L597)&lt;&gt;"",TRIM(I597)&lt;&gt;TRIM(L597)),"Suffix translation &lt;&gt; lookup ", "" ))
&amp;IF(AND(TRIM(J597)="",M597=""),"Description not translated ",
   IF(AND(TRIM(J597)&lt;&gt;"",TRIM(M597)&lt;&gt;"",TRIM(J597)&lt;&gt;TRIM(M597)),"Description translation&lt;&gt; lookup ", "" ))</f>
        <v/>
      </c>
    </row>
    <row r="598" spans="1:17" x14ac:dyDescent="0.25">
      <c r="A598" s="5" t="str">
        <f>IF(TRIM(I598)="","",E598)</f>
        <v/>
      </c>
      <c r="B598" s="5" t="str">
        <f>IF(TRIM(J598)="","",H598)</f>
        <v/>
      </c>
      <c r="C598" s="5" t="str">
        <f>LEFT(F598,FIND(".",F598,6))</f>
        <v>Exif.MinoltaCs7D.</v>
      </c>
      <c r="D598" s="5" t="str">
        <f>VLOOKUP(C598,PrefixUebersetzung,2,FALSE)</f>
        <v>Exif.MinoltaCs7D.</v>
      </c>
      <c r="E598" s="5" t="str">
        <f>MID(F598,FIND(".",F598,6)+1,99)</f>
        <v>Contrast</v>
      </c>
      <c r="F598" s="5" t="s">
        <v>484</v>
      </c>
      <c r="G598" s="5" t="s">
        <v>9664</v>
      </c>
      <c r="H598" s="6" t="s">
        <v>2549</v>
      </c>
      <c r="K598" s="26"/>
      <c r="L598" s="6" t="str">
        <f>IFERROR(VLOOKUP(E598,A:I,9, FALSE),"")</f>
        <v>Kontrast</v>
      </c>
      <c r="M598" s="6" t="str">
        <f>IFERROR(VLOOKUP(H598,B:J,9,FALSE),"")</f>
        <v>Kontrast</v>
      </c>
      <c r="N598" s="6" t="str">
        <f>IF(AND(TRIM(I598)="",L598=""),"Suffix not translated ",
   IF(AND(TRIM(I598)&lt;&gt;"",TRIM(L598)&lt;&gt;"",TRIM(I598)&lt;&gt;TRIM(L598)),"Suffix translation &lt;&gt; lookup ", "" ))
&amp;IF(AND(TRIM(J598)="",M598=""),"Description not translated ",
   IF(AND(TRIM(J598)&lt;&gt;"",TRIM(M598)&lt;&gt;"",TRIM(J598)&lt;&gt;TRIM(M598)),"Description translation&lt;&gt; lookup ", "" ))</f>
        <v/>
      </c>
    </row>
    <row r="599" spans="1:17" x14ac:dyDescent="0.25">
      <c r="A599" s="5" t="str">
        <f>IF(TRIM(I599)="","",E599)</f>
        <v/>
      </c>
      <c r="B599" s="5" t="str">
        <f>IF(TRIM(J599)="","",H599)</f>
        <v/>
      </c>
      <c r="C599" s="5" t="str">
        <f>LEFT(F599,FIND(".",F599,6))</f>
        <v>Exif.MinoltaCs7D.</v>
      </c>
      <c r="D599" s="5" t="str">
        <f>VLOOKUP(C599,PrefixUebersetzung,2,FALSE)</f>
        <v>Exif.MinoltaCs7D.</v>
      </c>
      <c r="E599" s="5" t="str">
        <f>MID(F599,FIND(".",F599,6)+1,99)</f>
        <v>ExposureCompensation</v>
      </c>
      <c r="F599" s="5" t="s">
        <v>485</v>
      </c>
      <c r="G599" s="5" t="s">
        <v>9665</v>
      </c>
      <c r="H599" s="6" t="s">
        <v>2550</v>
      </c>
      <c r="K599" s="26"/>
      <c r="L599" s="6" t="str">
        <f>IFERROR(VLOOKUP(E599,A:I,9, FALSE),"")</f>
        <v>Belichtungskorrektur</v>
      </c>
      <c r="M599" s="6" t="str">
        <f>IFERROR(VLOOKUP(H599,B:J,9,FALSE),"")</f>
        <v>Belichtungskorrektur</v>
      </c>
      <c r="N599" s="6" t="str">
        <f>IF(AND(TRIM(I599)="",L599=""),"Suffix not translated ",
   IF(AND(TRIM(I599)&lt;&gt;"",TRIM(L599)&lt;&gt;"",TRIM(I599)&lt;&gt;TRIM(L599)),"Suffix translation &lt;&gt; lookup ", "" ))
&amp;IF(AND(TRIM(J599)="",M599=""),"Description not translated ",
   IF(AND(TRIM(J599)&lt;&gt;"",TRIM(M599)&lt;&gt;"",TRIM(J599)&lt;&gt;TRIM(M599)),"Description translation&lt;&gt; lookup ", "" ))</f>
        <v/>
      </c>
    </row>
    <row r="600" spans="1:17" x14ac:dyDescent="0.25">
      <c r="A600" s="5" t="str">
        <f>IF(TRIM(I600)="","",E600)</f>
        <v/>
      </c>
      <c r="B600" s="5" t="str">
        <f>IF(TRIM(J600)="","",H600)</f>
        <v/>
      </c>
      <c r="C600" s="5" t="str">
        <f>LEFT(F600,FIND(".",F600,6))</f>
        <v>Exif.MinoltaCs7D.</v>
      </c>
      <c r="D600" s="5" t="str">
        <f>VLOOKUP(C600,PrefixUebersetzung,2,FALSE)</f>
        <v>Exif.MinoltaCs7D.</v>
      </c>
      <c r="E600" s="5" t="str">
        <f>MID(F600,FIND(".",F600,6)+1,99)</f>
        <v>ExposureMode</v>
      </c>
      <c r="F600" s="5" t="s">
        <v>486</v>
      </c>
      <c r="G600" s="5" t="s">
        <v>9664</v>
      </c>
      <c r="H600" s="6" t="s">
        <v>2552</v>
      </c>
      <c r="K600" s="26"/>
      <c r="L600" s="6" t="str">
        <f>IFERROR(VLOOKUP(E600,A:I,9, FALSE),"")</f>
        <v>Belichtungsmodus</v>
      </c>
      <c r="M600" s="6" t="str">
        <f>IFERROR(VLOOKUP(H600,B:J,9,FALSE),"")</f>
        <v>Belichtungsmodus</v>
      </c>
      <c r="N600" s="6" t="str">
        <f>IF(AND(TRIM(I600)="",L600=""),"Suffix not translated ",
   IF(AND(TRIM(I600)&lt;&gt;"",TRIM(L600)&lt;&gt;"",TRIM(I600)&lt;&gt;TRIM(L600)),"Suffix translation &lt;&gt; lookup ", "" ))
&amp;IF(AND(TRIM(J600)="",M600=""),"Description not translated ",
   IF(AND(TRIM(J600)&lt;&gt;"",TRIM(M600)&lt;&gt;"",TRIM(J600)&lt;&gt;TRIM(M600)),"Description translation&lt;&gt; lookup ", "" ))</f>
        <v/>
      </c>
    </row>
    <row r="601" spans="1:17" x14ac:dyDescent="0.25">
      <c r="A601" s="5" t="str">
        <f>IF(TRIM(I601)="","",E601)</f>
        <v/>
      </c>
      <c r="B601" s="5" t="str">
        <f>IF(TRIM(J601)="","",H601)</f>
        <v/>
      </c>
      <c r="C601" s="5" t="str">
        <f>LEFT(F601,FIND(".",F601,6))</f>
        <v>Exif.MinoltaCs7D.</v>
      </c>
      <c r="D601" s="5" t="str">
        <f>VLOOKUP(C601,PrefixUebersetzung,2,FALSE)</f>
        <v>Exif.MinoltaCs7D.</v>
      </c>
      <c r="E601" s="5" t="str">
        <f>MID(F601,FIND(".",F601,6)+1,99)</f>
        <v>ExposureTime</v>
      </c>
      <c r="F601" s="5" t="s">
        <v>487</v>
      </c>
      <c r="G601" s="5" t="s">
        <v>9664</v>
      </c>
      <c r="H601" s="6" t="s">
        <v>2554</v>
      </c>
      <c r="K601" s="26"/>
      <c r="L601" s="6" t="str">
        <f>IFERROR(VLOOKUP(E601,A:I,9, FALSE),"")</f>
        <v>Belichtungszeit</v>
      </c>
      <c r="M601" s="6" t="str">
        <f>IFERROR(VLOOKUP(H601,B:J,9,FALSE),"")</f>
        <v>Belichtungszeit</v>
      </c>
      <c r="N601" s="6" t="str">
        <f>IF(AND(TRIM(I601)="",L601=""),"Suffix not translated ",
   IF(AND(TRIM(I601)&lt;&gt;"",TRIM(L601)&lt;&gt;"",TRIM(I601)&lt;&gt;TRIM(L601)),"Suffix translation &lt;&gt; lookup ", "" ))
&amp;IF(AND(TRIM(J601)="",M601=""),"Description not translated ",
   IF(AND(TRIM(J601)&lt;&gt;"",TRIM(M601)&lt;&gt;"",TRIM(J601)&lt;&gt;TRIM(M601)),"Description translation&lt;&gt; lookup ", "" ))</f>
        <v/>
      </c>
    </row>
    <row r="602" spans="1:17" x14ac:dyDescent="0.25">
      <c r="A602" s="5" t="str">
        <f>IF(TRIM(I602)="","",E602)</f>
        <v/>
      </c>
      <c r="B602" s="5" t="str">
        <f>IF(TRIM(J602)="","",H602)</f>
        <v/>
      </c>
      <c r="C602" s="5" t="str">
        <f>LEFT(F602,FIND(".",F602,6))</f>
        <v>Exif.MinoltaCs7D.</v>
      </c>
      <c r="D602" s="5" t="str">
        <f>VLOOKUP(C602,PrefixUebersetzung,2,FALSE)</f>
        <v>Exif.MinoltaCs7D.</v>
      </c>
      <c r="E602" s="5" t="str">
        <f>MID(F602,FIND(".",F602,6)+1,99)</f>
        <v>FlashFired</v>
      </c>
      <c r="F602" s="5" t="s">
        <v>488</v>
      </c>
      <c r="G602" s="5" t="s">
        <v>9667</v>
      </c>
      <c r="H602" s="6" t="s">
        <v>2555</v>
      </c>
      <c r="K602" s="26"/>
      <c r="L602" s="6" t="str">
        <f>IFERROR(VLOOKUP(E602,A:I,9, FALSE),"")</f>
        <v>Blitz ausgelöst</v>
      </c>
      <c r="M602" s="6" t="str">
        <f>IFERROR(VLOOKUP(H602,B:J,9,FALSE),"")</f>
        <v>Blitz ausgelöst</v>
      </c>
      <c r="N602" s="6" t="str">
        <f>IF(AND(TRIM(I602)="",L602=""),"Suffix not translated ",
   IF(AND(TRIM(I602)&lt;&gt;"",TRIM(L602)&lt;&gt;"",TRIM(I602)&lt;&gt;TRIM(L602)),"Suffix translation &lt;&gt; lookup ", "" ))
&amp;IF(AND(TRIM(J602)="",M602=""),"Description not translated ",
   IF(AND(TRIM(J602)&lt;&gt;"",TRIM(M602)&lt;&gt;"",TRIM(J602)&lt;&gt;TRIM(M602)),"Description translation&lt;&gt; lookup ", "" ))</f>
        <v/>
      </c>
    </row>
    <row r="603" spans="1:17" x14ac:dyDescent="0.25">
      <c r="A603" s="5" t="str">
        <f>IF(TRIM(I603)="","",E603)</f>
        <v/>
      </c>
      <c r="B603" s="5" t="str">
        <f>IF(TRIM(J603)="","",H603)</f>
        <v/>
      </c>
      <c r="C603" s="5" t="str">
        <f>LEFT(F603,FIND(".",F603,6))</f>
        <v>Exif.MinoltaCs7D.</v>
      </c>
      <c r="D603" s="5" t="str">
        <f>VLOOKUP(C603,PrefixUebersetzung,2,FALSE)</f>
        <v>Exif.MinoltaCs7D.</v>
      </c>
      <c r="E603" s="5" t="str">
        <f>MID(F603,FIND(".",F603,6)+1,99)</f>
        <v>FlashMode</v>
      </c>
      <c r="F603" s="5" t="s">
        <v>489</v>
      </c>
      <c r="G603" s="5" t="s">
        <v>9664</v>
      </c>
      <c r="H603" s="6" t="s">
        <v>2569</v>
      </c>
      <c r="I603" s="7"/>
      <c r="K603" s="26"/>
      <c r="L603" s="6" t="str">
        <f>IFERROR(VLOOKUP(E603,A:I,9, FALSE),"")</f>
        <v>Blitzmodus</v>
      </c>
      <c r="M603" s="6" t="str">
        <f>IFERROR(VLOOKUP(H603,B:J,9,FALSE),"")</f>
        <v>Blitzmodus</v>
      </c>
      <c r="N603" s="6" t="str">
        <f>IF(AND(TRIM(I603)="",L603=""),"Suffix not translated ",
   IF(AND(TRIM(I603)&lt;&gt;"",TRIM(L603)&lt;&gt;"",TRIM(I603)&lt;&gt;TRIM(L603)),"Suffix translation &lt;&gt; lookup ", "" ))
&amp;IF(AND(TRIM(J603)="",M603=""),"Description not translated ",
   IF(AND(TRIM(J603)&lt;&gt;"",TRIM(M603)&lt;&gt;"",TRIM(J603)&lt;&gt;TRIM(M603)),"Description translation&lt;&gt; lookup ", "" ))</f>
        <v/>
      </c>
    </row>
    <row r="604" spans="1:17" x14ac:dyDescent="0.25">
      <c r="A604" s="5" t="str">
        <f>IF(TRIM(I604)="","",E604)</f>
        <v/>
      </c>
      <c r="B604" s="5" t="str">
        <f>IF(TRIM(J604)="","",H604)</f>
        <v/>
      </c>
      <c r="C604" s="5" t="str">
        <f>LEFT(F604,FIND(".",F604,6))</f>
        <v>Exif.MinoltaCs7D.</v>
      </c>
      <c r="D604" s="5" t="str">
        <f>VLOOKUP(C604,PrefixUebersetzung,2,FALSE)</f>
        <v>Exif.MinoltaCs7D.</v>
      </c>
      <c r="E604" s="5" t="str">
        <f>MID(F604,FIND(".",F604,6)+1,99)</f>
        <v>FNumber</v>
      </c>
      <c r="F604" s="5" t="s">
        <v>490</v>
      </c>
      <c r="G604" s="5" t="s">
        <v>9664</v>
      </c>
      <c r="H604" s="6" t="s">
        <v>2556</v>
      </c>
      <c r="I604" s="7"/>
      <c r="K604" s="26"/>
      <c r="L604" s="6" t="str">
        <f>IFERROR(VLOOKUP(E604,A:I,9, FALSE),"")</f>
        <v>Blendenzahl</v>
      </c>
      <c r="M604" s="6" t="str">
        <f>IFERROR(VLOOKUP(H604,B:J,9,FALSE),"")</f>
        <v>Blendenzahl</v>
      </c>
      <c r="N604" s="6" t="str">
        <f>IF(AND(TRIM(I604)="",L604=""),"Suffix not translated ",
   IF(AND(TRIM(I604)&lt;&gt;"",TRIM(L604)&lt;&gt;"",TRIM(I604)&lt;&gt;TRIM(L604)),"Suffix translation &lt;&gt; lookup ", "" ))
&amp;IF(AND(TRIM(J604)="",M604=""),"Description not translated ",
   IF(AND(TRIM(J604)&lt;&gt;"",TRIM(M604)&lt;&gt;"",TRIM(J604)&lt;&gt;TRIM(M604)),"Description translation&lt;&gt; lookup ", "" ))</f>
        <v/>
      </c>
    </row>
    <row r="605" spans="1:17" x14ac:dyDescent="0.25">
      <c r="A605" s="5" t="str">
        <f>IF(TRIM(I605)="","",E605)</f>
        <v/>
      </c>
      <c r="B605" s="5" t="str">
        <f>IF(TRIM(J605)="","",H605)</f>
        <v/>
      </c>
      <c r="C605" s="5" t="str">
        <f>LEFT(F605,FIND(".",F605,6))</f>
        <v>Exif.MinoltaCs7D.</v>
      </c>
      <c r="D605" s="5" t="str">
        <f>VLOOKUP(C605,PrefixUebersetzung,2,FALSE)</f>
        <v>Exif.MinoltaCs7D.</v>
      </c>
      <c r="E605" s="5" t="str">
        <f>MID(F605,FIND(".",F605,6)+1,99)</f>
        <v>FocusMode</v>
      </c>
      <c r="F605" s="5" t="s">
        <v>491</v>
      </c>
      <c r="G605" s="5" t="s">
        <v>9664</v>
      </c>
      <c r="H605" s="6" t="s">
        <v>2558</v>
      </c>
      <c r="I605" s="7"/>
      <c r="K605" s="26"/>
      <c r="L605" s="6" t="str">
        <f>IFERROR(VLOOKUP(E605,A:I,9, FALSE),"")</f>
        <v>Fokusmodus</v>
      </c>
      <c r="M605" s="6" t="str">
        <f>IFERROR(VLOOKUP(H605,B:J,9,FALSE),"")</f>
        <v>Fokusmodus</v>
      </c>
      <c r="N605" s="6" t="str">
        <f>IF(AND(TRIM(I605)="",L605=""),"Suffix not translated ",
   IF(AND(TRIM(I605)&lt;&gt;"",TRIM(L605)&lt;&gt;"",TRIM(I605)&lt;&gt;TRIM(L605)),"Suffix translation &lt;&gt; lookup ", "" ))
&amp;IF(AND(TRIM(J605)="",M605=""),"Description not translated ",
   IF(AND(TRIM(J605)&lt;&gt;"",TRIM(M605)&lt;&gt;"",TRIM(J605)&lt;&gt;TRIM(M605)),"Description translation&lt;&gt; lookup ", "" ))</f>
        <v/>
      </c>
    </row>
    <row r="606" spans="1:17" x14ac:dyDescent="0.25">
      <c r="A606" s="5" t="str">
        <f>IF(TRIM(I606)="","",E606)</f>
        <v/>
      </c>
      <c r="B606" s="5" t="str">
        <f>IF(TRIM(J606)="","",H606)</f>
        <v/>
      </c>
      <c r="C606" s="5" t="str">
        <f>LEFT(F606,FIND(".",F606,6))</f>
        <v>Exif.MinoltaCs7D.</v>
      </c>
      <c r="D606" s="5" t="str">
        <f>VLOOKUP(C606,PrefixUebersetzung,2,FALSE)</f>
        <v>Exif.MinoltaCs7D.</v>
      </c>
      <c r="E606" s="5" t="str">
        <f>MID(F606,FIND(".",F606,6)+1,99)</f>
        <v>FreeMemoryCardImages</v>
      </c>
      <c r="F606" s="5" t="s">
        <v>492</v>
      </c>
      <c r="G606" s="5" t="s">
        <v>9664</v>
      </c>
      <c r="H606" s="6" t="s">
        <v>2560</v>
      </c>
      <c r="I606" s="7"/>
      <c r="K606" s="26"/>
      <c r="L606" s="6" t="str">
        <f>IFERROR(VLOOKUP(E606,A:I,9, FALSE),"")</f>
        <v/>
      </c>
      <c r="M606" s="6" t="str">
        <f>IFERROR(VLOOKUP(H606,B:J,9,FALSE),"")</f>
        <v>Freie Bilder auf der Speicherkarte</v>
      </c>
      <c r="N606" s="6"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v>
      </c>
    </row>
    <row r="607" spans="1:17" x14ac:dyDescent="0.25">
      <c r="A607" s="5" t="str">
        <f>IF(TRIM(I607)="","",E607)</f>
        <v>Hue</v>
      </c>
      <c r="B607" s="5" t="str">
        <f>IF(TRIM(J607)="","",H607)</f>
        <v>Hue</v>
      </c>
      <c r="C607" s="5" t="str">
        <f>LEFT(F607,FIND(".",F607,6))</f>
        <v>Exif.MinoltaCs7D.</v>
      </c>
      <c r="D607" s="5" t="str">
        <f>VLOOKUP(C607,PrefixUebersetzung,2,FALSE)</f>
        <v>Exif.MinoltaCs7D.</v>
      </c>
      <c r="E607" s="5" t="str">
        <f>MID(F607,FIND(".",F607,6)+1,99)</f>
        <v>Hue</v>
      </c>
      <c r="F607" s="5" t="s">
        <v>493</v>
      </c>
      <c r="G607" s="5" t="s">
        <v>9664</v>
      </c>
      <c r="H607" s="6" t="s">
        <v>2570</v>
      </c>
      <c r="I607" s="7" t="s">
        <v>3753</v>
      </c>
      <c r="J607" s="14" t="s">
        <v>3753</v>
      </c>
      <c r="K607" s="26"/>
      <c r="N607" s="6" t="str">
        <f>IF(AND(TRIM(I607)="",L607=""),"Suffix not translated ",
   IF(AND(TRIM(I607)&lt;&gt;"",TRIM(L607)&lt;&gt;"",TRIM(I607)&lt;&gt;TRIM(L607)),"Suffix translation &lt;&gt; lookup ", "" ))
&amp;IF(AND(TRIM(J607)="",M607=""),"Description not translated ",
   IF(AND(TRIM(J607)&lt;&gt;"",TRIM(M607)&lt;&gt;"",TRIM(J607)&lt;&gt;TRIM(M607)),"Description translation&lt;&gt; lookup ", "" ))</f>
        <v/>
      </c>
      <c r="O607" s="6" t="s">
        <v>8574</v>
      </c>
      <c r="P607" s="6" t="s">
        <v>8574</v>
      </c>
      <c r="Q607" s="6" t="s">
        <v>9172</v>
      </c>
    </row>
    <row r="608" spans="1:17" x14ac:dyDescent="0.25">
      <c r="A608" s="5" t="str">
        <f>IF(TRIM(I608)="","",E608)</f>
        <v/>
      </c>
      <c r="B608" s="5" t="str">
        <f>IF(TRIM(J608)="","",H608)</f>
        <v/>
      </c>
      <c r="C608" s="5" t="str">
        <f>LEFT(F608,FIND(".",F608,6))</f>
        <v>Exif.MinoltaCs7D.</v>
      </c>
      <c r="D608" s="5" t="str">
        <f>VLOOKUP(C608,PrefixUebersetzung,2,FALSE)</f>
        <v>Exif.MinoltaCs7D.</v>
      </c>
      <c r="E608" s="5" t="str">
        <f>MID(F608,FIND(".",F608,6)+1,99)</f>
        <v>ImageNumber</v>
      </c>
      <c r="F608" s="5" t="s">
        <v>494</v>
      </c>
      <c r="G608" s="5" t="s">
        <v>9664</v>
      </c>
      <c r="H608" s="6" t="s">
        <v>2561</v>
      </c>
      <c r="K608" s="26"/>
      <c r="L608" s="6" t="str">
        <f>IFERROR(VLOOKUP(E608,A:I,9, FALSE),"")</f>
        <v>Bildnummer</v>
      </c>
      <c r="M608" s="6" t="str">
        <f>IFERROR(VLOOKUP(H608,B:J,9,FALSE),"")</f>
        <v>Bildnummer</v>
      </c>
      <c r="N608" s="6" t="str">
        <f>IF(AND(TRIM(I608)="",L608=""),"Suffix not translated ",
   IF(AND(TRIM(I608)&lt;&gt;"",TRIM(L608)&lt;&gt;"",TRIM(I608)&lt;&gt;TRIM(L608)),"Suffix translation &lt;&gt; lookup ", "" ))
&amp;IF(AND(TRIM(J608)="",M608=""),"Description not translated ",
   IF(AND(TRIM(J608)&lt;&gt;"",TRIM(M608)&lt;&gt;"",TRIM(J608)&lt;&gt;TRIM(M608)),"Description translation&lt;&gt; lookup ", "" ))</f>
        <v/>
      </c>
    </row>
    <row r="609" spans="1:17" x14ac:dyDescent="0.25">
      <c r="A609" s="5" t="str">
        <f>IF(TRIM(I609)="","",E609)</f>
        <v/>
      </c>
      <c r="B609" s="5" t="str">
        <f>IF(TRIM(J609)="","",H609)</f>
        <v/>
      </c>
      <c r="C609" s="5" t="str">
        <f>LEFT(F609,FIND(".",F609,6))</f>
        <v>Exif.MinoltaCs7D.</v>
      </c>
      <c r="D609" s="5" t="str">
        <f>VLOOKUP(C609,PrefixUebersetzung,2,FALSE)</f>
        <v>Exif.MinoltaCs7D.</v>
      </c>
      <c r="E609" s="5" t="str">
        <f>MID(F609,FIND(".",F609,6)+1,99)</f>
        <v>ImageSize</v>
      </c>
      <c r="F609" s="5" t="s">
        <v>495</v>
      </c>
      <c r="G609" s="5" t="s">
        <v>9664</v>
      </c>
      <c r="H609" s="6" t="s">
        <v>2197</v>
      </c>
      <c r="K609" s="26"/>
      <c r="L609" s="6" t="str">
        <f>IFERROR(VLOOKUP(E609,A:I,9, FALSE),"")</f>
        <v>Bildgröße</v>
      </c>
      <c r="M609" s="6" t="str">
        <f>IFERROR(VLOOKUP(H609,B:J,9,FALSE),"")</f>
        <v>Bildgröße</v>
      </c>
      <c r="N609" s="6" t="str">
        <f>IF(AND(TRIM(I609)="",L609=""),"Suffix not translated ",
   IF(AND(TRIM(I609)&lt;&gt;"",TRIM(L609)&lt;&gt;"",TRIM(I609)&lt;&gt;TRIM(L609)),"Suffix translation &lt;&gt; lookup ", "" ))
&amp;IF(AND(TRIM(J609)="",M609=""),"Description not translated ",
   IF(AND(TRIM(J609)&lt;&gt;"",TRIM(M609)&lt;&gt;"",TRIM(J609)&lt;&gt;TRIM(M609)),"Description translation&lt;&gt; lookup ", "" ))</f>
        <v/>
      </c>
    </row>
    <row r="610" spans="1:17" x14ac:dyDescent="0.25">
      <c r="A610" s="5" t="str">
        <f>IF(TRIM(I610)="","",E610)</f>
        <v/>
      </c>
      <c r="B610" s="5" t="str">
        <f>IF(TRIM(J610)="","",H610)</f>
        <v/>
      </c>
      <c r="C610" s="5" t="str">
        <f>LEFT(F610,FIND(".",F610,6))</f>
        <v>Exif.MinoltaCs7D.</v>
      </c>
      <c r="D610" s="5" t="str">
        <f>VLOOKUP(C610,PrefixUebersetzung,2,FALSE)</f>
        <v>Exif.MinoltaCs7D.</v>
      </c>
      <c r="E610" s="5" t="str">
        <f>MID(F610,FIND(".",F610,6)+1,99)</f>
        <v>ImageStabilization</v>
      </c>
      <c r="F610" s="5" t="s">
        <v>496</v>
      </c>
      <c r="G610" s="5" t="s">
        <v>9664</v>
      </c>
      <c r="H610" s="6" t="s">
        <v>2198</v>
      </c>
      <c r="K610" s="26"/>
      <c r="L610" s="6" t="str">
        <f>IFERROR(VLOOKUP(E610,A:I,9, FALSE),"")</f>
        <v>Bildstabilisierung</v>
      </c>
      <c r="M610" s="6" t="str">
        <f>IFERROR(VLOOKUP(H610,B:J,9,FALSE),"")</f>
        <v>Bildstabilisierung</v>
      </c>
      <c r="N610" s="6" t="str">
        <f>IF(AND(TRIM(I610)="",L610=""),"Suffix not translated ",
   IF(AND(TRIM(I610)&lt;&gt;"",TRIM(L610)&lt;&gt;"",TRIM(I610)&lt;&gt;TRIM(L610)),"Suffix translation &lt;&gt; lookup ", "" ))
&amp;IF(AND(TRIM(J610)="",M610=""),"Description not translated ",
   IF(AND(TRIM(J610)&lt;&gt;"",TRIM(M610)&lt;&gt;"",TRIM(J610)&lt;&gt;TRIM(M610)),"Description translation&lt;&gt; lookup ", "" ))</f>
        <v/>
      </c>
    </row>
    <row r="611" spans="1:17" x14ac:dyDescent="0.25">
      <c r="A611" s="5" t="str">
        <f>IF(TRIM(I611)="","",E611)</f>
        <v/>
      </c>
      <c r="B611" s="5" t="str">
        <f>IF(TRIM(J611)="","",H611)</f>
        <v/>
      </c>
      <c r="C611" s="5" t="str">
        <f>LEFT(F611,FIND(".",F611,6))</f>
        <v>Exif.MinoltaCs7D.</v>
      </c>
      <c r="D611" s="5" t="str">
        <f>VLOOKUP(C611,PrefixUebersetzung,2,FALSE)</f>
        <v>Exif.MinoltaCs7D.</v>
      </c>
      <c r="E611" s="5" t="str">
        <f>MID(F611,FIND(".",F611,6)+1,99)</f>
        <v>ISOSpeed</v>
      </c>
      <c r="F611" s="5" t="s">
        <v>497</v>
      </c>
      <c r="G611" s="5" t="s">
        <v>9664</v>
      </c>
      <c r="H611" s="6" t="s">
        <v>2199</v>
      </c>
      <c r="K611" s="26"/>
      <c r="L611" s="6" t="str">
        <f>IFERROR(VLOOKUP(E611,A:I,9, FALSE),"")</f>
        <v>ISO-Empfindlichkeit</v>
      </c>
      <c r="M611" s="6" t="str">
        <f>IFERROR(VLOOKUP(H611,B:J,9,FALSE),"")</f>
        <v>ISO-Empfindlichkeit</v>
      </c>
      <c r="N611" s="6" t="str">
        <f>IF(AND(TRIM(I611)="",L611=""),"Suffix not translated ",
   IF(AND(TRIM(I611)&lt;&gt;"",TRIM(L611)&lt;&gt;"",TRIM(I611)&lt;&gt;TRIM(L611)),"Suffix translation &lt;&gt; lookup ", "" ))
&amp;IF(AND(TRIM(J611)="",M611=""),"Description not translated ",
   IF(AND(TRIM(J611)&lt;&gt;"",TRIM(M611)&lt;&gt;"",TRIM(J611)&lt;&gt;TRIM(M611)),"Description translation&lt;&gt; lookup ", "" ))</f>
        <v/>
      </c>
    </row>
    <row r="612" spans="1:17" x14ac:dyDescent="0.25">
      <c r="A612" s="5" t="str">
        <f>IF(TRIM(I612)="","",E612)</f>
        <v/>
      </c>
      <c r="B612" s="5" t="str">
        <f>IF(TRIM(J612)="","",H612)</f>
        <v/>
      </c>
      <c r="C612" s="5" t="str">
        <f>LEFT(F612,FIND(".",F612,6))</f>
        <v>Exif.MinoltaCs7D.</v>
      </c>
      <c r="D612" s="5" t="str">
        <f>VLOOKUP(C612,PrefixUebersetzung,2,FALSE)</f>
        <v>Exif.MinoltaCs7D.</v>
      </c>
      <c r="E612" s="5" t="str">
        <f>MID(F612,FIND(".",F612,6)+1,99)</f>
        <v>NoiseReduction</v>
      </c>
      <c r="F612" s="5" t="s">
        <v>498</v>
      </c>
      <c r="G612" s="5" t="s">
        <v>9664</v>
      </c>
      <c r="H612" s="6" t="s">
        <v>2563</v>
      </c>
      <c r="I612" s="7"/>
      <c r="K612" s="26"/>
      <c r="L612" s="6" t="str">
        <f>IFERROR(VLOOKUP(E612,A:I,9, FALSE),"")</f>
        <v xml:space="preserve">Rauschreduzierung </v>
      </c>
      <c r="M612" s="6" t="str">
        <f>IFERROR(VLOOKUP(H612,B:J,9,FALSE),"")</f>
        <v xml:space="preserve">Rauschreduzierung </v>
      </c>
      <c r="N612" s="6" t="str">
        <f>IF(AND(TRIM(I612)="",L612=""),"Suffix not translated ",
   IF(AND(TRIM(I612)&lt;&gt;"",TRIM(L612)&lt;&gt;"",TRIM(I612)&lt;&gt;TRIM(L612)),"Suffix translation &lt;&gt; lookup ", "" ))
&amp;IF(AND(TRIM(J612)="",M612=""),"Description not translated ",
   IF(AND(TRIM(J612)&lt;&gt;"",TRIM(M612)&lt;&gt;"",TRIM(J612)&lt;&gt;TRIM(M612)),"Description translation&lt;&gt; lookup ", "" ))</f>
        <v/>
      </c>
    </row>
    <row r="613" spans="1:17" x14ac:dyDescent="0.25">
      <c r="A613" s="5" t="str">
        <f>IF(TRIM(I613)="","",E613)</f>
        <v/>
      </c>
      <c r="B613" s="5" t="str">
        <f>IF(TRIM(J613)="","",H613)</f>
        <v/>
      </c>
      <c r="C613" s="5" t="str">
        <f>LEFT(F613,FIND(".",F613,6))</f>
        <v>Exif.MinoltaCs7D.</v>
      </c>
      <c r="D613" s="5" t="str">
        <f>VLOOKUP(C613,PrefixUebersetzung,2,FALSE)</f>
        <v>Exif.MinoltaCs7D.</v>
      </c>
      <c r="E613" s="5" t="str">
        <f>MID(F613,FIND(".",F613,6)+1,99)</f>
        <v>Quality</v>
      </c>
      <c r="F613" s="5" t="s">
        <v>499</v>
      </c>
      <c r="G613" s="5" t="s">
        <v>9664</v>
      </c>
      <c r="H613" s="6" t="s">
        <v>2536</v>
      </c>
      <c r="K613" s="26"/>
      <c r="L613" s="6" t="str">
        <f>IFERROR(VLOOKUP(E613,A:I,9, FALSE),"")</f>
        <v>Qualität</v>
      </c>
      <c r="M613" s="6" t="str">
        <f>IFERROR(VLOOKUP(H613,B:J,9,FALSE),"")</f>
        <v>Bildqualität</v>
      </c>
      <c r="N613" s="6" t="str">
        <f>IF(AND(TRIM(I613)="",L613=""),"Suffix not translated ",
   IF(AND(TRIM(I613)&lt;&gt;"",TRIM(L613)&lt;&gt;"",TRIM(I613)&lt;&gt;TRIM(L613)),"Suffix translation &lt;&gt; lookup ", "" ))
&amp;IF(AND(TRIM(J613)="",M613=""),"Description not translated ",
   IF(AND(TRIM(J613)&lt;&gt;"",TRIM(M613)&lt;&gt;"",TRIM(J613)&lt;&gt;TRIM(M613)),"Description translation&lt;&gt; lookup ", "" ))</f>
        <v/>
      </c>
    </row>
    <row r="614" spans="1:17" x14ac:dyDescent="0.25">
      <c r="A614" s="5" t="str">
        <f>IF(TRIM(I614)="","",E614)</f>
        <v/>
      </c>
      <c r="B614" s="5" t="str">
        <f>IF(TRIM(J614)="","",H614)</f>
        <v/>
      </c>
      <c r="C614" s="5" t="str">
        <f>LEFT(F614,FIND(".",F614,6))</f>
        <v>Exif.MinoltaCs7D.</v>
      </c>
      <c r="D614" s="5" t="str">
        <f>VLOOKUP(C614,PrefixUebersetzung,2,FALSE)</f>
        <v>Exif.MinoltaCs7D.</v>
      </c>
      <c r="E614" s="5" t="str">
        <f>MID(F614,FIND(".",F614,6)+1,99)</f>
        <v>Rotation</v>
      </c>
      <c r="F614" s="5" t="s">
        <v>500</v>
      </c>
      <c r="G614" s="5" t="s">
        <v>9664</v>
      </c>
      <c r="H614" s="6" t="s">
        <v>2565</v>
      </c>
      <c r="K614" s="26"/>
      <c r="L614" s="6" t="str">
        <f>IFERROR(VLOOKUP(E614,A:I,9, FALSE),"")</f>
        <v>Drehung</v>
      </c>
      <c r="M614" s="6" t="str">
        <f>IFERROR(VLOOKUP(H614,B:J,9,FALSE),"")</f>
        <v>Drehung</v>
      </c>
      <c r="N614" s="6" t="str">
        <f>IF(AND(TRIM(I614)="",L614=""),"Suffix not translated ",
   IF(AND(TRIM(I614)&lt;&gt;"",TRIM(L614)&lt;&gt;"",TRIM(I614)&lt;&gt;TRIM(L614)),"Suffix translation &lt;&gt; lookup ", "" ))
&amp;IF(AND(TRIM(J614)="",M614=""),"Description not translated ",
   IF(AND(TRIM(J614)&lt;&gt;"",TRIM(M614)&lt;&gt;"",TRIM(J614)&lt;&gt;TRIM(M614)),"Description translation&lt;&gt; lookup ", "" ))</f>
        <v/>
      </c>
    </row>
    <row r="615" spans="1:17" x14ac:dyDescent="0.25">
      <c r="A615" s="5" t="str">
        <f>IF(TRIM(I615)="","",E615)</f>
        <v/>
      </c>
      <c r="B615" s="5" t="str">
        <f>IF(TRIM(J615)="","",H615)</f>
        <v/>
      </c>
      <c r="C615" s="5" t="str">
        <f>LEFT(F615,FIND(".",F615,6))</f>
        <v>Exif.MinoltaCs7D.</v>
      </c>
      <c r="D615" s="5" t="str">
        <f>VLOOKUP(C615,PrefixUebersetzung,2,FALSE)</f>
        <v>Exif.MinoltaCs7D.</v>
      </c>
      <c r="E615" s="5" t="str">
        <f>MID(F615,FIND(".",F615,6)+1,99)</f>
        <v>Saturation</v>
      </c>
      <c r="F615" s="5" t="s">
        <v>501</v>
      </c>
      <c r="G615" s="5" t="s">
        <v>9664</v>
      </c>
      <c r="H615" s="6" t="s">
        <v>2567</v>
      </c>
      <c r="K615" s="26"/>
      <c r="L615" s="6" t="str">
        <f>IFERROR(VLOOKUP(E615,A:I,9, FALSE),"")</f>
        <v>Sättigung</v>
      </c>
      <c r="M615" s="6" t="str">
        <f>IFERROR(VLOOKUP(H615,B:J,9,FALSE),"")</f>
        <v>Sättigung</v>
      </c>
      <c r="N615" s="6" t="str">
        <f>IF(AND(TRIM(I615)="",L615=""),"Suffix not translated ",
   IF(AND(TRIM(I615)&lt;&gt;"",TRIM(L615)&lt;&gt;"",TRIM(I615)&lt;&gt;TRIM(L615)),"Suffix translation &lt;&gt; lookup ", "" ))
&amp;IF(AND(TRIM(J615)="",M615=""),"Description not translated ",
   IF(AND(TRIM(J615)&lt;&gt;"",TRIM(M615)&lt;&gt;"",TRIM(J615)&lt;&gt;TRIM(M615)),"Description translation&lt;&gt; lookup ", "" ))</f>
        <v/>
      </c>
    </row>
    <row r="616" spans="1:17" x14ac:dyDescent="0.25">
      <c r="A616" s="5" t="str">
        <f>IF(TRIM(I616)="","",E616)</f>
        <v/>
      </c>
      <c r="B616" s="5" t="str">
        <f>IF(TRIM(J616)="","",H616)</f>
        <v/>
      </c>
      <c r="C616" s="5" t="str">
        <f>LEFT(F616,FIND(".",F616,6))</f>
        <v>Exif.MinoltaCs7D.</v>
      </c>
      <c r="D616" s="5" t="str">
        <f>VLOOKUP(C616,PrefixUebersetzung,2,FALSE)</f>
        <v>Exif.MinoltaCs7D.</v>
      </c>
      <c r="E616" s="5" t="str">
        <f>MID(F616,FIND(".",F616,6)+1,99)</f>
        <v>Sharpness</v>
      </c>
      <c r="F616" s="5" t="s">
        <v>502</v>
      </c>
      <c r="G616" s="5" t="s">
        <v>9664</v>
      </c>
      <c r="H616" s="6" t="s">
        <v>2245</v>
      </c>
      <c r="K616" s="26"/>
      <c r="L616" s="6" t="str">
        <f>IFERROR(VLOOKUP(E616,A:I,9, FALSE),"")</f>
        <v>Schärfe</v>
      </c>
      <c r="M616" s="6" t="str">
        <f>IFERROR(VLOOKUP(H616,B:J,9,FALSE),"")</f>
        <v>Schärfe</v>
      </c>
      <c r="N616" s="6" t="str">
        <f>IF(AND(TRIM(I616)="",L616=""),"Suffix not translated ",
   IF(AND(TRIM(I616)&lt;&gt;"",TRIM(L616)&lt;&gt;"",TRIM(I616)&lt;&gt;TRIM(L616)),"Suffix translation &lt;&gt; lookup ", "" ))
&amp;IF(AND(TRIM(J616)="",M616=""),"Description not translated ",
   IF(AND(TRIM(J616)&lt;&gt;"",TRIM(M616)&lt;&gt;"",TRIM(J616)&lt;&gt;TRIM(M616)),"Description translation&lt;&gt; lookup ", "" ))</f>
        <v/>
      </c>
    </row>
    <row r="617" spans="1:17" x14ac:dyDescent="0.25">
      <c r="A617" s="5" t="str">
        <f>IF(TRIM(I617)="","",E617)</f>
        <v/>
      </c>
      <c r="B617" s="5" t="str">
        <f>IF(TRIM(J617)="","",H617)</f>
        <v/>
      </c>
      <c r="C617" s="5" t="str">
        <f>LEFT(F617,FIND(".",F617,6))</f>
        <v>Exif.MinoltaCs7D.</v>
      </c>
      <c r="D617" s="5" t="str">
        <f>VLOOKUP(C617,PrefixUebersetzung,2,FALSE)</f>
        <v>Exif.MinoltaCs7D.</v>
      </c>
      <c r="E617" s="5" t="str">
        <f>MID(F617,FIND(".",F617,6)+1,99)</f>
        <v>WhiteBalance</v>
      </c>
      <c r="F617" s="5" t="s">
        <v>503</v>
      </c>
      <c r="G617" s="5" t="s">
        <v>9664</v>
      </c>
      <c r="H617" s="6" t="s">
        <v>2250</v>
      </c>
      <c r="K617" s="26"/>
      <c r="L617" s="6" t="str">
        <f>IFERROR(VLOOKUP(E617,A:I,9, FALSE),"")</f>
        <v>Weißabgleich</v>
      </c>
      <c r="M617" s="6" t="str">
        <f>IFERROR(VLOOKUP(H617,B:J,9,FALSE),"")</f>
        <v>Weißabgleich</v>
      </c>
      <c r="N617" s="6" t="str">
        <f>IF(AND(TRIM(I617)="",L617=""),"Suffix not translated ",
   IF(AND(TRIM(I617)&lt;&gt;"",TRIM(L617)&lt;&gt;"",TRIM(I617)&lt;&gt;TRIM(L617)),"Suffix translation &lt;&gt; lookup ", "" ))
&amp;IF(AND(TRIM(J617)="",M617=""),"Description not translated ",
   IF(AND(TRIM(J617)&lt;&gt;"",TRIM(M617)&lt;&gt;"",TRIM(J617)&lt;&gt;TRIM(M617)),"Description translation&lt;&gt; lookup ", "" ))</f>
        <v/>
      </c>
    </row>
    <row r="618" spans="1:17" x14ac:dyDescent="0.25">
      <c r="A618" s="5" t="str">
        <f>IF(TRIM(I618)="","",E618)</f>
        <v/>
      </c>
      <c r="B618" s="5" t="str">
        <f>IF(TRIM(J618)="","",H618)</f>
        <v>Zone matching on</v>
      </c>
      <c r="C618" s="5" t="str">
        <f>LEFT(F618,FIND(".",F618,6))</f>
        <v>Exif.MinoltaCs7D.</v>
      </c>
      <c r="D618" s="5" t="str">
        <f>VLOOKUP(C618,PrefixUebersetzung,2,FALSE)</f>
        <v>Exif.MinoltaCs7D.</v>
      </c>
      <c r="E618" s="5" t="str">
        <f>MID(F618,FIND(".",F618,6)+1,99)</f>
        <v>ZoneMatchingOn</v>
      </c>
      <c r="F618" s="5" t="s">
        <v>504</v>
      </c>
      <c r="G618" s="5" t="s">
        <v>9664</v>
      </c>
      <c r="H618" s="6" t="s">
        <v>2571</v>
      </c>
      <c r="I618" s="7"/>
      <c r="J618" s="6" t="s">
        <v>9568</v>
      </c>
      <c r="K618" s="26"/>
      <c r="N618" s="6"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Suffix not translated </v>
      </c>
      <c r="O618" s="6" t="s">
        <v>8574</v>
      </c>
      <c r="P618" s="6" t="s">
        <v>8574</v>
      </c>
    </row>
    <row r="619" spans="1:17" x14ac:dyDescent="0.25">
      <c r="A619" s="5" t="str">
        <f>IF(TRIM(I619)="","",E619)</f>
        <v>BracketStep</v>
      </c>
      <c r="B619" s="5" t="str">
        <f>IF(TRIM(J619)="","",H619)</f>
        <v>Bracket step</v>
      </c>
      <c r="C619" s="5" t="str">
        <f>LEFT(F619,FIND(".",F619,6))</f>
        <v>Exif.MinoltaCsNew.</v>
      </c>
      <c r="D619" s="5" t="str">
        <f>VLOOKUP(C619,PrefixUebersetzung,2,FALSE)</f>
        <v>Exif.MinoltaCsNew.</v>
      </c>
      <c r="E619" s="5" t="str">
        <f>MID(F619,FIND(".",F619,6)+1,99)</f>
        <v>BracketStep</v>
      </c>
      <c r="F619" s="5" t="s">
        <v>505</v>
      </c>
      <c r="G619" s="5" t="s">
        <v>9667</v>
      </c>
      <c r="H619" s="6" t="s">
        <v>2572</v>
      </c>
      <c r="I619" s="7" t="s">
        <v>4314</v>
      </c>
      <c r="J619" s="14" t="s">
        <v>4314</v>
      </c>
      <c r="K619" s="26"/>
      <c r="N619" s="6" t="str">
        <f>IF(AND(TRIM(I619)="",L619=""),"Suffix not translated ",
   IF(AND(TRIM(I619)&lt;&gt;"",TRIM(L619)&lt;&gt;"",TRIM(I619)&lt;&gt;TRIM(L619)),"Suffix translation &lt;&gt; lookup ", "" ))
&amp;IF(AND(TRIM(J619)="",M619=""),"Description not translated ",
   IF(AND(TRIM(J619)&lt;&gt;"",TRIM(M619)&lt;&gt;"",TRIM(J619)&lt;&gt;TRIM(M619)),"Description translation&lt;&gt; lookup ", "" ))</f>
        <v/>
      </c>
      <c r="O619" s="6" t="s">
        <v>8574</v>
      </c>
      <c r="P619" s="6" t="s">
        <v>8574</v>
      </c>
      <c r="Q619" s="6" t="s">
        <v>9154</v>
      </c>
    </row>
    <row r="620" spans="1:17" x14ac:dyDescent="0.25">
      <c r="A620" s="5" t="str">
        <f>IF(TRIM(I620)="","",E620)</f>
        <v>Brightness</v>
      </c>
      <c r="B620" s="5" t="str">
        <f>IF(TRIM(J620)="","",H620)</f>
        <v>Brightness</v>
      </c>
      <c r="C620" s="5" t="str">
        <f>LEFT(F620,FIND(".",F620,6))</f>
        <v>Exif.MinoltaCsNew.</v>
      </c>
      <c r="D620" s="5" t="str">
        <f>VLOOKUP(C620,PrefixUebersetzung,2,FALSE)</f>
        <v>Exif.MinoltaCsNew.</v>
      </c>
      <c r="E620" s="5" t="str">
        <f>MID(F620,FIND(".",F620,6)+1,99)</f>
        <v>Brightness</v>
      </c>
      <c r="F620" s="5" t="s">
        <v>506</v>
      </c>
      <c r="G620" s="5" t="s">
        <v>9667</v>
      </c>
      <c r="H620" s="6" t="s">
        <v>2573</v>
      </c>
      <c r="I620" s="31" t="s">
        <v>6924</v>
      </c>
      <c r="J620" s="14" t="s">
        <v>3923</v>
      </c>
      <c r="K620" s="26"/>
      <c r="L620" s="6" t="str">
        <f>IFERROR(VLOOKUP(E620,A:I,9, FALSE),"")</f>
        <v>Bildhelligkeit</v>
      </c>
      <c r="M620" s="6" t="str">
        <f>IFERROR(VLOOKUP(H620,B:J,9,FALSE),"")</f>
        <v>Helligkeit</v>
      </c>
      <c r="N620" s="6" t="str">
        <f>IF(AND(TRIM(I620)="",L620=""),"Suffix not translated ",
   IF(AND(TRIM(I620)&lt;&gt;"",TRIM(L620)&lt;&gt;"",TRIM(I620)&lt;&gt;TRIM(L620)),"Suffix translation &lt;&gt; lookup ", "" ))
&amp;IF(AND(TRIM(J620)="",M620=""),"Description not translated ",
   IF(AND(TRIM(J620)&lt;&gt;"",TRIM(M620)&lt;&gt;"",TRIM(J620)&lt;&gt;TRIM(M620)),"Description translation&lt;&gt; lookup ", "" ))</f>
        <v/>
      </c>
      <c r="O620" s="6" t="s">
        <v>8574</v>
      </c>
      <c r="P620" s="6" t="s">
        <v>8574</v>
      </c>
      <c r="Q620" s="6" t="s">
        <v>3923</v>
      </c>
    </row>
    <row r="621" spans="1:17" x14ac:dyDescent="0.25">
      <c r="A621" s="5" t="str">
        <f>IF(TRIM(I621)="","",E621)</f>
        <v>BWFilter</v>
      </c>
      <c r="B621" s="5" t="str">
        <f>IF(TRIM(J621)="","",H621)</f>
        <v>Black and white filter</v>
      </c>
      <c r="C621" s="5" t="str">
        <f>LEFT(F621,FIND(".",F621,6))</f>
        <v>Exif.MinoltaCsNew.</v>
      </c>
      <c r="D621" s="5" t="str">
        <f>VLOOKUP(C621,PrefixUebersetzung,2,FALSE)</f>
        <v>Exif.MinoltaCsNew.</v>
      </c>
      <c r="E621" s="5" t="str">
        <f>MID(F621,FIND(".",F621,6)+1,99)</f>
        <v>BWFilter</v>
      </c>
      <c r="F621" s="5" t="s">
        <v>507</v>
      </c>
      <c r="G621" s="5" t="s">
        <v>9667</v>
      </c>
      <c r="H621" s="6" t="s">
        <v>2574</v>
      </c>
      <c r="I621" s="31" t="s">
        <v>3924</v>
      </c>
      <c r="J621" s="14" t="s">
        <v>3924</v>
      </c>
      <c r="K621" s="26"/>
      <c r="N621" s="6" t="str">
        <f>IF(AND(TRIM(I621)="",L621=""),"Suffix not translated ",
   IF(AND(TRIM(I621)&lt;&gt;"",TRIM(L621)&lt;&gt;"",TRIM(I621)&lt;&gt;TRIM(L621)),"Suffix translation &lt;&gt; lookup ", "" ))
&amp;IF(AND(TRIM(J621)="",M621=""),"Description not translated ",
   IF(AND(TRIM(J621)&lt;&gt;"",TRIM(M621)&lt;&gt;"",TRIM(J621)&lt;&gt;TRIM(M621)),"Description translation&lt;&gt; lookup ", "" ))</f>
        <v/>
      </c>
      <c r="O621" s="6" t="s">
        <v>8574</v>
      </c>
      <c r="P621" s="6" t="s">
        <v>8574</v>
      </c>
      <c r="Q621" s="6" t="s">
        <v>9164</v>
      </c>
    </row>
    <row r="622" spans="1:17" x14ac:dyDescent="0.25">
      <c r="A622" s="5" t="str">
        <f>IF(TRIM(I622)="","",E622)</f>
        <v>ColorBalanceBlue</v>
      </c>
      <c r="B622" s="5" t="str">
        <f>IF(TRIM(J622)="","",H622)</f>
        <v>Color balance blue</v>
      </c>
      <c r="C622" s="5" t="str">
        <f>LEFT(F622,FIND(".",F622,6))</f>
        <v>Exif.MinoltaCsNew.</v>
      </c>
      <c r="D622" s="5" t="str">
        <f>VLOOKUP(C622,PrefixUebersetzung,2,FALSE)</f>
        <v>Exif.MinoltaCsNew.</v>
      </c>
      <c r="E622" s="5" t="str">
        <f>MID(F622,FIND(".",F622,6)+1,99)</f>
        <v>ColorBalanceBlue</v>
      </c>
      <c r="F622" s="5" t="s">
        <v>508</v>
      </c>
      <c r="G622" s="5" t="s">
        <v>9667</v>
      </c>
      <c r="H622" s="6" t="s">
        <v>2575</v>
      </c>
      <c r="I622" s="31" t="s">
        <v>3925</v>
      </c>
      <c r="J622" s="14" t="s">
        <v>3925</v>
      </c>
      <c r="K622" s="26"/>
      <c r="N622" s="6" t="str">
        <f>IF(AND(TRIM(I622)="",L622=""),"Suffix not translated ",
   IF(AND(TRIM(I622)&lt;&gt;"",TRIM(L622)&lt;&gt;"",TRIM(I622)&lt;&gt;TRIM(L622)),"Suffix translation &lt;&gt; lookup ", "" ))
&amp;IF(AND(TRIM(J622)="",M622=""),"Description not translated ",
   IF(AND(TRIM(J622)&lt;&gt;"",TRIM(M622)&lt;&gt;"",TRIM(J622)&lt;&gt;TRIM(M622)),"Description translation&lt;&gt; lookup ", "" ))</f>
        <v/>
      </c>
      <c r="O622" s="6" t="s">
        <v>8574</v>
      </c>
      <c r="P622" s="6" t="s">
        <v>8574</v>
      </c>
      <c r="Q622" s="6" t="s">
        <v>9204</v>
      </c>
    </row>
    <row r="623" spans="1:17" x14ac:dyDescent="0.25">
      <c r="A623" s="5" t="str">
        <f>IF(TRIM(I623)="","",E623)</f>
        <v>ColorBalanceGreen</v>
      </c>
      <c r="B623" s="5" t="str">
        <f>IF(TRIM(J623)="","",H623)</f>
        <v>Color balance green</v>
      </c>
      <c r="C623" s="5" t="str">
        <f>LEFT(F623,FIND(".",F623,6))</f>
        <v>Exif.MinoltaCsNew.</v>
      </c>
      <c r="D623" s="5" t="str">
        <f>VLOOKUP(C623,PrefixUebersetzung,2,FALSE)</f>
        <v>Exif.MinoltaCsNew.</v>
      </c>
      <c r="E623" s="5" t="str">
        <f>MID(F623,FIND(".",F623,6)+1,99)</f>
        <v>ColorBalanceGreen</v>
      </c>
      <c r="F623" s="5" t="s">
        <v>509</v>
      </c>
      <c r="G623" s="5" t="s">
        <v>9667</v>
      </c>
      <c r="H623" s="6" t="s">
        <v>2576</v>
      </c>
      <c r="I623" s="31" t="s">
        <v>3926</v>
      </c>
      <c r="J623" s="14" t="s">
        <v>3926</v>
      </c>
      <c r="K623" s="26"/>
      <c r="N623" s="6" t="str">
        <f>IF(AND(TRIM(I623)="",L623=""),"Suffix not translated ",
   IF(AND(TRIM(I623)&lt;&gt;"",TRIM(L623)&lt;&gt;"",TRIM(I623)&lt;&gt;TRIM(L623)),"Suffix translation &lt;&gt; lookup ", "" ))
&amp;IF(AND(TRIM(J623)="",M623=""),"Description not translated ",
   IF(AND(TRIM(J623)&lt;&gt;"",TRIM(M623)&lt;&gt;"",TRIM(J623)&lt;&gt;TRIM(M623)),"Description translation&lt;&gt; lookup ", "" ))</f>
        <v/>
      </c>
      <c r="O623" s="6" t="s">
        <v>8574</v>
      </c>
      <c r="P623" s="6" t="s">
        <v>8574</v>
      </c>
      <c r="Q623" s="6" t="s">
        <v>9205</v>
      </c>
    </row>
    <row r="624" spans="1:17" x14ac:dyDescent="0.25">
      <c r="A624" s="5" t="str">
        <f>IF(TRIM(I624)="","",E624)</f>
        <v>ColorBalanceRed</v>
      </c>
      <c r="B624" s="5" t="str">
        <f>IF(TRIM(J624)="","",H624)</f>
        <v>Color balance red</v>
      </c>
      <c r="C624" s="5" t="str">
        <f>LEFT(F624,FIND(".",F624,6))</f>
        <v>Exif.MinoltaCsNew.</v>
      </c>
      <c r="D624" s="5" t="str">
        <f>VLOOKUP(C624,PrefixUebersetzung,2,FALSE)</f>
        <v>Exif.MinoltaCsNew.</v>
      </c>
      <c r="E624" s="5" t="str">
        <f>MID(F624,FIND(".",F624,6)+1,99)</f>
        <v>ColorBalanceRed</v>
      </c>
      <c r="F624" s="5" t="s">
        <v>510</v>
      </c>
      <c r="G624" s="5" t="s">
        <v>9667</v>
      </c>
      <c r="H624" s="6" t="s">
        <v>2577</v>
      </c>
      <c r="I624" s="31" t="s">
        <v>3927</v>
      </c>
      <c r="J624" s="14" t="s">
        <v>3927</v>
      </c>
      <c r="K624" s="26"/>
      <c r="N624" s="6" t="str">
        <f>IF(AND(TRIM(I624)="",L624=""),"Suffix not translated ",
   IF(AND(TRIM(I624)&lt;&gt;"",TRIM(L624)&lt;&gt;"",TRIM(I624)&lt;&gt;TRIM(L624)),"Suffix translation &lt;&gt; lookup ", "" ))
&amp;IF(AND(TRIM(J624)="",M624=""),"Description not translated ",
   IF(AND(TRIM(J624)&lt;&gt;"",TRIM(M624)&lt;&gt;"",TRIM(J624)&lt;&gt;TRIM(M624)),"Description translation&lt;&gt; lookup ", "" ))</f>
        <v/>
      </c>
      <c r="O624" s="6" t="s">
        <v>8574</v>
      </c>
      <c r="P624" s="6" t="s">
        <v>8574</v>
      </c>
      <c r="Q624" s="6" t="s">
        <v>9206</v>
      </c>
    </row>
    <row r="625" spans="1:17" x14ac:dyDescent="0.25">
      <c r="A625" s="5" t="str">
        <f>IF(TRIM(I625)="","",E625)</f>
        <v/>
      </c>
      <c r="B625" s="5" t="str">
        <f>IF(TRIM(J625)="","",H625)</f>
        <v/>
      </c>
      <c r="C625" s="5" t="str">
        <f>LEFT(F625,FIND(".",F625,6))</f>
        <v>Exif.MinoltaCsNew.</v>
      </c>
      <c r="D625" s="5" t="str">
        <f>VLOOKUP(C625,PrefixUebersetzung,2,FALSE)</f>
        <v>Exif.MinoltaCsNew.</v>
      </c>
      <c r="E625" s="5" t="str">
        <f>MID(F625,FIND(".",F625,6)+1,99)</f>
        <v>ColorFilter</v>
      </c>
      <c r="F625" s="5" t="s">
        <v>511</v>
      </c>
      <c r="G625" s="5" t="s">
        <v>9667</v>
      </c>
      <c r="H625" s="6" t="s">
        <v>2578</v>
      </c>
      <c r="K625" s="26"/>
      <c r="L625" s="6" t="str">
        <f>IFERROR(VLOOKUP(E625,A:I,9, FALSE),"")</f>
        <v>Farbfilter</v>
      </c>
      <c r="M625" s="6" t="str">
        <f>IFERROR(VLOOKUP(H625,B:J,9,FALSE),"")</f>
        <v>Farbfilter</v>
      </c>
      <c r="N625" s="6" t="str">
        <f>IF(AND(TRIM(I625)="",L625=""),"Suffix not translated ",
   IF(AND(TRIM(I625)&lt;&gt;"",TRIM(L625)&lt;&gt;"",TRIM(I625)&lt;&gt;TRIM(L625)),"Suffix translation &lt;&gt; lookup ", "" ))
&amp;IF(AND(TRIM(J625)="",M625=""),"Description not translated ",
   IF(AND(TRIM(J625)&lt;&gt;"",TRIM(M625)&lt;&gt;"",TRIM(J625)&lt;&gt;TRIM(M625)),"Description translation&lt;&gt; lookup ", "" ))</f>
        <v/>
      </c>
    </row>
    <row r="626" spans="1:17" x14ac:dyDescent="0.25">
      <c r="A626" s="5" t="str">
        <f>IF(TRIM(I626)="","",E626)</f>
        <v/>
      </c>
      <c r="B626" s="5" t="str">
        <f>IF(TRIM(J626)="","",H626)</f>
        <v>ColorMode</v>
      </c>
      <c r="C626" s="5" t="str">
        <f>LEFT(F626,FIND(".",F626,6))</f>
        <v>Exif.MinoltaCsNew.</v>
      </c>
      <c r="D626" s="5" t="str">
        <f>VLOOKUP(C626,PrefixUebersetzung,2,FALSE)</f>
        <v>Exif.MinoltaCsNew.</v>
      </c>
      <c r="E626" s="5" t="str">
        <f>MID(F626,FIND(".",F626,6)+1,99)</f>
        <v>ColorMode</v>
      </c>
      <c r="F626" s="5" t="s">
        <v>512</v>
      </c>
      <c r="G626" s="5" t="s">
        <v>9667</v>
      </c>
      <c r="H626" s="6" t="s">
        <v>2579</v>
      </c>
      <c r="I626" s="7"/>
      <c r="J626" s="14" t="s">
        <v>3904</v>
      </c>
      <c r="K626" s="26"/>
      <c r="L626" s="6" t="str">
        <f>IFERROR(VLOOKUP(E626,A:I,9, FALSE),"")</f>
        <v>Farbmodus</v>
      </c>
      <c r="N626" s="6" t="str">
        <f>IF(AND(TRIM(I626)="",L626=""),"Suffix not translated ",
   IF(AND(TRIM(I626)&lt;&gt;"",TRIM(L626)&lt;&gt;"",TRIM(I626)&lt;&gt;TRIM(L626)),"Suffix translation &lt;&gt; lookup ", "" ))
&amp;IF(AND(TRIM(J626)="",M626=""),"Description not translated ",
   IF(AND(TRIM(J626)&lt;&gt;"",TRIM(M626)&lt;&gt;"",TRIM(J626)&lt;&gt;TRIM(M626)),"Description translation&lt;&gt; lookup ", "" ))</f>
        <v/>
      </c>
      <c r="P626" s="6" t="s">
        <v>8574</v>
      </c>
      <c r="Q626" s="6" t="s">
        <v>3904</v>
      </c>
    </row>
    <row r="627" spans="1:17" x14ac:dyDescent="0.25">
      <c r="A627" s="5" t="str">
        <f>IF(TRIM(I627)="","",E627)</f>
        <v>ColorProfile</v>
      </c>
      <c r="B627" s="5" t="str">
        <f>IF(TRIM(J627)="","",H627)</f>
        <v>Color profile</v>
      </c>
      <c r="C627" s="5" t="str">
        <f>LEFT(F627,FIND(".",F627,6))</f>
        <v>Exif.MinoltaCsNew.</v>
      </c>
      <c r="D627" s="5" t="str">
        <f>VLOOKUP(C627,PrefixUebersetzung,2,FALSE)</f>
        <v>Exif.MinoltaCsNew.</v>
      </c>
      <c r="E627" s="5" t="str">
        <f>MID(F627,FIND(".",F627,6)+1,99)</f>
        <v>ColorProfile</v>
      </c>
      <c r="F627" s="5" t="s">
        <v>513</v>
      </c>
      <c r="G627" s="5" t="s">
        <v>9667</v>
      </c>
      <c r="H627" s="6" t="s">
        <v>2580</v>
      </c>
      <c r="I627" s="31" t="s">
        <v>3929</v>
      </c>
      <c r="J627" s="14" t="s">
        <v>3929</v>
      </c>
      <c r="K627" s="26"/>
      <c r="N627" s="6" t="str">
        <f>IF(AND(TRIM(I627)="",L627=""),"Suffix not translated ",
   IF(AND(TRIM(I627)&lt;&gt;"",TRIM(L627)&lt;&gt;"",TRIM(I627)&lt;&gt;TRIM(L627)),"Suffix translation &lt;&gt; lookup ", "" ))
&amp;IF(AND(TRIM(J627)="",M627=""),"Description not translated ",
   IF(AND(TRIM(J627)&lt;&gt;"",TRIM(M627)&lt;&gt;"",TRIM(J627)&lt;&gt;TRIM(M627)),"Description translation&lt;&gt; lookup ", "" ))</f>
        <v/>
      </c>
      <c r="O627" s="6" t="s">
        <v>8574</v>
      </c>
      <c r="P627" s="6" t="s">
        <v>8574</v>
      </c>
      <c r="Q627" s="6" t="s">
        <v>3929</v>
      </c>
    </row>
    <row r="628" spans="1:17" x14ac:dyDescent="0.25">
      <c r="A628" s="5" t="str">
        <f>IF(TRIM(I628)="","",E628)</f>
        <v/>
      </c>
      <c r="B628" s="5" t="str">
        <f>IF(TRIM(J628)="","",H628)</f>
        <v/>
      </c>
      <c r="C628" s="5" t="str">
        <f>LEFT(F628,FIND(".",F628,6))</f>
        <v>Exif.MinoltaCsNew.</v>
      </c>
      <c r="D628" s="5" t="str">
        <f>VLOOKUP(C628,PrefixUebersetzung,2,FALSE)</f>
        <v>Exif.MinoltaCsNew.</v>
      </c>
      <c r="E628" s="5" t="str">
        <f>MID(F628,FIND(".",F628,6)+1,99)</f>
        <v>Contrast</v>
      </c>
      <c r="F628" s="5" t="s">
        <v>514</v>
      </c>
      <c r="G628" s="5" t="s">
        <v>9667</v>
      </c>
      <c r="H628" s="6" t="s">
        <v>2549</v>
      </c>
      <c r="K628" s="26"/>
      <c r="L628" s="6" t="str">
        <f>IFERROR(VLOOKUP(E628,A:I,9, FALSE),"")</f>
        <v>Kontrast</v>
      </c>
      <c r="M628" s="6" t="str">
        <f>IFERROR(VLOOKUP(H628,B:J,9,FALSE),"")</f>
        <v>Kontrast</v>
      </c>
      <c r="N628" s="6" t="str">
        <f>IF(AND(TRIM(I628)="",L628=""),"Suffix not translated ",
   IF(AND(TRIM(I628)&lt;&gt;"",TRIM(L628)&lt;&gt;"",TRIM(I628)&lt;&gt;TRIM(L628)),"Suffix translation &lt;&gt; lookup ", "" ))
&amp;IF(AND(TRIM(J628)="",M628=""),"Description not translated ",
   IF(AND(TRIM(J628)&lt;&gt;"",TRIM(M628)&lt;&gt;"",TRIM(J628)&lt;&gt;TRIM(M628)),"Description translation&lt;&gt; lookup ", "" ))</f>
        <v/>
      </c>
    </row>
    <row r="629" spans="1:17" x14ac:dyDescent="0.25">
      <c r="A629" s="5" t="str">
        <f>IF(TRIM(I629)="","",E629)</f>
        <v>DataImprint</v>
      </c>
      <c r="B629" s="5" t="str">
        <f>IF(TRIM(J629)="","",H629)</f>
        <v>Data Imprint</v>
      </c>
      <c r="C629" s="5" t="str">
        <f>LEFT(F629,FIND(".",F629,6))</f>
        <v>Exif.MinoltaCsNew.</v>
      </c>
      <c r="D629" s="5" t="str">
        <f>VLOOKUP(C629,PrefixUebersetzung,2,FALSE)</f>
        <v>Exif.MinoltaCsNew.</v>
      </c>
      <c r="E629" s="5" t="str">
        <f>MID(F629,FIND(".",F629,6)+1,99)</f>
        <v>DataImprint</v>
      </c>
      <c r="F629" s="5" t="s">
        <v>515</v>
      </c>
      <c r="G629" s="5" t="s">
        <v>9667</v>
      </c>
      <c r="H629" s="6" t="s">
        <v>2581</v>
      </c>
      <c r="I629" s="31" t="s">
        <v>3930</v>
      </c>
      <c r="J629" s="14" t="s">
        <v>3930</v>
      </c>
      <c r="K629" s="26"/>
      <c r="N629" s="6" t="str">
        <f>IF(AND(TRIM(I629)="",L629=""),"Suffix not translated ",
   IF(AND(TRIM(I629)&lt;&gt;"",TRIM(L629)&lt;&gt;"",TRIM(I629)&lt;&gt;TRIM(L629)),"Suffix translation &lt;&gt; lookup ", "" ))
&amp;IF(AND(TRIM(J629)="",M629=""),"Description not translated ",
   IF(AND(TRIM(J629)&lt;&gt;"",TRIM(M629)&lt;&gt;"",TRIM(J629)&lt;&gt;TRIM(M629)),"Description translation&lt;&gt; lookup ", "" ))</f>
        <v/>
      </c>
      <c r="O629" s="6" t="s">
        <v>8574</v>
      </c>
      <c r="P629" s="6" t="s">
        <v>8574</v>
      </c>
      <c r="Q629" s="6" t="s">
        <v>9236</v>
      </c>
    </row>
    <row r="630" spans="1:17" x14ac:dyDescent="0.25">
      <c r="A630" s="5" t="str">
        <f>IF(TRIM(I630)="","",E630)</f>
        <v>DECPosition</v>
      </c>
      <c r="B630" s="5" t="str">
        <f>IF(TRIM(J630)="","",H630)</f>
        <v>DEC switch position</v>
      </c>
      <c r="C630" s="5" t="str">
        <f>LEFT(F630,FIND(".",F630,6))</f>
        <v>Exif.MinoltaCsNew.</v>
      </c>
      <c r="D630" s="5" t="str">
        <f>VLOOKUP(C630,PrefixUebersetzung,2,FALSE)</f>
        <v>Exif.MinoltaCsNew.</v>
      </c>
      <c r="E630" s="5" t="str">
        <f>MID(F630,FIND(".",F630,6)+1,99)</f>
        <v>DECPosition</v>
      </c>
      <c r="F630" s="5" t="s">
        <v>516</v>
      </c>
      <c r="G630" s="5" t="s">
        <v>9667</v>
      </c>
      <c r="H630" s="6" t="s">
        <v>2582</v>
      </c>
      <c r="I630" s="31" t="s">
        <v>4315</v>
      </c>
      <c r="J630" s="14" t="s">
        <v>4315</v>
      </c>
      <c r="K630" s="26"/>
      <c r="N630" s="6" t="str">
        <f>IF(AND(TRIM(I630)="",L630=""),"Suffix not translated ",
   IF(AND(TRIM(I630)&lt;&gt;"",TRIM(L630)&lt;&gt;"",TRIM(I630)&lt;&gt;TRIM(L630)),"Suffix translation &lt;&gt; lookup ", "" ))
&amp;IF(AND(TRIM(J630)="",M630=""),"Description not translated ",
   IF(AND(TRIM(J630)&lt;&gt;"",TRIM(M630)&lt;&gt;"",TRIM(J630)&lt;&gt;TRIM(M630)),"Description translation&lt;&gt; lookup ", "" ))</f>
        <v/>
      </c>
      <c r="O630" s="6" t="s">
        <v>8574</v>
      </c>
      <c r="P630" s="6" t="s">
        <v>8574</v>
      </c>
      <c r="Q630" s="6" t="s">
        <v>9106</v>
      </c>
    </row>
    <row r="631" spans="1:17" x14ac:dyDescent="0.25">
      <c r="A631" s="5" t="str">
        <f>IF(TRIM(I631)="","",E631)</f>
        <v/>
      </c>
      <c r="B631" s="5" t="str">
        <f>IF(TRIM(J631)="","",H631)</f>
        <v/>
      </c>
      <c r="C631" s="5" t="str">
        <f>LEFT(F631,FIND(".",F631,6))</f>
        <v>Exif.MinoltaCsNew.</v>
      </c>
      <c r="D631" s="5" t="str">
        <f>VLOOKUP(C631,PrefixUebersetzung,2,FALSE)</f>
        <v>Exif.MinoltaCsNew.</v>
      </c>
      <c r="E631" s="5" t="str">
        <f>MID(F631,FIND(".",F631,6)+1,99)</f>
        <v>DigitalZoom</v>
      </c>
      <c r="F631" s="5" t="s">
        <v>517</v>
      </c>
      <c r="G631" s="5" t="s">
        <v>9667</v>
      </c>
      <c r="H631" s="6" t="s">
        <v>2185</v>
      </c>
      <c r="K631" s="26"/>
      <c r="L631" s="6" t="str">
        <f>IFERROR(VLOOKUP(E631,A:I,9, FALSE),"")</f>
        <v>Digitaler Zoom</v>
      </c>
      <c r="M631" s="6" t="str">
        <f>IFERROR(VLOOKUP(H631,B:J,9,FALSE),"")</f>
        <v>Digitaler Zoom</v>
      </c>
      <c r="N631" s="6" t="str">
        <f>IF(AND(TRIM(I631)="",L631=""),"Suffix not translated ",
   IF(AND(TRIM(I631)&lt;&gt;"",TRIM(L631)&lt;&gt;"",TRIM(I631)&lt;&gt;TRIM(L631)),"Suffix translation &lt;&gt; lookup ", "" ))
&amp;IF(AND(TRIM(J631)="",M631=""),"Description not translated ",
   IF(AND(TRIM(J631)&lt;&gt;"",TRIM(M631)&lt;&gt;"",TRIM(J631)&lt;&gt;TRIM(M631)),"Description translation&lt;&gt; lookup ", "" ))</f>
        <v/>
      </c>
    </row>
    <row r="632" spans="1:17" x14ac:dyDescent="0.25">
      <c r="A632" s="5" t="str">
        <f>IF(TRIM(I632)="","",E632)</f>
        <v/>
      </c>
      <c r="B632" s="5" t="str">
        <f>IF(TRIM(J632)="","",H632)</f>
        <v/>
      </c>
      <c r="C632" s="5" t="str">
        <f>LEFT(F632,FIND(".",F632,6))</f>
        <v>Exif.MinoltaCsNew.</v>
      </c>
      <c r="D632" s="5" t="str">
        <f>VLOOKUP(C632,PrefixUebersetzung,2,FALSE)</f>
        <v>Exif.MinoltaCsNew.</v>
      </c>
      <c r="E632" s="5" t="str">
        <f>MID(F632,FIND(".",F632,6)+1,99)</f>
        <v>DriveMode</v>
      </c>
      <c r="F632" s="5" t="s">
        <v>518</v>
      </c>
      <c r="G632" s="5" t="s">
        <v>9667</v>
      </c>
      <c r="H632" s="6" t="s">
        <v>2583</v>
      </c>
      <c r="I632" s="7"/>
      <c r="K632" s="26"/>
      <c r="L632" s="6" t="str">
        <f>IFERROR(VLOOKUP(E632,A:I,9, FALSE),"")</f>
        <v>Betriebsart</v>
      </c>
      <c r="M632" s="6" t="str">
        <f>IFERROR(VLOOKUP(H632,B:J,9,FALSE),"")</f>
        <v>Betriebsart</v>
      </c>
      <c r="N632" s="6" t="str">
        <f>IF(AND(TRIM(I632)="",L632=""),"Suffix not translated ",
   IF(AND(TRIM(I632)&lt;&gt;"",TRIM(L632)&lt;&gt;"",TRIM(I632)&lt;&gt;TRIM(L632)),"Suffix translation &lt;&gt; lookup ", "" ))
&amp;IF(AND(TRIM(J632)="",M632=""),"Description not translated ",
   IF(AND(TRIM(J632)&lt;&gt;"",TRIM(M632)&lt;&gt;"",TRIM(J632)&lt;&gt;TRIM(M632)),"Description translation&lt;&gt; lookup ", "" ))</f>
        <v/>
      </c>
    </row>
    <row r="633" spans="1:17" x14ac:dyDescent="0.25">
      <c r="A633" s="5" t="str">
        <f>IF(TRIM(I633)="","",E633)</f>
        <v/>
      </c>
      <c r="B633" s="5" t="str">
        <f>IF(TRIM(J633)="","",H633)</f>
        <v/>
      </c>
      <c r="C633" s="5" t="str">
        <f>LEFT(F633,FIND(".",F633,6))</f>
        <v>Exif.MinoltaCsNew.</v>
      </c>
      <c r="D633" s="5" t="str">
        <f>VLOOKUP(C633,PrefixUebersetzung,2,FALSE)</f>
        <v>Exif.MinoltaCsNew.</v>
      </c>
      <c r="E633" s="5" t="str">
        <f>MID(F633,FIND(".",F633,6)+1,99)</f>
        <v>ExposureCompensation</v>
      </c>
      <c r="F633" s="5" t="s">
        <v>519</v>
      </c>
      <c r="G633" s="5" t="s">
        <v>9667</v>
      </c>
      <c r="H633" s="6" t="s">
        <v>2550</v>
      </c>
      <c r="K633" s="26"/>
      <c r="L633" s="6" t="str">
        <f>IFERROR(VLOOKUP(E633,A:I,9, FALSE),"")</f>
        <v>Belichtungskorrektur</v>
      </c>
      <c r="M633" s="6" t="str">
        <f>IFERROR(VLOOKUP(H633,B:J,9,FALSE),"")</f>
        <v>Belichtungskorrektur</v>
      </c>
      <c r="N633" s="6" t="str">
        <f>IF(AND(TRIM(I633)="",L633=""),"Suffix not translated ",
   IF(AND(TRIM(I633)&lt;&gt;"",TRIM(L633)&lt;&gt;"",TRIM(I633)&lt;&gt;TRIM(L633)),"Suffix translation &lt;&gt; lookup ", "" ))
&amp;IF(AND(TRIM(J633)="",M633=""),"Description not translated ",
   IF(AND(TRIM(J633)&lt;&gt;"",TRIM(M633)&lt;&gt;"",TRIM(J633)&lt;&gt;TRIM(M633)),"Description translation&lt;&gt; lookup ", "" ))</f>
        <v/>
      </c>
    </row>
    <row r="634" spans="1:17" x14ac:dyDescent="0.25">
      <c r="A634" s="5" t="str">
        <f>IF(TRIM(I634)="","",E634)</f>
        <v/>
      </c>
      <c r="B634" s="5" t="str">
        <f>IF(TRIM(J634)="","",H634)</f>
        <v/>
      </c>
      <c r="C634" s="5" t="str">
        <f>LEFT(F634,FIND(".",F634,6))</f>
        <v>Exif.MinoltaCsNew.</v>
      </c>
      <c r="D634" s="5" t="str">
        <f>VLOOKUP(C634,PrefixUebersetzung,2,FALSE)</f>
        <v>Exif.MinoltaCsNew.</v>
      </c>
      <c r="E634" s="5" t="str">
        <f>MID(F634,FIND(".",F634,6)+1,99)</f>
        <v>ExposureMode</v>
      </c>
      <c r="F634" s="5" t="s">
        <v>520</v>
      </c>
      <c r="G634" s="5" t="s">
        <v>9667</v>
      </c>
      <c r="H634" s="6" t="s">
        <v>2552</v>
      </c>
      <c r="K634" s="26"/>
      <c r="L634" s="6" t="str">
        <f>IFERROR(VLOOKUP(E634,A:I,9, FALSE),"")</f>
        <v>Belichtungsmodus</v>
      </c>
      <c r="M634" s="6" t="str">
        <f>IFERROR(VLOOKUP(H634,B:J,9,FALSE),"")</f>
        <v>Belichtungsmodus</v>
      </c>
      <c r="N634" s="6" t="str">
        <f>IF(AND(TRIM(I634)="",L634=""),"Suffix not translated ",
   IF(AND(TRIM(I634)&lt;&gt;"",TRIM(L634)&lt;&gt;"",TRIM(I634)&lt;&gt;TRIM(L634)),"Suffix translation &lt;&gt; lookup ", "" ))
&amp;IF(AND(TRIM(J634)="",M634=""),"Description not translated ",
   IF(AND(TRIM(J634)&lt;&gt;"",TRIM(M634)&lt;&gt;"",TRIM(J634)&lt;&gt;TRIM(M634)),"Description translation&lt;&gt; lookup ", "" ))</f>
        <v/>
      </c>
    </row>
    <row r="635" spans="1:17" x14ac:dyDescent="0.25">
      <c r="A635" s="5" t="str">
        <f>IF(TRIM(I635)="","",E635)</f>
        <v/>
      </c>
      <c r="B635" s="5" t="str">
        <f>IF(TRIM(J635)="","",H635)</f>
        <v/>
      </c>
      <c r="C635" s="5" t="str">
        <f>LEFT(F635,FIND(".",F635,6))</f>
        <v>Exif.MinoltaCsNew.</v>
      </c>
      <c r="D635" s="5" t="str">
        <f>VLOOKUP(C635,PrefixUebersetzung,2,FALSE)</f>
        <v>Exif.MinoltaCsNew.</v>
      </c>
      <c r="E635" s="5" t="str">
        <f>MID(F635,FIND(".",F635,6)+1,99)</f>
        <v>ExposureTime</v>
      </c>
      <c r="F635" s="5" t="s">
        <v>521</v>
      </c>
      <c r="G635" s="5" t="s">
        <v>9667</v>
      </c>
      <c r="H635" s="6" t="s">
        <v>2554</v>
      </c>
      <c r="K635" s="26"/>
      <c r="L635" s="6" t="str">
        <f>IFERROR(VLOOKUP(E635,A:I,9, FALSE),"")</f>
        <v>Belichtungszeit</v>
      </c>
      <c r="M635" s="6" t="str">
        <f>IFERROR(VLOOKUP(H635,B:J,9,FALSE),"")</f>
        <v>Belichtungszeit</v>
      </c>
      <c r="N635" s="6" t="str">
        <f>IF(AND(TRIM(I635)="",L635=""),"Suffix not translated ",
   IF(AND(TRIM(I635)&lt;&gt;"",TRIM(L635)&lt;&gt;"",TRIM(I635)&lt;&gt;TRIM(L635)),"Suffix translation &lt;&gt; lookup ", "" ))
&amp;IF(AND(TRIM(J635)="",M635=""),"Description not translated ",
   IF(AND(TRIM(J635)&lt;&gt;"",TRIM(M635)&lt;&gt;"",TRIM(J635)&lt;&gt;TRIM(M635)),"Description translation&lt;&gt; lookup ", "" ))</f>
        <v/>
      </c>
    </row>
    <row r="636" spans="1:17" x14ac:dyDescent="0.25">
      <c r="A636" s="5" t="str">
        <f>IF(TRIM(I636)="","",E636)</f>
        <v>FileNumberMemory</v>
      </c>
      <c r="B636" s="5" t="str">
        <f>IF(TRIM(J636)="","",H636)</f>
        <v>File number memory</v>
      </c>
      <c r="C636" s="5" t="str">
        <f>LEFT(F636,FIND(".",F636,6))</f>
        <v>Exif.MinoltaCsNew.</v>
      </c>
      <c r="D636" s="5" t="str">
        <f>VLOOKUP(C636,PrefixUebersetzung,2,FALSE)</f>
        <v>Exif.MinoltaCsNew.</v>
      </c>
      <c r="E636" s="5" t="str">
        <f>MID(F636,FIND(".",F636,6)+1,99)</f>
        <v>FileNumberMemory</v>
      </c>
      <c r="F636" s="5" t="s">
        <v>522</v>
      </c>
      <c r="G636" s="5" t="s">
        <v>9667</v>
      </c>
      <c r="H636" s="6" t="s">
        <v>2584</v>
      </c>
      <c r="I636" s="7" t="s">
        <v>4316</v>
      </c>
      <c r="J636" s="14" t="s">
        <v>4316</v>
      </c>
      <c r="K636" s="26"/>
      <c r="N636" s="6" t="str">
        <f>IF(AND(TRIM(I636)="",L636=""),"Suffix not translated ",
   IF(AND(TRIM(I636)&lt;&gt;"",TRIM(L636)&lt;&gt;"",TRIM(I636)&lt;&gt;TRIM(L636)),"Suffix translation &lt;&gt; lookup ", "" ))
&amp;IF(AND(TRIM(J636)="",M636=""),"Description not translated ",
   IF(AND(TRIM(J636)&lt;&gt;"",TRIM(M636)&lt;&gt;"",TRIM(J636)&lt;&gt;TRIM(M636)),"Description translation&lt;&gt; lookup ", "" ))</f>
        <v/>
      </c>
      <c r="O636" s="6" t="s">
        <v>8574</v>
      </c>
      <c r="P636" s="6" t="s">
        <v>8574</v>
      </c>
      <c r="Q636" s="6" t="s">
        <v>9299</v>
      </c>
    </row>
    <row r="637" spans="1:17" ht="30" x14ac:dyDescent="0.25">
      <c r="A637" s="5" t="str">
        <f>IF(TRIM(I637)="","",E637)</f>
        <v/>
      </c>
      <c r="B637" s="5" t="str">
        <f>IF(TRIM(J637)="","",H637)</f>
        <v/>
      </c>
      <c r="C637" s="5" t="str">
        <f>LEFT(F637,FIND(".",F637,6))</f>
        <v>Exif.MinoltaCsNew.</v>
      </c>
      <c r="D637" s="5" t="str">
        <f>VLOOKUP(C637,PrefixUebersetzung,2,FALSE)</f>
        <v>Exif.MinoltaCsNew.</v>
      </c>
      <c r="E637" s="5" t="str">
        <f>MID(F637,FIND(".",F637,6)+1,99)</f>
        <v>FlashExposureComp</v>
      </c>
      <c r="F637" s="5" t="s">
        <v>523</v>
      </c>
      <c r="G637" s="5" t="s">
        <v>9667</v>
      </c>
      <c r="H637" s="6" t="s">
        <v>2531</v>
      </c>
      <c r="K637" s="26"/>
      <c r="L637" s="6" t="str">
        <f>IFERROR(VLOOKUP(E637,A:I,9, FALSE),"")</f>
        <v>Blitzbelichtungskorrektur</v>
      </c>
      <c r="M637" s="6" t="str">
        <f>IFERROR(VLOOKUP(H637,B:J,9,FALSE),"")</f>
        <v>Blitzbelichtungskorrektur in EV</v>
      </c>
      <c r="N637" s="6" t="str">
        <f>IF(AND(TRIM(I637)="",L637=""),"Suffix not translated ",
   IF(AND(TRIM(I637)&lt;&gt;"",TRIM(L637)&lt;&gt;"",TRIM(I637)&lt;&gt;TRIM(L637)),"Suffix translation &lt;&gt; lookup ", "" ))
&amp;IF(AND(TRIM(J637)="",M637=""),"Description not translated ",
   IF(AND(TRIM(J637)&lt;&gt;"",TRIM(M637)&lt;&gt;"",TRIM(J637)&lt;&gt;TRIM(M637)),"Description translation&lt;&gt; lookup ", "" ))</f>
        <v/>
      </c>
    </row>
    <row r="638" spans="1:17" x14ac:dyDescent="0.25">
      <c r="A638" s="5" t="str">
        <f>IF(TRIM(I638)="","",E638)</f>
        <v/>
      </c>
      <c r="B638" s="5" t="str">
        <f>IF(TRIM(J638)="","",H638)</f>
        <v/>
      </c>
      <c r="C638" s="5" t="str">
        <f>LEFT(F638,FIND(".",F638,6))</f>
        <v>Exif.MinoltaCsNew.</v>
      </c>
      <c r="D638" s="5" t="str">
        <f>VLOOKUP(C638,PrefixUebersetzung,2,FALSE)</f>
        <v>Exif.MinoltaCsNew.</v>
      </c>
      <c r="E638" s="5" t="str">
        <f>MID(F638,FIND(".",F638,6)+1,99)</f>
        <v>FlashFired</v>
      </c>
      <c r="F638" s="5" t="s">
        <v>524</v>
      </c>
      <c r="G638" s="5" t="s">
        <v>9667</v>
      </c>
      <c r="H638" s="6" t="s">
        <v>2555</v>
      </c>
      <c r="K638" s="26"/>
      <c r="L638" s="6" t="str">
        <f>IFERROR(VLOOKUP(E638,A:I,9, FALSE),"")</f>
        <v>Blitz ausgelöst</v>
      </c>
      <c r="M638" s="6" t="str">
        <f>IFERROR(VLOOKUP(H638,B:J,9,FALSE),"")</f>
        <v>Blitz ausgelöst</v>
      </c>
      <c r="N638" s="6" t="str">
        <f>IF(AND(TRIM(I638)="",L638=""),"Suffix not translated ",
   IF(AND(TRIM(I638)&lt;&gt;"",TRIM(L638)&lt;&gt;"",TRIM(I638)&lt;&gt;TRIM(L638)),"Suffix translation &lt;&gt; lookup ", "" ))
&amp;IF(AND(TRIM(J638)="",M638=""),"Description not translated ",
   IF(AND(TRIM(J638)&lt;&gt;"",TRIM(M638)&lt;&gt;"",TRIM(J638)&lt;&gt;TRIM(M638)),"Description translation&lt;&gt; lookup ", "" ))</f>
        <v/>
      </c>
    </row>
    <row r="639" spans="1:17" x14ac:dyDescent="0.25">
      <c r="A639" s="5" t="str">
        <f>IF(TRIM(I639)="","",E639)</f>
        <v>FlashMetering</v>
      </c>
      <c r="B639" s="5" t="str">
        <f>IF(TRIM(J639)="","",H639)</f>
        <v>Flash metering</v>
      </c>
      <c r="C639" s="5" t="str">
        <f>LEFT(F639,FIND(".",F639,6))</f>
        <v>Exif.MinoltaCsNew.</v>
      </c>
      <c r="D639" s="5" t="str">
        <f>VLOOKUP(C639,PrefixUebersetzung,2,FALSE)</f>
        <v>Exif.MinoltaCsNew.</v>
      </c>
      <c r="E639" s="5" t="str">
        <f>MID(F639,FIND(".",F639,6)+1,99)</f>
        <v>FlashMetering</v>
      </c>
      <c r="F639" s="5" t="s">
        <v>525</v>
      </c>
      <c r="G639" s="5" t="s">
        <v>9667</v>
      </c>
      <c r="H639" s="6" t="s">
        <v>2585</v>
      </c>
      <c r="I639" s="31" t="s">
        <v>3931</v>
      </c>
      <c r="J639" s="14" t="s">
        <v>3931</v>
      </c>
      <c r="K639" s="26"/>
      <c r="L639" s="6" t="str">
        <f>IFERROR(VLOOKUP(E639,A:I,9, FALSE),"")</f>
        <v>Blitzmessung</v>
      </c>
      <c r="M639" s="6" t="str">
        <f>IFERROR(VLOOKUP(H639,B:J,9,FALSE),"")</f>
        <v>Blitzmessung</v>
      </c>
      <c r="N639" s="6" t="str">
        <f>IF(AND(TRIM(I639)="",L639=""),"Suffix not translated ",
   IF(AND(TRIM(I639)&lt;&gt;"",TRIM(L639)&lt;&gt;"",TRIM(I639)&lt;&gt;TRIM(L639)),"Suffix translation &lt;&gt; lookup ", "" ))
&amp;IF(AND(TRIM(J639)="",M639=""),"Description not translated ",
   IF(AND(TRIM(J639)&lt;&gt;"",TRIM(M639)&lt;&gt;"",TRIM(J639)&lt;&gt;TRIM(M639)),"Description translation&lt;&gt; lookup ", "" ))</f>
        <v/>
      </c>
      <c r="O639" s="6" t="s">
        <v>8574</v>
      </c>
      <c r="P639" s="6" t="s">
        <v>8574</v>
      </c>
      <c r="Q639" s="6" t="s">
        <v>9313</v>
      </c>
    </row>
    <row r="640" spans="1:17" x14ac:dyDescent="0.25">
      <c r="A640" s="5" t="str">
        <f>IF(TRIM(I640)="","",E640)</f>
        <v/>
      </c>
      <c r="B640" s="5" t="str">
        <f>IF(TRIM(J640)="","",H640)</f>
        <v/>
      </c>
      <c r="C640" s="5" t="str">
        <f>LEFT(F640,FIND(".",F640,6))</f>
        <v>Exif.MinoltaCsNew.</v>
      </c>
      <c r="D640" s="5" t="str">
        <f>VLOOKUP(C640,PrefixUebersetzung,2,FALSE)</f>
        <v>Exif.MinoltaCsNew.</v>
      </c>
      <c r="E640" s="5" t="str">
        <f>MID(F640,FIND(".",F640,6)+1,99)</f>
        <v>FlashMode</v>
      </c>
      <c r="F640" s="5" t="s">
        <v>526</v>
      </c>
      <c r="G640" s="5" t="s">
        <v>9667</v>
      </c>
      <c r="H640" s="6" t="s">
        <v>2569</v>
      </c>
      <c r="I640" s="7"/>
      <c r="K640" s="26"/>
      <c r="L640" s="6" t="str">
        <f>IFERROR(VLOOKUP(E640,A:I,9, FALSE),"")</f>
        <v>Blitzmodus</v>
      </c>
      <c r="M640" s="6" t="str">
        <f>IFERROR(VLOOKUP(H640,B:J,9,FALSE),"")</f>
        <v>Blitzmodus</v>
      </c>
      <c r="N640" s="6" t="str">
        <f>IF(AND(TRIM(I640)="",L640=""),"Suffix not translated ",
   IF(AND(TRIM(I640)&lt;&gt;"",TRIM(L640)&lt;&gt;"",TRIM(I640)&lt;&gt;TRIM(L640)),"Suffix translation &lt;&gt; lookup ", "" ))
&amp;IF(AND(TRIM(J640)="",M640=""),"Description not translated ",
   IF(AND(TRIM(J640)&lt;&gt;"",TRIM(M640)&lt;&gt;"",TRIM(J640)&lt;&gt;TRIM(M640)),"Description translation&lt;&gt; lookup ", "" ))</f>
        <v/>
      </c>
    </row>
    <row r="641" spans="1:17" x14ac:dyDescent="0.25">
      <c r="A641" s="5" t="str">
        <f>IF(TRIM(I641)="","",E641)</f>
        <v/>
      </c>
      <c r="B641" s="5" t="str">
        <f>IF(TRIM(J641)="","",H641)</f>
        <v/>
      </c>
      <c r="C641" s="5" t="str">
        <f>LEFT(F641,FIND(".",F641,6))</f>
        <v>Exif.MinoltaCsNew.</v>
      </c>
      <c r="D641" s="5" t="str">
        <f>VLOOKUP(C641,PrefixUebersetzung,2,FALSE)</f>
        <v>Exif.MinoltaCsNew.</v>
      </c>
      <c r="E641" s="5" t="str">
        <f>MID(F641,FIND(".",F641,6)+1,99)</f>
        <v>FNumber</v>
      </c>
      <c r="F641" s="5" t="s">
        <v>527</v>
      </c>
      <c r="G641" s="5" t="s">
        <v>9667</v>
      </c>
      <c r="H641" s="6" t="s">
        <v>2556</v>
      </c>
      <c r="I641" s="7"/>
      <c r="K641" s="26"/>
      <c r="L641" s="6" t="str">
        <f>IFERROR(VLOOKUP(E641,A:I,9, FALSE),"")</f>
        <v>Blendenzahl</v>
      </c>
      <c r="M641" s="6" t="str">
        <f>IFERROR(VLOOKUP(H641,B:J,9,FALSE),"")</f>
        <v>Blendenzahl</v>
      </c>
      <c r="N641" s="6" t="str">
        <f>IF(AND(TRIM(I641)="",L641=""),"Suffix not translated ",
   IF(AND(TRIM(I641)&lt;&gt;"",TRIM(L641)&lt;&gt;"",TRIM(I641)&lt;&gt;TRIM(L641)),"Suffix translation &lt;&gt; lookup ", "" ))
&amp;IF(AND(TRIM(J641)="",M641=""),"Description not translated ",
   IF(AND(TRIM(J641)&lt;&gt;"",TRIM(M641)&lt;&gt;"",TRIM(J641)&lt;&gt;TRIM(M641)),"Description translation&lt;&gt; lookup ", "" ))</f>
        <v/>
      </c>
    </row>
    <row r="642" spans="1:17" x14ac:dyDescent="0.25">
      <c r="A642" s="5" t="str">
        <f>IF(TRIM(I642)="","",E642)</f>
        <v/>
      </c>
      <c r="B642" s="5" t="str">
        <f>IF(TRIM(J642)="","",H642)</f>
        <v/>
      </c>
      <c r="C642" s="5" t="str">
        <f>LEFT(F642,FIND(".",F642,6))</f>
        <v>Exif.MinoltaCsNew.</v>
      </c>
      <c r="D642" s="5" t="str">
        <f>VLOOKUP(C642,PrefixUebersetzung,2,FALSE)</f>
        <v>Exif.MinoltaCsNew.</v>
      </c>
      <c r="E642" s="5" t="str">
        <f>MID(F642,FIND(".",F642,6)+1,99)</f>
        <v>FocalLength</v>
      </c>
      <c r="F642" s="5" t="s">
        <v>528</v>
      </c>
      <c r="G642" s="5" t="s">
        <v>9667</v>
      </c>
      <c r="H642" s="6" t="s">
        <v>2148</v>
      </c>
      <c r="I642" s="7"/>
      <c r="K642" s="26"/>
      <c r="L642" s="6" t="str">
        <f>IFERROR(VLOOKUP(E642,A:I,9, FALSE),"")</f>
        <v>Brennweite</v>
      </c>
      <c r="M642" s="6" t="str">
        <f>IFERROR(VLOOKUP(H642,B:J,9,FALSE),"")</f>
        <v>Brennweite</v>
      </c>
      <c r="N642" s="6" t="str">
        <f>IF(AND(TRIM(I642)="",L642=""),"Suffix not translated ",
   IF(AND(TRIM(I642)&lt;&gt;"",TRIM(L642)&lt;&gt;"",TRIM(I642)&lt;&gt;TRIM(L642)),"Suffix translation &lt;&gt; lookup ", "" ))
&amp;IF(AND(TRIM(J642)="",M642=""),"Description not translated ",
   IF(AND(TRIM(J642)&lt;&gt;"",TRIM(M642)&lt;&gt;"",TRIM(J642)&lt;&gt;TRIM(M642)),"Description translation&lt;&gt; lookup ", "" ))</f>
        <v/>
      </c>
    </row>
    <row r="643" spans="1:17" x14ac:dyDescent="0.25">
      <c r="A643" s="5" t="str">
        <f>IF(TRIM(I643)="","",E643)</f>
        <v/>
      </c>
      <c r="B643" s="5" t="str">
        <f>IF(TRIM(J643)="","",H643)</f>
        <v/>
      </c>
      <c r="C643" s="5" t="str">
        <f>LEFT(F643,FIND(".",F643,6))</f>
        <v>Exif.MinoltaCsNew.</v>
      </c>
      <c r="D643" s="5" t="str">
        <f>VLOOKUP(C643,PrefixUebersetzung,2,FALSE)</f>
        <v>Exif.MinoltaCsNew.</v>
      </c>
      <c r="E643" s="5" t="str">
        <f>MID(F643,FIND(".",F643,6)+1,99)</f>
        <v>FocusArea</v>
      </c>
      <c r="F643" s="5" t="s">
        <v>529</v>
      </c>
      <c r="G643" s="5" t="s">
        <v>9667</v>
      </c>
      <c r="H643" s="6" t="s">
        <v>2557</v>
      </c>
      <c r="I643" s="7"/>
      <c r="K643" s="26"/>
      <c r="L643" s="6" t="str">
        <f>IFERROR(VLOOKUP(E643,A:I,9, FALSE),"")</f>
        <v>Fokusbereich</v>
      </c>
      <c r="M643" s="6" t="str">
        <f>IFERROR(VLOOKUP(H643,B:J,9,FALSE),"")</f>
        <v>Fokusbereich</v>
      </c>
      <c r="N643" s="6" t="str">
        <f>IF(AND(TRIM(I643)="",L643=""),"Suffix not translated ",
   IF(AND(TRIM(I643)&lt;&gt;"",TRIM(L643)&lt;&gt;"",TRIM(I643)&lt;&gt;TRIM(L643)),"Suffix translation &lt;&gt; lookup ", "" ))
&amp;IF(AND(TRIM(J643)="",M643=""),"Description not translated ",
   IF(AND(TRIM(J643)&lt;&gt;"",TRIM(M643)&lt;&gt;"",TRIM(J643)&lt;&gt;TRIM(M643)),"Description translation&lt;&gt; lookup ", "" ))</f>
        <v/>
      </c>
    </row>
    <row r="644" spans="1:17" x14ac:dyDescent="0.25">
      <c r="A644" s="5" t="str">
        <f>IF(TRIM(I644)="","",E644)</f>
        <v>FocusDistance</v>
      </c>
      <c r="B644" s="5" t="str">
        <f>IF(TRIM(J644)="","",H644)</f>
        <v>Focus distance</v>
      </c>
      <c r="C644" s="5" t="str">
        <f>LEFT(F644,FIND(".",F644,6))</f>
        <v>Exif.MinoltaCsNew.</v>
      </c>
      <c r="D644" s="5" t="str">
        <f>VLOOKUP(C644,PrefixUebersetzung,2,FALSE)</f>
        <v>Exif.MinoltaCsNew.</v>
      </c>
      <c r="E644" s="5" t="str">
        <f>MID(F644,FIND(".",F644,6)+1,99)</f>
        <v>FocusDistance</v>
      </c>
      <c r="F644" s="5" t="s">
        <v>530</v>
      </c>
      <c r="G644" s="5" t="s">
        <v>9667</v>
      </c>
      <c r="H644" s="6" t="s">
        <v>2586</v>
      </c>
      <c r="I644" s="7" t="s">
        <v>4318</v>
      </c>
      <c r="J644" s="14" t="s">
        <v>4318</v>
      </c>
      <c r="K644" s="26"/>
      <c r="L644" s="6" t="str">
        <f>IFERROR(VLOOKUP(E644,A:I,9, FALSE),"")</f>
        <v>Aufnahmeabstand</v>
      </c>
      <c r="M644" s="6" t="str">
        <f>IFERROR(VLOOKUP(H644,B:J,9,FALSE),"")</f>
        <v>Aufnahmeabstand</v>
      </c>
      <c r="N644" s="6" t="str">
        <f>IF(AND(TRIM(I644)="",L644=""),"Suffix not translated ",
   IF(AND(TRIM(I644)&lt;&gt;"",TRIM(L644)&lt;&gt;"",TRIM(I644)&lt;&gt;TRIM(L644)),"Suffix translation &lt;&gt; lookup ", "" ))
&amp;IF(AND(TRIM(J644)="",M644=""),"Description not translated ",
   IF(AND(TRIM(J644)&lt;&gt;"",TRIM(M644)&lt;&gt;"",TRIM(J644)&lt;&gt;TRIM(M644)),"Description translation&lt;&gt; lookup ", "" ))</f>
        <v/>
      </c>
      <c r="O644" s="6" t="s">
        <v>8574</v>
      </c>
      <c r="P644" s="6" t="s">
        <v>8574</v>
      </c>
      <c r="Q644" s="6" t="s">
        <v>9311</v>
      </c>
    </row>
    <row r="645" spans="1:17" x14ac:dyDescent="0.25">
      <c r="A645" s="5" t="str">
        <f>IF(TRIM(I645)="","",E645)</f>
        <v/>
      </c>
      <c r="B645" s="5" t="str">
        <f>IF(TRIM(J645)="","",H645)</f>
        <v/>
      </c>
      <c r="C645" s="5" t="str">
        <f>LEFT(F645,FIND(".",F645,6))</f>
        <v>Exif.MinoltaCsNew.</v>
      </c>
      <c r="D645" s="5" t="str">
        <f>VLOOKUP(C645,PrefixUebersetzung,2,FALSE)</f>
        <v>Exif.MinoltaCsNew.</v>
      </c>
      <c r="E645" s="5" t="str">
        <f>MID(F645,FIND(".",F645,6)+1,99)</f>
        <v>FocusMode</v>
      </c>
      <c r="F645" s="5" t="s">
        <v>531</v>
      </c>
      <c r="G645" s="5" t="s">
        <v>9667</v>
      </c>
      <c r="H645" s="6" t="s">
        <v>2558</v>
      </c>
      <c r="I645" s="7"/>
      <c r="K645" s="26"/>
      <c r="L645" s="6" t="str">
        <f>IFERROR(VLOOKUP(E645,A:I,9, FALSE),"")</f>
        <v>Fokusmodus</v>
      </c>
      <c r="M645" s="6" t="str">
        <f>IFERROR(VLOOKUP(H645,B:J,9,FALSE),"")</f>
        <v>Fokusmodus</v>
      </c>
      <c r="N645" s="6" t="str">
        <f>IF(AND(TRIM(I645)="",L645=""),"Suffix not translated ",
   IF(AND(TRIM(I645)&lt;&gt;"",TRIM(L645)&lt;&gt;"",TRIM(I645)&lt;&gt;TRIM(L645)),"Suffix translation &lt;&gt; lookup ", "" ))
&amp;IF(AND(TRIM(J645)="",M645=""),"Description not translated ",
   IF(AND(TRIM(J645)&lt;&gt;"",TRIM(M645)&lt;&gt;"",TRIM(J645)&lt;&gt;TRIM(M645)),"Description translation&lt;&gt; lookup ", "" ))</f>
        <v/>
      </c>
    </row>
    <row r="646" spans="1:17" x14ac:dyDescent="0.25">
      <c r="A646" s="5" t="str">
        <f>IF(TRIM(I646)="","",E646)</f>
        <v>FolderName</v>
      </c>
      <c r="B646" s="5" t="str">
        <f>IF(TRIM(J646)="","",H646)</f>
        <v>Folder name</v>
      </c>
      <c r="C646" s="5" t="str">
        <f>LEFT(F646,FIND(".",F646,6))</f>
        <v>Exif.MinoltaCsNew.</v>
      </c>
      <c r="D646" s="5" t="str">
        <f>VLOOKUP(C646,PrefixUebersetzung,2,FALSE)</f>
        <v>Exif.MinoltaCsNew.</v>
      </c>
      <c r="E646" s="5" t="str">
        <f>MID(F646,FIND(".",F646,6)+1,99)</f>
        <v>FolderName</v>
      </c>
      <c r="F646" s="5" t="s">
        <v>532</v>
      </c>
      <c r="G646" s="5" t="s">
        <v>9667</v>
      </c>
      <c r="H646" s="6" t="s">
        <v>2587</v>
      </c>
      <c r="I646" s="31" t="s">
        <v>3932</v>
      </c>
      <c r="J646" s="14" t="s">
        <v>3932</v>
      </c>
      <c r="K646" s="26"/>
      <c r="N646" s="6" t="str">
        <f>IF(AND(TRIM(I646)="",L646=""),"Suffix not translated ",
   IF(AND(TRIM(I646)&lt;&gt;"",TRIM(L646)&lt;&gt;"",TRIM(I646)&lt;&gt;TRIM(L646)),"Suffix translation &lt;&gt; lookup ", "" ))
&amp;IF(AND(TRIM(J646)="",M646=""),"Description not translated ",
   IF(AND(TRIM(J646)&lt;&gt;"",TRIM(M646)&lt;&gt;"",TRIM(J646)&lt;&gt;TRIM(M646)),"Description translation&lt;&gt; lookup ", "" ))</f>
        <v/>
      </c>
      <c r="O646" s="6" t="s">
        <v>8574</v>
      </c>
      <c r="P646" s="6" t="s">
        <v>8574</v>
      </c>
      <c r="Q646" s="6" t="s">
        <v>3932</v>
      </c>
    </row>
    <row r="647" spans="1:17" x14ac:dyDescent="0.25">
      <c r="A647" s="5" t="str">
        <f>IF(TRIM(I647)="","",E647)</f>
        <v/>
      </c>
      <c r="B647" s="5" t="str">
        <f>IF(TRIM(J647)="","",H647)</f>
        <v/>
      </c>
      <c r="C647" s="5" t="str">
        <f>LEFT(F647,FIND(".",F647,6))</f>
        <v>Exif.MinoltaCsNew.</v>
      </c>
      <c r="D647" s="5" t="str">
        <f>VLOOKUP(C647,PrefixUebersetzung,2,FALSE)</f>
        <v>Exif.MinoltaCsNew.</v>
      </c>
      <c r="E647" s="5" t="str">
        <f>MID(F647,FIND(".",F647,6)+1,99)</f>
        <v>ImageSize</v>
      </c>
      <c r="F647" s="5" t="s">
        <v>533</v>
      </c>
      <c r="G647" s="5" t="s">
        <v>9667</v>
      </c>
      <c r="H647" s="6" t="s">
        <v>2197</v>
      </c>
      <c r="K647" s="26"/>
      <c r="L647" s="6" t="str">
        <f>IFERROR(VLOOKUP(E647,A:I,9, FALSE),"")</f>
        <v>Bildgröße</v>
      </c>
      <c r="M647" s="6" t="str">
        <f>IFERROR(VLOOKUP(H647,B:J,9,FALSE),"")</f>
        <v>Bildgröße</v>
      </c>
      <c r="N647" s="6" t="str">
        <f>IF(AND(TRIM(I647)="",L647=""),"Suffix not translated ",
   IF(AND(TRIM(I647)&lt;&gt;"",TRIM(L647)&lt;&gt;"",TRIM(I647)&lt;&gt;TRIM(L647)),"Suffix translation &lt;&gt; lookup ", "" ))
&amp;IF(AND(TRIM(J647)="",M647=""),"Description not translated ",
   IF(AND(TRIM(J647)&lt;&gt;"",TRIM(M647)&lt;&gt;"",TRIM(J647)&lt;&gt;TRIM(M647)),"Description translation&lt;&gt; lookup ", "" ))</f>
        <v/>
      </c>
    </row>
    <row r="648" spans="1:17" x14ac:dyDescent="0.25">
      <c r="A648" s="5" t="str">
        <f>IF(TRIM(I648)="","",E648)</f>
        <v>Internal Flash</v>
      </c>
      <c r="B648" s="5" t="str">
        <f>IF(TRIM(J648)="","",H648)</f>
        <v>Internal Flash</v>
      </c>
      <c r="C648" s="5" t="str">
        <f>LEFT(F648,FIND(".",F648,6))</f>
        <v>Exif.MinoltaCsNew.</v>
      </c>
      <c r="D648" s="5" t="str">
        <f>VLOOKUP(C648,PrefixUebersetzung,2,FALSE)</f>
        <v>Exif.MinoltaCsNew.</v>
      </c>
      <c r="E648" s="5" t="str">
        <f>MID(F648,FIND(".",F648,6)+1,99)</f>
        <v>Internal Flash</v>
      </c>
      <c r="F648" s="5" t="s">
        <v>534</v>
      </c>
      <c r="G648" s="5" t="s">
        <v>9667</v>
      </c>
      <c r="H648" s="6" t="s">
        <v>2588</v>
      </c>
      <c r="I648" s="7" t="s">
        <v>4320</v>
      </c>
      <c r="J648" s="14" t="s">
        <v>4320</v>
      </c>
      <c r="K648" s="26"/>
      <c r="M648" s="6" t="str">
        <f>IFERROR(VLOOKUP(H648,B:J,9,FALSE),"")</f>
        <v>Interner Blitz</v>
      </c>
      <c r="N648" s="6" t="str">
        <f>IF(AND(TRIM(I648)="",L648=""),"Suffix not translated ",
   IF(AND(TRIM(I648)&lt;&gt;"",TRIM(L648)&lt;&gt;"",TRIM(I648)&lt;&gt;TRIM(L648)),"Suffix translation &lt;&gt; lookup ", "" ))
&amp;IF(AND(TRIM(J648)="",M648=""),"Description not translated ",
   IF(AND(TRIM(J648)&lt;&gt;"",TRIM(M648)&lt;&gt;"",TRIM(J648)&lt;&gt;TRIM(M648)),"Description translation&lt;&gt; lookup ", "" ))</f>
        <v/>
      </c>
      <c r="O648" s="6" t="s">
        <v>8574</v>
      </c>
      <c r="P648" s="6" t="s">
        <v>8574</v>
      </c>
      <c r="Q648" s="6" t="s">
        <v>9379</v>
      </c>
    </row>
    <row r="649" spans="1:17" x14ac:dyDescent="0.25">
      <c r="A649" s="5" t="str">
        <f>IF(TRIM(I649)="","",E649)</f>
        <v>IntervalLength</v>
      </c>
      <c r="B649" s="5" t="str">
        <f>IF(TRIM(J649)="","",H649)</f>
        <v>Interval length</v>
      </c>
      <c r="C649" s="5" t="str">
        <f>LEFT(F649,FIND(".",F649,6))</f>
        <v>Exif.MinoltaCsNew.</v>
      </c>
      <c r="D649" s="5" t="str">
        <f>VLOOKUP(C649,PrefixUebersetzung,2,FALSE)</f>
        <v>Exif.MinoltaCsNew.</v>
      </c>
      <c r="E649" s="5" t="str">
        <f>MID(F649,FIND(".",F649,6)+1,99)</f>
        <v>IntervalLength</v>
      </c>
      <c r="F649" s="5" t="s">
        <v>535</v>
      </c>
      <c r="G649" s="5" t="s">
        <v>9667</v>
      </c>
      <c r="H649" s="6" t="s">
        <v>2589</v>
      </c>
      <c r="I649" s="7" t="s">
        <v>4321</v>
      </c>
      <c r="J649" s="14" t="s">
        <v>4321</v>
      </c>
      <c r="K649" s="26"/>
      <c r="N649" s="6" t="str">
        <f>IF(AND(TRIM(I649)="",L649=""),"Suffix not translated ",
   IF(AND(TRIM(I649)&lt;&gt;"",TRIM(L649)&lt;&gt;"",TRIM(I649)&lt;&gt;TRIM(L649)),"Suffix translation &lt;&gt; lookup ", "" ))
&amp;IF(AND(TRIM(J649)="",M649=""),"Description not translated ",
   IF(AND(TRIM(J649)&lt;&gt;"",TRIM(M649)&lt;&gt;"",TRIM(J649)&lt;&gt;TRIM(M649)),"Description translation&lt;&gt; lookup ", "" ))</f>
        <v/>
      </c>
      <c r="O649" s="6" t="s">
        <v>8574</v>
      </c>
      <c r="P649" s="6" t="s">
        <v>8574</v>
      </c>
      <c r="Q649" s="6" t="s">
        <v>9377</v>
      </c>
    </row>
    <row r="650" spans="1:17" x14ac:dyDescent="0.25">
      <c r="A650" s="5" t="str">
        <f>IF(TRIM(I650)="","",E650)</f>
        <v>IntervalMode</v>
      </c>
      <c r="B650" s="5" t="str">
        <f>IF(TRIM(J650)="","",H650)</f>
        <v>Interval mode</v>
      </c>
      <c r="C650" s="5" t="str">
        <f>LEFT(F650,FIND(".",F650,6))</f>
        <v>Exif.MinoltaCsNew.</v>
      </c>
      <c r="D650" s="5" t="str">
        <f>VLOOKUP(C650,PrefixUebersetzung,2,FALSE)</f>
        <v>Exif.MinoltaCsNew.</v>
      </c>
      <c r="E650" s="5" t="str">
        <f>MID(F650,FIND(".",F650,6)+1,99)</f>
        <v>IntervalMode</v>
      </c>
      <c r="F650" s="5" t="s">
        <v>536</v>
      </c>
      <c r="G650" s="5" t="s">
        <v>9667</v>
      </c>
      <c r="H650" s="6" t="s">
        <v>2590</v>
      </c>
      <c r="I650" s="7" t="s">
        <v>4322</v>
      </c>
      <c r="J650" s="14" t="s">
        <v>4322</v>
      </c>
      <c r="K650" s="26"/>
      <c r="N650" s="6" t="str">
        <f>IF(AND(TRIM(I650)="",L650=""),"Suffix not translated ",
   IF(AND(TRIM(I650)&lt;&gt;"",TRIM(L650)&lt;&gt;"",TRIM(I650)&lt;&gt;TRIM(L650)),"Suffix translation &lt;&gt; lookup ", "" ))
&amp;IF(AND(TRIM(J650)="",M650=""),"Description not translated ",
   IF(AND(TRIM(J650)&lt;&gt;"",TRIM(M650)&lt;&gt;"",TRIM(J650)&lt;&gt;TRIM(M650)),"Description translation&lt;&gt; lookup ", "" ))</f>
        <v/>
      </c>
      <c r="O650" s="6" t="s">
        <v>8574</v>
      </c>
      <c r="P650" s="6" t="s">
        <v>8574</v>
      </c>
      <c r="Q650" s="6" t="s">
        <v>4322</v>
      </c>
    </row>
    <row r="651" spans="1:17" x14ac:dyDescent="0.25">
      <c r="A651" s="5" t="str">
        <f>IF(TRIM(I651)="","",E651)</f>
        <v>IntervalNumber</v>
      </c>
      <c r="B651" s="5" t="str">
        <f>IF(TRIM(J651)="","",H651)</f>
        <v>Interval number</v>
      </c>
      <c r="C651" s="5" t="str">
        <f>LEFT(F651,FIND(".",F651,6))</f>
        <v>Exif.MinoltaCsNew.</v>
      </c>
      <c r="D651" s="5" t="str">
        <f>VLOOKUP(C651,PrefixUebersetzung,2,FALSE)</f>
        <v>Exif.MinoltaCsNew.</v>
      </c>
      <c r="E651" s="5" t="str">
        <f>MID(F651,FIND(".",F651,6)+1,99)</f>
        <v>IntervalNumber</v>
      </c>
      <c r="F651" s="5" t="s">
        <v>537</v>
      </c>
      <c r="G651" s="5" t="s">
        <v>9667</v>
      </c>
      <c r="H651" s="6" t="s">
        <v>2591</v>
      </c>
      <c r="I651" s="7" t="s">
        <v>3933</v>
      </c>
      <c r="J651" s="14" t="s">
        <v>3933</v>
      </c>
      <c r="K651" s="26"/>
      <c r="N651" s="6" t="str">
        <f>IF(AND(TRIM(I651)="",L651=""),"Suffix not translated ",
   IF(AND(TRIM(I651)&lt;&gt;"",TRIM(L651)&lt;&gt;"",TRIM(I651)&lt;&gt;TRIM(L651)),"Suffix translation &lt;&gt; lookup ", "" ))
&amp;IF(AND(TRIM(J651)="",M651=""),"Description not translated ",
   IF(AND(TRIM(J651)&lt;&gt;"",TRIM(M651)&lt;&gt;"",TRIM(J651)&lt;&gt;TRIM(M651)),"Description translation&lt;&gt; lookup ", "" ))</f>
        <v/>
      </c>
      <c r="O651" s="6" t="s">
        <v>8574</v>
      </c>
      <c r="P651" s="6" t="s">
        <v>8574</v>
      </c>
      <c r="Q651" s="6" t="s">
        <v>3933</v>
      </c>
    </row>
    <row r="652" spans="1:17" x14ac:dyDescent="0.25">
      <c r="A652" s="5" t="str">
        <f>IF(TRIM(I652)="","",E652)</f>
        <v/>
      </c>
      <c r="B652" s="5" t="str">
        <f>IF(TRIM(J652)="","",H652)</f>
        <v>ISO Value</v>
      </c>
      <c r="C652" s="5" t="str">
        <f>LEFT(F652,FIND(".",F652,6))</f>
        <v>Exif.MinoltaCsNew.</v>
      </c>
      <c r="D652" s="5" t="str">
        <f>VLOOKUP(C652,PrefixUebersetzung,2,FALSE)</f>
        <v>Exif.MinoltaCsNew.</v>
      </c>
      <c r="E652" s="5" t="str">
        <f>MID(F652,FIND(".",F652,6)+1,99)</f>
        <v>ISO</v>
      </c>
      <c r="F652" s="5" t="s">
        <v>538</v>
      </c>
      <c r="G652" s="5" t="s">
        <v>9667</v>
      </c>
      <c r="H652" s="6" t="s">
        <v>2592</v>
      </c>
      <c r="I652" s="7"/>
      <c r="J652" s="14" t="s">
        <v>3934</v>
      </c>
      <c r="K652" s="26"/>
      <c r="L652" s="6" t="str">
        <f>IFERROR(VLOOKUP(E652,A:I,9, FALSE),"")</f>
        <v>ISO</v>
      </c>
      <c r="N652" s="6" t="str">
        <f>IF(AND(TRIM(I652)="",L652=""),"Suffix not translated ",
   IF(AND(TRIM(I652)&lt;&gt;"",TRIM(L652)&lt;&gt;"",TRIM(I652)&lt;&gt;TRIM(L652)),"Suffix translation &lt;&gt; lookup ", "" ))
&amp;IF(AND(TRIM(J652)="",M652=""),"Description not translated ",
   IF(AND(TRIM(J652)&lt;&gt;"",TRIM(M652)&lt;&gt;"",TRIM(J652)&lt;&gt;TRIM(M652)),"Description translation&lt;&gt; lookup ", "" ))</f>
        <v/>
      </c>
      <c r="P652" s="6" t="s">
        <v>8574</v>
      </c>
      <c r="Q652" s="6" t="s">
        <v>9348</v>
      </c>
    </row>
    <row r="653" spans="1:17" x14ac:dyDescent="0.25">
      <c r="A653" s="5" t="str">
        <f>IF(TRIM(I653)="","",E653)</f>
        <v>ISOSetting</v>
      </c>
      <c r="B653" s="5" t="str">
        <f>IF(TRIM(J653)="","",H653)</f>
        <v>ISO setting</v>
      </c>
      <c r="C653" s="5" t="str">
        <f>LEFT(F653,FIND(".",F653,6))</f>
        <v>Exif.MinoltaCsNew.</v>
      </c>
      <c r="D653" s="5" t="str">
        <f>VLOOKUP(C653,PrefixUebersetzung,2,FALSE)</f>
        <v>Exif.MinoltaCsNew.</v>
      </c>
      <c r="E653" s="5" t="str">
        <f>MID(F653,FIND(".",F653,6)+1,99)</f>
        <v>ISOSetting</v>
      </c>
      <c r="F653" s="5" t="s">
        <v>539</v>
      </c>
      <c r="G653" s="5" t="s">
        <v>9667</v>
      </c>
      <c r="H653" s="6" t="s">
        <v>2593</v>
      </c>
      <c r="I653" s="7" t="s">
        <v>3935</v>
      </c>
      <c r="J653" s="14" t="s">
        <v>3935</v>
      </c>
      <c r="K653" s="26"/>
      <c r="L653" s="6" t="str">
        <f>IFERROR(VLOOKUP(E653,A:I,9, FALSE),"")</f>
        <v>ISO-Einstellung</v>
      </c>
      <c r="M653" s="6" t="str">
        <f>IFERROR(VLOOKUP(H653,B:J,9,FALSE),"")</f>
        <v>ISO-Einstellung</v>
      </c>
      <c r="N653" s="6" t="str">
        <f>IF(AND(TRIM(I653)="",L653=""),"Suffix not translated ",
   IF(AND(TRIM(I653)&lt;&gt;"",TRIM(L653)&lt;&gt;"",TRIM(I653)&lt;&gt;TRIM(L653)),"Suffix translation &lt;&gt; lookup ", "" ))
&amp;IF(AND(TRIM(J653)="",M653=""),"Description not translated ",
   IF(AND(TRIM(J653)&lt;&gt;"",TRIM(M653)&lt;&gt;"",TRIM(J653)&lt;&gt;TRIM(M653)),"Description translation&lt;&gt; lookup ", "" ))</f>
        <v/>
      </c>
      <c r="O653" s="6" t="s">
        <v>8574</v>
      </c>
      <c r="P653" s="6" t="s">
        <v>8574</v>
      </c>
      <c r="Q653" s="6" t="s">
        <v>3935</v>
      </c>
    </row>
    <row r="654" spans="1:17" x14ac:dyDescent="0.25">
      <c r="A654" s="5" t="str">
        <f>IF(TRIM(I654)="","",E654)</f>
        <v>LastFileNumber</v>
      </c>
      <c r="B654" s="5" t="str">
        <f>IF(TRIM(J654)="","",H654)</f>
        <v>Last image number</v>
      </c>
      <c r="C654" s="5" t="str">
        <f>LEFT(F654,FIND(".",F654,6))</f>
        <v>Exif.MinoltaCsNew.</v>
      </c>
      <c r="D654" s="5" t="str">
        <f>VLOOKUP(C654,PrefixUebersetzung,2,FALSE)</f>
        <v>Exif.MinoltaCsNew.</v>
      </c>
      <c r="E654" s="5" t="str">
        <f>MID(F654,FIND(".",F654,6)+1,99)</f>
        <v>LastFileNumber</v>
      </c>
      <c r="F654" s="5" t="s">
        <v>540</v>
      </c>
      <c r="G654" s="5" t="s">
        <v>9667</v>
      </c>
      <c r="H654" s="6" t="s">
        <v>2594</v>
      </c>
      <c r="I654" s="31" t="s">
        <v>4884</v>
      </c>
      <c r="J654" s="14" t="s">
        <v>4884</v>
      </c>
      <c r="K654" s="26"/>
      <c r="N654" s="6" t="str">
        <f>IF(AND(TRIM(I654)="",L654=""),"Suffix not translated ",
   IF(AND(TRIM(I654)&lt;&gt;"",TRIM(L654)&lt;&gt;"",TRIM(I654)&lt;&gt;TRIM(L654)),"Suffix translation &lt;&gt; lookup ", "" ))
&amp;IF(AND(TRIM(J654)="",M654=""),"Description not translated ",
   IF(AND(TRIM(J654)&lt;&gt;"",TRIM(M654)&lt;&gt;"",TRIM(J654)&lt;&gt;TRIM(M654)),"Description translation&lt;&gt; lookup ", "" ))</f>
        <v/>
      </c>
      <c r="O654" s="6" t="s">
        <v>8574</v>
      </c>
      <c r="P654" s="6" t="s">
        <v>8574</v>
      </c>
      <c r="Q654" s="6" t="s">
        <v>3833</v>
      </c>
    </row>
    <row r="655" spans="1:17" x14ac:dyDescent="0.25">
      <c r="A655" s="5" t="str">
        <f>IF(TRIM(I655)="","",E655)</f>
        <v>MacroMode</v>
      </c>
      <c r="B655" s="5" t="str">
        <f>IF(TRIM(J655)="","",H655)</f>
        <v/>
      </c>
      <c r="C655" s="5" t="str">
        <f>LEFT(F655,FIND(".",F655,6))</f>
        <v>Exif.MinoltaCsNew.</v>
      </c>
      <c r="D655" s="5" t="str">
        <f>VLOOKUP(C655,PrefixUebersetzung,2,FALSE)</f>
        <v>Exif.MinoltaCsNew.</v>
      </c>
      <c r="E655" s="5" t="str">
        <f>MID(F655,FIND(".",F655,6)+1,99)</f>
        <v>MacroMode</v>
      </c>
      <c r="F655" s="5" t="s">
        <v>541</v>
      </c>
      <c r="G655" s="5" t="s">
        <v>9667</v>
      </c>
      <c r="H655" s="6" t="s">
        <v>2202</v>
      </c>
      <c r="I655" s="7" t="s">
        <v>3771</v>
      </c>
      <c r="K655" s="26"/>
      <c r="L655" s="6" t="str">
        <f>IFERROR(VLOOKUP(E655,A:I,9, FALSE),"")</f>
        <v>Makromodus</v>
      </c>
      <c r="M655" s="6" t="str">
        <f>IFERROR(VLOOKUP(H655,B:J,9,FALSE),"")</f>
        <v>Makromodus</v>
      </c>
      <c r="N655" s="6" t="str">
        <f>IF(AND(TRIM(I655)="",L655=""),"Suffix not translated ",
   IF(AND(TRIM(I655)&lt;&gt;"",TRIM(L655)&lt;&gt;"",TRIM(I655)&lt;&gt;TRIM(L655)),"Suffix translation &lt;&gt; lookup ", "" ))
&amp;IF(AND(TRIM(J655)="",M655=""),"Description not translated ",
   IF(AND(TRIM(J655)&lt;&gt;"",TRIM(M655)&lt;&gt;"",TRIM(J655)&lt;&gt;TRIM(M655)),"Description translation&lt;&gt; lookup ", "" ))</f>
        <v/>
      </c>
      <c r="O655" s="6" t="s">
        <v>8574</v>
      </c>
    </row>
    <row r="656" spans="1:17" x14ac:dyDescent="0.25">
      <c r="A656" s="5" t="str">
        <f>IF(TRIM(I656)="","",E656)</f>
        <v/>
      </c>
      <c r="B656" s="5" t="str">
        <f>IF(TRIM(J656)="","",H656)</f>
        <v/>
      </c>
      <c r="C656" s="5" t="str">
        <f>LEFT(F656,FIND(".",F656,6))</f>
        <v>Exif.MinoltaCsNew.</v>
      </c>
      <c r="D656" s="5" t="str">
        <f>VLOOKUP(C656,PrefixUebersetzung,2,FALSE)</f>
        <v>Exif.MinoltaCsNew.</v>
      </c>
      <c r="E656" s="5" t="str">
        <f>MID(F656,FIND(".",F656,6)+1,99)</f>
        <v>MaxAperture</v>
      </c>
      <c r="F656" s="5" t="s">
        <v>542</v>
      </c>
      <c r="G656" s="5" t="s">
        <v>9667</v>
      </c>
      <c r="H656" s="6" t="s">
        <v>2204</v>
      </c>
      <c r="I656" s="7"/>
      <c r="K656" s="26"/>
      <c r="L656" s="6" t="str">
        <f>IFERROR(VLOOKUP(E656,A:I,9, FALSE),"")</f>
        <v>Blende maximal</v>
      </c>
      <c r="M656" s="6" t="str">
        <f>IFERROR(VLOOKUP(H656,B:J,9,FALSE),"")</f>
        <v>Maximale Blende</v>
      </c>
      <c r="N656" s="6" t="str">
        <f>IF(AND(TRIM(I656)="",L656=""),"Suffix not translated ",
   IF(AND(TRIM(I656)&lt;&gt;"",TRIM(L656)&lt;&gt;"",TRIM(I656)&lt;&gt;TRIM(L656)),"Suffix translation &lt;&gt; lookup ", "" ))
&amp;IF(AND(TRIM(J656)="",M656=""),"Description not translated ",
   IF(AND(TRIM(J656)&lt;&gt;"",TRIM(M656)&lt;&gt;"",TRIM(J656)&lt;&gt;TRIM(M656)),"Description translation&lt;&gt; lookup ", "" ))</f>
        <v/>
      </c>
    </row>
    <row r="657" spans="1:17" x14ac:dyDescent="0.25">
      <c r="A657" s="5" t="str">
        <f>IF(TRIM(I657)="","",E657)</f>
        <v/>
      </c>
      <c r="B657" s="5" t="str">
        <f>IF(TRIM(J657)="","",H657)</f>
        <v/>
      </c>
      <c r="C657" s="5" t="str">
        <f>LEFT(F657,FIND(".",F657,6))</f>
        <v>Exif.MinoltaCsNew.</v>
      </c>
      <c r="D657" s="5" t="str">
        <f>VLOOKUP(C657,PrefixUebersetzung,2,FALSE)</f>
        <v>Exif.MinoltaCsNew.</v>
      </c>
      <c r="E657" s="5" t="str">
        <f>MID(F657,FIND(".",F657,6)+1,99)</f>
        <v>MeteringMode</v>
      </c>
      <c r="F657" s="5" t="s">
        <v>543</v>
      </c>
      <c r="G657" s="5" t="s">
        <v>9667</v>
      </c>
      <c r="H657" s="6" t="s">
        <v>2562</v>
      </c>
      <c r="I657" s="7"/>
      <c r="K657" s="26"/>
      <c r="L657" s="6" t="str">
        <f>IFERROR(VLOOKUP(E657,A:I,9, FALSE),"")</f>
        <v>Messmethode</v>
      </c>
      <c r="M657" s="6" t="str">
        <f>IFERROR(VLOOKUP(H657,B:J,9,FALSE),"")</f>
        <v>Messmethode</v>
      </c>
      <c r="N657" s="6" t="str">
        <f>IF(AND(TRIM(I657)="",L657=""),"Suffix not translated ",
   IF(AND(TRIM(I657)&lt;&gt;"",TRIM(L657)&lt;&gt;"",TRIM(I657)&lt;&gt;TRIM(L657)),"Suffix translation &lt;&gt; lookup ", "" ))
&amp;IF(AND(TRIM(J657)="",M657=""),"Description not translated ",
   IF(AND(TRIM(J657)&lt;&gt;"",TRIM(M657)&lt;&gt;"",TRIM(J657)&lt;&gt;TRIM(M657)),"Description translation&lt;&gt; lookup ", "" ))</f>
        <v/>
      </c>
    </row>
    <row r="658" spans="1:17" x14ac:dyDescent="0.25">
      <c r="A658" s="5" t="str">
        <f>IF(TRIM(I658)="","",E658)</f>
        <v>MinoltaDate</v>
      </c>
      <c r="B658" s="5" t="str">
        <f>IF(TRIM(J658)="","",H658)</f>
        <v>Minolta date</v>
      </c>
      <c r="C658" s="5" t="str">
        <f>LEFT(F658,FIND(".",F658,6))</f>
        <v>Exif.MinoltaCsNew.</v>
      </c>
      <c r="D658" s="5" t="str">
        <f>VLOOKUP(C658,PrefixUebersetzung,2,FALSE)</f>
        <v>Exif.MinoltaCsNew.</v>
      </c>
      <c r="E658" s="5" t="str">
        <f>MID(F658,FIND(".",F658,6)+1,99)</f>
        <v>MinoltaDate</v>
      </c>
      <c r="F658" s="5" t="s">
        <v>544</v>
      </c>
      <c r="G658" s="5" t="s">
        <v>9667</v>
      </c>
      <c r="H658" s="6" t="s">
        <v>2595</v>
      </c>
      <c r="I658" s="7" t="s">
        <v>3936</v>
      </c>
      <c r="J658" s="14" t="s">
        <v>3936</v>
      </c>
      <c r="K658" s="26"/>
      <c r="N658" s="6" t="str">
        <f>IF(AND(TRIM(I658)="",L658=""),"Suffix not translated ",
   IF(AND(TRIM(I658)&lt;&gt;"",TRIM(L658)&lt;&gt;"",TRIM(I658)&lt;&gt;TRIM(L658)),"Suffix translation &lt;&gt; lookup ", "" ))
&amp;IF(AND(TRIM(J658)="",M658=""),"Description not translated ",
   IF(AND(TRIM(J658)&lt;&gt;"",TRIM(M658)&lt;&gt;"",TRIM(J658)&lt;&gt;TRIM(M658)),"Description translation&lt;&gt; lookup ", "" ))</f>
        <v/>
      </c>
      <c r="O658" s="6" t="s">
        <v>8574</v>
      </c>
      <c r="P658" s="6" t="s">
        <v>8574</v>
      </c>
      <c r="Q658" s="6" t="s">
        <v>3936</v>
      </c>
    </row>
    <row r="659" spans="1:17" x14ac:dyDescent="0.25">
      <c r="A659" s="5" t="str">
        <f>IF(TRIM(I659)="","",E659)</f>
        <v>MinoltaModel</v>
      </c>
      <c r="B659" s="5" t="str">
        <f>IF(TRIM(J659)="","",H659)</f>
        <v>Minolta model</v>
      </c>
      <c r="C659" s="5" t="str">
        <f>LEFT(F659,FIND(".",F659,6))</f>
        <v>Exif.MinoltaCsNew.</v>
      </c>
      <c r="D659" s="5" t="str">
        <f>VLOOKUP(C659,PrefixUebersetzung,2,FALSE)</f>
        <v>Exif.MinoltaCsNew.</v>
      </c>
      <c r="E659" s="5" t="str">
        <f>MID(F659,FIND(".",F659,6)+1,99)</f>
        <v>MinoltaModel</v>
      </c>
      <c r="F659" s="5" t="s">
        <v>545</v>
      </c>
      <c r="G659" s="5" t="s">
        <v>9667</v>
      </c>
      <c r="H659" s="6" t="s">
        <v>2596</v>
      </c>
      <c r="I659" s="7" t="s">
        <v>3937</v>
      </c>
      <c r="J659" s="14" t="s">
        <v>3937</v>
      </c>
      <c r="K659" s="26"/>
      <c r="N659" s="6" t="str">
        <f>IF(AND(TRIM(I659)="",L659=""),"Suffix not translated ",
   IF(AND(TRIM(I659)&lt;&gt;"",TRIM(L659)&lt;&gt;"",TRIM(I659)&lt;&gt;TRIM(L659)),"Suffix translation &lt;&gt; lookup ", "" ))
&amp;IF(AND(TRIM(J659)="",M659=""),"Description not translated ",
   IF(AND(TRIM(J659)&lt;&gt;"",TRIM(M659)&lt;&gt;"",TRIM(J659)&lt;&gt;TRIM(M659)),"Description translation&lt;&gt; lookup ", "" ))</f>
        <v/>
      </c>
      <c r="O659" s="6" t="s">
        <v>8574</v>
      </c>
      <c r="P659" s="6" t="s">
        <v>8574</v>
      </c>
      <c r="Q659" s="6" t="s">
        <v>3937</v>
      </c>
    </row>
    <row r="660" spans="1:17" x14ac:dyDescent="0.25">
      <c r="A660" s="5" t="str">
        <f>IF(TRIM(I660)="","",E660)</f>
        <v>MinoltaTime</v>
      </c>
      <c r="B660" s="5" t="str">
        <f>IF(TRIM(J660)="","",H660)</f>
        <v>Minolta time</v>
      </c>
      <c r="C660" s="5" t="str">
        <f>LEFT(F660,FIND(".",F660,6))</f>
        <v>Exif.MinoltaCsNew.</v>
      </c>
      <c r="D660" s="5" t="str">
        <f>VLOOKUP(C660,PrefixUebersetzung,2,FALSE)</f>
        <v>Exif.MinoltaCsNew.</v>
      </c>
      <c r="E660" s="5" t="str">
        <f>MID(F660,FIND(".",F660,6)+1,99)</f>
        <v>MinoltaTime</v>
      </c>
      <c r="F660" s="5" t="s">
        <v>546</v>
      </c>
      <c r="G660" s="5" t="s">
        <v>9667</v>
      </c>
      <c r="H660" s="6" t="s">
        <v>2597</v>
      </c>
      <c r="I660" s="7" t="s">
        <v>3938</v>
      </c>
      <c r="J660" s="14" t="s">
        <v>3938</v>
      </c>
      <c r="K660" s="26"/>
      <c r="N660" s="6" t="str">
        <f>IF(AND(TRIM(I660)="",L660=""),"Suffix not translated ",
   IF(AND(TRIM(I660)&lt;&gt;"",TRIM(L660)&lt;&gt;"",TRIM(I660)&lt;&gt;TRIM(L660)),"Suffix translation &lt;&gt; lookup ", "" ))
&amp;IF(AND(TRIM(J660)="",M660=""),"Description not translated ",
   IF(AND(TRIM(J660)&lt;&gt;"",TRIM(M660)&lt;&gt;"",TRIM(J660)&lt;&gt;TRIM(M660)),"Description translation&lt;&gt; lookup ", "" ))</f>
        <v/>
      </c>
      <c r="O660" s="6" t="s">
        <v>8574</v>
      </c>
      <c r="P660" s="6" t="s">
        <v>8574</v>
      </c>
      <c r="Q660" s="6" t="s">
        <v>3938</v>
      </c>
    </row>
    <row r="661" spans="1:17" x14ac:dyDescent="0.25">
      <c r="A661" s="5" t="str">
        <f>IF(TRIM(I661)="","",E661)</f>
        <v/>
      </c>
      <c r="B661" s="5" t="str">
        <f>IF(TRIM(J661)="","",H661)</f>
        <v/>
      </c>
      <c r="C661" s="5" t="str">
        <f>LEFT(F661,FIND(".",F661,6))</f>
        <v>Exif.MinoltaCsNew.</v>
      </c>
      <c r="D661" s="5" t="str">
        <f>VLOOKUP(C661,PrefixUebersetzung,2,FALSE)</f>
        <v>Exif.MinoltaCsNew.</v>
      </c>
      <c r="E661" s="5" t="str">
        <f>MID(F661,FIND(".",F661,6)+1,99)</f>
        <v>Quality</v>
      </c>
      <c r="F661" s="5" t="s">
        <v>547</v>
      </c>
      <c r="G661" s="5" t="s">
        <v>9667</v>
      </c>
      <c r="H661" s="6" t="s">
        <v>2536</v>
      </c>
      <c r="I661" s="7"/>
      <c r="K661" s="26"/>
      <c r="L661" s="6" t="str">
        <f>IFERROR(VLOOKUP(E661,A:I,9, FALSE),"")</f>
        <v>Qualität</v>
      </c>
      <c r="M661" s="6" t="str">
        <f>IFERROR(VLOOKUP(H661,B:J,9,FALSE),"")</f>
        <v>Bildqualität</v>
      </c>
      <c r="N661" s="6" t="str">
        <f>IF(AND(TRIM(I661)="",L661=""),"Suffix not translated ",
   IF(AND(TRIM(I661)&lt;&gt;"",TRIM(L661)&lt;&gt;"",TRIM(I661)&lt;&gt;TRIM(L661)),"Suffix translation &lt;&gt; lookup ", "" ))
&amp;IF(AND(TRIM(J661)="",M661=""),"Description not translated ",
   IF(AND(TRIM(J661)&lt;&gt;"",TRIM(M661)&lt;&gt;"",TRIM(J661)&lt;&gt;TRIM(M661)),"Description translation&lt;&gt; lookup ", "" ))</f>
        <v/>
      </c>
    </row>
    <row r="662" spans="1:17" x14ac:dyDescent="0.25">
      <c r="A662" s="5" t="str">
        <f>IF(TRIM(I662)="","",E662)</f>
        <v/>
      </c>
      <c r="B662" s="5" t="str">
        <f>IF(TRIM(J662)="","",H662)</f>
        <v/>
      </c>
      <c r="C662" s="5" t="str">
        <f>LEFT(F662,FIND(".",F662,6))</f>
        <v>Exif.MinoltaCsNew.</v>
      </c>
      <c r="D662" s="5" t="str">
        <f>VLOOKUP(C662,PrefixUebersetzung,2,FALSE)</f>
        <v>Exif.MinoltaCsNew.</v>
      </c>
      <c r="E662" s="5" t="str">
        <f>MID(F662,FIND(".",F662,6)+1,99)</f>
        <v>Saturation</v>
      </c>
      <c r="F662" s="5" t="s">
        <v>548</v>
      </c>
      <c r="G662" s="5" t="s">
        <v>9667</v>
      </c>
      <c r="H662" s="6" t="s">
        <v>2567</v>
      </c>
      <c r="K662" s="26"/>
      <c r="L662" s="6" t="str">
        <f>IFERROR(VLOOKUP(E662,A:I,9, FALSE),"")</f>
        <v>Sättigung</v>
      </c>
      <c r="M662" s="6" t="str">
        <f>IFERROR(VLOOKUP(H662,B:J,9,FALSE),"")</f>
        <v>Sättigung</v>
      </c>
      <c r="N662" s="6" t="str">
        <f>IF(AND(TRIM(I662)="",L662=""),"Suffix not translated ",
   IF(AND(TRIM(I662)&lt;&gt;"",TRIM(L662)&lt;&gt;"",TRIM(I662)&lt;&gt;TRIM(L662)),"Suffix translation &lt;&gt; lookup ", "" ))
&amp;IF(AND(TRIM(J662)="",M662=""),"Description not translated ",
   IF(AND(TRIM(J662)&lt;&gt;"",TRIM(M662)&lt;&gt;"",TRIM(J662)&lt;&gt;TRIM(M662)),"Description translation&lt;&gt; lookup ", "" ))</f>
        <v/>
      </c>
    </row>
    <row r="663" spans="1:17" x14ac:dyDescent="0.25">
      <c r="A663" s="5" t="str">
        <f>IF(TRIM(I663)="","",E663)</f>
        <v/>
      </c>
      <c r="B663" s="5" t="str">
        <f>IF(TRIM(J663)="","",H663)</f>
        <v/>
      </c>
      <c r="C663" s="5" t="str">
        <f>LEFT(F663,FIND(".",F663,6))</f>
        <v>Exif.MinoltaCsNew.</v>
      </c>
      <c r="D663" s="5" t="str">
        <f>VLOOKUP(C663,PrefixUebersetzung,2,FALSE)</f>
        <v>Exif.MinoltaCsNew.</v>
      </c>
      <c r="E663" s="5" t="str">
        <f>MID(F663,FIND(".",F663,6)+1,99)</f>
        <v>Sharpness</v>
      </c>
      <c r="F663" s="5" t="s">
        <v>549</v>
      </c>
      <c r="G663" s="5" t="s">
        <v>9667</v>
      </c>
      <c r="H663" s="6" t="s">
        <v>2245</v>
      </c>
      <c r="K663" s="26"/>
      <c r="L663" s="6" t="str">
        <f>IFERROR(VLOOKUP(E663,A:I,9, FALSE),"")</f>
        <v>Schärfe</v>
      </c>
      <c r="M663" s="6" t="str">
        <f>IFERROR(VLOOKUP(H663,B:J,9,FALSE),"")</f>
        <v>Schärfe</v>
      </c>
      <c r="N663" s="6" t="str">
        <f>IF(AND(TRIM(I663)="",L663=""),"Suffix not translated ",
   IF(AND(TRIM(I663)&lt;&gt;"",TRIM(L663)&lt;&gt;"",TRIM(I663)&lt;&gt;TRIM(L663)),"Suffix translation &lt;&gt; lookup ", "" ))
&amp;IF(AND(TRIM(J663)="",M663=""),"Description not translated ",
   IF(AND(TRIM(J663)&lt;&gt;"",TRIM(M663)&lt;&gt;"",TRIM(J663)&lt;&gt;TRIM(M663)),"Description translation&lt;&gt; lookup ", "" ))</f>
        <v/>
      </c>
    </row>
    <row r="664" spans="1:17" x14ac:dyDescent="0.25">
      <c r="A664" s="5" t="str">
        <f>IF(TRIM(I664)="","",E664)</f>
        <v>SpotFocusPointX</v>
      </c>
      <c r="B664" s="5" t="str">
        <f>IF(TRIM(J664)="","",H664)</f>
        <v>Spot focus point X</v>
      </c>
      <c r="C664" s="5" t="str">
        <f>LEFT(F664,FIND(".",F664,6))</f>
        <v>Exif.MinoltaCsNew.</v>
      </c>
      <c r="D664" s="5" t="str">
        <f>VLOOKUP(C664,PrefixUebersetzung,2,FALSE)</f>
        <v>Exif.MinoltaCsNew.</v>
      </c>
      <c r="E664" s="5" t="str">
        <f>MID(F664,FIND(".",F664,6)+1,99)</f>
        <v>SpotFocusPointX</v>
      </c>
      <c r="F664" s="5" t="s">
        <v>550</v>
      </c>
      <c r="G664" s="5" t="s">
        <v>9667</v>
      </c>
      <c r="H664" s="6" t="s">
        <v>2598</v>
      </c>
      <c r="I664" s="7" t="s">
        <v>4323</v>
      </c>
      <c r="J664" s="14" t="s">
        <v>4323</v>
      </c>
      <c r="K664" s="26"/>
      <c r="N664" s="6" t="str">
        <f>IF(AND(TRIM(I664)="",L664=""),"Suffix not translated ",
   IF(AND(TRIM(I664)&lt;&gt;"",TRIM(L664)&lt;&gt;"",TRIM(I664)&lt;&gt;TRIM(L664)),"Suffix translation &lt;&gt; lookup ", "" ))
&amp;IF(AND(TRIM(J664)="",M664=""),"Description not translated ",
   IF(AND(TRIM(J664)&lt;&gt;"",TRIM(M664)&lt;&gt;"",TRIM(J664)&lt;&gt;TRIM(M664)),"Description translation&lt;&gt; lookup ", "" ))</f>
        <v/>
      </c>
      <c r="O664" s="6" t="s">
        <v>8574</v>
      </c>
      <c r="P664" s="6" t="s">
        <v>8574</v>
      </c>
      <c r="Q664" s="6" t="s">
        <v>9494</v>
      </c>
    </row>
    <row r="665" spans="1:17" x14ac:dyDescent="0.25">
      <c r="A665" s="5" t="str">
        <f>IF(TRIM(I665)="","",E665)</f>
        <v>SpotFocusPointY</v>
      </c>
      <c r="B665" s="5" t="str">
        <f>IF(TRIM(J665)="","",H665)</f>
        <v>Spot focus point Y</v>
      </c>
      <c r="C665" s="5" t="str">
        <f>LEFT(F665,FIND(".",F665,6))</f>
        <v>Exif.MinoltaCsNew.</v>
      </c>
      <c r="D665" s="5" t="str">
        <f>VLOOKUP(C665,PrefixUebersetzung,2,FALSE)</f>
        <v>Exif.MinoltaCsNew.</v>
      </c>
      <c r="E665" s="5" t="str">
        <f>MID(F665,FIND(".",F665,6)+1,99)</f>
        <v>SpotFocusPointY</v>
      </c>
      <c r="F665" s="5" t="s">
        <v>551</v>
      </c>
      <c r="G665" s="5" t="s">
        <v>9667</v>
      </c>
      <c r="H665" s="6" t="s">
        <v>2599</v>
      </c>
      <c r="I665" s="31" t="s">
        <v>4324</v>
      </c>
      <c r="J665" s="14" t="s">
        <v>4324</v>
      </c>
      <c r="K665" s="26"/>
      <c r="N665" s="6" t="str">
        <f>IF(AND(TRIM(I665)="",L665=""),"Suffix not translated ",
   IF(AND(TRIM(I665)&lt;&gt;"",TRIM(L665)&lt;&gt;"",TRIM(I665)&lt;&gt;TRIM(L665)),"Suffix translation &lt;&gt; lookup ", "" ))
&amp;IF(AND(TRIM(J665)="",M665=""),"Description not translated ",
   IF(AND(TRIM(J665)&lt;&gt;"",TRIM(M665)&lt;&gt;"",TRIM(J665)&lt;&gt;TRIM(M665)),"Description translation&lt;&gt; lookup ", "" ))</f>
        <v/>
      </c>
      <c r="O665" s="6" t="s">
        <v>8574</v>
      </c>
      <c r="P665" s="6" t="s">
        <v>8574</v>
      </c>
      <c r="Q665" s="6" t="s">
        <v>9495</v>
      </c>
    </row>
    <row r="666" spans="1:17" x14ac:dyDescent="0.25">
      <c r="A666" s="5" t="str">
        <f>IF(TRIM(I666)="","",E666)</f>
        <v>SubjectProgram</v>
      </c>
      <c r="B666" s="5" t="str">
        <f>IF(TRIM(J666)="","",H666)</f>
        <v>Subject program</v>
      </c>
      <c r="C666" s="5" t="str">
        <f>LEFT(F666,FIND(".",F666,6))</f>
        <v>Exif.MinoltaCsNew.</v>
      </c>
      <c r="D666" s="5" t="str">
        <f>VLOOKUP(C666,PrefixUebersetzung,2,FALSE)</f>
        <v>Exif.MinoltaCsNew.</v>
      </c>
      <c r="E666" s="5" t="str">
        <f>MID(F666,FIND(".",F666,6)+1,99)</f>
        <v>SubjectProgram</v>
      </c>
      <c r="F666" s="5" t="s">
        <v>552</v>
      </c>
      <c r="G666" s="5" t="s">
        <v>9667</v>
      </c>
      <c r="H666" s="6" t="s">
        <v>2600</v>
      </c>
      <c r="I666" s="7" t="s">
        <v>4325</v>
      </c>
      <c r="J666" s="14" t="s">
        <v>4325</v>
      </c>
      <c r="K666" s="26"/>
      <c r="N666" s="6" t="str">
        <f>IF(AND(TRIM(I666)="",L666=""),"Suffix not translated ",
   IF(AND(TRIM(I666)&lt;&gt;"",TRIM(L666)&lt;&gt;"",TRIM(I666)&lt;&gt;TRIM(L666)),"Suffix translation &lt;&gt; lookup ", "" ))
&amp;IF(AND(TRIM(J666)="",M666=""),"Description not translated ",
   IF(AND(TRIM(J666)&lt;&gt;"",TRIM(M666)&lt;&gt;"",TRIM(J666)&lt;&gt;TRIM(M666)),"Description translation&lt;&gt; lookup ", "" ))</f>
        <v/>
      </c>
      <c r="O666" s="6" t="s">
        <v>8574</v>
      </c>
      <c r="P666" s="6" t="s">
        <v>8574</v>
      </c>
      <c r="Q666" s="6" t="s">
        <v>9501</v>
      </c>
    </row>
    <row r="667" spans="1:17" x14ac:dyDescent="0.25">
      <c r="A667" s="5" t="str">
        <f>IF(TRIM(I667)="","",E667)</f>
        <v/>
      </c>
      <c r="B667" s="5" t="str">
        <f>IF(TRIM(J667)="","",H667)</f>
        <v/>
      </c>
      <c r="C667" s="5" t="str">
        <f>LEFT(F667,FIND(".",F667,6))</f>
        <v>Exif.MinoltaCsNew.</v>
      </c>
      <c r="D667" s="5" t="str">
        <f>VLOOKUP(C667,PrefixUebersetzung,2,FALSE)</f>
        <v>Exif.MinoltaCsNew.</v>
      </c>
      <c r="E667" s="5" t="str">
        <f>MID(F667,FIND(".",F667,6)+1,99)</f>
        <v>WhiteBalance</v>
      </c>
      <c r="F667" s="5" t="s">
        <v>553</v>
      </c>
      <c r="G667" s="5" t="s">
        <v>9667</v>
      </c>
      <c r="H667" s="6" t="s">
        <v>2250</v>
      </c>
      <c r="K667" s="26"/>
      <c r="L667" s="6" t="str">
        <f>IFERROR(VLOOKUP(E667,A:I,9, FALSE),"")</f>
        <v>Weißabgleich</v>
      </c>
      <c r="M667" s="6" t="str">
        <f>IFERROR(VLOOKUP(H667,B:J,9,FALSE),"")</f>
        <v>Weißabgleich</v>
      </c>
      <c r="N667" s="6" t="str">
        <f>IF(AND(TRIM(I667)="",L667=""),"Suffix not translated ",
   IF(AND(TRIM(I667)&lt;&gt;"",TRIM(L667)&lt;&gt;"",TRIM(I667)&lt;&gt;TRIM(L667)),"Suffix translation &lt;&gt; lookup ", "" ))
&amp;IF(AND(TRIM(J667)="",M667=""),"Description not translated ",
   IF(AND(TRIM(J667)&lt;&gt;"",TRIM(M667)&lt;&gt;"",TRIM(J667)&lt;&gt;TRIM(M667)),"Description translation&lt;&gt; lookup ", "" ))</f>
        <v/>
      </c>
    </row>
    <row r="668" spans="1:17" x14ac:dyDescent="0.25">
      <c r="A668" s="5" t="str">
        <f>IF(TRIM(I668)="","",E668)</f>
        <v>WideFocusZone</v>
      </c>
      <c r="B668" s="5" t="str">
        <f>IF(TRIM(J668)="","",H668)</f>
        <v>Wide focus zone</v>
      </c>
      <c r="C668" s="5" t="str">
        <f>LEFT(F668,FIND(".",F668,6))</f>
        <v>Exif.MinoltaCsNew.</v>
      </c>
      <c r="D668" s="5" t="str">
        <f>VLOOKUP(C668,PrefixUebersetzung,2,FALSE)</f>
        <v>Exif.MinoltaCsNew.</v>
      </c>
      <c r="E668" s="5" t="str">
        <f>MID(F668,FIND(".",F668,6)+1,99)</f>
        <v>WideFocusZone</v>
      </c>
      <c r="F668" s="5" t="s">
        <v>554</v>
      </c>
      <c r="G668" s="5" t="s">
        <v>9667</v>
      </c>
      <c r="H668" s="6" t="s">
        <v>2601</v>
      </c>
      <c r="I668" s="31" t="s">
        <v>4326</v>
      </c>
      <c r="J668" s="14" t="s">
        <v>4326</v>
      </c>
      <c r="K668" s="26"/>
      <c r="N668" s="6" t="str">
        <f>IF(AND(TRIM(I668)="",L668=""),"Suffix not translated ",
   IF(AND(TRIM(I668)&lt;&gt;"",TRIM(L668)&lt;&gt;"",TRIM(I668)&lt;&gt;TRIM(L668)),"Suffix translation &lt;&gt; lookup ", "" ))
&amp;IF(AND(TRIM(J668)="",M668=""),"Description not translated ",
   IF(AND(TRIM(J668)&lt;&gt;"",TRIM(M668)&lt;&gt;"",TRIM(J668)&lt;&gt;TRIM(M668)),"Description translation&lt;&gt; lookup ", "" ))</f>
        <v/>
      </c>
      <c r="O668" s="6" t="s">
        <v>8574</v>
      </c>
      <c r="P668" s="6" t="s">
        <v>8574</v>
      </c>
      <c r="Q668" s="6" t="s">
        <v>9564</v>
      </c>
    </row>
    <row r="669" spans="1:17" x14ac:dyDescent="0.25">
      <c r="A669" s="5" t="str">
        <f>IF(TRIM(I669)="","",E669)</f>
        <v>MPFAxisDistanceX</v>
      </c>
      <c r="B669" s="5" t="str">
        <f>IF(TRIM(J669)="","",H669)</f>
        <v>MPF Axis Distance X</v>
      </c>
      <c r="C669" s="5" t="str">
        <f>LEFT(F669,FIND(".",F669,6))</f>
        <v>Exif.MpfInfo.</v>
      </c>
      <c r="D669" s="5" t="str">
        <f>VLOOKUP(C669,PrefixUebersetzung,2,FALSE)</f>
        <v>Exif.MpfInfo.</v>
      </c>
      <c r="E669" s="5" t="str">
        <f>MID(F669,FIND(".",F669,6)+1,99)</f>
        <v>MPFAxisDistanceX</v>
      </c>
      <c r="F669" s="2" t="s">
        <v>8011</v>
      </c>
      <c r="G669" s="5" t="s">
        <v>9667</v>
      </c>
      <c r="H669" s="3" t="s">
        <v>8012</v>
      </c>
      <c r="I669" s="24" t="s">
        <v>8821</v>
      </c>
      <c r="J669" s="8" t="s">
        <v>8821</v>
      </c>
      <c r="K669" s="26"/>
      <c r="N669" s="6" t="str">
        <f>IF(AND(TRIM(I669)="",L669=""),"Suffix not translated ",
   IF(AND(TRIM(I669)&lt;&gt;"",TRIM(L669)&lt;&gt;"",TRIM(I669)&lt;&gt;TRIM(L669)),"Suffix translation &lt;&gt; lookup ", "" ))
&amp;IF(AND(TRIM(J669)="",M669=""),"Description not translated ",
   IF(AND(TRIM(J669)&lt;&gt;"",TRIM(M669)&lt;&gt;"",TRIM(J669)&lt;&gt;TRIM(M669)),"Description translation&lt;&gt; lookup ", "" ))</f>
        <v/>
      </c>
      <c r="O669" s="6" t="s">
        <v>8574</v>
      </c>
      <c r="P669" s="6" t="s">
        <v>8574</v>
      </c>
      <c r="Q669" s="6" t="s">
        <v>9311</v>
      </c>
    </row>
    <row r="670" spans="1:17" x14ac:dyDescent="0.25">
      <c r="A670" s="5" t="str">
        <f>IF(TRIM(I670)="","",E670)</f>
        <v>MPFAxisDistanceY</v>
      </c>
      <c r="B670" s="5" t="str">
        <f>IF(TRIM(J670)="","",H670)</f>
        <v>MPF Axis Distance Y</v>
      </c>
      <c r="C670" s="5" t="str">
        <f>LEFT(F670,FIND(".",F670,6))</f>
        <v>Exif.MpfInfo.</v>
      </c>
      <c r="D670" s="5" t="str">
        <f>VLOOKUP(C670,PrefixUebersetzung,2,FALSE)</f>
        <v>Exif.MpfInfo.</v>
      </c>
      <c r="E670" s="5" t="str">
        <f>MID(F670,FIND(".",F670,6)+1,99)</f>
        <v>MPFAxisDistanceY</v>
      </c>
      <c r="F670" s="2" t="s">
        <v>8013</v>
      </c>
      <c r="G670" s="5" t="s">
        <v>9667</v>
      </c>
      <c r="H670" s="3" t="s">
        <v>8014</v>
      </c>
      <c r="I670" s="24" t="s">
        <v>8822</v>
      </c>
      <c r="J670" s="8" t="s">
        <v>8822</v>
      </c>
      <c r="K670" s="26"/>
      <c r="N670" s="6" t="str">
        <f>IF(AND(TRIM(I670)="",L670=""),"Suffix not translated ",
   IF(AND(TRIM(I670)&lt;&gt;"",TRIM(L670)&lt;&gt;"",TRIM(I670)&lt;&gt;TRIM(L670)),"Suffix translation &lt;&gt; lookup ", "" ))
&amp;IF(AND(TRIM(J670)="",M670=""),"Description not translated ",
   IF(AND(TRIM(J670)&lt;&gt;"",TRIM(M670)&lt;&gt;"",TRIM(J670)&lt;&gt;TRIM(M670)),"Description translation&lt;&gt; lookup ", "" ))</f>
        <v/>
      </c>
      <c r="O670" s="6" t="s">
        <v>8574</v>
      </c>
      <c r="P670" s="6" t="s">
        <v>8574</v>
      </c>
      <c r="Q670" s="6" t="s">
        <v>9311</v>
      </c>
    </row>
    <row r="671" spans="1:17" x14ac:dyDescent="0.25">
      <c r="A671" s="5" t="str">
        <f>IF(TRIM(I671)="","",E671)</f>
        <v>MPFAxisDistanceZ</v>
      </c>
      <c r="B671" s="5" t="str">
        <f>IF(TRIM(J671)="","",H671)</f>
        <v>MPF Axis Distance Z</v>
      </c>
      <c r="C671" s="5" t="str">
        <f>LEFT(F671,FIND(".",F671,6))</f>
        <v>Exif.MpfInfo.</v>
      </c>
      <c r="D671" s="5" t="str">
        <f>VLOOKUP(C671,PrefixUebersetzung,2,FALSE)</f>
        <v>Exif.MpfInfo.</v>
      </c>
      <c r="E671" s="5" t="str">
        <f>MID(F671,FIND(".",F671,6)+1,99)</f>
        <v>MPFAxisDistanceZ</v>
      </c>
      <c r="F671" s="2" t="s">
        <v>8015</v>
      </c>
      <c r="G671" s="5" t="s">
        <v>9667</v>
      </c>
      <c r="H671" s="3" t="s">
        <v>8016</v>
      </c>
      <c r="I671" s="24" t="s">
        <v>8823</v>
      </c>
      <c r="J671" s="8" t="s">
        <v>8823</v>
      </c>
      <c r="K671" s="26"/>
      <c r="N671" s="6" t="str">
        <f>IF(AND(TRIM(I671)="",L671=""),"Suffix not translated ",
   IF(AND(TRIM(I671)&lt;&gt;"",TRIM(L671)&lt;&gt;"",TRIM(I671)&lt;&gt;TRIM(L671)),"Suffix translation &lt;&gt; lookup ", "" ))
&amp;IF(AND(TRIM(J671)="",M671=""),"Description not translated ",
   IF(AND(TRIM(J671)&lt;&gt;"",TRIM(M671)&lt;&gt;"",TRIM(J671)&lt;&gt;TRIM(M671)),"Description translation&lt;&gt; lookup ", "" ))</f>
        <v/>
      </c>
      <c r="O671" s="6" t="s">
        <v>8574</v>
      </c>
      <c r="P671" s="6" t="s">
        <v>8574</v>
      </c>
      <c r="Q671" s="6" t="s">
        <v>9311</v>
      </c>
    </row>
    <row r="672" spans="1:17" x14ac:dyDescent="0.25">
      <c r="A672" s="5" t="str">
        <f>IF(TRIM(I672)="","",E672)</f>
        <v/>
      </c>
      <c r="B672" s="5" t="str">
        <f>IF(TRIM(J672)="","",H672)</f>
        <v/>
      </c>
      <c r="C672" s="5" t="str">
        <f>LEFT(F672,FIND(".",F672,6))</f>
        <v>Exif.MpfInfo.</v>
      </c>
      <c r="D672" s="5" t="str">
        <f>VLOOKUP(C672,PrefixUebersetzung,2,FALSE)</f>
        <v>Exif.MpfInfo.</v>
      </c>
      <c r="E672" s="5" t="str">
        <f>MID(F672,FIND(".",F672,6)+1,99)</f>
        <v>MPFBaselineLength</v>
      </c>
      <c r="F672" s="2" t="s">
        <v>8017</v>
      </c>
      <c r="G672" s="5" t="s">
        <v>9667</v>
      </c>
      <c r="H672" s="3" t="s">
        <v>8018</v>
      </c>
      <c r="I672" s="7"/>
      <c r="K672" s="26"/>
      <c r="N672" s="6" t="str">
        <f>IF(AND(TRIM(I672)="",L672=""),"Suffix not translated ",
   IF(AND(TRIM(I672)&lt;&gt;"",TRIM(L672)&lt;&gt;"",TRIM(I672)&lt;&gt;TRIM(L672)),"Suffix translation &lt;&gt; lookup ", "" ))
&amp;IF(AND(TRIM(J672)="",M672=""),"Description not translated ",
   IF(AND(TRIM(J672)&lt;&gt;"",TRIM(M672)&lt;&gt;"",TRIM(J672)&lt;&gt;TRIM(M672)),"Description translation&lt;&gt; lookup ", "" ))</f>
        <v xml:space="preserve">Suffix not translated Description not translated </v>
      </c>
      <c r="O672" s="6" t="s">
        <v>8574</v>
      </c>
      <c r="P672" s="6" t="s">
        <v>8574</v>
      </c>
    </row>
    <row r="673" spans="1:17" x14ac:dyDescent="0.25">
      <c r="A673" s="5" t="str">
        <f>IF(TRIM(I673)="","",E673)</f>
        <v/>
      </c>
      <c r="B673" s="5" t="str">
        <f>IF(TRIM(J673)="","",H673)</f>
        <v/>
      </c>
      <c r="C673" s="5" t="str">
        <f>LEFT(F673,FIND(".",F673,6))</f>
        <v>Exif.MpfInfo.</v>
      </c>
      <c r="D673" s="5" t="str">
        <f>VLOOKUP(C673,PrefixUebersetzung,2,FALSE)</f>
        <v>Exif.MpfInfo.</v>
      </c>
      <c r="E673" s="5" t="str">
        <f>MID(F673,FIND(".",F673,6)+1,99)</f>
        <v>MPFBaseViewpointNum</v>
      </c>
      <c r="F673" s="2" t="s">
        <v>8019</v>
      </c>
      <c r="G673" s="5" t="s">
        <v>9667</v>
      </c>
      <c r="H673" s="3" t="s">
        <v>8020</v>
      </c>
      <c r="I673" s="7"/>
      <c r="J673" s="32"/>
      <c r="K673" s="26"/>
      <c r="N673" s="6"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Description not translated </v>
      </c>
      <c r="O673" s="6" t="s">
        <v>8574</v>
      </c>
      <c r="P673" s="6" t="s">
        <v>8574</v>
      </c>
    </row>
    <row r="674" spans="1:17" x14ac:dyDescent="0.25">
      <c r="A674" s="5" t="str">
        <f>IF(TRIM(I674)="","",E674)</f>
        <v/>
      </c>
      <c r="B674" s="5" t="str">
        <f>IF(TRIM(J674)="","",H674)</f>
        <v>MPF Convergence Angle</v>
      </c>
      <c r="C674" s="5" t="str">
        <f>LEFT(F674,FIND(".",F674,6))</f>
        <v>Exif.MpfInfo.</v>
      </c>
      <c r="D674" s="5" t="str">
        <f>VLOOKUP(C674,PrefixUebersetzung,2,FALSE)</f>
        <v>Exif.MpfInfo.</v>
      </c>
      <c r="E674" s="5" t="str">
        <f>MID(F674,FIND(".",F674,6)+1,99)</f>
        <v>MPFConvergenceAngle</v>
      </c>
      <c r="F674" s="2" t="s">
        <v>8021</v>
      </c>
      <c r="G674" s="5" t="s">
        <v>9667</v>
      </c>
      <c r="H674" s="3" t="s">
        <v>8022</v>
      </c>
      <c r="I674" s="7"/>
      <c r="J674" s="8" t="s">
        <v>8824</v>
      </c>
      <c r="K674" s="26"/>
      <c r="N674" s="6" t="str">
        <f>IF(AND(TRIM(I674)="",L674=""),"Suffix not translated ",
   IF(AND(TRIM(I674)&lt;&gt;"",TRIM(L674)&lt;&gt;"",TRIM(I674)&lt;&gt;TRIM(L674)),"Suffix translation &lt;&gt; lookup ", "" ))
&amp;IF(AND(TRIM(J674)="",M674=""),"Description not translated ",
   IF(AND(TRIM(J674)&lt;&gt;"",TRIM(M674)&lt;&gt;"",TRIM(J674)&lt;&gt;TRIM(M674)),"Description translation&lt;&gt; lookup ", "" ))</f>
        <v xml:space="preserve">Suffix not translated </v>
      </c>
      <c r="O674" s="6" t="s">
        <v>8574</v>
      </c>
      <c r="P674" s="6" t="s">
        <v>8574</v>
      </c>
    </row>
    <row r="675" spans="1:17" x14ac:dyDescent="0.25">
      <c r="A675" s="5" t="str">
        <f>IF(TRIM(I675)="","",E675)</f>
        <v>MPFImageList</v>
      </c>
      <c r="B675" s="5" t="str">
        <f>IF(TRIM(J675)="","",H675)</f>
        <v>MPF Image List</v>
      </c>
      <c r="C675" s="5" t="str">
        <f>LEFT(F675,FIND(".",F675,6))</f>
        <v>Exif.MpfInfo.</v>
      </c>
      <c r="D675" s="5" t="str">
        <f>VLOOKUP(C675,PrefixUebersetzung,2,FALSE)</f>
        <v>Exif.MpfInfo.</v>
      </c>
      <c r="E675" s="5" t="str">
        <f>MID(F675,FIND(".",F675,6)+1,99)</f>
        <v>MPFImageList</v>
      </c>
      <c r="F675" s="2" t="s">
        <v>8023</v>
      </c>
      <c r="G675" s="5" t="s">
        <v>9666</v>
      </c>
      <c r="H675" s="3" t="s">
        <v>8024</v>
      </c>
      <c r="I675" s="8" t="s">
        <v>8825</v>
      </c>
      <c r="J675" s="8" t="s">
        <v>8825</v>
      </c>
      <c r="K675" s="26"/>
      <c r="N675" s="6" t="str">
        <f>IF(AND(TRIM(I675)="",L675=""),"Suffix not translated ",
   IF(AND(TRIM(I675)&lt;&gt;"",TRIM(L675)&lt;&gt;"",TRIM(I675)&lt;&gt;TRIM(L675)),"Suffix translation &lt;&gt; lookup ", "" ))
&amp;IF(AND(TRIM(J675)="",M675=""),"Description not translated ",
   IF(AND(TRIM(J675)&lt;&gt;"",TRIM(M675)&lt;&gt;"",TRIM(J675)&lt;&gt;TRIM(M675)),"Description translation&lt;&gt; lookup ", "" ))</f>
        <v/>
      </c>
      <c r="O675" s="6" t="s">
        <v>8574</v>
      </c>
      <c r="P675" s="6" t="s">
        <v>8574</v>
      </c>
      <c r="Q675" s="6" t="s">
        <v>3797</v>
      </c>
    </row>
    <row r="676" spans="1:17" x14ac:dyDescent="0.25">
      <c r="A676" s="5" t="str">
        <f>IF(TRIM(I676)="","",E676)</f>
        <v>MPFImageUIDList</v>
      </c>
      <c r="B676" s="5" t="str">
        <f>IF(TRIM(J676)="","",H676)</f>
        <v>MPF Image UID List</v>
      </c>
      <c r="C676" s="5" t="str">
        <f>LEFT(F676,FIND(".",F676,6))</f>
        <v>Exif.MpfInfo.</v>
      </c>
      <c r="D676" s="5" t="str">
        <f>VLOOKUP(C676,PrefixUebersetzung,2,FALSE)</f>
        <v>Exif.MpfInfo.</v>
      </c>
      <c r="E676" s="5" t="str">
        <f>MID(F676,FIND(".",F676,6)+1,99)</f>
        <v>MPFImageUIDList</v>
      </c>
      <c r="F676" s="2" t="s">
        <v>8025</v>
      </c>
      <c r="G676" s="5" t="s">
        <v>9667</v>
      </c>
      <c r="H676" s="3" t="s">
        <v>8026</v>
      </c>
      <c r="I676" s="8" t="s">
        <v>8826</v>
      </c>
      <c r="J676" s="8" t="s">
        <v>8826</v>
      </c>
      <c r="K676" s="26"/>
      <c r="N676" s="6" t="str">
        <f>IF(AND(TRIM(I676)="",L676=""),"Suffix not translated ",
   IF(AND(TRIM(I676)&lt;&gt;"",TRIM(L676)&lt;&gt;"",TRIM(I676)&lt;&gt;TRIM(L676)),"Suffix translation &lt;&gt; lookup ", "" ))
&amp;IF(AND(TRIM(J676)="",M676=""),"Description not translated ",
   IF(AND(TRIM(J676)&lt;&gt;"",TRIM(M676)&lt;&gt;"",TRIM(J676)&lt;&gt;TRIM(M676)),"Description translation&lt;&gt; lookup ", "" ))</f>
        <v/>
      </c>
      <c r="O676" s="6" t="s">
        <v>8574</v>
      </c>
      <c r="P676" s="6" t="s">
        <v>8574</v>
      </c>
      <c r="Q676" s="6" t="s">
        <v>9404</v>
      </c>
    </row>
    <row r="677" spans="1:17" x14ac:dyDescent="0.25">
      <c r="A677" s="5" t="str">
        <f>IF(TRIM(I677)="","",E677)</f>
        <v>MPFIndividualNum</v>
      </c>
      <c r="B677" s="5" t="str">
        <f>IF(TRIM(J677)="","",H677)</f>
        <v/>
      </c>
      <c r="C677" s="5" t="str">
        <f>LEFT(F677,FIND(".",F677,6))</f>
        <v>Exif.MpfInfo.</v>
      </c>
      <c r="D677" s="5" t="str">
        <f>VLOOKUP(C677,PrefixUebersetzung,2,FALSE)</f>
        <v>Exif.MpfInfo.</v>
      </c>
      <c r="E677" s="5" t="str">
        <f>MID(F677,FIND(".",F677,6)+1,99)</f>
        <v>MPFIndividualNum</v>
      </c>
      <c r="F677" s="2" t="s">
        <v>8027</v>
      </c>
      <c r="G677" s="5" t="s">
        <v>9667</v>
      </c>
      <c r="H677" s="3" t="s">
        <v>8028</v>
      </c>
      <c r="I677" s="8" t="s">
        <v>8827</v>
      </c>
      <c r="K677" s="26"/>
      <c r="N677" s="6" t="str">
        <f>IF(AND(TRIM(I677)="",L677=""),"Suffix not translated ",
   IF(AND(TRIM(I677)&lt;&gt;"",TRIM(L677)&lt;&gt;"",TRIM(I677)&lt;&gt;TRIM(L677)),"Suffix translation &lt;&gt; lookup ", "" ))
&amp;IF(AND(TRIM(J677)="",M677=""),"Description not translated ",
   IF(AND(TRIM(J677)&lt;&gt;"",TRIM(M677)&lt;&gt;"",TRIM(J677)&lt;&gt;TRIM(M677)),"Description translation&lt;&gt; lookup ", "" ))</f>
        <v xml:space="preserve">Description not translated </v>
      </c>
      <c r="O677" s="6" t="s">
        <v>8574</v>
      </c>
      <c r="P677" s="6" t="s">
        <v>8574</v>
      </c>
    </row>
    <row r="678" spans="1:17" x14ac:dyDescent="0.25">
      <c r="A678" s="5" t="str">
        <f>IF(TRIM(I678)="","",E678)</f>
        <v>MPFNumberOfImages</v>
      </c>
      <c r="B678" s="5" t="str">
        <f>IF(TRIM(J678)="","",H678)</f>
        <v>MPF Number of Images</v>
      </c>
      <c r="C678" s="5" t="str">
        <f>LEFT(F678,FIND(".",F678,6))</f>
        <v>Exif.MpfInfo.</v>
      </c>
      <c r="D678" s="5" t="str">
        <f>VLOOKUP(C678,PrefixUebersetzung,2,FALSE)</f>
        <v>Exif.MpfInfo.</v>
      </c>
      <c r="E678" s="5" t="str">
        <f>MID(F678,FIND(".",F678,6)+1,99)</f>
        <v>MPFNumberOfImages</v>
      </c>
      <c r="F678" s="2" t="s">
        <v>8029</v>
      </c>
      <c r="G678" s="5" t="s">
        <v>9669</v>
      </c>
      <c r="H678" s="3" t="s">
        <v>8030</v>
      </c>
      <c r="I678" s="8" t="s">
        <v>8827</v>
      </c>
      <c r="J678" s="8" t="s">
        <v>8827</v>
      </c>
      <c r="K678" s="26"/>
      <c r="N678" s="6" t="str">
        <f>IF(AND(TRIM(I678)="",L678=""),"Suffix not translated ",
   IF(AND(TRIM(I678)&lt;&gt;"",TRIM(L678)&lt;&gt;"",TRIM(I678)&lt;&gt;TRIM(L678)),"Suffix translation &lt;&gt; lookup ", "" ))
&amp;IF(AND(TRIM(J678)="",M678=""),"Description not translated ",
   IF(AND(TRIM(J678)&lt;&gt;"",TRIM(M678)&lt;&gt;"",TRIM(J678)&lt;&gt;TRIM(M678)),"Description translation&lt;&gt; lookup ", "" ))</f>
        <v/>
      </c>
      <c r="O678" s="6" t="s">
        <v>8574</v>
      </c>
      <c r="P678" s="6" t="s">
        <v>8574</v>
      </c>
      <c r="Q678" s="6" t="s">
        <v>9405</v>
      </c>
    </row>
    <row r="679" spans="1:17" x14ac:dyDescent="0.25">
      <c r="A679" s="5" t="str">
        <f>IF(TRIM(I679)="","",E679)</f>
        <v>MPFPanOrientation</v>
      </c>
      <c r="B679" s="5" t="str">
        <f>IF(TRIM(J679)="","",H679)</f>
        <v>MPFPanOrientation</v>
      </c>
      <c r="C679" s="5" t="str">
        <f>LEFT(F679,FIND(".",F679,6))</f>
        <v>Exif.MpfInfo.</v>
      </c>
      <c r="D679" s="5" t="str">
        <f>VLOOKUP(C679,PrefixUebersetzung,2,FALSE)</f>
        <v>Exif.MpfInfo.</v>
      </c>
      <c r="E679" s="5" t="str">
        <f>MID(F679,FIND(".",F679,6)+1,99)</f>
        <v>MPFPanOrientation</v>
      </c>
      <c r="F679" s="2" t="s">
        <v>8031</v>
      </c>
      <c r="G679" s="5" t="s">
        <v>9667</v>
      </c>
      <c r="H679" s="3" t="s">
        <v>8032</v>
      </c>
      <c r="I679" s="8" t="s">
        <v>8829</v>
      </c>
      <c r="J679" s="8" t="s">
        <v>8829</v>
      </c>
      <c r="K679" s="26"/>
      <c r="N679" s="6" t="str">
        <f>IF(AND(TRIM(I679)="",L679=""),"Suffix not translated ",
   IF(AND(TRIM(I679)&lt;&gt;"",TRIM(L679)&lt;&gt;"",TRIM(I679)&lt;&gt;TRIM(L679)),"Suffix translation &lt;&gt; lookup ", "" ))
&amp;IF(AND(TRIM(J679)="",M679=""),"Description not translated ",
   IF(AND(TRIM(J679)&lt;&gt;"",TRIM(M679)&lt;&gt;"",TRIM(J679)&lt;&gt;TRIM(M679)),"Description translation&lt;&gt; lookup ", "" ))</f>
        <v/>
      </c>
      <c r="O679" s="6" t="s">
        <v>8574</v>
      </c>
      <c r="P679" s="6" t="s">
        <v>8574</v>
      </c>
      <c r="Q679" s="6" t="s">
        <v>9407</v>
      </c>
    </row>
    <row r="680" spans="1:17" x14ac:dyDescent="0.25">
      <c r="A680" s="5" t="str">
        <f>IF(TRIM(I680)="","",E680)</f>
        <v>MPFPanOverlapH</v>
      </c>
      <c r="B680" s="5" t="str">
        <f>IF(TRIM(J680)="","",H680)</f>
        <v>MPF Pan Overlap Horizonal</v>
      </c>
      <c r="C680" s="5" t="str">
        <f>LEFT(F680,FIND(".",F680,6))</f>
        <v>Exif.MpfInfo.</v>
      </c>
      <c r="D680" s="5" t="str">
        <f>VLOOKUP(C680,PrefixUebersetzung,2,FALSE)</f>
        <v>Exif.MpfInfo.</v>
      </c>
      <c r="E680" s="5" t="str">
        <f>MID(F680,FIND(".",F680,6)+1,99)</f>
        <v>MPFPanOverlapH</v>
      </c>
      <c r="F680" s="2" t="s">
        <v>8033</v>
      </c>
      <c r="G680" s="5" t="s">
        <v>9667</v>
      </c>
      <c r="H680" s="3" t="s">
        <v>8034</v>
      </c>
      <c r="I680" s="8" t="s">
        <v>8828</v>
      </c>
      <c r="J680" s="8" t="s">
        <v>8828</v>
      </c>
      <c r="K680" s="26"/>
      <c r="N680" s="6" t="str">
        <f>IF(AND(TRIM(I680)="",L680=""),"Suffix not translated ",
   IF(AND(TRIM(I680)&lt;&gt;"",TRIM(L680)&lt;&gt;"",TRIM(I680)&lt;&gt;TRIM(L680)),"Suffix translation &lt;&gt; lookup ", "" ))
&amp;IF(AND(TRIM(J680)="",M680=""),"Description not translated ",
   IF(AND(TRIM(J680)&lt;&gt;"",TRIM(M680)&lt;&gt;"",TRIM(J680)&lt;&gt;TRIM(M680)),"Description translation&lt;&gt; lookup ", "" ))</f>
        <v/>
      </c>
      <c r="O680" s="6" t="s">
        <v>8574</v>
      </c>
      <c r="P680" s="6" t="s">
        <v>8574</v>
      </c>
    </row>
    <row r="681" spans="1:17" x14ac:dyDescent="0.25">
      <c r="A681" s="5" t="str">
        <f>IF(TRIM(I681)="","",E681)</f>
        <v>MPFPanOverlapV</v>
      </c>
      <c r="B681" s="5" t="str">
        <f>IF(TRIM(J681)="","",H681)</f>
        <v>MPF Pan Overlap Vertical</v>
      </c>
      <c r="C681" s="5" t="str">
        <f>LEFT(F681,FIND(".",F681,6))</f>
        <v>Exif.MpfInfo.</v>
      </c>
      <c r="D681" s="5" t="str">
        <f>VLOOKUP(C681,PrefixUebersetzung,2,FALSE)</f>
        <v>Exif.MpfInfo.</v>
      </c>
      <c r="E681" s="5" t="str">
        <f>MID(F681,FIND(".",F681,6)+1,99)</f>
        <v>MPFPanOverlapV</v>
      </c>
      <c r="F681" s="2" t="s">
        <v>8035</v>
      </c>
      <c r="G681" s="5" t="s">
        <v>9667</v>
      </c>
      <c r="H681" s="3" t="s">
        <v>8036</v>
      </c>
      <c r="I681" s="8" t="s">
        <v>8830</v>
      </c>
      <c r="J681" s="8" t="s">
        <v>8830</v>
      </c>
      <c r="K681" s="26"/>
      <c r="N681" s="6" t="str">
        <f>IF(AND(TRIM(I681)="",L681=""),"Suffix not translated ",
   IF(AND(TRIM(I681)&lt;&gt;"",TRIM(L681)&lt;&gt;"",TRIM(I681)&lt;&gt;TRIM(L681)),"Suffix translation &lt;&gt; lookup ", "" ))
&amp;IF(AND(TRIM(J681)="",M681=""),"Description not translated ",
   IF(AND(TRIM(J681)&lt;&gt;"",TRIM(M681)&lt;&gt;"",TRIM(J681)&lt;&gt;TRIM(M681)),"Description translation&lt;&gt; lookup ", "" ))</f>
        <v/>
      </c>
      <c r="O681" s="6" t="s">
        <v>8574</v>
      </c>
      <c r="P681" s="6" t="s">
        <v>8574</v>
      </c>
    </row>
    <row r="682" spans="1:17" x14ac:dyDescent="0.25">
      <c r="A682" s="5" t="str">
        <f>IF(TRIM(I682)="","",E682)</f>
        <v>MPFPitchAngle</v>
      </c>
      <c r="B682" s="5" t="str">
        <f>IF(TRIM(J682)="","",H682)</f>
        <v>MPF Pitch Angle</v>
      </c>
      <c r="C682" s="5" t="str">
        <f>LEFT(F682,FIND(".",F682,6))</f>
        <v>Exif.MpfInfo.</v>
      </c>
      <c r="D682" s="5" t="str">
        <f>VLOOKUP(C682,PrefixUebersetzung,2,FALSE)</f>
        <v>Exif.MpfInfo.</v>
      </c>
      <c r="E682" s="5" t="str">
        <f>MID(F682,FIND(".",F682,6)+1,99)</f>
        <v>MPFPitchAngle</v>
      </c>
      <c r="F682" s="2" t="s">
        <v>8037</v>
      </c>
      <c r="G682" s="5" t="s">
        <v>9667</v>
      </c>
      <c r="H682" s="3" t="s">
        <v>8038</v>
      </c>
      <c r="I682" s="8" t="s">
        <v>8831</v>
      </c>
      <c r="J682" s="8" t="s">
        <v>8831</v>
      </c>
      <c r="K682" s="26"/>
      <c r="N682" s="6" t="str">
        <f>IF(AND(TRIM(I682)="",L682=""),"Suffix not translated ",
   IF(AND(TRIM(I682)&lt;&gt;"",TRIM(L682)&lt;&gt;"",TRIM(I682)&lt;&gt;TRIM(L682)),"Suffix translation &lt;&gt; lookup ", "" ))
&amp;IF(AND(TRIM(J682)="",M682=""),"Description not translated ",
   IF(AND(TRIM(J682)&lt;&gt;"",TRIM(M682)&lt;&gt;"",TRIM(J682)&lt;&gt;TRIM(M682)),"Description translation&lt;&gt; lookup ", "" ))</f>
        <v/>
      </c>
      <c r="O682" s="6" t="s">
        <v>8574</v>
      </c>
      <c r="P682" s="6" t="s">
        <v>8574</v>
      </c>
    </row>
    <row r="683" spans="1:17" x14ac:dyDescent="0.25">
      <c r="A683" s="5" t="str">
        <f>IF(TRIM(I683)="","",E683)</f>
        <v>MPFRollAngle</v>
      </c>
      <c r="B683" s="5" t="str">
        <f>IF(TRIM(J683)="","",H683)</f>
        <v>MPF Roll Angle</v>
      </c>
      <c r="C683" s="5" t="str">
        <f>LEFT(F683,FIND(".",F683,6))</f>
        <v>Exif.MpfInfo.</v>
      </c>
      <c r="D683" s="5" t="str">
        <f>VLOOKUP(C683,PrefixUebersetzung,2,FALSE)</f>
        <v>Exif.MpfInfo.</v>
      </c>
      <c r="E683" s="5" t="str">
        <f>MID(F683,FIND(".",F683,6)+1,99)</f>
        <v>MPFRollAngle</v>
      </c>
      <c r="F683" s="2" t="s">
        <v>8039</v>
      </c>
      <c r="G683" s="5" t="s">
        <v>9667</v>
      </c>
      <c r="H683" s="3" t="s">
        <v>8040</v>
      </c>
      <c r="I683" s="8" t="s">
        <v>8832</v>
      </c>
      <c r="J683" s="8" t="s">
        <v>8832</v>
      </c>
      <c r="K683" s="26"/>
      <c r="N683" s="6" t="str">
        <f>IF(AND(TRIM(I683)="",L683=""),"Suffix not translated ",
   IF(AND(TRIM(I683)&lt;&gt;"",TRIM(L683)&lt;&gt;"",TRIM(I683)&lt;&gt;TRIM(L683)),"Suffix translation &lt;&gt; lookup ", "" ))
&amp;IF(AND(TRIM(J683)="",M683=""),"Description not translated ",
   IF(AND(TRIM(J683)&lt;&gt;"",TRIM(M683)&lt;&gt;"",TRIM(J683)&lt;&gt;TRIM(M683)),"Description translation&lt;&gt; lookup ", "" ))</f>
        <v/>
      </c>
      <c r="O683" s="6" t="s">
        <v>8574</v>
      </c>
      <c r="P683" s="6" t="s">
        <v>8574</v>
      </c>
      <c r="Q683" s="6" t="s">
        <v>9226</v>
      </c>
    </row>
    <row r="684" spans="1:17" x14ac:dyDescent="0.25">
      <c r="A684" s="5" t="str">
        <f>IF(TRIM(I684)="","",E684)</f>
        <v>MPFTotalFrames</v>
      </c>
      <c r="B684" s="5" t="str">
        <f>IF(TRIM(J684)="","",H684)</f>
        <v>MPF Total Frames</v>
      </c>
      <c r="C684" s="5" t="str">
        <f>LEFT(F684,FIND(".",F684,6))</f>
        <v>Exif.MpfInfo.</v>
      </c>
      <c r="D684" s="5" t="str">
        <f>VLOOKUP(C684,PrefixUebersetzung,2,FALSE)</f>
        <v>Exif.MpfInfo.</v>
      </c>
      <c r="E684" s="5" t="str">
        <f>MID(F684,FIND(".",F684,6)+1,99)</f>
        <v>MPFTotalFrames</v>
      </c>
      <c r="F684" s="2" t="s">
        <v>8041</v>
      </c>
      <c r="G684" s="5" t="s">
        <v>9667</v>
      </c>
      <c r="H684" s="3" t="s">
        <v>8042</v>
      </c>
      <c r="I684" s="8" t="s">
        <v>8833</v>
      </c>
      <c r="J684" s="8" t="s">
        <v>8833</v>
      </c>
      <c r="K684" s="26"/>
      <c r="N684" s="6" t="str">
        <f>IF(AND(TRIM(I684)="",L684=""),"Suffix not translated ",
   IF(AND(TRIM(I684)&lt;&gt;"",TRIM(L684)&lt;&gt;"",TRIM(I684)&lt;&gt;TRIM(L684)),"Suffix translation &lt;&gt; lookup ", "" ))
&amp;IF(AND(TRIM(J684)="",M684=""),"Description not translated ",
   IF(AND(TRIM(J684)&lt;&gt;"",TRIM(M684)&lt;&gt;"",TRIM(J684)&lt;&gt;TRIM(M684)),"Description translation&lt;&gt; lookup ", "" ))</f>
        <v/>
      </c>
      <c r="O684" s="6" t="s">
        <v>8574</v>
      </c>
      <c r="P684" s="6" t="s">
        <v>8574</v>
      </c>
      <c r="Q684" s="6" t="s">
        <v>9406</v>
      </c>
    </row>
    <row r="685" spans="1:17" x14ac:dyDescent="0.25">
      <c r="A685" s="5" t="str">
        <f>IF(TRIM(I685)="","",E685)</f>
        <v>MPFVersion</v>
      </c>
      <c r="B685" s="5" t="str">
        <f>IF(TRIM(J685)="","",H685)</f>
        <v>MPF Version</v>
      </c>
      <c r="C685" s="5" t="str">
        <f>LEFT(F685,FIND(".",F685,6))</f>
        <v>Exif.MpfInfo.</v>
      </c>
      <c r="D685" s="5" t="str">
        <f>VLOOKUP(C685,PrefixUebersetzung,2,FALSE)</f>
        <v>Exif.MpfInfo.</v>
      </c>
      <c r="E685" s="5" t="str">
        <f>MID(F685,FIND(".",F685,6)+1,99)</f>
        <v>MPFVersion</v>
      </c>
      <c r="F685" s="2" t="s">
        <v>8043</v>
      </c>
      <c r="G685" s="5" t="s">
        <v>9666</v>
      </c>
      <c r="H685" s="3" t="s">
        <v>8044</v>
      </c>
      <c r="I685" s="3" t="s">
        <v>8044</v>
      </c>
      <c r="J685" s="33" t="s">
        <v>8044</v>
      </c>
      <c r="K685" s="26"/>
      <c r="N685" s="6" t="str">
        <f>IF(AND(TRIM(I685)="",L685=""),"Suffix not translated ",
   IF(AND(TRIM(I685)&lt;&gt;"",TRIM(L685)&lt;&gt;"",TRIM(I685)&lt;&gt;TRIM(L685)),"Suffix translation &lt;&gt; lookup ", "" ))
&amp;IF(AND(TRIM(J685)="",M685=""),"Description not translated ",
   IF(AND(TRIM(J685)&lt;&gt;"",TRIM(M685)&lt;&gt;"",TRIM(J685)&lt;&gt;TRIM(M685)),"Description translation&lt;&gt; lookup ", "" ))</f>
        <v/>
      </c>
      <c r="O685" s="6" t="s">
        <v>8574</v>
      </c>
      <c r="P685" s="6" t="s">
        <v>8574</v>
      </c>
      <c r="Q685" s="6" t="s">
        <v>4571</v>
      </c>
    </row>
    <row r="686" spans="1:17" x14ac:dyDescent="0.25">
      <c r="A686" s="5" t="str">
        <f>IF(TRIM(I686)="","",E686)</f>
        <v>MPFVerticalDivergence</v>
      </c>
      <c r="B686" s="5" t="str">
        <f>IF(TRIM(J686)="","",H686)</f>
        <v>MPF Vertical Divergence</v>
      </c>
      <c r="C686" s="5" t="str">
        <f>LEFT(F686,FIND(".",F686,6))</f>
        <v>Exif.MpfInfo.</v>
      </c>
      <c r="D686" s="5" t="str">
        <f>VLOOKUP(C686,PrefixUebersetzung,2,FALSE)</f>
        <v>Exif.MpfInfo.</v>
      </c>
      <c r="E686" s="5" t="str">
        <f>MID(F686,FIND(".",F686,6)+1,99)</f>
        <v>MPFVerticalDivergence</v>
      </c>
      <c r="F686" s="2" t="s">
        <v>8045</v>
      </c>
      <c r="G686" s="5" t="s">
        <v>9667</v>
      </c>
      <c r="H686" s="3" t="s">
        <v>8046</v>
      </c>
      <c r="I686" s="8" t="s">
        <v>8834</v>
      </c>
      <c r="J686" s="8" t="s">
        <v>8834</v>
      </c>
      <c r="K686" s="26"/>
      <c r="N686" s="6" t="str">
        <f>IF(AND(TRIM(I686)="",L686=""),"Suffix not translated ",
   IF(AND(TRIM(I686)&lt;&gt;"",TRIM(L686)&lt;&gt;"",TRIM(I686)&lt;&gt;TRIM(L686)),"Suffix translation &lt;&gt; lookup ", "" ))
&amp;IF(AND(TRIM(J686)="",M686=""),"Description not translated ",
   IF(AND(TRIM(J686)&lt;&gt;"",TRIM(M686)&lt;&gt;"",TRIM(J686)&lt;&gt;TRIM(M686)),"Description translation&lt;&gt; lookup ", "" ))</f>
        <v/>
      </c>
      <c r="O686" s="6" t="s">
        <v>8574</v>
      </c>
      <c r="P686" s="6" t="s">
        <v>8574</v>
      </c>
    </row>
    <row r="687" spans="1:17" x14ac:dyDescent="0.25">
      <c r="A687" s="5" t="str">
        <f>IF(TRIM(I687)="","",E687)</f>
        <v>MPFYawAngle</v>
      </c>
      <c r="B687" s="5" t="str">
        <f>IF(TRIM(J687)="","",H687)</f>
        <v>MPF Yaw Angle</v>
      </c>
      <c r="C687" s="5" t="str">
        <f>LEFT(F687,FIND(".",F687,6))</f>
        <v>Exif.MpfInfo.</v>
      </c>
      <c r="D687" s="5" t="str">
        <f>VLOOKUP(C687,PrefixUebersetzung,2,FALSE)</f>
        <v>Exif.MpfInfo.</v>
      </c>
      <c r="E687" s="5" t="str">
        <f>MID(F687,FIND(".",F687,6)+1,99)</f>
        <v>MPFYawAngle</v>
      </c>
      <c r="F687" s="2" t="s">
        <v>8047</v>
      </c>
      <c r="G687" s="5" t="s">
        <v>9667</v>
      </c>
      <c r="H687" s="3" t="s">
        <v>8048</v>
      </c>
      <c r="I687" s="8" t="s">
        <v>8835</v>
      </c>
      <c r="J687" s="8" t="s">
        <v>8835</v>
      </c>
      <c r="K687" s="26"/>
      <c r="N687" s="6" t="str">
        <f>IF(AND(TRIM(I687)="",L687=""),"Suffix not translated ",
   IF(AND(TRIM(I687)&lt;&gt;"",TRIM(L687)&lt;&gt;"",TRIM(I687)&lt;&gt;TRIM(L687)),"Suffix translation &lt;&gt; lookup ", "" ))
&amp;IF(AND(TRIM(J687)="",M687=""),"Description not translated ",
   IF(AND(TRIM(J687)&lt;&gt;"",TRIM(M687)&lt;&gt;"",TRIM(J687)&lt;&gt;TRIM(M687)),"Description translation&lt;&gt; lookup ", "" ))</f>
        <v/>
      </c>
      <c r="O687" s="6" t="s">
        <v>8574</v>
      </c>
      <c r="P687" s="6" t="s">
        <v>8574</v>
      </c>
    </row>
    <row r="688" spans="1:17" x14ac:dyDescent="0.25">
      <c r="A688" s="5" t="str">
        <f>IF(TRIM(I688)="","",E688)</f>
        <v/>
      </c>
      <c r="B688" s="5" t="str">
        <f>IF(TRIM(J688)="","",H688)</f>
        <v/>
      </c>
      <c r="C688" s="5" t="str">
        <f>LEFT(F688,FIND(".",F688,6))</f>
        <v>Exif.Nikon1.</v>
      </c>
      <c r="D688" s="5" t="str">
        <f>VLOOKUP(C688,PrefixUebersetzung,2,FALSE)</f>
        <v>Exif.Nikon1.</v>
      </c>
      <c r="E688" s="5" t="str">
        <f>MID(F688,FIND(".",F688,6)+1,99)</f>
        <v>0x000a</v>
      </c>
      <c r="F688" s="5" t="s">
        <v>555</v>
      </c>
      <c r="G688" s="5" t="s">
        <v>9671</v>
      </c>
      <c r="H688" s="6" t="s">
        <v>2138</v>
      </c>
      <c r="I688" s="7"/>
      <c r="K688" s="26"/>
      <c r="L688" s="6" t="str">
        <f>IFERROR(VLOOKUP(E688,A:I,9, FALSE),"")</f>
        <v/>
      </c>
      <c r="M688" s="6" t="str">
        <f>IFERROR(VLOOKUP(H688,B:J,9,FALSE),"")</f>
        <v>Unbekannt</v>
      </c>
      <c r="N688" s="6"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v>
      </c>
    </row>
    <row r="689" spans="1:17" x14ac:dyDescent="0.25">
      <c r="A689" s="5" t="str">
        <f>IF(TRIM(I689)="","",E689)</f>
        <v>AFFocusPos</v>
      </c>
      <c r="B689" s="5" t="str">
        <f>IF(TRIM(J689)="","",H689)</f>
        <v>AF focus position information</v>
      </c>
      <c r="C689" s="5" t="str">
        <f>LEFT(F689,FIND(".",F689,6))</f>
        <v>Exif.Nikon1.</v>
      </c>
      <c r="D689" s="5" t="str">
        <f>VLOOKUP(C689,PrefixUebersetzung,2,FALSE)</f>
        <v>Exif.Nikon1.</v>
      </c>
      <c r="E689" s="5" t="str">
        <f>MID(F689,FIND(".",F689,6)+1,99)</f>
        <v>AFFocusPos</v>
      </c>
      <c r="F689" s="5" t="s">
        <v>556</v>
      </c>
      <c r="G689" s="5" t="s">
        <v>9669</v>
      </c>
      <c r="H689" s="6" t="s">
        <v>2602</v>
      </c>
      <c r="I689" s="7" t="s">
        <v>4327</v>
      </c>
      <c r="J689" s="14" t="s">
        <v>3939</v>
      </c>
      <c r="K689" s="26"/>
      <c r="N689" s="6" t="str">
        <f>IF(AND(TRIM(I689)="",L689=""),"Suffix not translated ",
   IF(AND(TRIM(I689)&lt;&gt;"",TRIM(L689)&lt;&gt;"",TRIM(I689)&lt;&gt;TRIM(L689)),"Suffix translation &lt;&gt; lookup ", "" ))
&amp;IF(AND(TRIM(J689)="",M689=""),"Description not translated ",
   IF(AND(TRIM(J689)&lt;&gt;"",TRIM(M689)&lt;&gt;"",TRIM(J689)&lt;&gt;TRIM(M689)),"Description translation&lt;&gt; lookup ", "" ))</f>
        <v/>
      </c>
      <c r="O689" s="6" t="s">
        <v>8574</v>
      </c>
      <c r="P689" s="6" t="s">
        <v>8574</v>
      </c>
      <c r="Q689" s="6" t="s">
        <v>9120</v>
      </c>
    </row>
    <row r="690" spans="1:17" x14ac:dyDescent="0.25">
      <c r="A690" s="5" t="str">
        <f>IF(TRIM(I690)="","",E690)</f>
        <v>AuxiliaryLens</v>
      </c>
      <c r="B690" s="5" t="str">
        <f>IF(TRIM(J690)="","",H690)</f>
        <v>Auxiliary lens (adapter)</v>
      </c>
      <c r="C690" s="5" t="str">
        <f>LEFT(F690,FIND(".",F690,6))</f>
        <v>Exif.Nikon1.</v>
      </c>
      <c r="D690" s="5" t="str">
        <f>VLOOKUP(C690,PrefixUebersetzung,2,FALSE)</f>
        <v>Exif.Nikon1.</v>
      </c>
      <c r="E690" s="5" t="str">
        <f>MID(F690,FIND(".",F690,6)+1,99)</f>
        <v>AuxiliaryLens</v>
      </c>
      <c r="F690" s="5" t="s">
        <v>557</v>
      </c>
      <c r="G690" s="5" t="s">
        <v>9666</v>
      </c>
      <c r="H690" s="6" t="s">
        <v>2603</v>
      </c>
      <c r="I690" s="31" t="s">
        <v>4054</v>
      </c>
      <c r="J690" s="14" t="s">
        <v>3940</v>
      </c>
      <c r="K690" s="26"/>
      <c r="L690" s="6" t="str">
        <f>IFERROR(VLOOKUP(E690,A:I,9, FALSE),"")</f>
        <v>Vorsatzlinse</v>
      </c>
      <c r="M690" s="6" t="str">
        <f>IFERROR(VLOOKUP(H690,B:J,9,FALSE),"")</f>
        <v>Vorsatzlinse (Adapter)</v>
      </c>
      <c r="N690" s="6" t="str">
        <f>IF(AND(TRIM(I690)="",L690=""),"Suffix not translated ",
   IF(AND(TRIM(I690)&lt;&gt;"",TRIM(L690)&lt;&gt;"",TRIM(I690)&lt;&gt;TRIM(L690)),"Suffix translation &lt;&gt; lookup ", "" ))
&amp;IF(AND(TRIM(J690)="",M690=""),"Description not translated ",
   IF(AND(TRIM(J690)&lt;&gt;"",TRIM(M690)&lt;&gt;"",TRIM(J690)&lt;&gt;TRIM(M690)),"Description translation&lt;&gt; lookup ", "" ))</f>
        <v/>
      </c>
      <c r="O690" s="6" t="s">
        <v>8574</v>
      </c>
      <c r="P690" s="6" t="s">
        <v>8574</v>
      </c>
      <c r="Q690" s="6" t="s">
        <v>9152</v>
      </c>
    </row>
    <row r="691" spans="1:17" x14ac:dyDescent="0.25">
      <c r="A691" s="5" t="str">
        <f>IF(TRIM(I691)="","",E691)</f>
        <v/>
      </c>
      <c r="B691" s="5" t="str">
        <f>IF(TRIM(J691)="","",H691)</f>
        <v/>
      </c>
      <c r="C691" s="5" t="str">
        <f>LEFT(F691,FIND(".",F691,6))</f>
        <v>Exif.Nikon1.</v>
      </c>
      <c r="D691" s="5" t="str">
        <f>VLOOKUP(C691,PrefixUebersetzung,2,FALSE)</f>
        <v>Exif.Nikon1.</v>
      </c>
      <c r="E691" s="5" t="str">
        <f>MID(F691,FIND(".",F691,6)+1,99)</f>
        <v>ColorMode</v>
      </c>
      <c r="F691" s="5" t="s">
        <v>558</v>
      </c>
      <c r="G691" s="5" t="s">
        <v>9666</v>
      </c>
      <c r="H691" s="6" t="s">
        <v>2528</v>
      </c>
      <c r="K691" s="26"/>
      <c r="L691" s="6" t="str">
        <f>IFERROR(VLOOKUP(E691,A:I,9, FALSE),"")</f>
        <v>Farbmodus</v>
      </c>
      <c r="M691" s="6" t="str">
        <f>IFERROR(VLOOKUP(H691,B:J,9,FALSE),"")</f>
        <v>Farbmodus</v>
      </c>
      <c r="N691" s="6" t="str">
        <f>IF(AND(TRIM(I691)="",L691=""),"Suffix not translated ",
   IF(AND(TRIM(I691)&lt;&gt;"",TRIM(L691)&lt;&gt;"",TRIM(I691)&lt;&gt;TRIM(L691)),"Suffix translation &lt;&gt; lookup ", "" ))
&amp;IF(AND(TRIM(J691)="",M691=""),"Description not translated ",
   IF(AND(TRIM(J691)&lt;&gt;"",TRIM(M691)&lt;&gt;"",TRIM(J691)&lt;&gt;TRIM(M691)),"Description translation&lt;&gt; lookup ", "" ))</f>
        <v/>
      </c>
    </row>
    <row r="692" spans="1:17" x14ac:dyDescent="0.25">
      <c r="A692" s="5" t="str">
        <f>IF(TRIM(I692)="","",E692)</f>
        <v>DataDump</v>
      </c>
      <c r="B692" s="5" t="str">
        <f>IF(TRIM(J692)="","",H692)</f>
        <v>Data dump</v>
      </c>
      <c r="C692" s="5" t="str">
        <f>LEFT(F692,FIND(".",F692,6))</f>
        <v>Exif.Nikon1.</v>
      </c>
      <c r="D692" s="5" t="str">
        <f>VLOOKUP(C692,PrefixUebersetzung,2,FALSE)</f>
        <v>Exif.Nikon1.</v>
      </c>
      <c r="E692" s="5" t="str">
        <f>MID(F692,FIND(".",F692,6)+1,99)</f>
        <v>DataDump</v>
      </c>
      <c r="F692" s="5" t="s">
        <v>559</v>
      </c>
      <c r="G692" s="5" t="s">
        <v>9669</v>
      </c>
      <c r="H692" s="6" t="s">
        <v>2604</v>
      </c>
      <c r="I692" s="31" t="s">
        <v>3941</v>
      </c>
      <c r="J692" s="14" t="s">
        <v>3941</v>
      </c>
      <c r="K692" s="26"/>
      <c r="L692" s="6" t="str">
        <f>IFERROR(VLOOKUP(E692,A:I,9, FALSE),"")</f>
        <v>Daten-Dump</v>
      </c>
      <c r="M692" s="6" t="str">
        <f>IFERROR(VLOOKUP(H692,B:J,9,FALSE),"")</f>
        <v>Daten-Dump</v>
      </c>
      <c r="N692" s="6" t="str">
        <f>IF(AND(TRIM(I692)="",L692=""),"Suffix not translated ",
   IF(AND(TRIM(I692)&lt;&gt;"",TRIM(L692)&lt;&gt;"",TRIM(I692)&lt;&gt;TRIM(L692)),"Suffix translation &lt;&gt; lookup ", "" ))
&amp;IF(AND(TRIM(J692)="",M692=""),"Description not translated ",
   IF(AND(TRIM(J692)&lt;&gt;"",TRIM(M692)&lt;&gt;"",TRIM(J692)&lt;&gt;TRIM(M692)),"Description translation&lt;&gt; lookup ", "" ))</f>
        <v/>
      </c>
      <c r="O692" s="6" t="s">
        <v>8574</v>
      </c>
      <c r="P692" s="6" t="s">
        <v>8574</v>
      </c>
      <c r="Q692" s="6" t="s">
        <v>9236</v>
      </c>
    </row>
    <row r="693" spans="1:17" x14ac:dyDescent="0.25">
      <c r="A693" s="5" t="str">
        <f>IF(TRIM(I693)="","",E693)</f>
        <v/>
      </c>
      <c r="B693" s="5" t="str">
        <f>IF(TRIM(J693)="","",H693)</f>
        <v>Digital zoom setting</v>
      </c>
      <c r="C693" s="5" t="str">
        <f>LEFT(F693,FIND(".",F693,6))</f>
        <v>Exif.Nikon1.</v>
      </c>
      <c r="D693" s="5" t="str">
        <f>VLOOKUP(C693,PrefixUebersetzung,2,FALSE)</f>
        <v>Exif.Nikon1.</v>
      </c>
      <c r="E693" s="5" t="str">
        <f>MID(F693,FIND(".",F693,6)+1,99)</f>
        <v>DigitalZoom</v>
      </c>
      <c r="F693" s="5" t="s">
        <v>560</v>
      </c>
      <c r="G693" s="5" t="s">
        <v>9671</v>
      </c>
      <c r="H693" s="6" t="s">
        <v>2605</v>
      </c>
      <c r="I693" s="7"/>
      <c r="J693" s="14" t="s">
        <v>3942</v>
      </c>
      <c r="K693" s="26"/>
      <c r="L693" s="6" t="str">
        <f>IFERROR(VLOOKUP(E693,A:I,9, FALSE),"")</f>
        <v>Digitaler Zoom</v>
      </c>
      <c r="M693" s="6" t="str">
        <f>IFERROR(VLOOKUP(H693,B:J,9,FALSE),"")</f>
        <v>Digitale Zoom-Einstellung</v>
      </c>
      <c r="N693" s="6" t="str">
        <f>IF(AND(TRIM(I693)="",L693=""),"Suffix not translated ",
   IF(AND(TRIM(I693)&lt;&gt;"",TRIM(L693)&lt;&gt;"",TRIM(I693)&lt;&gt;TRIM(L693)),"Suffix translation &lt;&gt; lookup ", "" ))
&amp;IF(AND(TRIM(J693)="",M693=""),"Description not translated ",
   IF(AND(TRIM(J693)&lt;&gt;"",TRIM(M693)&lt;&gt;"",TRIM(J693)&lt;&gt;TRIM(M693)),"Description translation&lt;&gt; lookup ", "" ))</f>
        <v/>
      </c>
      <c r="P693" s="6" t="s">
        <v>8574</v>
      </c>
      <c r="Q693" s="6" t="s">
        <v>9250</v>
      </c>
    </row>
    <row r="694" spans="1:17" x14ac:dyDescent="0.25">
      <c r="A694" s="5" t="str">
        <f>IF(TRIM(I694)="","",E694)</f>
        <v>FlashSetting</v>
      </c>
      <c r="B694" s="5" t="str">
        <f>IF(TRIM(J694)="","",H694)</f>
        <v>Flash setting</v>
      </c>
      <c r="C694" s="5" t="str">
        <f>LEFT(F694,FIND(".",F694,6))</f>
        <v>Exif.Nikon1.</v>
      </c>
      <c r="D694" s="5" t="str">
        <f>VLOOKUP(C694,PrefixUebersetzung,2,FALSE)</f>
        <v>Exif.Nikon1.</v>
      </c>
      <c r="E694" s="5" t="str">
        <f>MID(F694,FIND(".",F694,6)+1,99)</f>
        <v>FlashSetting</v>
      </c>
      <c r="F694" s="5" t="s">
        <v>561</v>
      </c>
      <c r="G694" s="5" t="s">
        <v>9666</v>
      </c>
      <c r="H694" s="6" t="s">
        <v>2606</v>
      </c>
      <c r="I694" s="31" t="s">
        <v>3943</v>
      </c>
      <c r="J694" s="14" t="s">
        <v>3943</v>
      </c>
      <c r="K694" s="26"/>
      <c r="L694" s="6" t="str">
        <f>IFERROR(VLOOKUP(E694,A:I,9, FALSE),"")</f>
        <v>Blitzeinstellung</v>
      </c>
      <c r="M694" s="6" t="str">
        <f>IFERROR(VLOOKUP(H694,B:J,9,FALSE),"")</f>
        <v>Blitzeinstellung</v>
      </c>
      <c r="N694" s="6" t="str">
        <f>IF(AND(TRIM(I694)="",L694=""),"Suffix not translated ",
   IF(AND(TRIM(I694)&lt;&gt;"",TRIM(L694)&lt;&gt;"",TRIM(I694)&lt;&gt;TRIM(L694)),"Suffix translation &lt;&gt; lookup ", "" ))
&amp;IF(AND(TRIM(J694)="",M694=""),"Description not translated ",
   IF(AND(TRIM(J694)&lt;&gt;"",TRIM(M694)&lt;&gt;"",TRIM(J694)&lt;&gt;TRIM(M694)),"Description translation&lt;&gt; lookup ", "" ))</f>
        <v/>
      </c>
      <c r="O694" s="6" t="s">
        <v>8574</v>
      </c>
      <c r="P694" s="6" t="s">
        <v>8574</v>
      </c>
      <c r="Q694" s="6" t="s">
        <v>3943</v>
      </c>
    </row>
    <row r="695" spans="1:17" x14ac:dyDescent="0.25">
      <c r="A695" s="5" t="str">
        <f>IF(TRIM(I695)="","",E695)</f>
        <v>Focus</v>
      </c>
      <c r="B695" s="5" t="str">
        <f>IF(TRIM(J695)="","",H695)</f>
        <v/>
      </c>
      <c r="C695" s="5" t="str">
        <f>LEFT(F695,FIND(".",F695,6))</f>
        <v>Exif.Nikon1.</v>
      </c>
      <c r="D695" s="5" t="str">
        <f>VLOOKUP(C695,PrefixUebersetzung,2,FALSE)</f>
        <v>Exif.Nikon1.</v>
      </c>
      <c r="E695" s="5" t="str">
        <f>MID(F695,FIND(".",F695,6)+1,99)</f>
        <v>Focus</v>
      </c>
      <c r="F695" s="5" t="s">
        <v>562</v>
      </c>
      <c r="G695" s="5" t="s">
        <v>9666</v>
      </c>
      <c r="H695" s="6" t="s">
        <v>2558</v>
      </c>
      <c r="I695" s="7" t="s">
        <v>4319</v>
      </c>
      <c r="K695" s="26"/>
      <c r="L695" s="6" t="str">
        <f>IFERROR(VLOOKUP(E695,A:I,9, FALSE),"")</f>
        <v>Fokusmodus</v>
      </c>
      <c r="M695" s="6" t="str">
        <f>IFERROR(VLOOKUP(H695,B:J,9,FALSE),"")</f>
        <v>Fokusmodus</v>
      </c>
      <c r="N695" s="6" t="str">
        <f>IF(AND(TRIM(I695)="",L695=""),"Suffix not translated ",
   IF(AND(TRIM(I695)&lt;&gt;"",TRIM(L695)&lt;&gt;"",TRIM(I695)&lt;&gt;TRIM(L695)),"Suffix translation &lt;&gt; lookup ", "" ))
&amp;IF(AND(TRIM(J695)="",M695=""),"Description not translated ",
   IF(AND(TRIM(J695)&lt;&gt;"",TRIM(M695)&lt;&gt;"",TRIM(J695)&lt;&gt;TRIM(M695)),"Description translation&lt;&gt; lookup ", "" ))</f>
        <v/>
      </c>
      <c r="O695" s="6" t="s">
        <v>8574</v>
      </c>
    </row>
    <row r="696" spans="1:17" x14ac:dyDescent="0.25">
      <c r="A696" s="5" t="str">
        <f>IF(TRIM(I696)="","",E696)</f>
        <v/>
      </c>
      <c r="B696" s="5" t="str">
        <f>IF(TRIM(J696)="","",H696)</f>
        <v>Manual focus distance</v>
      </c>
      <c r="C696" s="5" t="str">
        <f>LEFT(F696,FIND(".",F696,6))</f>
        <v>Exif.Nikon1.</v>
      </c>
      <c r="D696" s="5" t="str">
        <f>VLOOKUP(C696,PrefixUebersetzung,2,FALSE)</f>
        <v>Exif.Nikon1.</v>
      </c>
      <c r="E696" s="5" t="str">
        <f>MID(F696,FIND(".",F696,6)+1,99)</f>
        <v>FocusDistance</v>
      </c>
      <c r="F696" s="5" t="s">
        <v>563</v>
      </c>
      <c r="G696" s="5" t="s">
        <v>9671</v>
      </c>
      <c r="H696" s="6" t="s">
        <v>2607</v>
      </c>
      <c r="I696" s="7"/>
      <c r="J696" s="14" t="s">
        <v>3944</v>
      </c>
      <c r="K696" s="26"/>
      <c r="L696" s="6" t="str">
        <f>IFERROR(VLOOKUP(E696,A:I,9, FALSE),"")</f>
        <v>Aufnahmeabstand</v>
      </c>
      <c r="M696" s="6" t="str">
        <f>IFERROR(VLOOKUP(H696,B:J,9,FALSE),"")</f>
        <v>Manuelle Fokus-Entfernung</v>
      </c>
      <c r="N696" s="6" t="str">
        <f>IF(AND(TRIM(I696)="",L696=""),"Suffix not translated ",
   IF(AND(TRIM(I696)&lt;&gt;"",TRIM(L696)&lt;&gt;"",TRIM(I696)&lt;&gt;TRIM(L696)),"Suffix translation &lt;&gt; lookup ", "" ))
&amp;IF(AND(TRIM(J696)="",M696=""),"Description not translated ",
   IF(AND(TRIM(J696)&lt;&gt;"",TRIM(M696)&lt;&gt;"",TRIM(J696)&lt;&gt;TRIM(M696)),"Description translation&lt;&gt; lookup ", "" ))</f>
        <v/>
      </c>
      <c r="P696" s="6" t="s">
        <v>8574</v>
      </c>
      <c r="Q696" s="6" t="s">
        <v>9413</v>
      </c>
    </row>
    <row r="697" spans="1:17" x14ac:dyDescent="0.25">
      <c r="A697" s="5" t="str">
        <f>IF(TRIM(I697)="","",E697)</f>
        <v>ImageAdjustment</v>
      </c>
      <c r="B697" s="5" t="str">
        <f>IF(TRIM(J697)="","",H697)</f>
        <v>Image adjustment setting</v>
      </c>
      <c r="C697" s="5" t="str">
        <f>LEFT(F697,FIND(".",F697,6))</f>
        <v>Exif.Nikon1.</v>
      </c>
      <c r="D697" s="5" t="str">
        <f>VLOOKUP(C697,PrefixUebersetzung,2,FALSE)</f>
        <v>Exif.Nikon1.</v>
      </c>
      <c r="E697" s="5" t="str">
        <f>MID(F697,FIND(".",F697,6)+1,99)</f>
        <v>ImageAdjustment</v>
      </c>
      <c r="F697" s="5" t="s">
        <v>564</v>
      </c>
      <c r="G697" s="5" t="s">
        <v>9666</v>
      </c>
      <c r="H697" s="6" t="s">
        <v>2608</v>
      </c>
      <c r="I697" s="7" t="s">
        <v>4328</v>
      </c>
      <c r="J697" s="14" t="s">
        <v>5190</v>
      </c>
      <c r="K697" s="26"/>
      <c r="L697" s="6" t="str">
        <f>IFERROR(VLOOKUP(E697,A:I,9, FALSE),"")</f>
        <v>Bildanpassung</v>
      </c>
      <c r="M697" s="6" t="str">
        <f>IFERROR(VLOOKUP(H697,B:J,9,FALSE),"")</f>
        <v>Einstellung für Bildanpassung</v>
      </c>
      <c r="N697" s="6" t="str">
        <f>IF(AND(TRIM(I697)="",L697=""),"Suffix not translated ",
   IF(AND(TRIM(I697)&lt;&gt;"",TRIM(L697)&lt;&gt;"",TRIM(I697)&lt;&gt;TRIM(L697)),"Suffix translation &lt;&gt; lookup ", "" ))
&amp;IF(AND(TRIM(J697)="",M697=""),"Description not translated ",
   IF(AND(TRIM(J697)&lt;&gt;"",TRIM(M697)&lt;&gt;"",TRIM(J697)&lt;&gt;TRIM(M697)),"Description translation&lt;&gt; lookup ", "" ))</f>
        <v/>
      </c>
      <c r="O697" s="6" t="s">
        <v>8574</v>
      </c>
      <c r="P697" s="6" t="s">
        <v>8574</v>
      </c>
      <c r="Q697" s="6" t="s">
        <v>9345</v>
      </c>
    </row>
    <row r="698" spans="1:17" x14ac:dyDescent="0.25">
      <c r="A698" s="5" t="str">
        <f>IF(TRIM(I698)="","",E698)</f>
        <v>ISOSelection</v>
      </c>
      <c r="B698" s="5" t="str">
        <f>IF(TRIM(J698)="","",H698)</f>
        <v>ISO selection</v>
      </c>
      <c r="C698" s="5" t="str">
        <f>LEFT(F698,FIND(".",F698,6))</f>
        <v>Exif.Nikon1.</v>
      </c>
      <c r="D698" s="5" t="str">
        <f>VLOOKUP(C698,PrefixUebersetzung,2,FALSE)</f>
        <v>Exif.Nikon1.</v>
      </c>
      <c r="E698" s="5" t="str">
        <f>MID(F698,FIND(".",F698,6)+1,99)</f>
        <v>ISOSelection</v>
      </c>
      <c r="F698" s="5" t="s">
        <v>565</v>
      </c>
      <c r="G698" s="5" t="s">
        <v>9666</v>
      </c>
      <c r="H698" s="6" t="s">
        <v>2609</v>
      </c>
      <c r="I698" s="31" t="s">
        <v>3945</v>
      </c>
      <c r="J698" s="14" t="s">
        <v>3945</v>
      </c>
      <c r="K698" s="26"/>
      <c r="L698" s="6" t="str">
        <f>IFERROR(VLOOKUP(E698,A:I,9, FALSE),"")</f>
        <v>ISO Auswahl</v>
      </c>
      <c r="M698" s="6" t="str">
        <f>IFERROR(VLOOKUP(H698,B:J,9,FALSE),"")</f>
        <v>ISO Auswahl</v>
      </c>
      <c r="N698" s="6" t="str">
        <f>IF(AND(TRIM(I698)="",L698=""),"Suffix not translated ",
   IF(AND(TRIM(I698)&lt;&gt;"",TRIM(L698)&lt;&gt;"",TRIM(I698)&lt;&gt;TRIM(L698)),"Suffix translation &lt;&gt; lookup ", "" ))
&amp;IF(AND(TRIM(J698)="",M698=""),"Description not translated ",
   IF(AND(TRIM(J698)&lt;&gt;"",TRIM(M698)&lt;&gt;"",TRIM(J698)&lt;&gt;TRIM(M698)),"Description translation&lt;&gt; lookup ", "" ))</f>
        <v/>
      </c>
      <c r="O698" s="6" t="s">
        <v>8574</v>
      </c>
      <c r="P698" s="6" t="s">
        <v>8574</v>
      </c>
      <c r="Q698" s="6" t="s">
        <v>9159</v>
      </c>
    </row>
    <row r="699" spans="1:17" x14ac:dyDescent="0.25">
      <c r="A699" s="5" t="str">
        <f>IF(TRIM(I699)="","",E699)</f>
        <v/>
      </c>
      <c r="B699" s="5" t="str">
        <f>IF(TRIM(J699)="","",H699)</f>
        <v/>
      </c>
      <c r="C699" s="5" t="str">
        <f>LEFT(F699,FIND(".",F699,6))</f>
        <v>Exif.Nikon1.</v>
      </c>
      <c r="D699" s="5" t="str">
        <f>VLOOKUP(C699,PrefixUebersetzung,2,FALSE)</f>
        <v>Exif.Nikon1.</v>
      </c>
      <c r="E699" s="5" t="str">
        <f>MID(F699,FIND(".",F699,6)+1,99)</f>
        <v>ISOSpeed</v>
      </c>
      <c r="F699" s="5" t="s">
        <v>566</v>
      </c>
      <c r="G699" s="5" t="s">
        <v>9664</v>
      </c>
      <c r="H699" s="6" t="s">
        <v>2199</v>
      </c>
      <c r="K699" s="26"/>
      <c r="L699" s="6" t="str">
        <f>IFERROR(VLOOKUP(E699,A:I,9, FALSE),"")</f>
        <v>ISO-Empfindlichkeit</v>
      </c>
      <c r="M699" s="6" t="str">
        <f>IFERROR(VLOOKUP(H699,B:J,9,FALSE),"")</f>
        <v>ISO-Empfindlichkeit</v>
      </c>
      <c r="N699" s="6" t="str">
        <f>IF(AND(TRIM(I699)="",L699=""),"Suffix not translated ",
   IF(AND(TRIM(I699)&lt;&gt;"",TRIM(L699)&lt;&gt;"",TRIM(I699)&lt;&gt;TRIM(L699)),"Suffix translation &lt;&gt; lookup ", "" ))
&amp;IF(AND(TRIM(J699)="",M699=""),"Description not translated ",
   IF(AND(TRIM(J699)&lt;&gt;"",TRIM(M699)&lt;&gt;"",TRIM(J699)&lt;&gt;TRIM(M699)),"Description translation&lt;&gt; lookup ", "" ))</f>
        <v/>
      </c>
    </row>
    <row r="700" spans="1:17" x14ac:dyDescent="0.25">
      <c r="A700" s="5" t="str">
        <f>IF(TRIM(I700)="","",E700)</f>
        <v/>
      </c>
      <c r="B700" s="5" t="str">
        <f>IF(TRIM(J700)="","",H700)</f>
        <v/>
      </c>
      <c r="C700" s="5" t="str">
        <f>LEFT(F700,FIND(".",F700,6))</f>
        <v>Exif.Nikon1.</v>
      </c>
      <c r="D700" s="5" t="str">
        <f>VLOOKUP(C700,PrefixUebersetzung,2,FALSE)</f>
        <v>Exif.Nikon1.</v>
      </c>
      <c r="E700" s="5" t="str">
        <f>MID(F700,FIND(".",F700,6)+1,99)</f>
        <v>Quality</v>
      </c>
      <c r="F700" s="5" t="s">
        <v>567</v>
      </c>
      <c r="G700" s="5" t="s">
        <v>9666</v>
      </c>
      <c r="H700" s="6" t="s">
        <v>2284</v>
      </c>
      <c r="I700" s="7"/>
      <c r="K700" s="26"/>
      <c r="L700" s="6" t="str">
        <f>IFERROR(VLOOKUP(E700,A:I,9, FALSE),"")</f>
        <v>Qualität</v>
      </c>
      <c r="M700" s="6" t="str">
        <f>IFERROR(VLOOKUP(H700,B:J,9,FALSE),"")</f>
        <v>Einstellung der Bildqualität</v>
      </c>
      <c r="N700" s="6" t="str">
        <f>IF(AND(TRIM(I700)="",L700=""),"Suffix not translated ",
   IF(AND(TRIM(I700)&lt;&gt;"",TRIM(L700)&lt;&gt;"",TRIM(I700)&lt;&gt;TRIM(L700)),"Suffix translation &lt;&gt; lookup ", "" ))
&amp;IF(AND(TRIM(J700)="",M700=""),"Description not translated ",
   IF(AND(TRIM(J700)&lt;&gt;"",TRIM(M700)&lt;&gt;"",TRIM(J700)&lt;&gt;TRIM(M700)),"Description translation&lt;&gt; lookup ", "" ))</f>
        <v/>
      </c>
    </row>
    <row r="701" spans="1:17" x14ac:dyDescent="0.25">
      <c r="A701" s="5" t="str">
        <f>IF(TRIM(I701)="","",E701)</f>
        <v>Sharpening</v>
      </c>
      <c r="B701" s="5" t="str">
        <f>IF(TRIM(J701)="","",H701)</f>
        <v>Image sharpening setting</v>
      </c>
      <c r="C701" s="5" t="str">
        <f>LEFT(F701,FIND(".",F701,6))</f>
        <v>Exif.Nikon1.</v>
      </c>
      <c r="D701" s="5" t="str">
        <f>VLOOKUP(C701,PrefixUebersetzung,2,FALSE)</f>
        <v>Exif.Nikon1.</v>
      </c>
      <c r="E701" s="5" t="str">
        <f>MID(F701,FIND(".",F701,6)+1,99)</f>
        <v>Sharpening</v>
      </c>
      <c r="F701" s="5" t="s">
        <v>568</v>
      </c>
      <c r="G701" s="5" t="s">
        <v>9666</v>
      </c>
      <c r="H701" s="6" t="s">
        <v>2610</v>
      </c>
      <c r="I701" s="31" t="s">
        <v>4329</v>
      </c>
      <c r="J701" s="14" t="s">
        <v>5191</v>
      </c>
      <c r="K701" s="26"/>
      <c r="L701" s="6" t="str">
        <f>IFERROR(VLOOKUP(E701,A:I,9, FALSE),"")</f>
        <v>Scharfzeichnung</v>
      </c>
      <c r="M701" s="6" t="str">
        <f>IFERROR(VLOOKUP(H701,B:J,9,FALSE),"")</f>
        <v>Einstellung für Scharfzeichnung</v>
      </c>
      <c r="N701" s="6" t="str">
        <f>IF(AND(TRIM(I701)="",L701=""),"Suffix not translated ",
   IF(AND(TRIM(I701)&lt;&gt;"",TRIM(L701)&lt;&gt;"",TRIM(I701)&lt;&gt;TRIM(L701)),"Suffix translation &lt;&gt; lookup ", "" ))
&amp;IF(AND(TRIM(J701)="",M701=""),"Description not translated ",
   IF(AND(TRIM(J701)&lt;&gt;"",TRIM(M701)&lt;&gt;"",TRIM(J701)&lt;&gt;TRIM(M701)),"Description translation&lt;&gt; lookup ", "" ))</f>
        <v/>
      </c>
      <c r="O701" s="6" t="s">
        <v>8574</v>
      </c>
      <c r="P701" s="6" t="s">
        <v>8574</v>
      </c>
      <c r="Q701" s="6" t="s">
        <v>9365</v>
      </c>
    </row>
    <row r="702" spans="1:17" ht="30" x14ac:dyDescent="0.25">
      <c r="A702" s="5" t="str">
        <f>IF(TRIM(I702)="","",E702)</f>
        <v/>
      </c>
      <c r="B702" s="5" t="str">
        <f>IF(TRIM(J702)="","",H702)</f>
        <v>Nikon Makernote version</v>
      </c>
      <c r="C702" s="5" t="str">
        <f>LEFT(F702,FIND(".",F702,6))</f>
        <v>Exif.Nikon1.</v>
      </c>
      <c r="D702" s="5" t="str">
        <f>VLOOKUP(C702,PrefixUebersetzung,2,FALSE)</f>
        <v>Exif.Nikon1.</v>
      </c>
      <c r="E702" s="5" t="str">
        <f>MID(F702,FIND(".",F702,6)+1,99)</f>
        <v>Version</v>
      </c>
      <c r="F702" s="5" t="s">
        <v>569</v>
      </c>
      <c r="G702" s="5" t="s">
        <v>9669</v>
      </c>
      <c r="H702" s="6" t="s">
        <v>2611</v>
      </c>
      <c r="I702" s="7"/>
      <c r="J702" s="14" t="s">
        <v>5221</v>
      </c>
      <c r="K702" s="26"/>
      <c r="L702" s="6" t="str">
        <f>IFERROR(VLOOKUP(E702,A:I,9, FALSE),"")</f>
        <v>Version</v>
      </c>
      <c r="M702" s="6" t="str">
        <f>IFERROR(VLOOKUP(H702,B:J,9,FALSE),"")</f>
        <v>Nikon Herstellernotiz Version</v>
      </c>
      <c r="N702" s="6" t="str">
        <f>IF(AND(TRIM(I702)="",L702=""),"Suffix not translated ",
   IF(AND(TRIM(I702)&lt;&gt;"",TRIM(L702)&lt;&gt;"",TRIM(I702)&lt;&gt;TRIM(L702)),"Suffix translation &lt;&gt; lookup ", "" ))
&amp;IF(AND(TRIM(J702)="",M702=""),"Description not translated ",
   IF(AND(TRIM(J702)&lt;&gt;"",TRIM(M702)&lt;&gt;"",TRIM(J702)&lt;&gt;TRIM(M702)),"Description translation&lt;&gt; lookup ", "" ))</f>
        <v/>
      </c>
      <c r="P702" s="6" t="s">
        <v>8574</v>
      </c>
      <c r="Q702" s="6" t="s">
        <v>9430</v>
      </c>
    </row>
    <row r="703" spans="1:17" x14ac:dyDescent="0.25">
      <c r="A703" s="5" t="str">
        <f>IF(TRIM(I703)="","",E703)</f>
        <v/>
      </c>
      <c r="B703" s="5" t="str">
        <f>IF(TRIM(J703)="","",H703)</f>
        <v/>
      </c>
      <c r="C703" s="5" t="str">
        <f>LEFT(F703,FIND(".",F703,6))</f>
        <v>Exif.Nikon1.</v>
      </c>
      <c r="D703" s="5" t="str">
        <f>VLOOKUP(C703,PrefixUebersetzung,2,FALSE)</f>
        <v>Exif.Nikon1.</v>
      </c>
      <c r="E703" s="5" t="str">
        <f>MID(F703,FIND(".",F703,6)+1,99)</f>
        <v>WhiteBalance</v>
      </c>
      <c r="F703" s="5" t="s">
        <v>570</v>
      </c>
      <c r="G703" s="5" t="s">
        <v>9666</v>
      </c>
      <c r="H703" s="6" t="s">
        <v>2250</v>
      </c>
      <c r="K703" s="26"/>
      <c r="L703" s="6" t="str">
        <f>IFERROR(VLOOKUP(E703,A:I,9, FALSE),"")</f>
        <v>Weißabgleich</v>
      </c>
      <c r="M703" s="6" t="str">
        <f>IFERROR(VLOOKUP(H703,B:J,9,FALSE),"")</f>
        <v>Weißabgleich</v>
      </c>
      <c r="N703" s="6" t="str">
        <f>IF(AND(TRIM(I703)="",L703=""),"Suffix not translated ",
   IF(AND(TRIM(I703)&lt;&gt;"",TRIM(L703)&lt;&gt;"",TRIM(I703)&lt;&gt;TRIM(L703)),"Suffix translation &lt;&gt; lookup ", "" ))
&amp;IF(AND(TRIM(J703)="",M703=""),"Description not translated ",
   IF(AND(TRIM(J703)&lt;&gt;"",TRIM(M703)&lt;&gt;"",TRIM(J703)&lt;&gt;TRIM(M703)),"Description translation&lt;&gt; lookup ", "" ))</f>
        <v/>
      </c>
    </row>
    <row r="704" spans="1:17" x14ac:dyDescent="0.25">
      <c r="A704" s="5" t="str">
        <f>IF(TRIM(I704)="","",E704)</f>
        <v/>
      </c>
      <c r="B704" s="5" t="str">
        <f>IF(TRIM(J704)="","",H704)</f>
        <v/>
      </c>
      <c r="C704" s="5" t="str">
        <f>LEFT(F704,FIND(".",F704,6))</f>
        <v>Exif.Nikon2.</v>
      </c>
      <c r="D704" s="5" t="str">
        <f>VLOOKUP(C704,PrefixUebersetzung,2,FALSE)</f>
        <v>Exif.Nikon2.</v>
      </c>
      <c r="E704" s="5" t="str">
        <f>MID(F704,FIND(".",F704,6)+1,99)</f>
        <v>0x0002</v>
      </c>
      <c r="F704" s="5" t="s">
        <v>571</v>
      </c>
      <c r="G704" s="5" t="s">
        <v>9666</v>
      </c>
      <c r="H704" s="6" t="s">
        <v>2138</v>
      </c>
      <c r="I704" s="7"/>
      <c r="K704" s="26"/>
      <c r="M704" s="6" t="str">
        <f>IFERROR(VLOOKUP(H704,B:J,9,FALSE),"")</f>
        <v>Unbekannt</v>
      </c>
      <c r="N704" s="6" t="str">
        <f>IF(AND(TRIM(I704)="",L704=""),"Suffix not translated ",
   IF(AND(TRIM(I704)&lt;&gt;"",TRIM(L704)&lt;&gt;"",TRIM(I704)&lt;&gt;TRIM(L704)),"Suffix translation &lt;&gt; lookup ", "" ))
&amp;IF(AND(TRIM(J704)="",M704=""),"Description not translated ",
   IF(AND(TRIM(J704)&lt;&gt;"",TRIM(M704)&lt;&gt;"",TRIM(J704)&lt;&gt;TRIM(M704)),"Description translation&lt;&gt; lookup ", "" ))</f>
        <v xml:space="preserve">Suffix not translated </v>
      </c>
      <c r="O704" s="6" t="s">
        <v>8574</v>
      </c>
    </row>
    <row r="705" spans="1:16" x14ac:dyDescent="0.25">
      <c r="A705" s="5" t="str">
        <f>IF(TRIM(I705)="","",E705)</f>
        <v/>
      </c>
      <c r="B705" s="5" t="str">
        <f>IF(TRIM(J705)="","",H705)</f>
        <v/>
      </c>
      <c r="C705" s="5" t="str">
        <f>LEFT(F705,FIND(".",F705,6))</f>
        <v>Exif.Nikon2.</v>
      </c>
      <c r="D705" s="5" t="str">
        <f>VLOOKUP(C705,PrefixUebersetzung,2,FALSE)</f>
        <v>Exif.Nikon2.</v>
      </c>
      <c r="E705" s="5" t="str">
        <f>MID(F705,FIND(".",F705,6)+1,99)</f>
        <v>0x0009</v>
      </c>
      <c r="F705" s="5" t="s">
        <v>572</v>
      </c>
      <c r="G705" s="5" t="s">
        <v>9666</v>
      </c>
      <c r="H705" s="6" t="s">
        <v>2138</v>
      </c>
      <c r="I705" s="7"/>
      <c r="K705" s="26"/>
      <c r="L705" s="6" t="str">
        <f>IFERROR(VLOOKUP(E705,A:I,9, FALSE),"")</f>
        <v/>
      </c>
      <c r="M705" s="6" t="str">
        <f>IFERROR(VLOOKUP(H705,B:J,9,FALSE),"")</f>
        <v>Unbekannt</v>
      </c>
      <c r="N705" s="6" t="str">
        <f>IF(AND(TRIM(I705)="",L705=""),"Suffix not translated ",
   IF(AND(TRIM(I705)&lt;&gt;"",TRIM(L705)&lt;&gt;"",TRIM(I705)&lt;&gt;TRIM(L705)),"Suffix translation &lt;&gt; lookup ", "" ))
&amp;IF(AND(TRIM(J705)="",M705=""),"Description not translated ",
   IF(AND(TRIM(J705)&lt;&gt;"",TRIM(M705)&lt;&gt;"",TRIM(J705)&lt;&gt;TRIM(M705)),"Description translation&lt;&gt; lookup ", "" ))</f>
        <v xml:space="preserve">Suffix not translated </v>
      </c>
    </row>
    <row r="706" spans="1:16" x14ac:dyDescent="0.25">
      <c r="A706" s="5" t="str">
        <f>IF(TRIM(I706)="","",E706)</f>
        <v/>
      </c>
      <c r="B706" s="5" t="str">
        <f>IF(TRIM(J706)="","",H706)</f>
        <v/>
      </c>
      <c r="C706" s="5" t="str">
        <f>LEFT(F706,FIND(".",F706,6))</f>
        <v>Exif.Nikon2.</v>
      </c>
      <c r="D706" s="5" t="str">
        <f>VLOOKUP(C706,PrefixUebersetzung,2,FALSE)</f>
        <v>Exif.Nikon2.</v>
      </c>
      <c r="E706" s="5" t="str">
        <f>MID(F706,FIND(".",F706,6)+1,99)</f>
        <v>0x0f00</v>
      </c>
      <c r="F706" s="5" t="s">
        <v>573</v>
      </c>
      <c r="G706" s="5" t="s">
        <v>9667</v>
      </c>
      <c r="H706" s="6" t="s">
        <v>2138</v>
      </c>
      <c r="I706" s="7"/>
      <c r="K706" s="26"/>
      <c r="M706" s="6" t="str">
        <f>IFERROR(VLOOKUP(H706,B:J,9,FALSE),"")</f>
        <v>Unbekannt</v>
      </c>
      <c r="N706" s="6" t="str">
        <f>IF(AND(TRIM(I706)="",L706=""),"Suffix not translated ",
   IF(AND(TRIM(I706)&lt;&gt;"",TRIM(L706)&lt;&gt;"",TRIM(I706)&lt;&gt;TRIM(L706)),"Suffix translation &lt;&gt; lookup ", "" ))
&amp;IF(AND(TRIM(J706)="",M706=""),"Description not translated ",
   IF(AND(TRIM(J706)&lt;&gt;"",TRIM(M706)&lt;&gt;"",TRIM(J706)&lt;&gt;TRIM(M706)),"Description translation&lt;&gt; lookup ", "" ))</f>
        <v xml:space="preserve">Suffix not translated </v>
      </c>
      <c r="O706" s="6" t="s">
        <v>8574</v>
      </c>
    </row>
    <row r="707" spans="1:16" x14ac:dyDescent="0.25">
      <c r="A707" s="5" t="str">
        <f>IF(TRIM(I707)="","",E707)</f>
        <v/>
      </c>
      <c r="B707" s="5" t="str">
        <f>IF(TRIM(J707)="","",H707)</f>
        <v/>
      </c>
      <c r="C707" s="5" t="str">
        <f>LEFT(F707,FIND(".",F707,6))</f>
        <v>Exif.Nikon2.</v>
      </c>
      <c r="D707" s="5" t="str">
        <f>VLOOKUP(C707,PrefixUebersetzung,2,FALSE)</f>
        <v>Exif.Nikon2.</v>
      </c>
      <c r="E707" s="5" t="str">
        <f>MID(F707,FIND(".",F707,6)+1,99)</f>
        <v>AuxiliaryLens</v>
      </c>
      <c r="F707" s="5" t="s">
        <v>574</v>
      </c>
      <c r="G707" s="5" t="s">
        <v>9664</v>
      </c>
      <c r="H707" s="6" t="s">
        <v>2603</v>
      </c>
      <c r="I707" s="7"/>
      <c r="K707" s="26"/>
      <c r="L707" s="6" t="str">
        <f>IFERROR(VLOOKUP(E707,A:I,9, FALSE),"")</f>
        <v>Vorsatzlinse</v>
      </c>
      <c r="M707" s="6" t="str">
        <f>IFERROR(VLOOKUP(H707,B:J,9,FALSE),"")</f>
        <v>Vorsatzlinse (Adapter)</v>
      </c>
      <c r="N707" s="6" t="str">
        <f>IF(AND(TRIM(I707)="",L707=""),"Suffix not translated ",
   IF(AND(TRIM(I707)&lt;&gt;"",TRIM(L707)&lt;&gt;"",TRIM(I707)&lt;&gt;TRIM(L707)),"Suffix translation &lt;&gt; lookup ", "" ))
&amp;IF(AND(TRIM(J707)="",M707=""),"Description not translated ",
   IF(AND(TRIM(J707)&lt;&gt;"",TRIM(M707)&lt;&gt;"",TRIM(J707)&lt;&gt;TRIM(M707)),"Description translation&lt;&gt; lookup ", "" ))</f>
        <v/>
      </c>
    </row>
    <row r="708" spans="1:16" x14ac:dyDescent="0.25">
      <c r="A708" s="5" t="str">
        <f>IF(TRIM(I708)="","",E708)</f>
        <v/>
      </c>
      <c r="B708" s="5" t="str">
        <f>IF(TRIM(J708)="","",H708)</f>
        <v/>
      </c>
      <c r="C708" s="5" t="str">
        <f>LEFT(F708,FIND(".",F708,6))</f>
        <v>Exif.Nikon2.</v>
      </c>
      <c r="D708" s="5" t="str">
        <f>VLOOKUP(C708,PrefixUebersetzung,2,FALSE)</f>
        <v>Exif.Nikon2.</v>
      </c>
      <c r="E708" s="5" t="str">
        <f>MID(F708,FIND(".",F708,6)+1,99)</f>
        <v>ColorMode</v>
      </c>
      <c r="F708" s="5" t="s">
        <v>575</v>
      </c>
      <c r="G708" s="5" t="s">
        <v>9664</v>
      </c>
      <c r="H708" s="6" t="s">
        <v>2528</v>
      </c>
      <c r="K708" s="26"/>
      <c r="L708" s="6" t="str">
        <f>IFERROR(VLOOKUP(E708,A:I,9, FALSE),"")</f>
        <v>Farbmodus</v>
      </c>
      <c r="M708" s="6" t="str">
        <f>IFERROR(VLOOKUP(H708,B:J,9,FALSE),"")</f>
        <v>Farbmodus</v>
      </c>
      <c r="N708" s="6" t="str">
        <f>IF(AND(TRIM(I708)="",L708=""),"Suffix not translated ",
   IF(AND(TRIM(I708)&lt;&gt;"",TRIM(L708)&lt;&gt;"",TRIM(I708)&lt;&gt;TRIM(L708)),"Suffix translation &lt;&gt; lookup ", "" ))
&amp;IF(AND(TRIM(J708)="",M708=""),"Description not translated ",
   IF(AND(TRIM(J708)&lt;&gt;"",TRIM(M708)&lt;&gt;"",TRIM(J708)&lt;&gt;TRIM(M708)),"Description translation&lt;&gt; lookup ", "" ))</f>
        <v/>
      </c>
    </row>
    <row r="709" spans="1:16" x14ac:dyDescent="0.25">
      <c r="A709" s="5" t="str">
        <f>IF(TRIM(I709)="","",E709)</f>
        <v/>
      </c>
      <c r="B709" s="5" t="str">
        <f>IF(TRIM(J709)="","",H709)</f>
        <v/>
      </c>
      <c r="C709" s="5" t="str">
        <f>LEFT(F709,FIND(".",F709,6))</f>
        <v>Exif.Nikon2.</v>
      </c>
      <c r="D709" s="5" t="str">
        <f>VLOOKUP(C709,PrefixUebersetzung,2,FALSE)</f>
        <v>Exif.Nikon2.</v>
      </c>
      <c r="E709" s="5" t="str">
        <f>MID(F709,FIND(".",F709,6)+1,99)</f>
        <v>DigitalZoom</v>
      </c>
      <c r="F709" s="5" t="s">
        <v>576</v>
      </c>
      <c r="G709" s="5" t="s">
        <v>9671</v>
      </c>
      <c r="H709" s="6" t="s">
        <v>2605</v>
      </c>
      <c r="I709" s="7"/>
      <c r="K709" s="26"/>
      <c r="L709" s="6" t="str">
        <f>IFERROR(VLOOKUP(E709,A:I,9, FALSE),"")</f>
        <v>Digitaler Zoom</v>
      </c>
      <c r="M709" s="6" t="str">
        <f>IFERROR(VLOOKUP(H709,B:J,9,FALSE),"")</f>
        <v>Digitale Zoom-Einstellung</v>
      </c>
      <c r="N709" s="6" t="str">
        <f>IF(AND(TRIM(I709)="",L709=""),"Suffix not translated ",
   IF(AND(TRIM(I709)&lt;&gt;"",TRIM(L709)&lt;&gt;"",TRIM(I709)&lt;&gt;TRIM(L709)),"Suffix translation &lt;&gt; lookup ", "" ))
&amp;IF(AND(TRIM(J709)="",M709=""),"Description not translated ",
   IF(AND(TRIM(J709)&lt;&gt;"",TRIM(M709)&lt;&gt;"",TRIM(J709)&lt;&gt;TRIM(M709)),"Description translation&lt;&gt; lookup ", "" ))</f>
        <v/>
      </c>
    </row>
    <row r="710" spans="1:16" x14ac:dyDescent="0.25">
      <c r="A710" s="5" t="str">
        <f>IF(TRIM(I710)="","",E710)</f>
        <v/>
      </c>
      <c r="B710" s="5" t="str">
        <f>IF(TRIM(J710)="","",H710)</f>
        <v/>
      </c>
      <c r="C710" s="5" t="str">
        <f>LEFT(F710,FIND(".",F710,6))</f>
        <v>Exif.Nikon2.</v>
      </c>
      <c r="D710" s="5" t="str">
        <f>VLOOKUP(C710,PrefixUebersetzung,2,FALSE)</f>
        <v>Exif.Nikon2.</v>
      </c>
      <c r="E710" s="5" t="str">
        <f>MID(F710,FIND(".",F710,6)+1,99)</f>
        <v>Focus</v>
      </c>
      <c r="F710" s="5" t="s">
        <v>577</v>
      </c>
      <c r="G710" s="5" t="s">
        <v>9671</v>
      </c>
      <c r="H710" s="6" t="s">
        <v>2558</v>
      </c>
      <c r="I710" s="7"/>
      <c r="K710" s="26"/>
      <c r="L710" s="6" t="str">
        <f>IFERROR(VLOOKUP(E710,A:I,9, FALSE),"")</f>
        <v>Fokusmodus</v>
      </c>
      <c r="M710" s="6" t="str">
        <f>IFERROR(VLOOKUP(H710,B:J,9,FALSE),"")</f>
        <v>Fokusmodus</v>
      </c>
      <c r="N710" s="6" t="str">
        <f>IF(AND(TRIM(I710)="",L710=""),"Suffix not translated ",
   IF(AND(TRIM(I710)&lt;&gt;"",TRIM(L710)&lt;&gt;"",TRIM(I710)&lt;&gt;TRIM(L710)),"Suffix translation &lt;&gt; lookup ", "" ))
&amp;IF(AND(TRIM(J710)="",M710=""),"Description not translated ",
   IF(AND(TRIM(J710)&lt;&gt;"",TRIM(M710)&lt;&gt;"",TRIM(J710)&lt;&gt;TRIM(M710)),"Description translation&lt;&gt; lookup ", "" ))</f>
        <v/>
      </c>
    </row>
    <row r="711" spans="1:16" x14ac:dyDescent="0.25">
      <c r="A711" s="5" t="str">
        <f>IF(TRIM(I711)="","",E711)</f>
        <v/>
      </c>
      <c r="B711" s="5" t="str">
        <f>IF(TRIM(J711)="","",H711)</f>
        <v/>
      </c>
      <c r="C711" s="5" t="str">
        <f>LEFT(F711,FIND(".",F711,6))</f>
        <v>Exif.Nikon2.</v>
      </c>
      <c r="D711" s="5" t="str">
        <f>VLOOKUP(C711,PrefixUebersetzung,2,FALSE)</f>
        <v>Exif.Nikon2.</v>
      </c>
      <c r="E711" s="5" t="str">
        <f>MID(F711,FIND(".",F711,6)+1,99)</f>
        <v>ImageAdjustment</v>
      </c>
      <c r="F711" s="5" t="s">
        <v>578</v>
      </c>
      <c r="G711" s="5" t="s">
        <v>9664</v>
      </c>
      <c r="H711" s="6" t="s">
        <v>2608</v>
      </c>
      <c r="I711" s="7"/>
      <c r="K711" s="26"/>
      <c r="L711" s="6" t="str">
        <f>IFERROR(VLOOKUP(E711,A:I,9, FALSE),"")</f>
        <v>Bildanpassung</v>
      </c>
      <c r="M711" s="6" t="str">
        <f>IFERROR(VLOOKUP(H711,B:J,9,FALSE),"")</f>
        <v>Einstellung für Bildanpassung</v>
      </c>
      <c r="N711" s="6" t="str">
        <f>IF(AND(TRIM(I711)="",L711=""),"Suffix not translated ",
   IF(AND(TRIM(I711)&lt;&gt;"",TRIM(L711)&lt;&gt;"",TRIM(I711)&lt;&gt;TRIM(L711)),"Suffix translation &lt;&gt; lookup ", "" ))
&amp;IF(AND(TRIM(J711)="",M711=""),"Description not translated ",
   IF(AND(TRIM(J711)&lt;&gt;"",TRIM(M711)&lt;&gt;"",TRIM(J711)&lt;&gt;TRIM(M711)),"Description translation&lt;&gt; lookup ", "" ))</f>
        <v/>
      </c>
    </row>
    <row r="712" spans="1:16" x14ac:dyDescent="0.25">
      <c r="A712" s="5" t="str">
        <f>IF(TRIM(I712)="","",E712)</f>
        <v/>
      </c>
      <c r="B712" s="5" t="str">
        <f>IF(TRIM(J712)="","",H712)</f>
        <v/>
      </c>
      <c r="C712" s="5" t="str">
        <f>LEFT(F712,FIND(".",F712,6))</f>
        <v>Exif.Nikon2.</v>
      </c>
      <c r="D712" s="5" t="str">
        <f>VLOOKUP(C712,PrefixUebersetzung,2,FALSE)</f>
        <v>Exif.Nikon2.</v>
      </c>
      <c r="E712" s="5" t="str">
        <f>MID(F712,FIND(".",F712,6)+1,99)</f>
        <v>ISOSpeed</v>
      </c>
      <c r="F712" s="5" t="s">
        <v>579</v>
      </c>
      <c r="G712" s="5" t="s">
        <v>9664</v>
      </c>
      <c r="H712" s="6" t="s">
        <v>2199</v>
      </c>
      <c r="K712" s="26"/>
      <c r="L712" s="6" t="str">
        <f>IFERROR(VLOOKUP(E712,A:I,9, FALSE),"")</f>
        <v>ISO-Empfindlichkeit</v>
      </c>
      <c r="M712" s="6" t="str">
        <f>IFERROR(VLOOKUP(H712,B:J,9,FALSE),"")</f>
        <v>ISO-Empfindlichkeit</v>
      </c>
      <c r="N712" s="6" t="str">
        <f>IF(AND(TRIM(I712)="",L712=""),"Suffix not translated ",
   IF(AND(TRIM(I712)&lt;&gt;"",TRIM(L712)&lt;&gt;"",TRIM(I712)&lt;&gt;TRIM(L712)),"Suffix translation &lt;&gt; lookup ", "" ))
&amp;IF(AND(TRIM(J712)="",M712=""),"Description not translated ",
   IF(AND(TRIM(J712)&lt;&gt;"",TRIM(M712)&lt;&gt;"",TRIM(J712)&lt;&gt;TRIM(M712)),"Description translation&lt;&gt; lookup ", "" ))</f>
        <v/>
      </c>
    </row>
    <row r="713" spans="1:16" x14ac:dyDescent="0.25">
      <c r="A713" s="5" t="str">
        <f>IF(TRIM(I713)="","",E713)</f>
        <v/>
      </c>
      <c r="B713" s="5" t="str">
        <f>IF(TRIM(J713)="","",H713)</f>
        <v/>
      </c>
      <c r="C713" s="5" t="str">
        <f>LEFT(F713,FIND(".",F713,6))</f>
        <v>Exif.Nikon2.</v>
      </c>
      <c r="D713" s="5" t="str">
        <f>VLOOKUP(C713,PrefixUebersetzung,2,FALSE)</f>
        <v>Exif.Nikon2.</v>
      </c>
      <c r="E713" s="5" t="str">
        <f>MID(F713,FIND(".",F713,6)+1,99)</f>
        <v>Quality</v>
      </c>
      <c r="F713" s="5" t="s">
        <v>580</v>
      </c>
      <c r="G713" s="5" t="s">
        <v>9664</v>
      </c>
      <c r="H713" s="6" t="s">
        <v>2284</v>
      </c>
      <c r="I713" s="7"/>
      <c r="K713" s="26"/>
      <c r="L713" s="6" t="str">
        <f>IFERROR(VLOOKUP(E713,A:I,9, FALSE),"")</f>
        <v>Qualität</v>
      </c>
      <c r="M713" s="6" t="str">
        <f>IFERROR(VLOOKUP(H713,B:J,9,FALSE),"")</f>
        <v>Einstellung der Bildqualität</v>
      </c>
      <c r="N713" s="6" t="str">
        <f>IF(AND(TRIM(I713)="",L713=""),"Suffix not translated ",
   IF(AND(TRIM(I713)&lt;&gt;"",TRIM(L713)&lt;&gt;"",TRIM(I713)&lt;&gt;TRIM(L713)),"Suffix translation &lt;&gt; lookup ", "" ))
&amp;IF(AND(TRIM(J713)="",M713=""),"Description not translated ",
   IF(AND(TRIM(J713)&lt;&gt;"",TRIM(M713)&lt;&gt;"",TRIM(J713)&lt;&gt;TRIM(M713)),"Description translation&lt;&gt; lookup ", "" ))</f>
        <v/>
      </c>
    </row>
    <row r="714" spans="1:16" x14ac:dyDescent="0.25">
      <c r="A714" s="5" t="str">
        <f>IF(TRIM(I714)="","",E714)</f>
        <v/>
      </c>
      <c r="B714" s="5" t="str">
        <f>IF(TRIM(J714)="","",H714)</f>
        <v/>
      </c>
      <c r="C714" s="5" t="str">
        <f>LEFT(F714,FIND(".",F714,6))</f>
        <v>Exif.Nikon2.</v>
      </c>
      <c r="D714" s="5" t="str">
        <f>VLOOKUP(C714,PrefixUebersetzung,2,FALSE)</f>
        <v>Exif.Nikon2.</v>
      </c>
      <c r="E714" s="5" t="str">
        <f>MID(F714,FIND(".",F714,6)+1,99)</f>
        <v>WhiteBalance</v>
      </c>
      <c r="F714" s="5" t="s">
        <v>581</v>
      </c>
      <c r="G714" s="5" t="s">
        <v>9664</v>
      </c>
      <c r="H714" s="6" t="s">
        <v>2250</v>
      </c>
      <c r="I714" s="7"/>
      <c r="K714" s="26"/>
      <c r="L714" s="6" t="str">
        <f>IFERROR(VLOOKUP(E714,A:I,9, FALSE),"")</f>
        <v>Weißabgleich</v>
      </c>
      <c r="M714" s="6" t="str">
        <f>IFERROR(VLOOKUP(H714,B:J,9,FALSE),"")</f>
        <v>Weißabgleich</v>
      </c>
      <c r="N714" s="6" t="str">
        <f>IF(AND(TRIM(I714)="",L714=""),"Suffix not translated ",
   IF(AND(TRIM(I714)&lt;&gt;"",TRIM(L714)&lt;&gt;"",TRIM(I714)&lt;&gt;TRIM(L714)),"Suffix translation &lt;&gt; lookup ", "" ))
&amp;IF(AND(TRIM(J714)="",M714=""),"Description not translated ",
   IF(AND(TRIM(J714)&lt;&gt;"",TRIM(M714)&lt;&gt;"",TRIM(J714)&lt;&gt;TRIM(M714)),"Description translation&lt;&gt; lookup ", "" ))</f>
        <v/>
      </c>
    </row>
    <row r="715" spans="1:16" x14ac:dyDescent="0.25">
      <c r="A715" s="5" t="str">
        <f>IF(TRIM(I715)="","",E715)</f>
        <v/>
      </c>
      <c r="B715" s="5" t="str">
        <f>IF(TRIM(J715)="","",H715)</f>
        <v/>
      </c>
      <c r="C715" s="5" t="str">
        <f>LEFT(F715,FIND(".",F715,6))</f>
        <v>Exif.Nikon3.</v>
      </c>
      <c r="D715" s="5" t="str">
        <f>VLOOKUP(C715,PrefixUebersetzung,2,FALSE)</f>
        <v>Exif.Nikon3.</v>
      </c>
      <c r="E715" s="5" t="str">
        <f>MID(F715,FIND(".",F715,6)+1,99)</f>
        <v>0x000a</v>
      </c>
      <c r="F715" s="5" t="s">
        <v>582</v>
      </c>
      <c r="G715" s="5" t="s">
        <v>9671</v>
      </c>
      <c r="H715" s="6" t="s">
        <v>2138</v>
      </c>
      <c r="I715" s="7"/>
      <c r="K715" s="26"/>
      <c r="L715" s="6" t="str">
        <f>IFERROR(VLOOKUP(E715,A:I,9, FALSE),"")</f>
        <v/>
      </c>
      <c r="M715" s="6" t="str">
        <f>IFERROR(VLOOKUP(H715,B:J,9,FALSE),"")</f>
        <v>Unbekannt</v>
      </c>
      <c r="N715" s="6" t="str">
        <f>IF(AND(TRIM(I715)="",L715=""),"Suffix not translated ",
   IF(AND(TRIM(I715)&lt;&gt;"",TRIM(L715)&lt;&gt;"",TRIM(I715)&lt;&gt;TRIM(L715)),"Suffix translation &lt;&gt; lookup ", "" ))
&amp;IF(AND(TRIM(J715)="",M715=""),"Description not translated ",
   IF(AND(TRIM(J715)&lt;&gt;"",TRIM(M715)&lt;&gt;"",TRIM(J715)&lt;&gt;TRIM(M715)),"Description translation&lt;&gt; lookup ", "" ))</f>
        <v xml:space="preserve">Suffix not translated </v>
      </c>
    </row>
    <row r="716" spans="1:16" x14ac:dyDescent="0.25">
      <c r="A716" s="5" t="str">
        <f>IF(TRIM(I716)="","",E716)</f>
        <v/>
      </c>
      <c r="B716" s="5" t="str">
        <f>IF(TRIM(J716)="","",H716)</f>
        <v/>
      </c>
      <c r="C716" s="5" t="str">
        <f>LEFT(F716,FIND(".",F716,6))</f>
        <v>Exif.Nikon3.</v>
      </c>
      <c r="D716" s="5" t="str">
        <f>VLOOKUP(C716,PrefixUebersetzung,2,FALSE)</f>
        <v>Exif.Nikon3.</v>
      </c>
      <c r="E716" s="5" t="str">
        <f>MID(F716,FIND(".",F716,6)+1,99)</f>
        <v>0x009b</v>
      </c>
      <c r="F716" s="5" t="s">
        <v>583</v>
      </c>
      <c r="G716" s="5" t="s">
        <v>9664</v>
      </c>
      <c r="H716" s="6" t="s">
        <v>2138</v>
      </c>
      <c r="I716" s="7"/>
      <c r="K716" s="26"/>
      <c r="M716" s="6" t="str">
        <f>IFERROR(VLOOKUP(H716,B:J,9,FALSE),"")</f>
        <v>Unbekannt</v>
      </c>
      <c r="N716" s="6" t="str">
        <f>IF(AND(TRIM(I716)="",L716=""),"Suffix not translated ",
   IF(AND(TRIM(I716)&lt;&gt;"",TRIM(L716)&lt;&gt;"",TRIM(I716)&lt;&gt;TRIM(L716)),"Suffix translation &lt;&gt; lookup ", "" ))
&amp;IF(AND(TRIM(J716)="",M716=""),"Description not translated ",
   IF(AND(TRIM(J716)&lt;&gt;"",TRIM(M716)&lt;&gt;"",TRIM(J716)&lt;&gt;TRIM(M716)),"Description translation&lt;&gt; lookup ", "" ))</f>
        <v xml:space="preserve">Suffix not translated </v>
      </c>
      <c r="O716" s="6" t="s">
        <v>8574</v>
      </c>
    </row>
    <row r="717" spans="1:16" x14ac:dyDescent="0.25">
      <c r="A717" s="5" t="str">
        <f>IF(TRIM(I717)="","",E717)</f>
        <v/>
      </c>
      <c r="B717" s="5" t="str">
        <f>IF(TRIM(J717)="","",H717)</f>
        <v/>
      </c>
      <c r="C717" s="5" t="str">
        <f>LEFT(F717,FIND(".",F717,6))</f>
        <v>Exif.Nikon3.</v>
      </c>
      <c r="D717" s="5" t="str">
        <f>VLOOKUP(C717,PrefixUebersetzung,2,FALSE)</f>
        <v>Exif.Nikon3.</v>
      </c>
      <c r="E717" s="5" t="str">
        <f>MID(F717,FIND(".",F717,6)+1,99)</f>
        <v>0x009f</v>
      </c>
      <c r="F717" s="5" t="s">
        <v>584</v>
      </c>
      <c r="G717" s="5" t="s">
        <v>9665</v>
      </c>
      <c r="H717" s="6" t="s">
        <v>2138</v>
      </c>
      <c r="I717" s="7"/>
      <c r="K717" s="26"/>
      <c r="M717" s="6" t="str">
        <f>IFERROR(VLOOKUP(H717,B:J,9,FALSE),"")</f>
        <v>Unbekannt</v>
      </c>
      <c r="N717" s="6"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v>
      </c>
      <c r="O717" s="6" t="s">
        <v>8574</v>
      </c>
    </row>
    <row r="718" spans="1:16" x14ac:dyDescent="0.25">
      <c r="A718" s="5" t="str">
        <f>IF(TRIM(I718)="","",E718)</f>
        <v/>
      </c>
      <c r="B718" s="5" t="str">
        <f>IF(TRIM(J718)="","",H718)</f>
        <v/>
      </c>
      <c r="C718" s="5" t="str">
        <f>LEFT(F718,FIND(".",F718,6))</f>
        <v>Exif.Nikon3.</v>
      </c>
      <c r="D718" s="5" t="str">
        <f>VLOOKUP(C718,PrefixUebersetzung,2,FALSE)</f>
        <v>Exif.Nikon3.</v>
      </c>
      <c r="E718" s="5" t="str">
        <f>MID(F718,FIND(".",F718,6)+1,99)</f>
        <v>0x00a3</v>
      </c>
      <c r="F718" s="5" t="s">
        <v>585</v>
      </c>
      <c r="G718" s="5" t="s">
        <v>9670</v>
      </c>
      <c r="H718" s="6" t="s">
        <v>2138</v>
      </c>
      <c r="I718" s="7"/>
      <c r="K718" s="26"/>
      <c r="M718" s="6" t="str">
        <f>IFERROR(VLOOKUP(H718,B:J,9,FALSE),"")</f>
        <v>Unbekannt</v>
      </c>
      <c r="N718" s="6" t="str">
        <f>IF(AND(TRIM(I718)="",L718=""),"Suffix not translated ",
   IF(AND(TRIM(I718)&lt;&gt;"",TRIM(L718)&lt;&gt;"",TRIM(I718)&lt;&gt;TRIM(L718)),"Suffix translation &lt;&gt; lookup ", "" ))
&amp;IF(AND(TRIM(J718)="",M718=""),"Description not translated ",
   IF(AND(TRIM(J718)&lt;&gt;"",TRIM(M718)&lt;&gt;"",TRIM(J718)&lt;&gt;TRIM(M718)),"Description translation&lt;&gt; lookup ", "" ))</f>
        <v xml:space="preserve">Suffix not translated </v>
      </c>
      <c r="O718" s="6" t="s">
        <v>8574</v>
      </c>
    </row>
    <row r="719" spans="1:16" x14ac:dyDescent="0.25">
      <c r="A719" s="5" t="str">
        <f>IF(TRIM(I719)="","",E719)</f>
        <v>ActiveDLighting</v>
      </c>
      <c r="B719" s="5" t="str">
        <f>IF(TRIM(J719)="","",H719)</f>
        <v>ActiveD-lighting</v>
      </c>
      <c r="C719" s="5" t="str">
        <f>LEFT(F719,FIND(".",F719,6))</f>
        <v>Exif.Nikon3.</v>
      </c>
      <c r="D719" s="5" t="str">
        <f>VLOOKUP(C719,PrefixUebersetzung,2,FALSE)</f>
        <v>Exif.Nikon3.</v>
      </c>
      <c r="E719" s="5" t="str">
        <f>MID(F719,FIND(".",F719,6)+1,99)</f>
        <v>ActiveDLighting</v>
      </c>
      <c r="F719" s="5" t="s">
        <v>586</v>
      </c>
      <c r="G719" s="5" t="s">
        <v>9664</v>
      </c>
      <c r="H719" s="6" t="s">
        <v>2612</v>
      </c>
      <c r="I719" s="7" t="s">
        <v>4330</v>
      </c>
      <c r="J719" s="14" t="s">
        <v>4330</v>
      </c>
      <c r="K719" s="26"/>
      <c r="N719" s="6" t="str">
        <f>IF(AND(TRIM(I719)="",L719=""),"Suffix not translated ",
   IF(AND(TRIM(I719)&lt;&gt;"",TRIM(L719)&lt;&gt;"",TRIM(I719)&lt;&gt;TRIM(L719)),"Suffix translation &lt;&gt; lookup ", "" ))
&amp;IF(AND(TRIM(J719)="",M719=""),"Description not translated ",
   IF(AND(TRIM(J719)&lt;&gt;"",TRIM(M719)&lt;&gt;"",TRIM(J719)&lt;&gt;TRIM(M719)),"Description translation&lt;&gt; lookup ", "" ))</f>
        <v/>
      </c>
      <c r="O719" s="6" t="s">
        <v>8574</v>
      </c>
      <c r="P719" s="6" t="s">
        <v>8574</v>
      </c>
    </row>
    <row r="720" spans="1:16" x14ac:dyDescent="0.25">
      <c r="A720" s="5" t="str">
        <f>IF(TRIM(I720)="","",E720)</f>
        <v/>
      </c>
      <c r="B720" s="5" t="str">
        <f>IF(TRIM(J720)="","",H720)</f>
        <v/>
      </c>
      <c r="C720" s="5" t="str">
        <f>LEFT(F720,FIND(".",F720,6))</f>
        <v>Exif.Nikon3.</v>
      </c>
      <c r="D720" s="5" t="str">
        <f>VLOOKUP(C720,PrefixUebersetzung,2,FALSE)</f>
        <v>Exif.Nikon3.</v>
      </c>
      <c r="E720" s="5" t="str">
        <f>MID(F720,FIND(".",F720,6)+1,99)</f>
        <v>AFInfo</v>
      </c>
      <c r="F720" s="5" t="s">
        <v>587</v>
      </c>
      <c r="G720" s="5" t="s">
        <v>9669</v>
      </c>
      <c r="H720" s="6" t="s">
        <v>2139</v>
      </c>
      <c r="I720" s="7"/>
      <c r="K720" s="26"/>
      <c r="L720" s="6" t="str">
        <f>IFERROR(VLOOKUP(E720,A:I,9, FALSE),"")</f>
        <v>AF Information</v>
      </c>
      <c r="M720" s="6" t="str">
        <f>IFERROR(VLOOKUP(H720,B:J,9,FALSE),"")</f>
        <v>Autofokus Information</v>
      </c>
      <c r="N720" s="6" t="str">
        <f>IF(AND(TRIM(I720)="",L720=""),"Suffix not translated ",
   IF(AND(TRIM(I720)&lt;&gt;"",TRIM(L720)&lt;&gt;"",TRIM(I720)&lt;&gt;TRIM(L720)),"Suffix translation &lt;&gt; lookup ", "" ))
&amp;IF(AND(TRIM(J720)="",M720=""),"Description not translated ",
   IF(AND(TRIM(J720)&lt;&gt;"",TRIM(M720)&lt;&gt;"",TRIM(J720)&lt;&gt;TRIM(M720)),"Description translation&lt;&gt; lookup ", "" ))</f>
        <v/>
      </c>
    </row>
    <row r="721" spans="1:17" x14ac:dyDescent="0.25">
      <c r="A721" s="5" t="str">
        <f>IF(TRIM(I721)="","",E721)</f>
        <v>AFInfo2</v>
      </c>
      <c r="B721" s="5" t="str">
        <f>IF(TRIM(J721)="","",H721)</f>
        <v>AF info 2</v>
      </c>
      <c r="C721" s="5" t="str">
        <f>LEFT(F721,FIND(".",F721,6))</f>
        <v>Exif.Nikon3.</v>
      </c>
      <c r="D721" s="5" t="str">
        <f>VLOOKUP(C721,PrefixUebersetzung,2,FALSE)</f>
        <v>Exif.Nikon3.</v>
      </c>
      <c r="E721" s="5" t="str">
        <f>MID(F721,FIND(".",F721,6)+1,99)</f>
        <v>AFInfo2</v>
      </c>
      <c r="F721" s="5" t="s">
        <v>588</v>
      </c>
      <c r="G721" s="5" t="s">
        <v>9669</v>
      </c>
      <c r="H721" s="6" t="s">
        <v>2613</v>
      </c>
      <c r="I721" s="7" t="s">
        <v>4331</v>
      </c>
      <c r="J721" s="14" t="s">
        <v>4331</v>
      </c>
      <c r="K721" s="26"/>
      <c r="N721" s="6" t="str">
        <f>IF(AND(TRIM(I721)="",L721=""),"Suffix not translated ",
   IF(AND(TRIM(I721)&lt;&gt;"",TRIM(L721)&lt;&gt;"",TRIM(I721)&lt;&gt;TRIM(L721)),"Suffix translation &lt;&gt; lookup ", "" ))
&amp;IF(AND(TRIM(J721)="",M721=""),"Description not translated ",
   IF(AND(TRIM(J721)&lt;&gt;"",TRIM(M721)&lt;&gt;"",TRIM(J721)&lt;&gt;TRIM(M721)),"Description translation&lt;&gt; lookup ", "" ))</f>
        <v/>
      </c>
      <c r="O721" s="6" t="s">
        <v>8574</v>
      </c>
      <c r="P721" s="6" t="s">
        <v>8574</v>
      </c>
      <c r="Q721" s="6" t="s">
        <v>9104</v>
      </c>
    </row>
    <row r="722" spans="1:17" x14ac:dyDescent="0.25">
      <c r="A722" s="5" t="str">
        <f>IF(TRIM(I722)="","",E722)</f>
        <v>AFResponse</v>
      </c>
      <c r="B722" s="5" t="str">
        <f>IF(TRIM(J722)="","",H722)</f>
        <v>AF response</v>
      </c>
      <c r="C722" s="5" t="str">
        <f>LEFT(F722,FIND(".",F722,6))</f>
        <v>Exif.Nikon3.</v>
      </c>
      <c r="D722" s="5" t="str">
        <f>VLOOKUP(C722,PrefixUebersetzung,2,FALSE)</f>
        <v>Exif.Nikon3.</v>
      </c>
      <c r="E722" s="5" t="str">
        <f>MID(F722,FIND(".",F722,6)+1,99)</f>
        <v>AFResponse</v>
      </c>
      <c r="F722" s="5" t="s">
        <v>589</v>
      </c>
      <c r="G722" s="5" t="s">
        <v>9666</v>
      </c>
      <c r="H722" s="6" t="s">
        <v>2614</v>
      </c>
      <c r="I722" s="7" t="s">
        <v>3946</v>
      </c>
      <c r="J722" s="14" t="s">
        <v>3946</v>
      </c>
      <c r="K722" s="26"/>
      <c r="N722" s="6" t="str">
        <f>IF(AND(TRIM(I722)="",L722=""),"Suffix not translated ",
   IF(AND(TRIM(I722)&lt;&gt;"",TRIM(L722)&lt;&gt;"",TRIM(I722)&lt;&gt;TRIM(L722)),"Suffix translation &lt;&gt; lookup ", "" ))
&amp;IF(AND(TRIM(J722)="",M722=""),"Description not translated ",
   IF(AND(TRIM(J722)&lt;&gt;"",TRIM(M722)&lt;&gt;"",TRIM(J722)&lt;&gt;TRIM(M722)),"Description translation&lt;&gt; lookup ", "" ))</f>
        <v/>
      </c>
      <c r="O722" s="6" t="s">
        <v>8574</v>
      </c>
      <c r="P722" s="6" t="s">
        <v>8574</v>
      </c>
      <c r="Q722" s="6" t="s">
        <v>9114</v>
      </c>
    </row>
    <row r="723" spans="1:17" x14ac:dyDescent="0.25">
      <c r="A723" s="5" t="str">
        <f>IF(TRIM(I723)="","",E723)</f>
        <v>AFTune</v>
      </c>
      <c r="B723" s="5" t="str">
        <f>IF(TRIM(J723)="","",H723)</f>
        <v>AF tune</v>
      </c>
      <c r="C723" s="5" t="str">
        <f>LEFT(F723,FIND(".",F723,6))</f>
        <v>Exif.Nikon3.</v>
      </c>
      <c r="D723" s="5" t="str">
        <f>VLOOKUP(C723,PrefixUebersetzung,2,FALSE)</f>
        <v>Exif.Nikon3.</v>
      </c>
      <c r="E723" s="5" t="str">
        <f>MID(F723,FIND(".",F723,6)+1,99)</f>
        <v>AFTune</v>
      </c>
      <c r="F723" s="5" t="s">
        <v>590</v>
      </c>
      <c r="G723" s="5" t="s">
        <v>9669</v>
      </c>
      <c r="H723" s="6" t="s">
        <v>2615</v>
      </c>
      <c r="I723" s="7" t="s">
        <v>4332</v>
      </c>
      <c r="J723" s="14" t="s">
        <v>4332</v>
      </c>
      <c r="K723" s="26"/>
      <c r="N723" s="6" t="str">
        <f>IF(AND(TRIM(I723)="",L723=""),"Suffix not translated ",
   IF(AND(TRIM(I723)&lt;&gt;"",TRIM(L723)&lt;&gt;"",TRIM(I723)&lt;&gt;TRIM(L723)),"Suffix translation &lt;&gt; lookup ", "" ))
&amp;IF(AND(TRIM(J723)="",M723=""),"Description not translated ",
   IF(AND(TRIM(J723)&lt;&gt;"",TRIM(M723)&lt;&gt;"",TRIM(J723)&lt;&gt;TRIM(M723)),"Description translation&lt;&gt; lookup ", "" ))</f>
        <v/>
      </c>
      <c r="O723" s="6" t="s">
        <v>8574</v>
      </c>
      <c r="P723" s="6" t="s">
        <v>8574</v>
      </c>
      <c r="Q723" s="6" t="s">
        <v>9109</v>
      </c>
    </row>
    <row r="724" spans="1:17" ht="30" x14ac:dyDescent="0.25">
      <c r="A724" s="5" t="str">
        <f>IF(TRIM(I724)="","",E724)</f>
        <v>AutoBracketRelease</v>
      </c>
      <c r="B724" s="5" t="str">
        <f>IF(TRIM(J724)="","",H724)</f>
        <v>Auto bracket release</v>
      </c>
      <c r="C724" s="5" t="str">
        <f>LEFT(F724,FIND(".",F724,6))</f>
        <v>Exif.Nikon3.</v>
      </c>
      <c r="D724" s="5" t="str">
        <f>VLOOKUP(C724,PrefixUebersetzung,2,FALSE)</f>
        <v>Exif.Nikon3.</v>
      </c>
      <c r="E724" s="5" t="str">
        <f>MID(F724,FIND(".",F724,6)+1,99)</f>
        <v>AutoBracketRelease</v>
      </c>
      <c r="F724" s="5" t="s">
        <v>591</v>
      </c>
      <c r="G724" s="5" t="s">
        <v>9664</v>
      </c>
      <c r="H724" s="6" t="s">
        <v>2616</v>
      </c>
      <c r="I724" s="31" t="s">
        <v>5114</v>
      </c>
      <c r="J724" s="14" t="s">
        <v>5196</v>
      </c>
      <c r="K724" s="26"/>
      <c r="N724" s="6" t="str">
        <f>IF(AND(TRIM(I724)="",L724=""),"Suffix not translated ",
   IF(AND(TRIM(I724)&lt;&gt;"",TRIM(L724)&lt;&gt;"",TRIM(I724)&lt;&gt;TRIM(L724)),"Suffix translation &lt;&gt; lookup ", "" ))
&amp;IF(AND(TRIM(J724)="",M724=""),"Description not translated ",
   IF(AND(TRIM(J724)&lt;&gt;"",TRIM(M724)&lt;&gt;"",TRIM(J724)&lt;&gt;TRIM(M724)),"Description translation&lt;&gt; lookup ", "" ))</f>
        <v/>
      </c>
      <c r="O724" s="6" t="s">
        <v>8574</v>
      </c>
      <c r="P724" s="6" t="s">
        <v>8574</v>
      </c>
      <c r="Q724" s="6" t="s">
        <v>9143</v>
      </c>
    </row>
    <row r="725" spans="1:17" x14ac:dyDescent="0.25">
      <c r="A725" s="5" t="str">
        <f>IF(TRIM(I725)="","",E725)</f>
        <v/>
      </c>
      <c r="B725" s="5" t="str">
        <f>IF(TRIM(J725)="","",H725)</f>
        <v/>
      </c>
      <c r="C725" s="5" t="str">
        <f>LEFT(F725,FIND(".",F725,6))</f>
        <v>Exif.Nikon3.</v>
      </c>
      <c r="D725" s="5" t="str">
        <f>VLOOKUP(C725,PrefixUebersetzung,2,FALSE)</f>
        <v>Exif.Nikon3.</v>
      </c>
      <c r="E725" s="5" t="str">
        <f>MID(F725,FIND(".",F725,6)+1,99)</f>
        <v>AuxiliaryLens</v>
      </c>
      <c r="F725" s="5" t="s">
        <v>592</v>
      </c>
      <c r="G725" s="5" t="s">
        <v>9666</v>
      </c>
      <c r="H725" s="6" t="s">
        <v>2603</v>
      </c>
      <c r="I725" s="7"/>
      <c r="K725" s="26"/>
      <c r="L725" s="6" t="str">
        <f>IFERROR(VLOOKUP(E725,A:I,9, FALSE),"")</f>
        <v>Vorsatzlinse</v>
      </c>
      <c r="M725" s="6" t="str">
        <f>IFERROR(VLOOKUP(H725,B:J,9,FALSE),"")</f>
        <v>Vorsatzlinse (Adapter)</v>
      </c>
      <c r="N725" s="6" t="str">
        <f>IF(AND(TRIM(I725)="",L725=""),"Suffix not translated ",
   IF(AND(TRIM(I725)&lt;&gt;"",TRIM(L725)&lt;&gt;"",TRIM(I725)&lt;&gt;TRIM(L725)),"Suffix translation &lt;&gt; lookup ", "" ))
&amp;IF(AND(TRIM(J725)="",M725=""),"Description not translated ",
   IF(AND(TRIM(J725)&lt;&gt;"",TRIM(M725)&lt;&gt;"",TRIM(J725)&lt;&gt;TRIM(M725)),"Description translation&lt;&gt; lookup ", "" ))</f>
        <v/>
      </c>
    </row>
    <row r="726" spans="1:17" x14ac:dyDescent="0.25">
      <c r="A726" s="5" t="str">
        <f>IF(TRIM(I726)="","",E726)</f>
        <v>BarometerInfo</v>
      </c>
      <c r="B726" s="5" t="str">
        <f>IF(TRIM(J726)="","",H726)</f>
        <v>Barometer Info</v>
      </c>
      <c r="C726" s="5" t="str">
        <f>LEFT(F726,FIND(".",F726,6))</f>
        <v>Exif.Nikon3.</v>
      </c>
      <c r="D726" s="5" t="str">
        <f>VLOOKUP(C726,PrefixUebersetzung,2,FALSE)</f>
        <v>Exif.Nikon3.</v>
      </c>
      <c r="E726" s="5" t="str">
        <f>MID(F726,FIND(".",F726,6)+1,99)</f>
        <v>BarometerInfo</v>
      </c>
      <c r="F726" s="2" t="s">
        <v>8049</v>
      </c>
      <c r="G726" s="5" t="s">
        <v>9668</v>
      </c>
      <c r="H726" s="3" t="s">
        <v>8050</v>
      </c>
      <c r="I726" s="7" t="s">
        <v>8764</v>
      </c>
      <c r="J726" s="14" t="s">
        <v>8764</v>
      </c>
      <c r="K726" s="26"/>
      <c r="N726" s="6" t="str">
        <f>IF(AND(TRIM(I726)="",L726=""),"Suffix not translated ",
   IF(AND(TRIM(I726)&lt;&gt;"",TRIM(L726)&lt;&gt;"",TRIM(I726)&lt;&gt;TRIM(L726)),"Suffix translation &lt;&gt; lookup ", "" ))
&amp;IF(AND(TRIM(J726)="",M726=""),"Description not translated ",
   IF(AND(TRIM(J726)&lt;&gt;"",TRIM(M726)&lt;&gt;"",TRIM(J726)&lt;&gt;TRIM(M726)),"Description translation&lt;&gt; lookup ", "" ))</f>
        <v/>
      </c>
      <c r="O726" s="6" t="s">
        <v>8574</v>
      </c>
      <c r="P726" s="6" t="s">
        <v>8574</v>
      </c>
      <c r="Q726" s="6" t="s">
        <v>4837</v>
      </c>
    </row>
    <row r="727" spans="1:17" x14ac:dyDescent="0.25">
      <c r="A727" s="5" t="str">
        <f>IF(TRIM(I727)="","",E727)</f>
        <v/>
      </c>
      <c r="B727" s="5" t="str">
        <f>IF(TRIM(J727)="","",H727)</f>
        <v/>
      </c>
      <c r="C727" s="5" t="str">
        <f>LEFT(F727,FIND(".",F727,6))</f>
        <v>Exif.Nikon3.</v>
      </c>
      <c r="D727" s="5" t="str">
        <f>VLOOKUP(C727,PrefixUebersetzung,2,FALSE)</f>
        <v>Exif.Nikon3.</v>
      </c>
      <c r="E727" s="5" t="str">
        <f>MID(F727,FIND(".",F727,6)+1,99)</f>
        <v>CaptureData</v>
      </c>
      <c r="F727" s="5" t="s">
        <v>593</v>
      </c>
      <c r="G727" s="5" t="s">
        <v>9669</v>
      </c>
      <c r="H727" s="6" t="s">
        <v>2617</v>
      </c>
      <c r="I727" s="7"/>
      <c r="K727" s="26"/>
      <c r="N727" s="6"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Suffix not translated Description not translated </v>
      </c>
      <c r="O727" s="6" t="s">
        <v>8574</v>
      </c>
      <c r="P727" s="6" t="s">
        <v>8574</v>
      </c>
    </row>
    <row r="728" spans="1:17" x14ac:dyDescent="0.25">
      <c r="A728" s="5" t="str">
        <f>IF(TRIM(I728)="","",E728)</f>
        <v/>
      </c>
      <c r="B728" s="5" t="str">
        <f>IF(TRIM(J728)="","",H728)</f>
        <v/>
      </c>
      <c r="C728" s="5" t="str">
        <f>LEFT(F728,FIND(".",F728,6))</f>
        <v>Exif.Nikon3.</v>
      </c>
      <c r="D728" s="5" t="str">
        <f>VLOOKUP(C728,PrefixUebersetzung,2,FALSE)</f>
        <v>Exif.Nikon3.</v>
      </c>
      <c r="E728" s="5" t="str">
        <f>MID(F728,FIND(".",F728,6)+1,99)</f>
        <v>CaptureOffsets</v>
      </c>
      <c r="F728" s="5" t="s">
        <v>594</v>
      </c>
      <c r="G728" s="5" t="s">
        <v>9669</v>
      </c>
      <c r="H728" s="6" t="s">
        <v>2618</v>
      </c>
      <c r="I728" s="7"/>
      <c r="K728" s="26"/>
      <c r="N728" s="6"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Suffix not translated Description not translated </v>
      </c>
      <c r="O728" s="6" t="s">
        <v>8574</v>
      </c>
      <c r="P728" s="6" t="s">
        <v>8574</v>
      </c>
    </row>
    <row r="729" spans="1:17" x14ac:dyDescent="0.25">
      <c r="A729" s="5" t="str">
        <f>IF(TRIM(I729)="","",E729)</f>
        <v/>
      </c>
      <c r="B729" s="5" t="str">
        <f>IF(TRIM(J729)="","",H729)</f>
        <v/>
      </c>
      <c r="C729" s="5" t="str">
        <f>LEFT(F729,FIND(".",F729,6))</f>
        <v>Exif.Nikon3.</v>
      </c>
      <c r="D729" s="5" t="str">
        <f>VLOOKUP(C729,PrefixUebersetzung,2,FALSE)</f>
        <v>Exif.Nikon3.</v>
      </c>
      <c r="E729" s="5" t="str">
        <f>MID(F729,FIND(".",F729,6)+1,99)</f>
        <v>CaptureOutput</v>
      </c>
      <c r="F729" s="5" t="s">
        <v>595</v>
      </c>
      <c r="G729" s="5" t="s">
        <v>9669</v>
      </c>
      <c r="H729" s="6" t="s">
        <v>2619</v>
      </c>
      <c r="I729" s="7"/>
      <c r="K729" s="26"/>
      <c r="N729" s="6"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c r="O729" s="6" t="s">
        <v>8574</v>
      </c>
      <c r="P729" s="6" t="s">
        <v>8574</v>
      </c>
    </row>
    <row r="730" spans="1:17" x14ac:dyDescent="0.25">
      <c r="A730" s="5" t="str">
        <f>IF(TRIM(I730)="","",E730)</f>
        <v/>
      </c>
      <c r="B730" s="5" t="str">
        <f>IF(TRIM(J730)="","",H730)</f>
        <v/>
      </c>
      <c r="C730" s="5" t="str">
        <f>LEFT(F730,FIND(".",F730,6))</f>
        <v>Exif.Nikon3.</v>
      </c>
      <c r="D730" s="5" t="str">
        <f>VLOOKUP(C730,PrefixUebersetzung,2,FALSE)</f>
        <v>Exif.Nikon3.</v>
      </c>
      <c r="E730" s="5" t="str">
        <f>MID(F730,FIND(".",F730,6)+1,99)</f>
        <v>CaptureVersion</v>
      </c>
      <c r="F730" s="5" t="s">
        <v>596</v>
      </c>
      <c r="G730" s="5" t="s">
        <v>9666</v>
      </c>
      <c r="H730" s="6" t="s">
        <v>2620</v>
      </c>
      <c r="I730" s="7"/>
      <c r="K730" s="26"/>
      <c r="N730" s="6" t="str">
        <f>IF(AND(TRIM(I730)="",L730=""),"Suffix not translated ",
   IF(AND(TRIM(I730)&lt;&gt;"",TRIM(L730)&lt;&gt;"",TRIM(I730)&lt;&gt;TRIM(L730)),"Suffix translation &lt;&gt; lookup ", "" ))
&amp;IF(AND(TRIM(J730)="",M730=""),"Description not translated ",
   IF(AND(TRIM(J730)&lt;&gt;"",TRIM(M730)&lt;&gt;"",TRIM(J730)&lt;&gt;TRIM(M730)),"Description translation&lt;&gt; lookup ", "" ))</f>
        <v xml:space="preserve">Suffix not translated Description not translated </v>
      </c>
      <c r="O730" s="6" t="s">
        <v>8574</v>
      </c>
      <c r="P730" s="6" t="s">
        <v>8574</v>
      </c>
    </row>
    <row r="731" spans="1:17" x14ac:dyDescent="0.25">
      <c r="A731" s="5" t="str">
        <f>IF(TRIM(I731)="","",E731)</f>
        <v>ColorBalance</v>
      </c>
      <c r="B731" s="5" t="str">
        <f>IF(TRIM(J731)="","",H731)</f>
        <v>Color balance</v>
      </c>
      <c r="C731" s="5" t="str">
        <f>LEFT(F731,FIND(".",F731,6))</f>
        <v>Exif.Nikon3.</v>
      </c>
      <c r="D731" s="5" t="str">
        <f>VLOOKUP(C731,PrefixUebersetzung,2,FALSE)</f>
        <v>Exif.Nikon3.</v>
      </c>
      <c r="E731" s="5" t="str">
        <f>MID(F731,FIND(".",F731,6)+1,99)</f>
        <v>ColorBalance</v>
      </c>
      <c r="F731" s="5" t="s">
        <v>597</v>
      </c>
      <c r="G731" s="5" t="s">
        <v>9669</v>
      </c>
      <c r="H731" s="6" t="s">
        <v>2621</v>
      </c>
      <c r="I731" s="7" t="s">
        <v>4333</v>
      </c>
      <c r="J731" s="14" t="s">
        <v>4333</v>
      </c>
      <c r="K731" s="26"/>
      <c r="N731" s="6" t="str">
        <f>IF(AND(TRIM(I731)="",L731=""),"Suffix not translated ",
   IF(AND(TRIM(I731)&lt;&gt;"",TRIM(L731)&lt;&gt;"",TRIM(I731)&lt;&gt;TRIM(L731)),"Suffix translation &lt;&gt; lookup ", "" ))
&amp;IF(AND(TRIM(J731)="",M731=""),"Description not translated ",
   IF(AND(TRIM(J731)&lt;&gt;"",TRIM(M731)&lt;&gt;"",TRIM(J731)&lt;&gt;TRIM(M731)),"Description translation&lt;&gt; lookup ", "" ))</f>
        <v/>
      </c>
      <c r="O731" s="6" t="s">
        <v>8574</v>
      </c>
      <c r="P731" s="6" t="s">
        <v>8574</v>
      </c>
      <c r="Q731" s="6" t="s">
        <v>9206</v>
      </c>
    </row>
    <row r="732" spans="1:17" x14ac:dyDescent="0.25">
      <c r="A732" s="5" t="str">
        <f>IF(TRIM(I732)="","",E732)</f>
        <v>ColorHue</v>
      </c>
      <c r="B732" s="5" t="str">
        <f>IF(TRIM(J732)="","",H732)</f>
        <v>Color hue</v>
      </c>
      <c r="C732" s="5" t="str">
        <f>LEFT(F732,FIND(".",F732,6))</f>
        <v>Exif.Nikon3.</v>
      </c>
      <c r="D732" s="5" t="str">
        <f>VLOOKUP(C732,PrefixUebersetzung,2,FALSE)</f>
        <v>Exif.Nikon3.</v>
      </c>
      <c r="E732" s="5" t="str">
        <f>MID(F732,FIND(".",F732,6)+1,99)</f>
        <v>ColorHue</v>
      </c>
      <c r="F732" s="5" t="s">
        <v>598</v>
      </c>
      <c r="G732" s="5" t="s">
        <v>9666</v>
      </c>
      <c r="H732" s="6" t="s">
        <v>2622</v>
      </c>
      <c r="I732" s="31" t="s">
        <v>3753</v>
      </c>
      <c r="J732" s="14" t="s">
        <v>3753</v>
      </c>
      <c r="K732" s="26"/>
      <c r="N732" s="6" t="str">
        <f>IF(AND(TRIM(I732)="",L732=""),"Suffix not translated ",
   IF(AND(TRIM(I732)&lt;&gt;"",TRIM(L732)&lt;&gt;"",TRIM(I732)&lt;&gt;TRIM(L732)),"Suffix translation &lt;&gt; lookup ", "" ))
&amp;IF(AND(TRIM(J732)="",M732=""),"Description not translated ",
   IF(AND(TRIM(J732)&lt;&gt;"",TRIM(M732)&lt;&gt;"",TRIM(J732)&lt;&gt;TRIM(M732)),"Description translation&lt;&gt; lookup ", "" ))</f>
        <v/>
      </c>
      <c r="O732" s="6" t="s">
        <v>8574</v>
      </c>
      <c r="P732" s="6" t="s">
        <v>8574</v>
      </c>
      <c r="Q732" s="6" t="s">
        <v>3753</v>
      </c>
    </row>
    <row r="733" spans="1:17" x14ac:dyDescent="0.25">
      <c r="A733" s="5" t="str">
        <f>IF(TRIM(I733)="","",E733)</f>
        <v/>
      </c>
      <c r="B733" s="5" t="str">
        <f>IF(TRIM(J733)="","",H733)</f>
        <v/>
      </c>
      <c r="C733" s="5" t="str">
        <f>LEFT(F733,FIND(".",F733,6))</f>
        <v>Exif.Nikon3.</v>
      </c>
      <c r="D733" s="5" t="str">
        <f>VLOOKUP(C733,PrefixUebersetzung,2,FALSE)</f>
        <v>Exif.Nikon3.</v>
      </c>
      <c r="E733" s="5" t="str">
        <f>MID(F733,FIND(".",F733,6)+1,99)</f>
        <v>ColorMode</v>
      </c>
      <c r="F733" s="5" t="s">
        <v>599</v>
      </c>
      <c r="G733" s="5" t="s">
        <v>9666</v>
      </c>
      <c r="H733" s="6" t="s">
        <v>2528</v>
      </c>
      <c r="K733" s="26"/>
      <c r="L733" s="6" t="str">
        <f>IFERROR(VLOOKUP(E733,A:I,9, FALSE),"")</f>
        <v>Farbmodus</v>
      </c>
      <c r="M733" s="6" t="str">
        <f>IFERROR(VLOOKUP(H733,B:J,9,FALSE),"")</f>
        <v>Farbmodus</v>
      </c>
      <c r="N733" s="6" t="str">
        <f>IF(AND(TRIM(I733)="",L733=""),"Suffix not translated ",
   IF(AND(TRIM(I733)&lt;&gt;"",TRIM(L733)&lt;&gt;"",TRIM(I733)&lt;&gt;TRIM(L733)),"Suffix translation &lt;&gt; lookup ", "" ))
&amp;IF(AND(TRIM(J733)="",M733=""),"Description not translated ",
   IF(AND(TRIM(J733)&lt;&gt;"",TRIM(M733)&lt;&gt;"",TRIM(J733)&lt;&gt;TRIM(M733)),"Description translation&lt;&gt; lookup ", "" ))</f>
        <v/>
      </c>
    </row>
    <row r="734" spans="1:17" x14ac:dyDescent="0.25">
      <c r="A734" s="5" t="str">
        <f>IF(TRIM(I734)="","",E734)</f>
        <v/>
      </c>
      <c r="B734" s="5" t="str">
        <f>IF(TRIM(J734)="","",H734)</f>
        <v/>
      </c>
      <c r="C734" s="5" t="str">
        <f>LEFT(F734,FIND(".",F734,6))</f>
        <v>Exif.Nikon3.</v>
      </c>
      <c r="D734" s="5" t="str">
        <f>VLOOKUP(C734,PrefixUebersetzung,2,FALSE)</f>
        <v>Exif.Nikon3.</v>
      </c>
      <c r="E734" s="5" t="str">
        <f>MID(F734,FIND(".",F734,6)+1,99)</f>
        <v>ColorSpace</v>
      </c>
      <c r="F734" s="5" t="s">
        <v>600</v>
      </c>
      <c r="G734" s="5" t="s">
        <v>9664</v>
      </c>
      <c r="H734" s="6" t="s">
        <v>2548</v>
      </c>
      <c r="K734" s="26"/>
      <c r="L734" s="6" t="str">
        <f>IFERROR(VLOOKUP(E734,A:I,9, FALSE),"")</f>
        <v>Farbraum</v>
      </c>
      <c r="M734" s="6" t="str">
        <f>IFERROR(VLOOKUP(H734,B:J,9,FALSE),"")</f>
        <v>Farbraum</v>
      </c>
      <c r="N734" s="6" t="str">
        <f>IF(AND(TRIM(I734)="",L734=""),"Suffix not translated ",
   IF(AND(TRIM(I734)&lt;&gt;"",TRIM(L734)&lt;&gt;"",TRIM(I734)&lt;&gt;TRIM(L734)),"Suffix translation &lt;&gt; lookup ", "" ))
&amp;IF(AND(TRIM(J734)="",M734=""),"Description not translated ",
   IF(AND(TRIM(J734)&lt;&gt;"",TRIM(M734)&lt;&gt;"",TRIM(J734)&lt;&gt;TRIM(M734)),"Description translation&lt;&gt; lookup ", "" ))</f>
        <v/>
      </c>
    </row>
    <row r="735" spans="1:17" x14ac:dyDescent="0.25">
      <c r="A735" s="5" t="str">
        <f>IF(TRIM(I735)="","",E735)</f>
        <v>ContrastCurve</v>
      </c>
      <c r="B735" s="5" t="str">
        <f>IF(TRIM(J735)="","",H735)</f>
        <v>Contrast curve</v>
      </c>
      <c r="C735" s="5" t="str">
        <f>LEFT(F735,FIND(".",F735,6))</f>
        <v>Exif.Nikon3.</v>
      </c>
      <c r="D735" s="5" t="str">
        <f>VLOOKUP(C735,PrefixUebersetzung,2,FALSE)</f>
        <v>Exif.Nikon3.</v>
      </c>
      <c r="E735" s="5" t="str">
        <f>MID(F735,FIND(".",F735,6)+1,99)</f>
        <v>ContrastCurve</v>
      </c>
      <c r="F735" s="5" t="s">
        <v>601</v>
      </c>
      <c r="G735" s="5" t="s">
        <v>9669</v>
      </c>
      <c r="H735" s="6" t="s">
        <v>2623</v>
      </c>
      <c r="I735" s="31" t="s">
        <v>4885</v>
      </c>
      <c r="J735" s="14" t="s">
        <v>4885</v>
      </c>
      <c r="K735" s="26"/>
      <c r="N735" s="6" t="str">
        <f>IF(AND(TRIM(I735)="",L735=""),"Suffix not translated ",
   IF(AND(TRIM(I735)&lt;&gt;"",TRIM(L735)&lt;&gt;"",TRIM(I735)&lt;&gt;TRIM(L735)),"Suffix translation &lt;&gt; lookup ", "" ))
&amp;IF(AND(TRIM(J735)="",M735=""),"Description not translated ",
   IF(AND(TRIM(J735)&lt;&gt;"",TRIM(M735)&lt;&gt;"",TRIM(J735)&lt;&gt;TRIM(M735)),"Description translation&lt;&gt; lookup ", "" ))</f>
        <v/>
      </c>
      <c r="O735" s="6" t="s">
        <v>8574</v>
      </c>
      <c r="P735" s="6" t="s">
        <v>8574</v>
      </c>
      <c r="Q735" s="6" t="s">
        <v>9197</v>
      </c>
    </row>
    <row r="736" spans="1:17" x14ac:dyDescent="0.25">
      <c r="A736" s="5" t="str">
        <f>IF(TRIM(I736)="","",E736)</f>
        <v>CropHiSpeed</v>
      </c>
      <c r="B736" s="5" t="str">
        <f>IF(TRIM(J736)="","",H736)</f>
        <v>Crop high speed</v>
      </c>
      <c r="C736" s="5" t="str">
        <f>LEFT(F736,FIND(".",F736,6))</f>
        <v>Exif.Nikon3.</v>
      </c>
      <c r="D736" s="5" t="str">
        <f>VLOOKUP(C736,PrefixUebersetzung,2,FALSE)</f>
        <v>Exif.Nikon3.</v>
      </c>
      <c r="E736" s="5" t="str">
        <f>MID(F736,FIND(".",F736,6)+1,99)</f>
        <v>CropHiSpeed</v>
      </c>
      <c r="F736" s="5" t="s">
        <v>602</v>
      </c>
      <c r="G736" s="5" t="s">
        <v>9664</v>
      </c>
      <c r="H736" s="6" t="s">
        <v>2624</v>
      </c>
      <c r="I736" s="7" t="s">
        <v>5160</v>
      </c>
      <c r="J736" s="14" t="s">
        <v>5160</v>
      </c>
      <c r="K736" s="26"/>
      <c r="N736" s="6" t="str">
        <f>IF(AND(TRIM(I736)="",L736=""),"Suffix not translated ",
   IF(AND(TRIM(I736)&lt;&gt;"",TRIM(L736)&lt;&gt;"",TRIM(I736)&lt;&gt;TRIM(L736)),"Suffix translation &lt;&gt; lookup ", "" ))
&amp;IF(AND(TRIM(J736)="",M736=""),"Description not translated ",
   IF(AND(TRIM(J736)&lt;&gt;"",TRIM(M736)&lt;&gt;"",TRIM(J736)&lt;&gt;TRIM(M736)),"Description translation&lt;&gt; lookup ", "" ))</f>
        <v/>
      </c>
      <c r="O736" s="6" t="s">
        <v>8574</v>
      </c>
      <c r="P736" s="6" t="s">
        <v>8574</v>
      </c>
      <c r="Q736" s="6" t="s">
        <v>9227</v>
      </c>
    </row>
    <row r="737" spans="1:17" x14ac:dyDescent="0.25">
      <c r="A737" s="5" t="str">
        <f>IF(TRIM(I737)="","",E737)</f>
        <v/>
      </c>
      <c r="B737" s="5" t="str">
        <f>IF(TRIM(J737)="","",H737)</f>
        <v/>
      </c>
      <c r="C737" s="5" t="str">
        <f>LEFT(F737,FIND(".",F737,6))</f>
        <v>Exif.Nikon3.</v>
      </c>
      <c r="D737" s="5" t="str">
        <f>VLOOKUP(C737,PrefixUebersetzung,2,FALSE)</f>
        <v>Exif.Nikon3.</v>
      </c>
      <c r="E737" s="5" t="str">
        <f>MID(F737,FIND(".",F737,6)+1,99)</f>
        <v>DataDump</v>
      </c>
      <c r="F737" s="5" t="s">
        <v>603</v>
      </c>
      <c r="G737" s="5" t="s">
        <v>9669</v>
      </c>
      <c r="H737" s="6" t="s">
        <v>2604</v>
      </c>
      <c r="K737" s="26"/>
      <c r="L737" s="6" t="str">
        <f>IFERROR(VLOOKUP(E737,A:I,9, FALSE),"")</f>
        <v>Daten-Dump</v>
      </c>
      <c r="M737" s="6" t="str">
        <f>IFERROR(VLOOKUP(H737,B:J,9,FALSE),"")</f>
        <v>Daten-Dump</v>
      </c>
      <c r="N737" s="6" t="str">
        <f>IF(AND(TRIM(I737)="",L737=""),"Suffix not translated ",
   IF(AND(TRIM(I737)&lt;&gt;"",TRIM(L737)&lt;&gt;"",TRIM(I737)&lt;&gt;TRIM(L737)),"Suffix translation &lt;&gt; lookup ", "" ))
&amp;IF(AND(TRIM(J737)="",M737=""),"Description not translated ",
   IF(AND(TRIM(J737)&lt;&gt;"",TRIM(M737)&lt;&gt;"",TRIM(J737)&lt;&gt;TRIM(M737)),"Description translation&lt;&gt; lookup ", "" ))</f>
        <v/>
      </c>
    </row>
    <row r="738" spans="1:17" x14ac:dyDescent="0.25">
      <c r="A738" s="5" t="str">
        <f>IF(TRIM(I738)="","",E738)</f>
        <v>DeletedImageCount</v>
      </c>
      <c r="B738" s="5" t="str">
        <f>IF(TRIM(J738)="","",H738)</f>
        <v>Deleted image count</v>
      </c>
      <c r="C738" s="5" t="str">
        <f>LEFT(F738,FIND(".",F738,6))</f>
        <v>Exif.Nikon3.</v>
      </c>
      <c r="D738" s="5" t="str">
        <f>VLOOKUP(C738,PrefixUebersetzung,2,FALSE)</f>
        <v>Exif.Nikon3.</v>
      </c>
      <c r="E738" s="5" t="str">
        <f>MID(F738,FIND(".",F738,6)+1,99)</f>
        <v>DeletedImageCount</v>
      </c>
      <c r="F738" s="5" t="s">
        <v>604</v>
      </c>
      <c r="G738" s="5" t="s">
        <v>9667</v>
      </c>
      <c r="H738" s="6" t="s">
        <v>2625</v>
      </c>
      <c r="I738" s="7" t="s">
        <v>5157</v>
      </c>
      <c r="J738" s="14" t="s">
        <v>6639</v>
      </c>
      <c r="K738" s="26"/>
      <c r="L738" s="6" t="str">
        <f>IFERROR(VLOOKUP(E738,A:I,9, FALSE),"")</f>
        <v>Gelöschte Bilder Zähler</v>
      </c>
      <c r="M738" s="6" t="str">
        <f>IFERROR(VLOOKUP(H738,B:J,9,FALSE),"")</f>
        <v>Zähler gelöschte Bilder</v>
      </c>
      <c r="N738" s="6" t="str">
        <f>IF(AND(TRIM(I738)="",L738=""),"Suffix not translated ",
   IF(AND(TRIM(I738)&lt;&gt;"",TRIM(L738)&lt;&gt;"",TRIM(I738)&lt;&gt;TRIM(L738)),"Suffix translation &lt;&gt; lookup ", "" ))
&amp;IF(AND(TRIM(J738)="",M738=""),"Description not translated ",
   IF(AND(TRIM(J738)&lt;&gt;"",TRIM(M738)&lt;&gt;"",TRIM(J738)&lt;&gt;TRIM(M738)),"Description translation&lt;&gt; lookup ", "" ))</f>
        <v/>
      </c>
      <c r="O738" s="6" t="s">
        <v>8574</v>
      </c>
      <c r="P738" s="6" t="s">
        <v>8574</v>
      </c>
      <c r="Q738" s="6" t="s">
        <v>9244</v>
      </c>
    </row>
    <row r="739" spans="1:17" x14ac:dyDescent="0.25">
      <c r="A739" s="5" t="str">
        <f>IF(TRIM(I739)="","",E739)</f>
        <v/>
      </c>
      <c r="B739" s="5" t="str">
        <f>IF(TRIM(J739)="","",H739)</f>
        <v/>
      </c>
      <c r="C739" s="5" t="str">
        <f>LEFT(F739,FIND(".",F739,6))</f>
        <v>Exif.Nikon3.</v>
      </c>
      <c r="D739" s="5" t="str">
        <f>VLOOKUP(C739,PrefixUebersetzung,2,FALSE)</f>
        <v>Exif.Nikon3.</v>
      </c>
      <c r="E739" s="5" t="str">
        <f>MID(F739,FIND(".",F739,6)+1,99)</f>
        <v>DigitalZoom</v>
      </c>
      <c r="F739" s="5" t="s">
        <v>605</v>
      </c>
      <c r="G739" s="5" t="s">
        <v>9671</v>
      </c>
      <c r="H739" s="6" t="s">
        <v>2605</v>
      </c>
      <c r="I739" s="7"/>
      <c r="K739" s="26"/>
      <c r="L739" s="6" t="str">
        <f>IFERROR(VLOOKUP(E739,A:I,9, FALSE),"")</f>
        <v>Digitaler Zoom</v>
      </c>
      <c r="M739" s="6" t="str">
        <f>IFERROR(VLOOKUP(H739,B:J,9,FALSE),"")</f>
        <v>Digitale Zoom-Einstellung</v>
      </c>
      <c r="N739" s="6" t="str">
        <f>IF(AND(TRIM(I739)="",L739=""),"Suffix not translated ",
   IF(AND(TRIM(I739)&lt;&gt;"",TRIM(L739)&lt;&gt;"",TRIM(I739)&lt;&gt;TRIM(L739)),"Suffix translation &lt;&gt; lookup ", "" ))
&amp;IF(AND(TRIM(J739)="",M739=""),"Description not translated ",
   IF(AND(TRIM(J739)&lt;&gt;"",TRIM(M739)&lt;&gt;"",TRIM(J739)&lt;&gt;TRIM(M739)),"Description translation&lt;&gt; lookup ", "" ))</f>
        <v/>
      </c>
    </row>
    <row r="740" spans="1:17" x14ac:dyDescent="0.25">
      <c r="A740" s="5" t="str">
        <f>IF(TRIM(I740)="","",E740)</f>
        <v>ExposureBracketComp</v>
      </c>
      <c r="B740" s="5" t="str">
        <f>IF(TRIM(J740)="","",H740)</f>
        <v>AE bracket compensation applied</v>
      </c>
      <c r="C740" s="5" t="str">
        <f>LEFT(F740,FIND(".",F740,6))</f>
        <v>Exif.Nikon3.</v>
      </c>
      <c r="D740" s="5" t="str">
        <f>VLOOKUP(C740,PrefixUebersetzung,2,FALSE)</f>
        <v>Exif.Nikon3.</v>
      </c>
      <c r="E740" s="5" t="str">
        <f>MID(F740,FIND(".",F740,6)+1,99)</f>
        <v>ExposureBracketComp</v>
      </c>
      <c r="F740" s="5" t="s">
        <v>606</v>
      </c>
      <c r="G740" s="5" t="s">
        <v>9672</v>
      </c>
      <c r="H740" s="6" t="s">
        <v>2626</v>
      </c>
      <c r="I740" s="7" t="s">
        <v>5116</v>
      </c>
      <c r="J740" s="14" t="s">
        <v>5116</v>
      </c>
      <c r="K740" s="26"/>
      <c r="N740" s="6" t="str">
        <f>IF(AND(TRIM(I740)="",L740=""),"Suffix not translated ",
   IF(AND(TRIM(I740)&lt;&gt;"",TRIM(L740)&lt;&gt;"",TRIM(I740)&lt;&gt;TRIM(L740)),"Suffix translation &lt;&gt; lookup ", "" ))
&amp;IF(AND(TRIM(J740)="",M740=""),"Description not translated ",
   IF(AND(TRIM(J740)&lt;&gt;"",TRIM(M740)&lt;&gt;"",TRIM(J740)&lt;&gt;TRIM(M740)),"Description translation&lt;&gt; lookup ", "" ))</f>
        <v/>
      </c>
      <c r="O740" s="6" t="s">
        <v>8574</v>
      </c>
      <c r="P740" s="6" t="s">
        <v>8574</v>
      </c>
      <c r="Q740" s="6" t="s">
        <v>9101</v>
      </c>
    </row>
    <row r="741" spans="1:17" x14ac:dyDescent="0.25">
      <c r="A741" s="5" t="str">
        <f>IF(TRIM(I741)="","",E741)</f>
        <v>ExposureDiff</v>
      </c>
      <c r="B741" s="5" t="str">
        <f>IF(TRIM(J741)="","",H741)</f>
        <v>Exposure difference</v>
      </c>
      <c r="C741" s="5" t="str">
        <f>LEFT(F741,FIND(".",F741,6))</f>
        <v>Exif.Nikon3.</v>
      </c>
      <c r="D741" s="5" t="str">
        <f>VLOOKUP(C741,PrefixUebersetzung,2,FALSE)</f>
        <v>Exif.Nikon3.</v>
      </c>
      <c r="E741" s="5" t="str">
        <f>MID(F741,FIND(".",F741,6)+1,99)</f>
        <v>ExposureDiff</v>
      </c>
      <c r="F741" s="5" t="s">
        <v>607</v>
      </c>
      <c r="G741" s="5" t="s">
        <v>9669</v>
      </c>
      <c r="H741" s="6" t="s">
        <v>2627</v>
      </c>
      <c r="I741" s="7" t="s">
        <v>4334</v>
      </c>
      <c r="J741" s="14" t="s">
        <v>4334</v>
      </c>
      <c r="K741" s="26"/>
      <c r="N741" s="6" t="str">
        <f>IF(AND(TRIM(I741)="",L741=""),"Suffix not translated ",
   IF(AND(TRIM(I741)&lt;&gt;"",TRIM(L741)&lt;&gt;"",TRIM(I741)&lt;&gt;TRIM(L741)),"Suffix translation &lt;&gt; lookup ", "" ))
&amp;IF(AND(TRIM(J741)="",M741=""),"Description not translated ",
   IF(AND(TRIM(J741)&lt;&gt;"",TRIM(M741)&lt;&gt;"",TRIM(J741)&lt;&gt;TRIM(M741)),"Description translation&lt;&gt; lookup ", "" ))</f>
        <v/>
      </c>
      <c r="O741" s="6" t="s">
        <v>8574</v>
      </c>
      <c r="P741" s="6" t="s">
        <v>8574</v>
      </c>
      <c r="Q741" s="6" t="s">
        <v>9283</v>
      </c>
    </row>
    <row r="742" spans="1:17" x14ac:dyDescent="0.25">
      <c r="A742" s="5" t="str">
        <f>IF(TRIM(I742)="","",E742)</f>
        <v>ExposureTuning</v>
      </c>
      <c r="B742" s="5" t="str">
        <f>IF(TRIM(J742)="","",H742)</f>
        <v>Exposure tuning</v>
      </c>
      <c r="C742" s="5" t="str">
        <f>LEFT(F742,FIND(".",F742,6))</f>
        <v>Exif.Nikon3.</v>
      </c>
      <c r="D742" s="5" t="str">
        <f>VLOOKUP(C742,PrefixUebersetzung,2,FALSE)</f>
        <v>Exif.Nikon3.</v>
      </c>
      <c r="E742" s="5" t="str">
        <f>MID(F742,FIND(".",F742,6)+1,99)</f>
        <v>ExposureTuning</v>
      </c>
      <c r="F742" s="5" t="s">
        <v>608</v>
      </c>
      <c r="G742" s="5" t="s">
        <v>9664</v>
      </c>
      <c r="H742" s="6" t="s">
        <v>2628</v>
      </c>
      <c r="I742" s="7" t="s">
        <v>4335</v>
      </c>
      <c r="J742" s="14" t="s">
        <v>4335</v>
      </c>
      <c r="K742" s="26"/>
      <c r="N742" s="6" t="str">
        <f>IF(AND(TRIM(I742)="",L742=""),"Suffix not translated ",
   IF(AND(TRIM(I742)&lt;&gt;"",TRIM(L742)&lt;&gt;"",TRIM(I742)&lt;&gt;TRIM(L742)),"Suffix translation &lt;&gt; lookup ", "" ))
&amp;IF(AND(TRIM(J742)="",M742=""),"Description not translated ",
   IF(AND(TRIM(J742)&lt;&gt;"",TRIM(M742)&lt;&gt;"",TRIM(J742)&lt;&gt;TRIM(M742)),"Description translation&lt;&gt; lookup ", "" ))</f>
        <v/>
      </c>
      <c r="O742" s="6" t="s">
        <v>8574</v>
      </c>
      <c r="P742" s="6" t="s">
        <v>8574</v>
      </c>
      <c r="Q742" s="6" t="s">
        <v>4202</v>
      </c>
    </row>
    <row r="743" spans="1:17" x14ac:dyDescent="0.25">
      <c r="A743" s="5" t="str">
        <f>IF(TRIM(I743)="","",E743)</f>
        <v>FileInfo</v>
      </c>
      <c r="B743" s="5" t="str">
        <f>IF(TRIM(J743)="","",H743)</f>
        <v>File info</v>
      </c>
      <c r="C743" s="5" t="str">
        <f>LEFT(F743,FIND(".",F743,6))</f>
        <v>Exif.Nikon3.</v>
      </c>
      <c r="D743" s="5" t="str">
        <f>VLOOKUP(C743,PrefixUebersetzung,2,FALSE)</f>
        <v>Exif.Nikon3.</v>
      </c>
      <c r="E743" s="5" t="str">
        <f>MID(F743,FIND(".",F743,6)+1,99)</f>
        <v>FileInfo</v>
      </c>
      <c r="F743" s="5" t="s">
        <v>609</v>
      </c>
      <c r="G743" s="5" t="s">
        <v>9669</v>
      </c>
      <c r="H743" s="6" t="s">
        <v>2629</v>
      </c>
      <c r="I743" s="31" t="s">
        <v>5119</v>
      </c>
      <c r="J743" s="14" t="s">
        <v>5119</v>
      </c>
      <c r="K743" s="26"/>
      <c r="N743" s="6" t="str">
        <f>IF(AND(TRIM(I743)="",L743=""),"Suffix not translated ",
   IF(AND(TRIM(I743)&lt;&gt;"",TRIM(L743)&lt;&gt;"",TRIM(I743)&lt;&gt;TRIM(L743)),"Suffix translation &lt;&gt; lookup ", "" ))
&amp;IF(AND(TRIM(J743)="",M743=""),"Description not translated ",
   IF(AND(TRIM(J743)&lt;&gt;"",TRIM(M743)&lt;&gt;"",TRIM(J743)&lt;&gt;TRIM(M743)),"Description translation&lt;&gt; lookup ", "" ))</f>
        <v/>
      </c>
      <c r="O743" s="6" t="s">
        <v>8574</v>
      </c>
      <c r="P743" s="6" t="s">
        <v>8574</v>
      </c>
      <c r="Q743" s="6" t="s">
        <v>9298</v>
      </c>
    </row>
    <row r="744" spans="1:17" x14ac:dyDescent="0.25">
      <c r="A744" s="5" t="str">
        <f>IF(TRIM(I744)="","",E744)</f>
        <v>FlashBracketComp</v>
      </c>
      <c r="B744" s="5" t="str">
        <f>IF(TRIM(J744)="","",H744)</f>
        <v>Flash bracket compensation applied</v>
      </c>
      <c r="C744" s="5" t="str">
        <f>LEFT(F744,FIND(".",F744,6))</f>
        <v>Exif.Nikon3.</v>
      </c>
      <c r="D744" s="5" t="str">
        <f>VLOOKUP(C744,PrefixUebersetzung,2,FALSE)</f>
        <v>Exif.Nikon3.</v>
      </c>
      <c r="E744" s="5" t="str">
        <f>MID(F744,FIND(".",F744,6)+1,99)</f>
        <v>FlashBracketComp</v>
      </c>
      <c r="F744" s="5" t="s">
        <v>610</v>
      </c>
      <c r="G744" s="5" t="s">
        <v>9669</v>
      </c>
      <c r="H744" s="6" t="s">
        <v>2630</v>
      </c>
      <c r="I744" s="7" t="s">
        <v>5115</v>
      </c>
      <c r="J744" s="14" t="s">
        <v>5115</v>
      </c>
      <c r="K744" s="26"/>
      <c r="N744" s="6" t="str">
        <f>IF(AND(TRIM(I744)="",L744=""),"Suffix not translated ",
   IF(AND(TRIM(I744)&lt;&gt;"",TRIM(L744)&lt;&gt;"",TRIM(I744)&lt;&gt;TRIM(L744)),"Suffix translation &lt;&gt; lookup ", "" ))
&amp;IF(AND(TRIM(J744)="",M744=""),"Description not translated ",
   IF(AND(TRIM(J744)&lt;&gt;"",TRIM(M744)&lt;&gt;"",TRIM(J744)&lt;&gt;TRIM(M744)),"Description translation&lt;&gt; lookup ", "" ))</f>
        <v/>
      </c>
      <c r="O744" s="6" t="s">
        <v>8574</v>
      </c>
      <c r="P744" s="6" t="s">
        <v>8574</v>
      </c>
      <c r="Q744" s="6" t="s">
        <v>9308</v>
      </c>
    </row>
    <row r="745" spans="1:17" x14ac:dyDescent="0.25">
      <c r="A745" s="5" t="str">
        <f>IF(TRIM(I745)="","",E745)</f>
        <v>FlashComp</v>
      </c>
      <c r="B745" s="5" t="str">
        <f>IF(TRIM(J745)="","",H745)</f>
        <v>Flash compensation setting</v>
      </c>
      <c r="C745" s="5" t="str">
        <f>LEFT(F745,FIND(".",F745,6))</f>
        <v>Exif.Nikon3.</v>
      </c>
      <c r="D745" s="5" t="str">
        <f>VLOOKUP(C745,PrefixUebersetzung,2,FALSE)</f>
        <v>Exif.Nikon3.</v>
      </c>
      <c r="E745" s="5" t="str">
        <f>MID(F745,FIND(".",F745,6)+1,99)</f>
        <v>FlashComp</v>
      </c>
      <c r="F745" s="5" t="s">
        <v>611</v>
      </c>
      <c r="G745" s="5" t="s">
        <v>9669</v>
      </c>
      <c r="H745" s="6" t="s">
        <v>2631</v>
      </c>
      <c r="I745" s="7" t="s">
        <v>3814</v>
      </c>
      <c r="J745" s="14" t="s">
        <v>3992</v>
      </c>
      <c r="K745" s="26"/>
      <c r="N745" s="6" t="str">
        <f>IF(AND(TRIM(I745)="",L745=""),"Suffix not translated ",
   IF(AND(TRIM(I745)&lt;&gt;"",TRIM(L745)&lt;&gt;"",TRIM(I745)&lt;&gt;TRIM(L745)),"Suffix translation &lt;&gt; lookup ", "" ))
&amp;IF(AND(TRIM(J745)="",M745=""),"Description not translated ",
   IF(AND(TRIM(J745)&lt;&gt;"",TRIM(M745)&lt;&gt;"",TRIM(J745)&lt;&gt;TRIM(M745)),"Description translation&lt;&gt; lookup ", "" ))</f>
        <v/>
      </c>
      <c r="O745" s="6" t="s">
        <v>8574</v>
      </c>
      <c r="P745" s="6" t="s">
        <v>8574</v>
      </c>
      <c r="Q745" s="6" t="s">
        <v>9316</v>
      </c>
    </row>
    <row r="746" spans="1:17" x14ac:dyDescent="0.25">
      <c r="A746" s="5" t="str">
        <f>IF(TRIM(I746)="","",E746)</f>
        <v>FlashDevice</v>
      </c>
      <c r="B746" s="5" t="str">
        <f>IF(TRIM(J746)="","",H746)</f>
        <v>Flash device</v>
      </c>
      <c r="C746" s="5" t="str">
        <f>LEFT(F746,FIND(".",F746,6))</f>
        <v>Exif.Nikon3.</v>
      </c>
      <c r="D746" s="5" t="str">
        <f>VLOOKUP(C746,PrefixUebersetzung,2,FALSE)</f>
        <v>Exif.Nikon3.</v>
      </c>
      <c r="E746" s="5" t="str">
        <f>MID(F746,FIND(".",F746,6)+1,99)</f>
        <v>FlashDevice</v>
      </c>
      <c r="F746" s="5" t="s">
        <v>612</v>
      </c>
      <c r="G746" s="5" t="s">
        <v>9666</v>
      </c>
      <c r="H746" s="6" t="s">
        <v>2632</v>
      </c>
      <c r="I746" s="7" t="s">
        <v>4336</v>
      </c>
      <c r="J746" s="14" t="s">
        <v>4336</v>
      </c>
      <c r="K746" s="26"/>
      <c r="L746" s="6" t="str">
        <f>IFERROR(VLOOKUP(E746,A:I,9, FALSE),"")</f>
        <v>Blitzgerät</v>
      </c>
      <c r="M746" s="6" t="str">
        <f>IFERROR(VLOOKUP(H746,B:J,9,FALSE),"")</f>
        <v>Blitzgerät</v>
      </c>
      <c r="N746" s="6" t="str">
        <f>IF(AND(TRIM(I746)="",L746=""),"Suffix not translated ",
   IF(AND(TRIM(I746)&lt;&gt;"",TRIM(L746)&lt;&gt;"",TRIM(I746)&lt;&gt;TRIM(L746)),"Suffix translation &lt;&gt; lookup ", "" ))
&amp;IF(AND(TRIM(J746)="",M746=""),"Description not translated ",
   IF(AND(TRIM(J746)&lt;&gt;"",TRIM(M746)&lt;&gt;"",TRIM(J746)&lt;&gt;TRIM(M746)),"Description translation&lt;&gt; lookup ", "" ))</f>
        <v/>
      </c>
      <c r="O746" s="6" t="s">
        <v>8574</v>
      </c>
      <c r="P746" s="6" t="s">
        <v>8574</v>
      </c>
      <c r="Q746" s="6" t="s">
        <v>9307</v>
      </c>
    </row>
    <row r="747" spans="1:17" ht="30" x14ac:dyDescent="0.25">
      <c r="A747" s="5" t="str">
        <f>IF(TRIM(I747)="","",E747)</f>
        <v/>
      </c>
      <c r="B747" s="5" t="str">
        <f>IF(TRIM(J747)="","",H747)</f>
        <v>Flash exposure comp</v>
      </c>
      <c r="C747" s="5" t="str">
        <f>LEFT(F747,FIND(".",F747,6))</f>
        <v>Exif.Nikon3.</v>
      </c>
      <c r="D747" s="5" t="str">
        <f>VLOOKUP(C747,PrefixUebersetzung,2,FALSE)</f>
        <v>Exif.Nikon3.</v>
      </c>
      <c r="E747" s="5" t="str">
        <f>MID(F747,FIND(".",F747,6)+1,99)</f>
        <v>FlashExposureComp</v>
      </c>
      <c r="F747" s="5" t="s">
        <v>613</v>
      </c>
      <c r="G747" s="5" t="s">
        <v>9669</v>
      </c>
      <c r="H747" s="6" t="s">
        <v>2633</v>
      </c>
      <c r="I747" s="7"/>
      <c r="J747" s="14" t="s">
        <v>3992</v>
      </c>
      <c r="K747" s="26"/>
      <c r="L747" s="6" t="str">
        <f>IFERROR(VLOOKUP(E747,A:I,9, FALSE),"")</f>
        <v>Blitzbelichtungskorrektur</v>
      </c>
      <c r="N747" s="6" t="str">
        <f>IF(AND(TRIM(I747)="",L747=""),"Suffix not translated ",
   IF(AND(TRIM(I747)&lt;&gt;"",TRIM(L747)&lt;&gt;"",TRIM(I747)&lt;&gt;TRIM(L747)),"Suffix translation &lt;&gt; lookup ", "" ))
&amp;IF(AND(TRIM(J747)="",M747=""),"Description not translated ",
   IF(AND(TRIM(J747)&lt;&gt;"",TRIM(M747)&lt;&gt;"",TRIM(J747)&lt;&gt;TRIM(M747)),"Description translation&lt;&gt; lookup ", "" ))</f>
        <v/>
      </c>
      <c r="P747" s="6" t="s">
        <v>8574</v>
      </c>
      <c r="Q747" s="6" t="s">
        <v>9308</v>
      </c>
    </row>
    <row r="748" spans="1:17" x14ac:dyDescent="0.25">
      <c r="A748" s="5" t="str">
        <f>IF(TRIM(I748)="","",E748)</f>
        <v>FlashInfo</v>
      </c>
      <c r="B748" s="5" t="str">
        <f>IF(TRIM(J748)="","",H748)</f>
        <v>Flash info</v>
      </c>
      <c r="C748" s="5" t="str">
        <f>LEFT(F748,FIND(".",F748,6))</f>
        <v>Exif.Nikon3.</v>
      </c>
      <c r="D748" s="5" t="str">
        <f>VLOOKUP(C748,PrefixUebersetzung,2,FALSE)</f>
        <v>Exif.Nikon3.</v>
      </c>
      <c r="E748" s="5" t="str">
        <f>MID(F748,FIND(".",F748,6)+1,99)</f>
        <v>FlashInfo</v>
      </c>
      <c r="F748" s="5" t="s">
        <v>614</v>
      </c>
      <c r="G748" s="5" t="s">
        <v>9669</v>
      </c>
      <c r="H748" s="6" t="s">
        <v>2634</v>
      </c>
      <c r="I748" s="7" t="s">
        <v>4337</v>
      </c>
      <c r="J748" s="14" t="s">
        <v>4337</v>
      </c>
      <c r="K748" s="26"/>
      <c r="L748" s="6" t="str">
        <f>IFERROR(VLOOKUP(E748,A:I,9, FALSE),"")</f>
        <v>Blitzinformation</v>
      </c>
      <c r="N748" s="6" t="str">
        <f>IF(AND(TRIM(I748)="",L748=""),"Suffix not translated ",
   IF(AND(TRIM(I748)&lt;&gt;"",TRIM(L748)&lt;&gt;"",TRIM(I748)&lt;&gt;TRIM(L748)),"Suffix translation &lt;&gt; lookup ", "" ))
&amp;IF(AND(TRIM(J748)="",M748=""),"Description not translated ",
   IF(AND(TRIM(J748)&lt;&gt;"",TRIM(M748)&lt;&gt;"",TRIM(J748)&lt;&gt;TRIM(M748)),"Description translation&lt;&gt; lookup ", "" ))</f>
        <v/>
      </c>
      <c r="O748" s="6" t="s">
        <v>8574</v>
      </c>
      <c r="P748" s="6" t="s">
        <v>8574</v>
      </c>
      <c r="Q748" s="6" t="s">
        <v>4337</v>
      </c>
    </row>
    <row r="749" spans="1:17" x14ac:dyDescent="0.25">
      <c r="A749" s="5" t="str">
        <f>IF(TRIM(I749)="","",E749)</f>
        <v/>
      </c>
      <c r="B749" s="5" t="str">
        <f>IF(TRIM(J749)="","",H749)</f>
        <v>Mode of flash used</v>
      </c>
      <c r="C749" s="5" t="str">
        <f>LEFT(F749,FIND(".",F749,6))</f>
        <v>Exif.Nikon3.</v>
      </c>
      <c r="D749" s="5" t="str">
        <f>VLOOKUP(C749,PrefixUebersetzung,2,FALSE)</f>
        <v>Exif.Nikon3.</v>
      </c>
      <c r="E749" s="5" t="str">
        <f>MID(F749,FIND(".",F749,6)+1,99)</f>
        <v>FlashMode</v>
      </c>
      <c r="F749" s="5" t="s">
        <v>615</v>
      </c>
      <c r="G749" s="5" t="s">
        <v>9670</v>
      </c>
      <c r="H749" s="6" t="s">
        <v>2635</v>
      </c>
      <c r="I749" s="7"/>
      <c r="J749" s="14" t="s">
        <v>4317</v>
      </c>
      <c r="K749" s="26"/>
      <c r="L749" s="6" t="str">
        <f>IFERROR(VLOOKUP(E749,A:I,9, FALSE),"")</f>
        <v>Blitzmodus</v>
      </c>
      <c r="N749" s="6" t="str">
        <f>IF(AND(TRIM(I749)="",L749=""),"Suffix not translated ",
   IF(AND(TRIM(I749)&lt;&gt;"",TRIM(L749)&lt;&gt;"",TRIM(I749)&lt;&gt;TRIM(L749)),"Suffix translation &lt;&gt; lookup ", "" ))
&amp;IF(AND(TRIM(J749)="",M749=""),"Description not translated ",
   IF(AND(TRIM(J749)&lt;&gt;"",TRIM(M749)&lt;&gt;"",TRIM(J749)&lt;&gt;TRIM(M749)),"Description translation&lt;&gt; lookup ", "" ))</f>
        <v/>
      </c>
      <c r="P749" s="6" t="s">
        <v>8574</v>
      </c>
      <c r="Q749" s="6" t="s">
        <v>9423</v>
      </c>
    </row>
    <row r="750" spans="1:17" x14ac:dyDescent="0.25">
      <c r="A750" s="5" t="str">
        <f>IF(TRIM(I750)="","",E750)</f>
        <v/>
      </c>
      <c r="B750" s="5" t="str">
        <f>IF(TRIM(J750)="","",H750)</f>
        <v/>
      </c>
      <c r="C750" s="5" t="str">
        <f>LEFT(F750,FIND(".",F750,6))</f>
        <v>Exif.Nikon3.</v>
      </c>
      <c r="D750" s="5" t="str">
        <f>VLOOKUP(C750,PrefixUebersetzung,2,FALSE)</f>
        <v>Exif.Nikon3.</v>
      </c>
      <c r="E750" s="5" t="str">
        <f>MID(F750,FIND(".",F750,6)+1,99)</f>
        <v>FlashSetting</v>
      </c>
      <c r="F750" s="5" t="s">
        <v>616</v>
      </c>
      <c r="G750" s="5" t="s">
        <v>9666</v>
      </c>
      <c r="H750" s="6" t="s">
        <v>2606</v>
      </c>
      <c r="K750" s="26"/>
      <c r="L750" s="6" t="str">
        <f>IFERROR(VLOOKUP(E750,A:I,9, FALSE),"")</f>
        <v>Blitzeinstellung</v>
      </c>
      <c r="M750" s="6" t="str">
        <f>IFERROR(VLOOKUP(H750,B:J,9,FALSE),"")</f>
        <v>Blitzeinstellung</v>
      </c>
      <c r="N750" s="6" t="str">
        <f>IF(AND(TRIM(I750)="",L750=""),"Suffix not translated ",
   IF(AND(TRIM(I750)&lt;&gt;"",TRIM(L750)&lt;&gt;"",TRIM(I750)&lt;&gt;TRIM(L750)),"Suffix translation &lt;&gt; lookup ", "" ))
&amp;IF(AND(TRIM(J750)="",M750=""),"Description not translated ",
   IF(AND(TRIM(J750)&lt;&gt;"",TRIM(M750)&lt;&gt;"",TRIM(J750)&lt;&gt;TRIM(M750)),"Description translation&lt;&gt; lookup ", "" ))</f>
        <v/>
      </c>
    </row>
    <row r="751" spans="1:17" x14ac:dyDescent="0.25">
      <c r="A751" s="5" t="str">
        <f>IF(TRIM(I751)="","",E751)</f>
        <v/>
      </c>
      <c r="B751" s="5" t="str">
        <f>IF(TRIM(J751)="","",H751)</f>
        <v/>
      </c>
      <c r="C751" s="5" t="str">
        <f>LEFT(F751,FIND(".",F751,6))</f>
        <v>Exif.Nikon3.</v>
      </c>
      <c r="D751" s="5" t="str">
        <f>VLOOKUP(C751,PrefixUebersetzung,2,FALSE)</f>
        <v>Exif.Nikon3.</v>
      </c>
      <c r="E751" s="5" t="str">
        <f>MID(F751,FIND(".",F751,6)+1,99)</f>
        <v>Focus</v>
      </c>
      <c r="F751" s="5" t="s">
        <v>617</v>
      </c>
      <c r="G751" s="5" t="s">
        <v>9666</v>
      </c>
      <c r="H751" s="6" t="s">
        <v>2558</v>
      </c>
      <c r="I751" s="7"/>
      <c r="K751" s="26"/>
      <c r="L751" s="6" t="str">
        <f>IFERROR(VLOOKUP(E751,A:I,9, FALSE),"")</f>
        <v>Fokusmodus</v>
      </c>
      <c r="M751" s="6" t="str">
        <f>IFERROR(VLOOKUP(H751,B:J,9,FALSE),"")</f>
        <v>Fokusmodus</v>
      </c>
      <c r="N751" s="6" t="str">
        <f>IF(AND(TRIM(I751)="",L751=""),"Suffix not translated ",
   IF(AND(TRIM(I751)&lt;&gt;"",TRIM(L751)&lt;&gt;"",TRIM(I751)&lt;&gt;TRIM(L751)),"Suffix translation &lt;&gt; lookup ", "" ))
&amp;IF(AND(TRIM(J751)="",M751=""),"Description not translated ",
   IF(AND(TRIM(J751)&lt;&gt;"",TRIM(M751)&lt;&gt;"",TRIM(J751)&lt;&gt;TRIM(M751)),"Description translation&lt;&gt; lookup ", "" ))</f>
        <v/>
      </c>
    </row>
    <row r="752" spans="1:17" x14ac:dyDescent="0.25">
      <c r="A752" s="5" t="str">
        <f>IF(TRIM(I752)="","",E752)</f>
        <v/>
      </c>
      <c r="B752" s="5" t="str">
        <f>IF(TRIM(J752)="","",H752)</f>
        <v/>
      </c>
      <c r="C752" s="5" t="str">
        <f>LEFT(F752,FIND(".",F752,6))</f>
        <v>Exif.Nikon3.</v>
      </c>
      <c r="D752" s="5" t="str">
        <f>VLOOKUP(C752,PrefixUebersetzung,2,FALSE)</f>
        <v>Exif.Nikon3.</v>
      </c>
      <c r="E752" s="5" t="str">
        <f>MID(F752,FIND(".",F752,6)+1,99)</f>
        <v>FocusDistance</v>
      </c>
      <c r="F752" s="5" t="s">
        <v>618</v>
      </c>
      <c r="G752" s="5" t="s">
        <v>9671</v>
      </c>
      <c r="H752" s="6" t="s">
        <v>2607</v>
      </c>
      <c r="I752" s="7"/>
      <c r="K752" s="26"/>
      <c r="L752" s="6" t="str">
        <f>IFERROR(VLOOKUP(E752,A:I,9, FALSE),"")</f>
        <v>Aufnahmeabstand</v>
      </c>
      <c r="M752" s="6" t="str">
        <f>IFERROR(VLOOKUP(H752,B:J,9,FALSE),"")</f>
        <v>Manuelle Fokus-Entfernung</v>
      </c>
      <c r="N752" s="6" t="str">
        <f>IF(AND(TRIM(I752)="",L752=""),"Suffix not translated ",
   IF(AND(TRIM(I752)&lt;&gt;"",TRIM(L752)&lt;&gt;"",TRIM(I752)&lt;&gt;TRIM(L752)),"Suffix translation &lt;&gt; lookup ", "" ))
&amp;IF(AND(TRIM(J752)="",M752=""),"Description not translated ",
   IF(AND(TRIM(J752)&lt;&gt;"",TRIM(M752)&lt;&gt;"",TRIM(J752)&lt;&gt;TRIM(M752)),"Description translation&lt;&gt; lookup ", "" ))</f>
        <v/>
      </c>
    </row>
    <row r="753" spans="1:17" ht="30" x14ac:dyDescent="0.25">
      <c r="A753" s="5" t="str">
        <f>IF(TRIM(I753)="","",E753)</f>
        <v>HighISONoiseReduction</v>
      </c>
      <c r="B753" s="5" t="str">
        <f>IF(TRIM(J753)="","",H753)</f>
        <v>High ISO Noise Reduction</v>
      </c>
      <c r="C753" s="5" t="str">
        <f>LEFT(F753,FIND(".",F753,6))</f>
        <v>Exif.Nikon3.</v>
      </c>
      <c r="D753" s="5" t="str">
        <f>VLOOKUP(C753,PrefixUebersetzung,2,FALSE)</f>
        <v>Exif.Nikon3.</v>
      </c>
      <c r="E753" s="5" t="str">
        <f>MID(F753,FIND(".",F753,6)+1,99)</f>
        <v>HighISONoiseReduction</v>
      </c>
      <c r="F753" s="5" t="s">
        <v>619</v>
      </c>
      <c r="G753" s="5" t="s">
        <v>9664</v>
      </c>
      <c r="H753" s="6" t="s">
        <v>2636</v>
      </c>
      <c r="I753" s="7" t="s">
        <v>4655</v>
      </c>
      <c r="J753" s="14" t="s">
        <v>5195</v>
      </c>
      <c r="K753" s="26"/>
      <c r="L753" s="6" t="str">
        <f>IFERROR(VLOOKUP(E753,A:I,9, FALSE),"")</f>
        <v>Rauschunterdrück bei ISO+</v>
      </c>
      <c r="M753" s="6" t="str">
        <f>IFERROR(VLOOKUP(H753,B:J,9,FALSE),"")</f>
        <v>Rauschunterdrück bei hohen ISO-Werten</v>
      </c>
      <c r="N753" s="6" t="str">
        <f>IF(AND(TRIM(I753)="",L753=""),"Suffix not translated ",
   IF(AND(TRIM(I753)&lt;&gt;"",TRIM(L753)&lt;&gt;"",TRIM(I753)&lt;&gt;TRIM(L753)),"Suffix translation &lt;&gt; lookup ", "" ))
&amp;IF(AND(TRIM(J753)="",M753=""),"Description not translated ",
   IF(AND(TRIM(J753)&lt;&gt;"",TRIM(M753)&lt;&gt;"",TRIM(J753)&lt;&gt;TRIM(M753)),"Description translation&lt;&gt; lookup ", "" ))</f>
        <v/>
      </c>
      <c r="O753" s="6" t="s">
        <v>8574</v>
      </c>
      <c r="P753" s="6" t="s">
        <v>8574</v>
      </c>
      <c r="Q753" s="6" t="s">
        <v>9342</v>
      </c>
    </row>
    <row r="754" spans="1:17" x14ac:dyDescent="0.25">
      <c r="A754" s="5" t="str">
        <f>IF(TRIM(I754)="","",E754)</f>
        <v>HueAdjustment</v>
      </c>
      <c r="B754" s="5" t="str">
        <f>IF(TRIM(J754)="","",H754)</f>
        <v>Hue adjustment</v>
      </c>
      <c r="C754" s="5" t="str">
        <f>LEFT(F754,FIND(".",F754,6))</f>
        <v>Exif.Nikon3.</v>
      </c>
      <c r="D754" s="5" t="str">
        <f>VLOOKUP(C754,PrefixUebersetzung,2,FALSE)</f>
        <v>Exif.Nikon3.</v>
      </c>
      <c r="E754" s="5" t="str">
        <f>MID(F754,FIND(".",F754,6)+1,99)</f>
        <v>HueAdjustment</v>
      </c>
      <c r="F754" s="5" t="s">
        <v>620</v>
      </c>
      <c r="G754" s="5" t="s">
        <v>9665</v>
      </c>
      <c r="H754" s="6" t="s">
        <v>2637</v>
      </c>
      <c r="I754" s="7" t="s">
        <v>4340</v>
      </c>
      <c r="J754" s="14" t="s">
        <v>4340</v>
      </c>
      <c r="K754" s="26"/>
      <c r="L754" s="6" t="str">
        <f>IFERROR(VLOOKUP(E754,A:I,9, FALSE),"")</f>
        <v>Farbtonanpassung</v>
      </c>
      <c r="M754" s="6" t="str">
        <f>IFERROR(VLOOKUP(H754,B:J,9,FALSE),"")</f>
        <v>Farbtonanpassung</v>
      </c>
      <c r="N754" s="6" t="str">
        <f>IF(AND(TRIM(I754)="",L754=""),"Suffix not translated ",
   IF(AND(TRIM(I754)&lt;&gt;"",TRIM(L754)&lt;&gt;"",TRIM(I754)&lt;&gt;TRIM(L754)),"Suffix translation &lt;&gt; lookup ", "" ))
&amp;IF(AND(TRIM(J754)="",M754=""),"Description not translated ",
   IF(AND(TRIM(J754)&lt;&gt;"",TRIM(M754)&lt;&gt;"",TRIM(J754)&lt;&gt;TRIM(M754)),"Description translation&lt;&gt; lookup ", "" ))</f>
        <v/>
      </c>
      <c r="O754" s="6" t="s">
        <v>8574</v>
      </c>
      <c r="P754" s="6" t="s">
        <v>8574</v>
      </c>
      <c r="Q754" s="6" t="s">
        <v>9105</v>
      </c>
    </row>
    <row r="755" spans="1:17" x14ac:dyDescent="0.25">
      <c r="A755" s="5" t="str">
        <f>IF(TRIM(I755)="","",E755)</f>
        <v>ICCProfile</v>
      </c>
      <c r="B755" s="5" t="str">
        <f>IF(TRIM(J755)="","",H755)</f>
        <v>ICC profile</v>
      </c>
      <c r="C755" s="5" t="str">
        <f>LEFT(F755,FIND(".",F755,6))</f>
        <v>Exif.Nikon3.</v>
      </c>
      <c r="D755" s="5" t="str">
        <f>VLOOKUP(C755,PrefixUebersetzung,2,FALSE)</f>
        <v>Exif.Nikon3.</v>
      </c>
      <c r="E755" s="5" t="str">
        <f>MID(F755,FIND(".",F755,6)+1,99)</f>
        <v>ICCProfile</v>
      </c>
      <c r="F755" s="5" t="s">
        <v>621</v>
      </c>
      <c r="G755" s="5" t="s">
        <v>9669</v>
      </c>
      <c r="H755" s="6" t="s">
        <v>2638</v>
      </c>
      <c r="I755" s="7" t="s">
        <v>3947</v>
      </c>
      <c r="J755" s="14" t="s">
        <v>3947</v>
      </c>
      <c r="K755" s="26"/>
      <c r="L755" s="6" t="str">
        <f>IFERROR(VLOOKUP(E755,A:I,9, FALSE),"")</f>
        <v>ICC-Profil</v>
      </c>
      <c r="N755" s="6" t="str">
        <f>IF(AND(TRIM(I755)="",L755=""),"Suffix not translated ",
   IF(AND(TRIM(I755)&lt;&gt;"",TRIM(L755)&lt;&gt;"",TRIM(I755)&lt;&gt;TRIM(L755)),"Suffix translation &lt;&gt; lookup ", "" ))
&amp;IF(AND(TRIM(J755)="",M755=""),"Description not translated ",
   IF(AND(TRIM(J755)&lt;&gt;"",TRIM(M755)&lt;&gt;"",TRIM(J755)&lt;&gt;TRIM(M755)),"Description translation&lt;&gt; lookup ", "" ))</f>
        <v/>
      </c>
      <c r="O755" s="6" t="s">
        <v>8574</v>
      </c>
      <c r="P755" s="6" t="s">
        <v>8574</v>
      </c>
      <c r="Q755" s="6" t="s">
        <v>3929</v>
      </c>
    </row>
    <row r="756" spans="1:17" x14ac:dyDescent="0.25">
      <c r="A756" s="5" t="str">
        <f>IF(TRIM(I756)="","",E756)</f>
        <v/>
      </c>
      <c r="B756" s="5" t="str">
        <f>IF(TRIM(J756)="","",H756)</f>
        <v/>
      </c>
      <c r="C756" s="5" t="str">
        <f>LEFT(F756,FIND(".",F756,6))</f>
        <v>Exif.Nikon3.</v>
      </c>
      <c r="D756" s="5" t="str">
        <f>VLOOKUP(C756,PrefixUebersetzung,2,FALSE)</f>
        <v>Exif.Nikon3.</v>
      </c>
      <c r="E756" s="5" t="str">
        <f>MID(F756,FIND(".",F756,6)+1,99)</f>
        <v>ImageAdjustment</v>
      </c>
      <c r="F756" s="5" t="s">
        <v>622</v>
      </c>
      <c r="G756" s="5" t="s">
        <v>9666</v>
      </c>
      <c r="H756" s="6" t="s">
        <v>2608</v>
      </c>
      <c r="I756" s="7"/>
      <c r="K756" s="26"/>
      <c r="L756" s="6" t="str">
        <f>IFERROR(VLOOKUP(E756,A:I,9, FALSE),"")</f>
        <v>Bildanpassung</v>
      </c>
      <c r="M756" s="6" t="str">
        <f>IFERROR(VLOOKUP(H756,B:J,9,FALSE),"")</f>
        <v>Einstellung für Bildanpassung</v>
      </c>
      <c r="N756" s="6" t="str">
        <f>IF(AND(TRIM(I756)="",L756=""),"Suffix not translated ",
   IF(AND(TRIM(I756)&lt;&gt;"",TRIM(L756)&lt;&gt;"",TRIM(I756)&lt;&gt;TRIM(L756)),"Suffix translation &lt;&gt; lookup ", "" ))
&amp;IF(AND(TRIM(J756)="",M756=""),"Description not translated ",
   IF(AND(TRIM(J756)&lt;&gt;"",TRIM(M756)&lt;&gt;"",TRIM(J756)&lt;&gt;TRIM(M756)),"Description translation&lt;&gt; lookup ", "" ))</f>
        <v/>
      </c>
    </row>
    <row r="757" spans="1:17" x14ac:dyDescent="0.25">
      <c r="A757" s="5" t="str">
        <f>IF(TRIM(I757)="","",E757)</f>
        <v>ImageAuthentication</v>
      </c>
      <c r="B757" s="5" t="str">
        <f>IF(TRIM(J757)="","",H757)</f>
        <v>Image authentication</v>
      </c>
      <c r="C757" s="5" t="str">
        <f>LEFT(F757,FIND(".",F757,6))</f>
        <v>Exif.Nikon3.</v>
      </c>
      <c r="D757" s="5" t="str">
        <f>VLOOKUP(C757,PrefixUebersetzung,2,FALSE)</f>
        <v>Exif.Nikon3.</v>
      </c>
      <c r="E757" s="5" t="str">
        <f>MID(F757,FIND(".",F757,6)+1,99)</f>
        <v>ImageAuthentication</v>
      </c>
      <c r="F757" s="5" t="s">
        <v>623</v>
      </c>
      <c r="G757" s="5" t="s">
        <v>9670</v>
      </c>
      <c r="H757" s="6" t="s">
        <v>2639</v>
      </c>
      <c r="I757" s="24" t="s">
        <v>3948</v>
      </c>
      <c r="J757" s="8" t="s">
        <v>3948</v>
      </c>
      <c r="K757" s="26"/>
      <c r="N757" s="6" t="str">
        <f>IF(AND(TRIM(I757)="",L757=""),"Suffix not translated ",
   IF(AND(TRIM(I757)&lt;&gt;"",TRIM(L757)&lt;&gt;"",TRIM(I757)&lt;&gt;TRIM(L757)),"Suffix translation &lt;&gt; lookup ", "" ))
&amp;IF(AND(TRIM(J757)="",M757=""),"Description not translated ",
   IF(AND(TRIM(J757)&lt;&gt;"",TRIM(M757)&lt;&gt;"",TRIM(J757)&lt;&gt;TRIM(M757)),"Description translation&lt;&gt; lookup ", "" ))</f>
        <v/>
      </c>
      <c r="O757" s="6" t="s">
        <v>8574</v>
      </c>
      <c r="P757" s="6" t="s">
        <v>8574</v>
      </c>
      <c r="Q757" s="6" t="s">
        <v>9182</v>
      </c>
    </row>
    <row r="758" spans="1:17" x14ac:dyDescent="0.25">
      <c r="A758" s="5" t="str">
        <f>IF(TRIM(I758)="","",E758)</f>
        <v>ImageBoundary</v>
      </c>
      <c r="B758" s="5" t="str">
        <f>IF(TRIM(J758)="","",H758)</f>
        <v>Image boundary</v>
      </c>
      <c r="C758" s="5" t="str">
        <f>LEFT(F758,FIND(".",F758,6))</f>
        <v>Exif.Nikon3.</v>
      </c>
      <c r="D758" s="5" t="str">
        <f>VLOOKUP(C758,PrefixUebersetzung,2,FALSE)</f>
        <v>Exif.Nikon3.</v>
      </c>
      <c r="E758" s="5" t="str">
        <f>MID(F758,FIND(".",F758,6)+1,99)</f>
        <v>ImageBoundary</v>
      </c>
      <c r="F758" s="5" t="s">
        <v>624</v>
      </c>
      <c r="G758" s="5" t="s">
        <v>9664</v>
      </c>
      <c r="H758" s="6" t="s">
        <v>2640</v>
      </c>
      <c r="I758" s="31" t="s">
        <v>4341</v>
      </c>
      <c r="J758" s="14" t="s">
        <v>4341</v>
      </c>
      <c r="K758" s="26"/>
      <c r="N758" s="6" t="str">
        <f>IF(AND(TRIM(I758)="",L758=""),"Suffix not translated ",
   IF(AND(TRIM(I758)&lt;&gt;"",TRIM(L758)&lt;&gt;"",TRIM(I758)&lt;&gt;TRIM(L758)),"Suffix translation &lt;&gt; lookup ", "" ))
&amp;IF(AND(TRIM(J758)="",M758=""),"Description not translated ",
   IF(AND(TRIM(J758)&lt;&gt;"",TRIM(M758)&lt;&gt;"",TRIM(J758)&lt;&gt;TRIM(M758)),"Description translation&lt;&gt; lookup ", "" ))</f>
        <v/>
      </c>
      <c r="O758" s="6" t="s">
        <v>8574</v>
      </c>
      <c r="P758" s="6" t="s">
        <v>8574</v>
      </c>
      <c r="Q758" s="6" t="s">
        <v>9354</v>
      </c>
    </row>
    <row r="759" spans="1:17" x14ac:dyDescent="0.25">
      <c r="A759" s="5" t="str">
        <f>IF(TRIM(I759)="","",E759)</f>
        <v>ImageCount</v>
      </c>
      <c r="B759" s="5" t="str">
        <f>IF(TRIM(J759)="","",H759)</f>
        <v>Image count</v>
      </c>
      <c r="C759" s="5" t="str">
        <f>LEFT(F759,FIND(".",F759,6))</f>
        <v>Exif.Nikon3.</v>
      </c>
      <c r="D759" s="5" t="str">
        <f>VLOOKUP(C759,PrefixUebersetzung,2,FALSE)</f>
        <v>Exif.Nikon3.</v>
      </c>
      <c r="E759" s="5" t="str">
        <f>MID(F759,FIND(".",F759,6)+1,99)</f>
        <v>ImageCount</v>
      </c>
      <c r="F759" s="5" t="s">
        <v>625</v>
      </c>
      <c r="G759" s="5" t="s">
        <v>9667</v>
      </c>
      <c r="H759" s="6" t="s">
        <v>2641</v>
      </c>
      <c r="I759" s="7" t="s">
        <v>4338</v>
      </c>
      <c r="J759" s="14" t="s">
        <v>4338</v>
      </c>
      <c r="K759" s="26"/>
      <c r="N759" s="6" t="str">
        <f>IF(AND(TRIM(I759)="",L759=""),"Suffix not translated ",
   IF(AND(TRIM(I759)&lt;&gt;"",TRIM(L759)&lt;&gt;"",TRIM(I759)&lt;&gt;TRIM(L759)),"Suffix translation &lt;&gt; lookup ", "" ))
&amp;IF(AND(TRIM(J759)="",M759=""),"Description not translated ",
   IF(AND(TRIM(J759)&lt;&gt;"",TRIM(M759)&lt;&gt;"",TRIM(J759)&lt;&gt;TRIM(M759)),"Description translation&lt;&gt; lookup ", "" ))</f>
        <v/>
      </c>
      <c r="O759" s="6" t="s">
        <v>8574</v>
      </c>
      <c r="P759" s="6" t="s">
        <v>8574</v>
      </c>
      <c r="Q759" s="6" t="s">
        <v>9326</v>
      </c>
    </row>
    <row r="760" spans="1:17" x14ac:dyDescent="0.25">
      <c r="A760" s="5" t="str">
        <f>IF(TRIM(I760)="","",E760)</f>
        <v>ImageDataSize</v>
      </c>
      <c r="B760" s="5" t="str">
        <f>IF(TRIM(J760)="","",H760)</f>
        <v>Image data size</v>
      </c>
      <c r="C760" s="5" t="str">
        <f>LEFT(F760,FIND(".",F760,6))</f>
        <v>Exif.Nikon3.</v>
      </c>
      <c r="D760" s="5" t="str">
        <f>VLOOKUP(C760,PrefixUebersetzung,2,FALSE)</f>
        <v>Exif.Nikon3.</v>
      </c>
      <c r="E760" s="5" t="str">
        <f>MID(F760,FIND(".",F760,6)+1,99)</f>
        <v>ImageDataSize</v>
      </c>
      <c r="F760" s="5" t="s">
        <v>626</v>
      </c>
      <c r="G760" s="5" t="s">
        <v>9667</v>
      </c>
      <c r="H760" s="6" t="s">
        <v>2642</v>
      </c>
      <c r="I760" s="31" t="s">
        <v>3949</v>
      </c>
      <c r="J760" s="14" t="s">
        <v>3949</v>
      </c>
      <c r="K760" s="26"/>
      <c r="N760" s="6" t="str">
        <f>IF(AND(TRIM(I760)="",L760=""),"Suffix not translated ",
   IF(AND(TRIM(I760)&lt;&gt;"",TRIM(L760)&lt;&gt;"",TRIM(I760)&lt;&gt;TRIM(L760)),"Suffix translation &lt;&gt; lookup ", "" ))
&amp;IF(AND(TRIM(J760)="",M760=""),"Description not translated ",
   IF(AND(TRIM(J760)&lt;&gt;"",TRIM(M760)&lt;&gt;"",TRIM(J760)&lt;&gt;TRIM(M760)),"Description translation&lt;&gt; lookup ", "" ))</f>
        <v/>
      </c>
      <c r="O760" s="6" t="s">
        <v>8574</v>
      </c>
      <c r="P760" s="6" t="s">
        <v>8574</v>
      </c>
      <c r="Q760" s="6" t="s">
        <v>9356</v>
      </c>
    </row>
    <row r="761" spans="1:17" x14ac:dyDescent="0.25">
      <c r="A761" s="5" t="str">
        <f>IF(TRIM(I761)="","",E761)</f>
        <v>ImageOptimization</v>
      </c>
      <c r="B761" s="5" t="str">
        <f>IF(TRIM(J761)="","",H761)</f>
        <v>Image optimization</v>
      </c>
      <c r="C761" s="5" t="str">
        <f>LEFT(F761,FIND(".",F761,6))</f>
        <v>Exif.Nikon3.</v>
      </c>
      <c r="D761" s="5" t="str">
        <f>VLOOKUP(C761,PrefixUebersetzung,2,FALSE)</f>
        <v>Exif.Nikon3.</v>
      </c>
      <c r="E761" s="5" t="str">
        <f>MID(F761,FIND(".",F761,6)+1,99)</f>
        <v>ImageOptimization</v>
      </c>
      <c r="F761" s="5" t="s">
        <v>627</v>
      </c>
      <c r="G761" s="5" t="s">
        <v>9666</v>
      </c>
      <c r="H761" s="6" t="s">
        <v>2643</v>
      </c>
      <c r="I761" s="31" t="s">
        <v>3950</v>
      </c>
      <c r="J761" s="14" t="s">
        <v>3950</v>
      </c>
      <c r="K761" s="26"/>
      <c r="N761" s="6" t="str">
        <f>IF(AND(TRIM(I761)="",L761=""),"Suffix not translated ",
   IF(AND(TRIM(I761)&lt;&gt;"",TRIM(L761)&lt;&gt;"",TRIM(I761)&lt;&gt;TRIM(L761)),"Suffix translation &lt;&gt; lookup ", "" ))
&amp;IF(AND(TRIM(J761)="",M761=""),"Description not translated ",
   IF(AND(TRIM(J761)&lt;&gt;"",TRIM(M761)&lt;&gt;"",TRIM(J761)&lt;&gt;TRIM(M761)),"Description translation&lt;&gt; lookup ", "" ))</f>
        <v/>
      </c>
      <c r="O761" s="6" t="s">
        <v>8574</v>
      </c>
      <c r="P761" s="6" t="s">
        <v>8574</v>
      </c>
      <c r="Q761" s="6" t="s">
        <v>3950</v>
      </c>
    </row>
    <row r="762" spans="1:17" x14ac:dyDescent="0.25">
      <c r="A762" s="5" t="str">
        <f>IF(TRIM(I762)="","",E762)</f>
        <v>ImageProcessing</v>
      </c>
      <c r="B762" s="5" t="str">
        <f>IF(TRIM(J762)="","",H762)</f>
        <v>Image processing</v>
      </c>
      <c r="C762" s="5" t="str">
        <f>LEFT(F762,FIND(".",F762,6))</f>
        <v>Exif.Nikon3.</v>
      </c>
      <c r="D762" s="5" t="str">
        <f>VLOOKUP(C762,PrefixUebersetzung,2,FALSE)</f>
        <v>Exif.Nikon3.</v>
      </c>
      <c r="E762" s="5" t="str">
        <f>MID(F762,FIND(".",F762,6)+1,99)</f>
        <v>ImageProcessing</v>
      </c>
      <c r="F762" s="5" t="s">
        <v>628</v>
      </c>
      <c r="G762" s="5" t="s">
        <v>9666</v>
      </c>
      <c r="H762" s="6" t="s">
        <v>2644</v>
      </c>
      <c r="I762" s="31" t="s">
        <v>3951</v>
      </c>
      <c r="J762" s="14" t="s">
        <v>3951</v>
      </c>
      <c r="K762" s="26"/>
      <c r="L762" s="6" t="str">
        <f>IFERROR(VLOOKUP(E762,A:I,9, FALSE),"")</f>
        <v>Bildverarbeitung</v>
      </c>
      <c r="M762" s="6" t="str">
        <f>IFERROR(VLOOKUP(H762,B:J,9,FALSE),"")</f>
        <v>Bildverarbeitung</v>
      </c>
      <c r="N762" s="6" t="str">
        <f>IF(AND(TRIM(I762)="",L762=""),"Suffix not translated ",
   IF(AND(TRIM(I762)&lt;&gt;"",TRIM(L762)&lt;&gt;"",TRIM(I762)&lt;&gt;TRIM(L762)),"Suffix translation &lt;&gt; lookup ", "" ))
&amp;IF(AND(TRIM(J762)="",M762=""),"Description not translated ",
   IF(AND(TRIM(J762)&lt;&gt;"",TRIM(M762)&lt;&gt;"",TRIM(J762)&lt;&gt;TRIM(M762)),"Description translation&lt;&gt; lookup ", "" ))</f>
        <v/>
      </c>
      <c r="O762" s="6" t="s">
        <v>8574</v>
      </c>
      <c r="P762" s="6" t="s">
        <v>8574</v>
      </c>
      <c r="Q762" s="6" t="s">
        <v>3951</v>
      </c>
    </row>
    <row r="763" spans="1:17" x14ac:dyDescent="0.25">
      <c r="A763" s="5" t="str">
        <f>IF(TRIM(I763)="","",E763)</f>
        <v/>
      </c>
      <c r="B763" s="5" t="str">
        <f>IF(TRIM(J763)="","",H763)</f>
        <v/>
      </c>
      <c r="C763" s="5" t="str">
        <f>LEFT(F763,FIND(".",F763,6))</f>
        <v>Exif.Nikon3.</v>
      </c>
      <c r="D763" s="5" t="str">
        <f>VLOOKUP(C763,PrefixUebersetzung,2,FALSE)</f>
        <v>Exif.Nikon3.</v>
      </c>
      <c r="E763" s="5" t="str">
        <f>MID(F763,FIND(".",F763,6)+1,99)</f>
        <v>ImageStabilization</v>
      </c>
      <c r="F763" s="5" t="s">
        <v>629</v>
      </c>
      <c r="G763" s="5" t="s">
        <v>9666</v>
      </c>
      <c r="H763" s="6" t="s">
        <v>2198</v>
      </c>
      <c r="K763" s="26"/>
      <c r="L763" s="6" t="str">
        <f>IFERROR(VLOOKUP(E763,A:I,9, FALSE),"")</f>
        <v>Bildstabilisierung</v>
      </c>
      <c r="M763" s="6" t="str">
        <f>IFERROR(VLOOKUP(H763,B:J,9,FALSE),"")</f>
        <v>Bildstabilisierung</v>
      </c>
      <c r="N763" s="6" t="str">
        <f>IF(AND(TRIM(I763)="",L763=""),"Suffix not translated ",
   IF(AND(TRIM(I763)&lt;&gt;"",TRIM(L763)&lt;&gt;"",TRIM(I763)&lt;&gt;TRIM(L763)),"Suffix translation &lt;&gt; lookup ", "" ))
&amp;IF(AND(TRIM(J763)="",M763=""),"Description not translated ",
   IF(AND(TRIM(J763)&lt;&gt;"",TRIM(M763)&lt;&gt;"",TRIM(J763)&lt;&gt;TRIM(M763)),"Description translation&lt;&gt; lookup ", "" ))</f>
        <v/>
      </c>
    </row>
    <row r="764" spans="1:17" x14ac:dyDescent="0.25">
      <c r="A764" s="5" t="str">
        <f>IF(TRIM(I764)="","",E764)</f>
        <v>ISOInfo</v>
      </c>
      <c r="B764" s="5" t="str">
        <f>IF(TRIM(J764)="","",H764)</f>
        <v>ISO info</v>
      </c>
      <c r="C764" s="5" t="str">
        <f>LEFT(F764,FIND(".",F764,6))</f>
        <v>Exif.Nikon3.</v>
      </c>
      <c r="D764" s="5" t="str">
        <f>VLOOKUP(C764,PrefixUebersetzung,2,FALSE)</f>
        <v>Exif.Nikon3.</v>
      </c>
      <c r="E764" s="5" t="str">
        <f>MID(F764,FIND(".",F764,6)+1,99)</f>
        <v>ISOInfo</v>
      </c>
      <c r="F764" s="5" t="s">
        <v>630</v>
      </c>
      <c r="G764" s="5" t="s">
        <v>9669</v>
      </c>
      <c r="H764" s="6" t="s">
        <v>2645</v>
      </c>
      <c r="I764" s="7" t="s">
        <v>4886</v>
      </c>
      <c r="J764" s="14" t="s">
        <v>4886</v>
      </c>
      <c r="K764" s="26"/>
      <c r="N764" s="6" t="str">
        <f>IF(AND(TRIM(I764)="",L764=""),"Suffix not translated ",
   IF(AND(TRIM(I764)&lt;&gt;"",TRIM(L764)&lt;&gt;"",TRIM(I764)&lt;&gt;TRIM(L764)),"Suffix translation &lt;&gt; lookup ", "" ))
&amp;IF(AND(TRIM(J764)="",M764=""),"Description not translated ",
   IF(AND(TRIM(J764)&lt;&gt;"",TRIM(M764)&lt;&gt;"",TRIM(J764)&lt;&gt;TRIM(M764)),"Description translation&lt;&gt; lookup ", "" ))</f>
        <v/>
      </c>
      <c r="O764" s="6" t="s">
        <v>8574</v>
      </c>
      <c r="P764" s="6" t="s">
        <v>8574</v>
      </c>
      <c r="Q764" s="6" t="s">
        <v>3935</v>
      </c>
    </row>
    <row r="765" spans="1:17" x14ac:dyDescent="0.25">
      <c r="A765" s="5" t="str">
        <f>IF(TRIM(I765)="","",E765)</f>
        <v/>
      </c>
      <c r="B765" s="5" t="str">
        <f>IF(TRIM(J765)="","",H765)</f>
        <v/>
      </c>
      <c r="C765" s="5" t="str">
        <f>LEFT(F765,FIND(".",F765,6))</f>
        <v>Exif.Nikon3.</v>
      </c>
      <c r="D765" s="5" t="str">
        <f>VLOOKUP(C765,PrefixUebersetzung,2,FALSE)</f>
        <v>Exif.Nikon3.</v>
      </c>
      <c r="E765" s="5" t="str">
        <f>MID(F765,FIND(".",F765,6)+1,99)</f>
        <v>ISOSelection</v>
      </c>
      <c r="F765" s="5" t="s">
        <v>631</v>
      </c>
      <c r="G765" s="5" t="s">
        <v>9666</v>
      </c>
      <c r="H765" s="6" t="s">
        <v>2609</v>
      </c>
      <c r="K765" s="26"/>
      <c r="L765" s="6" t="str">
        <f>IFERROR(VLOOKUP(E765,A:I,9, FALSE),"")</f>
        <v>ISO Auswahl</v>
      </c>
      <c r="M765" s="6" t="str">
        <f>IFERROR(VLOOKUP(H765,B:J,9,FALSE),"")</f>
        <v>ISO Auswahl</v>
      </c>
      <c r="N765" s="6" t="str">
        <f>IF(AND(TRIM(I765)="",L765=""),"Suffix not translated ",
   IF(AND(TRIM(I765)&lt;&gt;"",TRIM(L765)&lt;&gt;"",TRIM(I765)&lt;&gt;TRIM(L765)),"Suffix translation &lt;&gt; lookup ", "" ))
&amp;IF(AND(TRIM(J765)="",M765=""),"Description not translated ",
   IF(AND(TRIM(J765)&lt;&gt;"",TRIM(M765)&lt;&gt;"",TRIM(J765)&lt;&gt;TRIM(M765)),"Description translation&lt;&gt; lookup ", "" ))</f>
        <v/>
      </c>
    </row>
    <row r="766" spans="1:17" x14ac:dyDescent="0.25">
      <c r="A766" s="5" t="str">
        <f>IF(TRIM(I766)="","",E766)</f>
        <v>ISOSettings</v>
      </c>
      <c r="B766" s="5" t="str">
        <f>IF(TRIM(J766)="","",H766)</f>
        <v/>
      </c>
      <c r="C766" s="5" t="str">
        <f>LEFT(F766,FIND(".",F766,6))</f>
        <v>Exif.Nikon3.</v>
      </c>
      <c r="D766" s="5" t="str">
        <f>VLOOKUP(C766,PrefixUebersetzung,2,FALSE)</f>
        <v>Exif.Nikon3.</v>
      </c>
      <c r="E766" s="5" t="str">
        <f>MID(F766,FIND(".",F766,6)+1,99)</f>
        <v>ISOSettings</v>
      </c>
      <c r="F766" s="5" t="s">
        <v>632</v>
      </c>
      <c r="G766" s="5" t="s">
        <v>9664</v>
      </c>
      <c r="H766" s="6" t="s">
        <v>2593</v>
      </c>
      <c r="I766" s="31" t="s">
        <v>4887</v>
      </c>
      <c r="K766" s="26"/>
      <c r="M766" s="6" t="str">
        <f>IFERROR(VLOOKUP(H766,B:J,9,FALSE),"")</f>
        <v>ISO-Einstellung</v>
      </c>
      <c r="N766" s="6" t="str">
        <f>IF(AND(TRIM(I766)="",L766=""),"Suffix not translated ",
   IF(AND(TRIM(I766)&lt;&gt;"",TRIM(L766)&lt;&gt;"",TRIM(I766)&lt;&gt;TRIM(L766)),"Suffix translation &lt;&gt; lookup ", "" ))
&amp;IF(AND(TRIM(J766)="",M766=""),"Description not translated ",
   IF(AND(TRIM(J766)&lt;&gt;"",TRIM(M766)&lt;&gt;"",TRIM(J766)&lt;&gt;TRIM(M766)),"Description translation&lt;&gt; lookup ", "" ))</f>
        <v/>
      </c>
      <c r="O766" s="6" t="s">
        <v>8574</v>
      </c>
    </row>
    <row r="767" spans="1:17" x14ac:dyDescent="0.25">
      <c r="A767" s="5" t="str">
        <f>IF(TRIM(I767)="","",E767)</f>
        <v/>
      </c>
      <c r="B767" s="5" t="str">
        <f>IF(TRIM(J767)="","",H767)</f>
        <v/>
      </c>
      <c r="C767" s="5" t="str">
        <f>LEFT(F767,FIND(".",F767,6))</f>
        <v>Exif.Nikon3.</v>
      </c>
      <c r="D767" s="5" t="str">
        <f>VLOOKUP(C767,PrefixUebersetzung,2,FALSE)</f>
        <v>Exif.Nikon3.</v>
      </c>
      <c r="E767" s="5" t="str">
        <f>MID(F767,FIND(".",F767,6)+1,99)</f>
        <v>ISOSpeed</v>
      </c>
      <c r="F767" s="5" t="s">
        <v>633</v>
      </c>
      <c r="G767" s="5" t="s">
        <v>9664</v>
      </c>
      <c r="H767" s="6" t="s">
        <v>2199</v>
      </c>
      <c r="K767" s="26"/>
      <c r="L767" s="6" t="str">
        <f>IFERROR(VLOOKUP(E767,A:I,9, FALSE),"")</f>
        <v>ISO-Empfindlichkeit</v>
      </c>
      <c r="M767" s="6" t="str">
        <f>IFERROR(VLOOKUP(H767,B:J,9,FALSE),"")</f>
        <v>ISO-Empfindlichkeit</v>
      </c>
      <c r="N767" s="6"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5" t="str">
        <f>IF(TRIM(I768)="","",E768)</f>
        <v/>
      </c>
      <c r="B768" s="5" t="str">
        <f>IF(TRIM(J768)="","",H768)</f>
        <v>Lens</v>
      </c>
      <c r="C768" s="5" t="str">
        <f>LEFT(F768,FIND(".",F768,6))</f>
        <v>Exif.Nikon3.</v>
      </c>
      <c r="D768" s="5" t="str">
        <f>VLOOKUP(C768,PrefixUebersetzung,2,FALSE)</f>
        <v>Exif.Nikon3.</v>
      </c>
      <c r="E768" s="5" t="str">
        <f>MID(F768,FIND(".",F768,6)+1,99)</f>
        <v>Lens</v>
      </c>
      <c r="F768" s="5" t="s">
        <v>634</v>
      </c>
      <c r="G768" s="5" t="s">
        <v>9671</v>
      </c>
      <c r="H768" s="6" t="s">
        <v>2646</v>
      </c>
      <c r="J768" s="14" t="s">
        <v>3952</v>
      </c>
      <c r="K768" s="26"/>
      <c r="L768" s="6" t="str">
        <f>IFERROR(VLOOKUP(E768,A:I,9, FALSE),"")</f>
        <v>Objektiv</v>
      </c>
      <c r="N768" s="6" t="str">
        <f>IF(AND(TRIM(I768)="",L768=""),"Suffix not translated ",
   IF(AND(TRIM(I768)&lt;&gt;"",TRIM(L768)&lt;&gt;"",TRIM(I768)&lt;&gt;TRIM(L768)),"Suffix translation &lt;&gt; lookup ", "" ))
&amp;IF(AND(TRIM(J768)="",M768=""),"Description not translated ",
   IF(AND(TRIM(J768)&lt;&gt;"",TRIM(M768)&lt;&gt;"",TRIM(J768)&lt;&gt;TRIM(M768)),"Description translation&lt;&gt; lookup ", "" ))</f>
        <v/>
      </c>
      <c r="P768" s="6" t="s">
        <v>8574</v>
      </c>
      <c r="Q768" s="6" t="s">
        <v>9387</v>
      </c>
    </row>
    <row r="769" spans="1:17" x14ac:dyDescent="0.25">
      <c r="A769" s="5" t="str">
        <f>IF(TRIM(I769)="","",E769)</f>
        <v>LensData</v>
      </c>
      <c r="B769" s="5" t="str">
        <f>IF(TRIM(J769)="","",H769)</f>
        <v>Lens data settings</v>
      </c>
      <c r="C769" s="5" t="str">
        <f>LEFT(F769,FIND(".",F769,6))</f>
        <v>Exif.Nikon3.</v>
      </c>
      <c r="D769" s="5" t="str">
        <f>VLOOKUP(C769,PrefixUebersetzung,2,FALSE)</f>
        <v>Exif.Nikon3.</v>
      </c>
      <c r="E769" s="5" t="str">
        <f>MID(F769,FIND(".",F769,6)+1,99)</f>
        <v>LensData</v>
      </c>
      <c r="F769" s="5" t="s">
        <v>635</v>
      </c>
      <c r="G769" s="5" t="s">
        <v>9669</v>
      </c>
      <c r="H769" s="6" t="s">
        <v>2647</v>
      </c>
      <c r="I769" s="7" t="s">
        <v>5127</v>
      </c>
      <c r="J769" s="14" t="s">
        <v>5127</v>
      </c>
      <c r="K769" s="26"/>
      <c r="N769" s="6" t="str">
        <f>IF(AND(TRIM(I769)="",L769=""),"Suffix not translated ",
   IF(AND(TRIM(I769)&lt;&gt;"",TRIM(L769)&lt;&gt;"",TRIM(I769)&lt;&gt;TRIM(L769)),"Suffix translation &lt;&gt; lookup ", "" ))
&amp;IF(AND(TRIM(J769)="",M769=""),"Description not translated ",
   IF(AND(TRIM(J769)&lt;&gt;"",TRIM(M769)&lt;&gt;"",TRIM(J769)&lt;&gt;TRIM(M769)),"Description translation&lt;&gt; lookup ", "" ))</f>
        <v/>
      </c>
      <c r="O769" s="6" t="s">
        <v>8574</v>
      </c>
      <c r="P769" s="6" t="s">
        <v>8574</v>
      </c>
      <c r="Q769" s="6" t="s">
        <v>9389</v>
      </c>
    </row>
    <row r="770" spans="1:17" x14ac:dyDescent="0.25">
      <c r="A770" s="5" t="str">
        <f>IF(TRIM(I770)="","",E770)</f>
        <v>LensFStops</v>
      </c>
      <c r="B770" s="5" t="str">
        <f>IF(TRIM(J770)="","",H770)</f>
        <v>Lens FStops</v>
      </c>
      <c r="C770" s="5" t="str">
        <f>LEFT(F770,FIND(".",F770,6))</f>
        <v>Exif.Nikon3.</v>
      </c>
      <c r="D770" s="5" t="str">
        <f>VLOOKUP(C770,PrefixUebersetzung,2,FALSE)</f>
        <v>Exif.Nikon3.</v>
      </c>
      <c r="E770" s="5" t="str">
        <f>MID(F770,FIND(".",F770,6)+1,99)</f>
        <v>LensFStops</v>
      </c>
      <c r="F770" s="5" t="s">
        <v>636</v>
      </c>
      <c r="G770" s="5" t="s">
        <v>9669</v>
      </c>
      <c r="H770" s="6" t="s">
        <v>2648</v>
      </c>
      <c r="I770" s="7" t="s">
        <v>5128</v>
      </c>
      <c r="J770" s="14" t="s">
        <v>5128</v>
      </c>
      <c r="K770" s="26"/>
      <c r="L770" s="6" t="str">
        <f>IFERROR(VLOOKUP(E770,A:I,9, FALSE),"")</f>
        <v>Objektiv Blendenstufen</v>
      </c>
      <c r="N770" s="6" t="str">
        <f>IF(AND(TRIM(I770)="",L770=""),"Suffix not translated ",
   IF(AND(TRIM(I770)&lt;&gt;"",TRIM(L770)&lt;&gt;"",TRIM(I770)&lt;&gt;TRIM(L770)),"Suffix translation &lt;&gt; lookup ", "" ))
&amp;IF(AND(TRIM(J770)="",M770=""),"Description not translated ",
   IF(AND(TRIM(J770)&lt;&gt;"",TRIM(M770)&lt;&gt;"",TRIM(J770)&lt;&gt;TRIM(M770)),"Description translation&lt;&gt; lookup ", "" ))</f>
        <v/>
      </c>
      <c r="O770" s="6" t="s">
        <v>8574</v>
      </c>
      <c r="P770" s="6" t="s">
        <v>8574</v>
      </c>
      <c r="Q770" s="6" t="s">
        <v>9391</v>
      </c>
    </row>
    <row r="771" spans="1:17" x14ac:dyDescent="0.25">
      <c r="A771" s="5" t="str">
        <f>IF(TRIM(I771)="","",E771)</f>
        <v/>
      </c>
      <c r="B771" s="5" t="str">
        <f>IF(TRIM(J771)="","",H771)</f>
        <v/>
      </c>
      <c r="C771" s="5" t="str">
        <f>LEFT(F771,FIND(".",F771,6))</f>
        <v>Exif.Nikon3.</v>
      </c>
      <c r="D771" s="5" t="str">
        <f>VLOOKUP(C771,PrefixUebersetzung,2,FALSE)</f>
        <v>Exif.Nikon3.</v>
      </c>
      <c r="E771" s="5" t="str">
        <f>MID(F771,FIND(".",F771,6)+1,99)</f>
        <v>LensType</v>
      </c>
      <c r="F771" s="5" t="s">
        <v>637</v>
      </c>
      <c r="G771" s="5" t="s">
        <v>9670</v>
      </c>
      <c r="H771" s="6" t="s">
        <v>2201</v>
      </c>
      <c r="K771" s="26"/>
      <c r="L771" s="6" t="str">
        <f>IFERROR(VLOOKUP(E771,A:I,9, FALSE),"")</f>
        <v>Objektiv Typ</v>
      </c>
      <c r="M771" s="6" t="str">
        <f>IFERROR(VLOOKUP(H771,B:J,9,FALSE),"")</f>
        <v>Objektiv Typ</v>
      </c>
      <c r="N771" s="6"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7" x14ac:dyDescent="0.25">
      <c r="A772" s="5" t="str">
        <f>IF(TRIM(I772)="","",E772)</f>
        <v/>
      </c>
      <c r="B772" s="5" t="str">
        <f>IF(TRIM(J772)="","",H772)</f>
        <v>Light source</v>
      </c>
      <c r="C772" s="5" t="str">
        <f>LEFT(F772,FIND(".",F772,6))</f>
        <v>Exif.Nikon3.</v>
      </c>
      <c r="D772" s="5" t="str">
        <f>VLOOKUP(C772,PrefixUebersetzung,2,FALSE)</f>
        <v>Exif.Nikon3.</v>
      </c>
      <c r="E772" s="5" t="str">
        <f>MID(F772,FIND(".",F772,6)+1,99)</f>
        <v>LightSource</v>
      </c>
      <c r="F772" s="5" t="s">
        <v>638</v>
      </c>
      <c r="G772" s="5" t="s">
        <v>9666</v>
      </c>
      <c r="H772" s="6" t="s">
        <v>2649</v>
      </c>
      <c r="J772" s="14" t="s">
        <v>3953</v>
      </c>
      <c r="K772" s="26"/>
      <c r="L772" s="6" t="str">
        <f>IFERROR(VLOOKUP(E772,A:I,9, FALSE),"")</f>
        <v>Lichtquelle</v>
      </c>
      <c r="M772" s="6" t="str">
        <f>IFERROR(VLOOKUP(H772,B:J,9,FALSE),"")</f>
        <v>Lichtquelle</v>
      </c>
      <c r="N772" s="6" t="str">
        <f>IF(AND(TRIM(I772)="",L772=""),"Suffix not translated ",
   IF(AND(TRIM(I772)&lt;&gt;"",TRIM(L772)&lt;&gt;"",TRIM(I772)&lt;&gt;TRIM(L772)),"Suffix translation &lt;&gt; lookup ", "" ))
&amp;IF(AND(TRIM(J772)="",M772=""),"Description not translated ",
   IF(AND(TRIM(J772)&lt;&gt;"",TRIM(M772)&lt;&gt;"",TRIM(J772)&lt;&gt;TRIM(M772)),"Description translation&lt;&gt; lookup ", "" ))</f>
        <v/>
      </c>
      <c r="P772" s="6" t="s">
        <v>8574</v>
      </c>
      <c r="Q772" s="6" t="s">
        <v>3953</v>
      </c>
    </row>
    <row r="773" spans="1:17" x14ac:dyDescent="0.25">
      <c r="A773" s="5" t="str">
        <f>IF(TRIM(I773)="","",E773)</f>
        <v/>
      </c>
      <c r="B773" s="5" t="str">
        <f>IF(TRIM(J773)="","",H773)</f>
        <v>Linearization table</v>
      </c>
      <c r="C773" s="5" t="str">
        <f>LEFT(F773,FIND(".",F773,6))</f>
        <v>Exif.Nikon3.</v>
      </c>
      <c r="D773" s="5" t="str">
        <f>VLOOKUP(C773,PrefixUebersetzung,2,FALSE)</f>
        <v>Exif.Nikon3.</v>
      </c>
      <c r="E773" s="5" t="str">
        <f>MID(F773,FIND(".",F773,6)+1,99)</f>
        <v>LinearizationTable</v>
      </c>
      <c r="F773" s="5" t="s">
        <v>639</v>
      </c>
      <c r="G773" s="5" t="s">
        <v>9669</v>
      </c>
      <c r="H773" s="6" t="s">
        <v>2650</v>
      </c>
      <c r="I773" s="7"/>
      <c r="J773" s="14" t="s">
        <v>4867</v>
      </c>
      <c r="K773" s="26"/>
      <c r="L773" s="6" t="str">
        <f>IFERROR(VLOOKUP(E773,A:I,9, FALSE),"")</f>
        <v>Linearisierungstabelle</v>
      </c>
      <c r="N773" s="6" t="str">
        <f>IF(AND(TRIM(I773)="",L773=""),"Suffix not translated ",
   IF(AND(TRIM(I773)&lt;&gt;"",TRIM(L773)&lt;&gt;"",TRIM(I773)&lt;&gt;TRIM(L773)),"Suffix translation &lt;&gt; lookup ", "" ))
&amp;IF(AND(TRIM(J773)="",M773=""),"Description not translated ",
   IF(AND(TRIM(J773)&lt;&gt;"",TRIM(M773)&lt;&gt;"",TRIM(J773)&lt;&gt;TRIM(M773)),"Description translation&lt;&gt; lookup ", "" ))</f>
        <v/>
      </c>
      <c r="P773" s="6" t="s">
        <v>8574</v>
      </c>
      <c r="Q773" s="6" t="s">
        <v>4867</v>
      </c>
    </row>
    <row r="774" spans="1:17" x14ac:dyDescent="0.25">
      <c r="A774" s="5" t="str">
        <f>IF(TRIM(I774)="","",E774)</f>
        <v>MultiExposure</v>
      </c>
      <c r="B774" s="5" t="str">
        <f>IF(TRIM(J774)="","",H774)</f>
        <v>Multi exposure</v>
      </c>
      <c r="C774" s="5" t="str">
        <f>LEFT(F774,FIND(".",F774,6))</f>
        <v>Exif.Nikon3.</v>
      </c>
      <c r="D774" s="5" t="str">
        <f>VLOOKUP(C774,PrefixUebersetzung,2,FALSE)</f>
        <v>Exif.Nikon3.</v>
      </c>
      <c r="E774" s="5" t="str">
        <f>MID(F774,FIND(".",F774,6)+1,99)</f>
        <v>MultiExposure</v>
      </c>
      <c r="F774" s="5" t="s">
        <v>640</v>
      </c>
      <c r="G774" s="5" t="s">
        <v>9669</v>
      </c>
      <c r="H774" s="6" t="s">
        <v>2651</v>
      </c>
      <c r="I774" s="31" t="s">
        <v>3954</v>
      </c>
      <c r="J774" s="30" t="s">
        <v>3954</v>
      </c>
      <c r="K774" s="26"/>
      <c r="N774" s="6" t="str">
        <f>IF(AND(TRIM(I774)="",L774=""),"Suffix not translated ",
   IF(AND(TRIM(I774)&lt;&gt;"",TRIM(L774)&lt;&gt;"",TRIM(I774)&lt;&gt;TRIM(L774)),"Suffix translation &lt;&gt; lookup ", "" ))
&amp;IF(AND(TRIM(J774)="",M774=""),"Description not translated ",
   IF(AND(TRIM(J774)&lt;&gt;"",TRIM(M774)&lt;&gt;"",TRIM(J774)&lt;&gt;TRIM(M774)),"Description translation&lt;&gt; lookup ", "" ))</f>
        <v/>
      </c>
      <c r="O774" s="6" t="s">
        <v>8574</v>
      </c>
      <c r="P774" s="6" t="s">
        <v>8574</v>
      </c>
      <c r="Q774" s="6" t="s">
        <v>9156</v>
      </c>
    </row>
    <row r="775" spans="1:17" x14ac:dyDescent="0.25">
      <c r="A775" s="5" t="str">
        <f>IF(TRIM(I775)="","",E775)</f>
        <v>NEFCompression</v>
      </c>
      <c r="B775" s="5" t="str">
        <f>IF(TRIM(J775)="","",H775)</f>
        <v>NEF compression</v>
      </c>
      <c r="C775" s="5" t="str">
        <f>LEFT(F775,FIND(".",F775,6))</f>
        <v>Exif.Nikon3.</v>
      </c>
      <c r="D775" s="5" t="str">
        <f>VLOOKUP(C775,PrefixUebersetzung,2,FALSE)</f>
        <v>Exif.Nikon3.</v>
      </c>
      <c r="E775" s="5" t="str">
        <f>MID(F775,FIND(".",F775,6)+1,99)</f>
        <v>NEFCompression</v>
      </c>
      <c r="F775" s="5" t="s">
        <v>641</v>
      </c>
      <c r="G775" s="5" t="s">
        <v>9664</v>
      </c>
      <c r="H775" s="6" t="s">
        <v>2652</v>
      </c>
      <c r="I775" s="31" t="s">
        <v>3955</v>
      </c>
      <c r="J775" s="14" t="s">
        <v>3955</v>
      </c>
      <c r="K775" s="26"/>
      <c r="N775" s="6" t="str">
        <f>IF(AND(TRIM(I775)="",L775=""),"Suffix not translated ",
   IF(AND(TRIM(I775)&lt;&gt;"",TRIM(L775)&lt;&gt;"",TRIM(I775)&lt;&gt;TRIM(L775)),"Suffix translation &lt;&gt; lookup ", "" ))
&amp;IF(AND(TRIM(J775)="",M775=""),"Description not translated ",
   IF(AND(TRIM(J775)&lt;&gt;"",TRIM(M775)&lt;&gt;"",TRIM(J775)&lt;&gt;TRIM(M775)),"Description translation&lt;&gt; lookup ", "" ))</f>
        <v/>
      </c>
      <c r="O775" s="6" t="s">
        <v>8574</v>
      </c>
      <c r="P775" s="6" t="s">
        <v>8574</v>
      </c>
      <c r="Q775" s="6" t="s">
        <v>9211</v>
      </c>
    </row>
    <row r="776" spans="1:17" x14ac:dyDescent="0.25">
      <c r="A776" s="5" t="str">
        <f>IF(TRIM(I776)="","",E776)</f>
        <v/>
      </c>
      <c r="B776" s="5" t="str">
        <f>IF(TRIM(J776)="","",H776)</f>
        <v/>
      </c>
      <c r="C776" s="5" t="str">
        <f>LEFT(F776,FIND(".",F776,6))</f>
        <v>Exif.Nikon3.</v>
      </c>
      <c r="D776" s="5" t="str">
        <f>VLOOKUP(C776,PrefixUebersetzung,2,FALSE)</f>
        <v>Exif.Nikon3.</v>
      </c>
      <c r="E776" s="5" t="str">
        <f>MID(F776,FIND(".",F776,6)+1,99)</f>
        <v>NoiseReduction</v>
      </c>
      <c r="F776" s="5" t="s">
        <v>642</v>
      </c>
      <c r="G776" s="5" t="s">
        <v>9666</v>
      </c>
      <c r="H776" s="6" t="s">
        <v>2563</v>
      </c>
      <c r="I776" s="7"/>
      <c r="K776" s="26"/>
      <c r="L776" s="6" t="str">
        <f>IFERROR(VLOOKUP(E776,A:I,9, FALSE),"")</f>
        <v xml:space="preserve">Rauschreduzierung </v>
      </c>
      <c r="M776" s="6" t="str">
        <f>IFERROR(VLOOKUP(H776,B:J,9,FALSE),"")</f>
        <v xml:space="preserve">Rauschreduzierung </v>
      </c>
      <c r="N776" s="6" t="str">
        <f>IF(AND(TRIM(I776)="",L776=""),"Suffix not translated ",
   IF(AND(TRIM(I776)&lt;&gt;"",TRIM(L776)&lt;&gt;"",TRIM(I776)&lt;&gt;TRIM(L776)),"Suffix translation &lt;&gt; lookup ", "" ))
&amp;IF(AND(TRIM(J776)="",M776=""),"Description not translated ",
   IF(AND(TRIM(J776)&lt;&gt;"",TRIM(M776)&lt;&gt;"",TRIM(J776)&lt;&gt;TRIM(M776)),"Description translation&lt;&gt; lookup ", "" ))</f>
        <v/>
      </c>
    </row>
    <row r="777" spans="1:17" x14ac:dyDescent="0.25">
      <c r="A777" s="5" t="str">
        <f>IF(TRIM(I777)="","",E777)</f>
        <v>PictureControl</v>
      </c>
      <c r="B777" s="5" t="str">
        <f>IF(TRIM(J777)="","",H777)</f>
        <v xml:space="preserve"> Picture control</v>
      </c>
      <c r="C777" s="5" t="str">
        <f>LEFT(F777,FIND(".",F777,6))</f>
        <v>Exif.Nikon3.</v>
      </c>
      <c r="D777" s="5" t="str">
        <f>VLOOKUP(C777,PrefixUebersetzung,2,FALSE)</f>
        <v>Exif.Nikon3.</v>
      </c>
      <c r="E777" s="5" t="str">
        <f>MID(F777,FIND(".",F777,6)+1,99)</f>
        <v>PictureControl</v>
      </c>
      <c r="F777" s="5" t="s">
        <v>643</v>
      </c>
      <c r="G777" s="5" t="s">
        <v>9669</v>
      </c>
      <c r="H777" s="6" t="s">
        <v>2653</v>
      </c>
      <c r="I777" s="7" t="s">
        <v>4652</v>
      </c>
      <c r="J777" s="14" t="s">
        <v>4652</v>
      </c>
      <c r="K777" s="26"/>
      <c r="N777" s="6" t="str">
        <f>IF(AND(TRIM(I777)="",L777=""),"Suffix not translated ",
   IF(AND(TRIM(I777)&lt;&gt;"",TRIM(L777)&lt;&gt;"",TRIM(I777)&lt;&gt;TRIM(L777)),"Suffix translation &lt;&gt; lookup ", "" ))
&amp;IF(AND(TRIM(J777)="",M777=""),"Description not translated ",
   IF(AND(TRIM(J777)&lt;&gt;"",TRIM(M777)&lt;&gt;"",TRIM(J777)&lt;&gt;TRIM(M777)),"Description translation&lt;&gt; lookup ", "" ))</f>
        <v/>
      </c>
      <c r="O777" s="6" t="s">
        <v>8574</v>
      </c>
      <c r="P777" s="6" t="s">
        <v>8574</v>
      </c>
      <c r="Q777" s="6" t="s">
        <v>9090</v>
      </c>
    </row>
    <row r="778" spans="1:17" ht="30" x14ac:dyDescent="0.25">
      <c r="A778" s="5" t="str">
        <f>IF(TRIM(I778)="","",E778)</f>
        <v>Preview</v>
      </c>
      <c r="B778" s="5" t="str">
        <f>IF(TRIM(J778)="","",H778)</f>
        <v>Offset to an IFD containing a preview image</v>
      </c>
      <c r="C778" s="5" t="str">
        <f>LEFT(F778,FIND(".",F778,6))</f>
        <v>Exif.Nikon3.</v>
      </c>
      <c r="D778" s="5" t="str">
        <f>VLOOKUP(C778,PrefixUebersetzung,2,FALSE)</f>
        <v>Exif.Nikon3.</v>
      </c>
      <c r="E778" s="5" t="str">
        <f>MID(F778,FIND(".",F778,6)+1,99)</f>
        <v>Preview</v>
      </c>
      <c r="F778" s="5" t="s">
        <v>644</v>
      </c>
      <c r="G778" s="5" t="s">
        <v>9669</v>
      </c>
      <c r="H778" s="6" t="s">
        <v>2654</v>
      </c>
      <c r="I778" s="7" t="s">
        <v>4339</v>
      </c>
      <c r="J778" s="14" t="s">
        <v>5215</v>
      </c>
      <c r="K778" s="26"/>
      <c r="L778" s="6" t="str">
        <f>IFERROR(VLOOKUP(E778,A:I,9, FALSE),"")</f>
        <v>Vorschau</v>
      </c>
      <c r="M778" s="6" t="str">
        <f>IFERROR(VLOOKUP(H778,B:J,9,FALSE),"")</f>
        <v>Offset zu einem IFD mit einem Vorschaubild</v>
      </c>
      <c r="N778" s="6" t="str">
        <f>IF(AND(TRIM(I778)="",L778=""),"Suffix not translated ",
   IF(AND(TRIM(I778)&lt;&gt;"",TRIM(L778)&lt;&gt;"",TRIM(I778)&lt;&gt;TRIM(L778)),"Suffix translation &lt;&gt; lookup ", "" ))
&amp;IF(AND(TRIM(J778)="",M778=""),"Description not translated ",
   IF(AND(TRIM(J778)&lt;&gt;"",TRIM(M778)&lt;&gt;"",TRIM(J778)&lt;&gt;TRIM(M778)),"Description translation&lt;&gt; lookup ", "" ))</f>
        <v/>
      </c>
      <c r="O778" s="6" t="s">
        <v>8574</v>
      </c>
      <c r="P778" s="6" t="s">
        <v>8574</v>
      </c>
      <c r="Q778" s="6" t="s">
        <v>9097</v>
      </c>
    </row>
    <row r="779" spans="1:17" x14ac:dyDescent="0.25">
      <c r="A779" s="5" t="str">
        <f>IF(TRIM(I779)="","",E779)</f>
        <v/>
      </c>
      <c r="B779" s="5" t="str">
        <f>IF(TRIM(J779)="","",H779)</f>
        <v/>
      </c>
      <c r="C779" s="5" t="str">
        <f>LEFT(F779,FIND(".",F779,6))</f>
        <v>Exif.Nikon3.</v>
      </c>
      <c r="D779" s="5" t="str">
        <f>VLOOKUP(C779,PrefixUebersetzung,2,FALSE)</f>
        <v>Exif.Nikon3.</v>
      </c>
      <c r="E779" s="5" t="str">
        <f>MID(F779,FIND(".",F779,6)+1,99)</f>
        <v>PrintIM</v>
      </c>
      <c r="F779" s="5" t="s">
        <v>645</v>
      </c>
      <c r="G779" s="5" t="s">
        <v>9669</v>
      </c>
      <c r="H779" s="6" t="s">
        <v>2535</v>
      </c>
      <c r="I779" s="7"/>
      <c r="K779" s="26"/>
      <c r="L779" s="6" t="str">
        <f>IFERROR(VLOOKUP(E779,A:I,9, FALSE),"")</f>
        <v>PrintIM</v>
      </c>
      <c r="M779" s="6" t="str">
        <f>IFERROR(VLOOKUP(H779,B:J,9,FALSE),"")</f>
        <v>PrintIM Informationen</v>
      </c>
      <c r="N779" s="6" t="str">
        <f>IF(AND(TRIM(I779)="",L779=""),"Suffix not translated ",
   IF(AND(TRIM(I779)&lt;&gt;"",TRIM(L779)&lt;&gt;"",TRIM(I779)&lt;&gt;TRIM(L779)),"Suffix translation &lt;&gt; lookup ", "" ))
&amp;IF(AND(TRIM(J779)="",M779=""),"Description not translated ",
   IF(AND(TRIM(J779)&lt;&gt;"",TRIM(M779)&lt;&gt;"",TRIM(J779)&lt;&gt;TRIM(M779)),"Description translation&lt;&gt; lookup ", "" ))</f>
        <v/>
      </c>
    </row>
    <row r="780" spans="1:17" x14ac:dyDescent="0.25">
      <c r="A780" s="5" t="str">
        <f>IF(TRIM(I780)="","",E780)</f>
        <v>ProgramShift</v>
      </c>
      <c r="B780" s="5" t="str">
        <f>IF(TRIM(J780)="","",H780)</f>
        <v>Program shift</v>
      </c>
      <c r="C780" s="5" t="str">
        <f>LEFT(F780,FIND(".",F780,6))</f>
        <v>Exif.Nikon3.</v>
      </c>
      <c r="D780" s="5" t="str">
        <f>VLOOKUP(C780,PrefixUebersetzung,2,FALSE)</f>
        <v>Exif.Nikon3.</v>
      </c>
      <c r="E780" s="5" t="str">
        <f>MID(F780,FIND(".",F780,6)+1,99)</f>
        <v>ProgramShift</v>
      </c>
      <c r="F780" s="5" t="s">
        <v>646</v>
      </c>
      <c r="G780" s="5" t="s">
        <v>9669</v>
      </c>
      <c r="H780" s="6" t="s">
        <v>2655</v>
      </c>
      <c r="I780" s="7" t="s">
        <v>5136</v>
      </c>
      <c r="J780" s="14" t="s">
        <v>5136</v>
      </c>
      <c r="K780" s="26"/>
      <c r="N780" s="6" t="str">
        <f>IF(AND(TRIM(I780)="",L780=""),"Suffix not translated ",
   IF(AND(TRIM(I780)&lt;&gt;"",TRIM(L780)&lt;&gt;"",TRIM(I780)&lt;&gt;TRIM(L780)),"Suffix translation &lt;&gt; lookup ", "" ))
&amp;IF(AND(TRIM(J780)="",M780=""),"Description not translated ",
   IF(AND(TRIM(J780)&lt;&gt;"",TRIM(M780)&lt;&gt;"",TRIM(J780)&lt;&gt;TRIM(M780)),"Description translation&lt;&gt; lookup ", "" ))</f>
        <v/>
      </c>
      <c r="O780" s="6" t="s">
        <v>8574</v>
      </c>
      <c r="P780" s="6" t="s">
        <v>8574</v>
      </c>
      <c r="Q780" s="6" t="s">
        <v>9458</v>
      </c>
    </row>
    <row r="781" spans="1:17" x14ac:dyDescent="0.25">
      <c r="A781" s="5" t="str">
        <f>IF(TRIM(I781)="","",E781)</f>
        <v/>
      </c>
      <c r="B781" s="5" t="str">
        <f>IF(TRIM(J781)="","",H781)</f>
        <v/>
      </c>
      <c r="C781" s="5" t="str">
        <f>LEFT(F781,FIND(".",F781,6))</f>
        <v>Exif.Nikon3.</v>
      </c>
      <c r="D781" s="5" t="str">
        <f>VLOOKUP(C781,PrefixUebersetzung,2,FALSE)</f>
        <v>Exif.Nikon3.</v>
      </c>
      <c r="E781" s="5" t="str">
        <f>MID(F781,FIND(".",F781,6)+1,99)</f>
        <v>Quality</v>
      </c>
      <c r="F781" s="5" t="s">
        <v>647</v>
      </c>
      <c r="G781" s="5" t="s">
        <v>9666</v>
      </c>
      <c r="H781" s="6" t="s">
        <v>2284</v>
      </c>
      <c r="I781" s="7"/>
      <c r="K781" s="26"/>
      <c r="L781" s="6" t="str">
        <f>IFERROR(VLOOKUP(E781,A:I,9, FALSE),"")</f>
        <v>Qualität</v>
      </c>
      <c r="M781" s="6" t="str">
        <f>IFERROR(VLOOKUP(H781,B:J,9,FALSE),"")</f>
        <v>Einstellung der Bildqualität</v>
      </c>
      <c r="N781" s="6" t="str">
        <f>IF(AND(TRIM(I781)="",L781=""),"Suffix not translated ",
   IF(AND(TRIM(I781)&lt;&gt;"",TRIM(L781)&lt;&gt;"",TRIM(I781)&lt;&gt;TRIM(L781)),"Suffix translation &lt;&gt; lookup ", "" ))
&amp;IF(AND(TRIM(J781)="",M781=""),"Description not translated ",
   IF(AND(TRIM(J781)&lt;&gt;"",TRIM(M781)&lt;&gt;"",TRIM(J781)&lt;&gt;TRIM(M781)),"Description translation&lt;&gt; lookup ", "" ))</f>
        <v/>
      </c>
    </row>
    <row r="782" spans="1:17" x14ac:dyDescent="0.25">
      <c r="A782" s="5" t="str">
        <f>IF(TRIM(I782)="","",E782)</f>
        <v>RawImageCenter</v>
      </c>
      <c r="B782" s="5" t="str">
        <f>IF(TRIM(J782)="","",H782)</f>
        <v>Raw image center</v>
      </c>
      <c r="C782" s="5" t="str">
        <f>LEFT(F782,FIND(".",F782,6))</f>
        <v>Exif.Nikon3.</v>
      </c>
      <c r="D782" s="5" t="str">
        <f>VLOOKUP(C782,PrefixUebersetzung,2,FALSE)</f>
        <v>Exif.Nikon3.</v>
      </c>
      <c r="E782" s="5" t="str">
        <f>MID(F782,FIND(".",F782,6)+1,99)</f>
        <v>RawImageCenter</v>
      </c>
      <c r="F782" s="5" t="s">
        <v>648</v>
      </c>
      <c r="G782" s="5" t="s">
        <v>9664</v>
      </c>
      <c r="H782" s="6" t="s">
        <v>2656</v>
      </c>
      <c r="I782" s="7" t="s">
        <v>5165</v>
      </c>
      <c r="J782" s="14" t="s">
        <v>5165</v>
      </c>
      <c r="K782" s="26"/>
      <c r="N782" s="6" t="str">
        <f>IF(AND(TRIM(I782)="",L782=""),"Suffix not translated ",
   IF(AND(TRIM(I782)&lt;&gt;"",TRIM(L782)&lt;&gt;"",TRIM(I782)&lt;&gt;TRIM(L782)),"Suffix translation &lt;&gt; lookup ", "" ))
&amp;IF(AND(TRIM(J782)="",M782=""),"Description not translated ",
   IF(AND(TRIM(J782)&lt;&gt;"",TRIM(M782)&lt;&gt;"",TRIM(J782)&lt;&gt;TRIM(M782)),"Description translation&lt;&gt; lookup ", "" ))</f>
        <v/>
      </c>
      <c r="O782" s="6" t="s">
        <v>8574</v>
      </c>
      <c r="P782" s="6" t="s">
        <v>8574</v>
      </c>
      <c r="Q782" s="6" t="s">
        <v>9404</v>
      </c>
    </row>
    <row r="783" spans="1:17" x14ac:dyDescent="0.25">
      <c r="A783" s="5" t="str">
        <f>IF(TRIM(I783)="","",E783)</f>
        <v>RetouchHistory</v>
      </c>
      <c r="B783" s="5" t="str">
        <f>IF(TRIM(J783)="","",H783)</f>
        <v>Retouch history</v>
      </c>
      <c r="C783" s="5" t="str">
        <f>LEFT(F783,FIND(".",F783,6))</f>
        <v>Exif.Nikon3.</v>
      </c>
      <c r="D783" s="5" t="str">
        <f>VLOOKUP(C783,PrefixUebersetzung,2,FALSE)</f>
        <v>Exif.Nikon3.</v>
      </c>
      <c r="E783" s="5" t="str">
        <f>MID(F783,FIND(".",F783,6)+1,99)</f>
        <v>RetouchHistory</v>
      </c>
      <c r="F783" s="5" t="s">
        <v>649</v>
      </c>
      <c r="G783" s="5" t="s">
        <v>9664</v>
      </c>
      <c r="H783" s="6" t="s">
        <v>2657</v>
      </c>
      <c r="I783" s="7" t="s">
        <v>4342</v>
      </c>
      <c r="J783" s="14" t="s">
        <v>4342</v>
      </c>
      <c r="K783" s="26"/>
      <c r="N783" s="6" t="str">
        <f>IF(AND(TRIM(I783)="",L783=""),"Suffix not translated ",
   IF(AND(TRIM(I783)&lt;&gt;"",TRIM(L783)&lt;&gt;"",TRIM(I783)&lt;&gt;TRIM(L783)),"Suffix translation &lt;&gt; lookup ", "" ))
&amp;IF(AND(TRIM(J783)="",M783=""),"Description not translated ",
   IF(AND(TRIM(J783)&lt;&gt;"",TRIM(M783)&lt;&gt;"",TRIM(J783)&lt;&gt;TRIM(M783)),"Description translation&lt;&gt; lookup ", "" ))</f>
        <v/>
      </c>
      <c r="O783" s="6" t="s">
        <v>8574</v>
      </c>
      <c r="P783" s="6" t="s">
        <v>8574</v>
      </c>
      <c r="Q783" s="6" t="s">
        <v>4640</v>
      </c>
    </row>
    <row r="784" spans="1:17" x14ac:dyDescent="0.25">
      <c r="A784" s="5" t="str">
        <f>IF(TRIM(I784)="","",E784)</f>
        <v/>
      </c>
      <c r="B784" s="5" t="str">
        <f>IF(TRIM(J784)="","",H784)</f>
        <v/>
      </c>
      <c r="C784" s="5" t="str">
        <f>LEFT(F784,FIND(".",F784,6))</f>
        <v>Exif.Nikon3.</v>
      </c>
      <c r="D784" s="5" t="str">
        <f>VLOOKUP(C784,PrefixUebersetzung,2,FALSE)</f>
        <v>Exif.Nikon3.</v>
      </c>
      <c r="E784" s="5" t="str">
        <f>MID(F784,FIND(".",F784,6)+1,99)</f>
        <v>Saturation</v>
      </c>
      <c r="F784" s="5" t="s">
        <v>650</v>
      </c>
      <c r="G784" s="5" t="s">
        <v>9665</v>
      </c>
      <c r="H784" s="6" t="s">
        <v>2567</v>
      </c>
      <c r="K784" s="26"/>
      <c r="L784" s="6" t="str">
        <f>IFERROR(VLOOKUP(E784,A:I,9, FALSE),"")</f>
        <v>Sättigung</v>
      </c>
      <c r="M784" s="6" t="str">
        <f>IFERROR(VLOOKUP(H784,B:J,9,FALSE),"")</f>
        <v>Sättigung</v>
      </c>
      <c r="N784" s="6" t="str">
        <f>IF(AND(TRIM(I784)="",L784=""),"Suffix not translated ",
   IF(AND(TRIM(I784)&lt;&gt;"",TRIM(L784)&lt;&gt;"",TRIM(I784)&lt;&gt;TRIM(L784)),"Suffix translation &lt;&gt; lookup ", "" ))
&amp;IF(AND(TRIM(J784)="",M784=""),"Description not translated ",
   IF(AND(TRIM(J784)&lt;&gt;"",TRIM(M784)&lt;&gt;"",TRIM(J784)&lt;&gt;TRIM(M784)),"Description translation&lt;&gt; lookup ", "" ))</f>
        <v/>
      </c>
    </row>
    <row r="785" spans="1:17" x14ac:dyDescent="0.25">
      <c r="A785" s="5" t="str">
        <f>IF(TRIM(I785)="","",E785)</f>
        <v>ScanIFD</v>
      </c>
      <c r="B785" s="5" t="str">
        <f>IF(TRIM(J785)="","",H785)</f>
        <v>Scan IFD</v>
      </c>
      <c r="C785" s="5" t="str">
        <f>LEFT(F785,FIND(".",F785,6))</f>
        <v>Exif.Nikon3.</v>
      </c>
      <c r="D785" s="5" t="str">
        <f>VLOOKUP(C785,PrefixUebersetzung,2,FALSE)</f>
        <v>Exif.Nikon3.</v>
      </c>
      <c r="E785" s="5" t="str">
        <f>MID(F785,FIND(".",F785,6)+1,99)</f>
        <v>ScanIFD</v>
      </c>
      <c r="F785" s="5" t="s">
        <v>651</v>
      </c>
      <c r="G785" s="5" t="s">
        <v>9669</v>
      </c>
      <c r="H785" s="6" t="s">
        <v>2658</v>
      </c>
      <c r="I785" s="31" t="s">
        <v>2658</v>
      </c>
      <c r="J785" s="14" t="s">
        <v>2658</v>
      </c>
      <c r="K785" s="26"/>
      <c r="N785" s="6" t="str">
        <f>IF(AND(TRIM(I785)="",L785=""),"Suffix not translated ",
   IF(AND(TRIM(I785)&lt;&gt;"",TRIM(L785)&lt;&gt;"",TRIM(I785)&lt;&gt;TRIM(L785)),"Suffix translation &lt;&gt; lookup ", "" ))
&amp;IF(AND(TRIM(J785)="",M785=""),"Description not translated ",
   IF(AND(TRIM(J785)&lt;&gt;"",TRIM(M785)&lt;&gt;"",TRIM(J785)&lt;&gt;TRIM(M785)),"Description translation&lt;&gt; lookup ", "" ))</f>
        <v/>
      </c>
      <c r="O785" s="6" t="s">
        <v>8574</v>
      </c>
      <c r="P785" s="6" t="s">
        <v>8574</v>
      </c>
      <c r="Q785" s="6" t="s">
        <v>9475</v>
      </c>
    </row>
    <row r="786" spans="1:17" x14ac:dyDescent="0.25">
      <c r="A786" s="5" t="str">
        <f>IF(TRIM(I786)="","",E786)</f>
        <v>SceneAssist</v>
      </c>
      <c r="B786" s="5" t="str">
        <f>IF(TRIM(J786)="","",H786)</f>
        <v>Scene assist</v>
      </c>
      <c r="C786" s="5" t="str">
        <f>LEFT(F786,FIND(".",F786,6))</f>
        <v>Exif.Nikon3.</v>
      </c>
      <c r="D786" s="5" t="str">
        <f>VLOOKUP(C786,PrefixUebersetzung,2,FALSE)</f>
        <v>Exif.Nikon3.</v>
      </c>
      <c r="E786" s="5" t="str">
        <f>MID(F786,FIND(".",F786,6)+1,99)</f>
        <v>SceneAssist</v>
      </c>
      <c r="F786" s="5" t="s">
        <v>652</v>
      </c>
      <c r="G786" s="5" t="s">
        <v>9666</v>
      </c>
      <c r="H786" s="6" t="s">
        <v>2659</v>
      </c>
      <c r="I786" s="7" t="s">
        <v>4343</v>
      </c>
      <c r="J786" s="14" t="s">
        <v>4343</v>
      </c>
      <c r="K786" s="26"/>
      <c r="N786" s="6" t="str">
        <f>IF(AND(TRIM(I786)="",L786=""),"Suffix not translated ",
   IF(AND(TRIM(I786)&lt;&gt;"",TRIM(L786)&lt;&gt;"",TRIM(I786)&lt;&gt;TRIM(L786)),"Suffix translation &lt;&gt; lookup ", "" ))
&amp;IF(AND(TRIM(J786)="",M786=""),"Description not translated ",
   IF(AND(TRIM(J786)&lt;&gt;"",TRIM(M786)&lt;&gt;"",TRIM(J786)&lt;&gt;TRIM(M786)),"Description translation&lt;&gt; lookup ", "" ))</f>
        <v/>
      </c>
      <c r="O786" s="6" t="s">
        <v>8574</v>
      </c>
      <c r="P786" s="6" t="s">
        <v>8574</v>
      </c>
      <c r="Q786" s="6" t="s">
        <v>9476</v>
      </c>
    </row>
    <row r="787" spans="1:17" x14ac:dyDescent="0.25">
      <c r="A787" s="5" t="str">
        <f>IF(TRIM(I787)="","",E787)</f>
        <v/>
      </c>
      <c r="B787" s="5" t="str">
        <f>IF(TRIM(J787)="","",H787)</f>
        <v/>
      </c>
      <c r="C787" s="5" t="str">
        <f>LEFT(F787,FIND(".",F787,6))</f>
        <v>Exif.Nikon3.</v>
      </c>
      <c r="D787" s="5" t="str">
        <f>VLOOKUP(C787,PrefixUebersetzung,2,FALSE)</f>
        <v>Exif.Nikon3.</v>
      </c>
      <c r="E787" s="5" t="str">
        <f>MID(F787,FIND(".",F787,6)+1,99)</f>
        <v>SceneMode</v>
      </c>
      <c r="F787" s="5" t="s">
        <v>653</v>
      </c>
      <c r="G787" s="5" t="s">
        <v>9666</v>
      </c>
      <c r="H787" s="6" t="s">
        <v>2660</v>
      </c>
      <c r="I787" s="7"/>
      <c r="K787" s="26"/>
      <c r="L787" s="6" t="str">
        <f>IFERROR(VLOOKUP(E787,A:I,9, FALSE),"")</f>
        <v>Szenenmodus</v>
      </c>
      <c r="M787" s="6" t="str">
        <f>IFERROR(VLOOKUP(H787,B:J,9,FALSE),"")</f>
        <v>Szenenmodus</v>
      </c>
      <c r="N787" s="6"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7" x14ac:dyDescent="0.25">
      <c r="A788" s="5" t="str">
        <f>IF(TRIM(I788)="","",E788)</f>
        <v>SensorPixelSize</v>
      </c>
      <c r="B788" s="5" t="str">
        <f>IF(TRIM(J788)="","",H788)</f>
        <v>Sensor pixel size</v>
      </c>
      <c r="C788" s="5" t="str">
        <f>LEFT(F788,FIND(".",F788,6))</f>
        <v>Exif.Nikon3.</v>
      </c>
      <c r="D788" s="5" t="str">
        <f>VLOOKUP(C788,PrefixUebersetzung,2,FALSE)</f>
        <v>Exif.Nikon3.</v>
      </c>
      <c r="E788" s="5" t="str">
        <f>MID(F788,FIND(".",F788,6)+1,99)</f>
        <v>SensorPixelSize</v>
      </c>
      <c r="F788" s="5" t="s">
        <v>654</v>
      </c>
      <c r="G788" s="5" t="s">
        <v>9671</v>
      </c>
      <c r="H788" s="6" t="s">
        <v>2661</v>
      </c>
      <c r="I788" s="31" t="s">
        <v>3956</v>
      </c>
      <c r="J788" s="14" t="s">
        <v>3956</v>
      </c>
      <c r="K788" s="26"/>
      <c r="N788" s="6" t="str">
        <f>IF(AND(TRIM(I788)="",L788=""),"Suffix not translated ",
   IF(AND(TRIM(I788)&lt;&gt;"",TRIM(L788)&lt;&gt;"",TRIM(I788)&lt;&gt;TRIM(L788)),"Suffix translation &lt;&gt; lookup ", "" ))
&amp;IF(AND(TRIM(J788)="",M788=""),"Description not translated ",
   IF(AND(TRIM(J788)&lt;&gt;"",TRIM(M788)&lt;&gt;"",TRIM(J788)&lt;&gt;TRIM(M788)),"Description translation&lt;&gt; lookup ", "" ))</f>
        <v/>
      </c>
      <c r="O788" s="6" t="s">
        <v>8574</v>
      </c>
      <c r="P788" s="6" t="s">
        <v>8574</v>
      </c>
      <c r="Q788" s="6" t="s">
        <v>9479</v>
      </c>
    </row>
    <row r="789" spans="1:17" ht="30" x14ac:dyDescent="0.25">
      <c r="A789" s="5" t="str">
        <f>IF(TRIM(I789)="","",E789)</f>
        <v>SerialNO</v>
      </c>
      <c r="B789" s="5" t="str">
        <f>IF(TRIM(J789)="","",H789)</f>
        <v>Camera serial number, usually starts with "NO= "</v>
      </c>
      <c r="C789" s="5" t="str">
        <f>LEFT(F789,FIND(".",F789,6))</f>
        <v>Exif.Nikon3.</v>
      </c>
      <c r="D789" s="5" t="str">
        <f>VLOOKUP(C789,PrefixUebersetzung,2,FALSE)</f>
        <v>Exif.Nikon3.</v>
      </c>
      <c r="E789" s="5" t="str">
        <f>MID(F789,FIND(".",F789,6)+1,99)</f>
        <v>SerialNO</v>
      </c>
      <c r="F789" s="5" t="s">
        <v>655</v>
      </c>
      <c r="G789" s="5" t="s">
        <v>9666</v>
      </c>
      <c r="H789" s="6" t="s">
        <v>2662</v>
      </c>
      <c r="I789" s="7" t="s">
        <v>4888</v>
      </c>
      <c r="J789" s="14" t="s">
        <v>3957</v>
      </c>
      <c r="K789" s="26"/>
      <c r="N789" s="6" t="str">
        <f>IF(AND(TRIM(I789)="",L789=""),"Suffix not translated ",
   IF(AND(TRIM(I789)&lt;&gt;"",TRIM(L789)&lt;&gt;"",TRIM(I789)&lt;&gt;TRIM(L789)),"Suffix translation &lt;&gt; lookup ", "" ))
&amp;IF(AND(TRIM(J789)="",M789=""),"Description not translated ",
   IF(AND(TRIM(J789)&lt;&gt;"",TRIM(M789)&lt;&gt;"",TRIM(J789)&lt;&gt;TRIM(M789)),"Description translation&lt;&gt; lookup ", "" ))</f>
        <v/>
      </c>
      <c r="O789" s="6" t="s">
        <v>8574</v>
      </c>
      <c r="P789" s="6" t="s">
        <v>8574</v>
      </c>
    </row>
    <row r="790" spans="1:17" x14ac:dyDescent="0.25">
      <c r="A790" s="5" t="str">
        <f>IF(TRIM(I790)="","",E790)</f>
        <v/>
      </c>
      <c r="B790" s="5" t="str">
        <f>IF(TRIM(J790)="","",H790)</f>
        <v>Serial Number</v>
      </c>
      <c r="C790" s="5" t="str">
        <f>LEFT(F790,FIND(".",F790,6))</f>
        <v>Exif.Nikon3.</v>
      </c>
      <c r="D790" s="5" t="str">
        <f>VLOOKUP(C790,PrefixUebersetzung,2,FALSE)</f>
        <v>Exif.Nikon3.</v>
      </c>
      <c r="E790" s="5" t="str">
        <f>MID(F790,FIND(".",F790,6)+1,99)</f>
        <v>SerialNumber</v>
      </c>
      <c r="F790" s="5" t="s">
        <v>656</v>
      </c>
      <c r="G790" s="5" t="s">
        <v>9666</v>
      </c>
      <c r="H790" s="6" t="s">
        <v>2663</v>
      </c>
      <c r="I790" s="7"/>
      <c r="J790" s="14" t="s">
        <v>3958</v>
      </c>
      <c r="K790" s="26"/>
      <c r="L790" s="6" t="str">
        <f>IFERROR(VLOOKUP(E790,A:I,9, FALSE),"")</f>
        <v>Seriennummer</v>
      </c>
      <c r="M790" s="6" t="str">
        <f>IFERROR(VLOOKUP(H790,B:J,9,FALSE),"")</f>
        <v>Seriennummer</v>
      </c>
      <c r="N790" s="6" t="str">
        <f>IF(AND(TRIM(I790)="",L790=""),"Suffix not translated ",
   IF(AND(TRIM(I790)&lt;&gt;"",TRIM(L790)&lt;&gt;"",TRIM(I790)&lt;&gt;TRIM(L790)),"Suffix translation &lt;&gt; lookup ", "" ))
&amp;IF(AND(TRIM(J790)="",M790=""),"Description not translated ",
   IF(AND(TRIM(J790)&lt;&gt;"",TRIM(M790)&lt;&gt;"",TRIM(J790)&lt;&gt;TRIM(M790)),"Description translation&lt;&gt; lookup ", "" ))</f>
        <v/>
      </c>
      <c r="P790" s="6" t="s">
        <v>8574</v>
      </c>
      <c r="Q790" s="6" t="s">
        <v>3958</v>
      </c>
    </row>
    <row r="791" spans="1:17" x14ac:dyDescent="0.25">
      <c r="A791" s="5" t="str">
        <f>IF(TRIM(I791)="","",E791)</f>
        <v/>
      </c>
      <c r="B791" s="5" t="str">
        <f>IF(TRIM(J791)="","",H791)</f>
        <v/>
      </c>
      <c r="C791" s="5" t="str">
        <f>LEFT(F791,FIND(".",F791,6))</f>
        <v>Exif.Nikon3.</v>
      </c>
      <c r="D791" s="5" t="str">
        <f>VLOOKUP(C791,PrefixUebersetzung,2,FALSE)</f>
        <v>Exif.Nikon3.</v>
      </c>
      <c r="E791" s="5" t="str">
        <f>MID(F791,FIND(".",F791,6)+1,99)</f>
        <v>Sharpening</v>
      </c>
      <c r="F791" s="5" t="s">
        <v>657</v>
      </c>
      <c r="G791" s="5" t="s">
        <v>9666</v>
      </c>
      <c r="H791" s="6" t="s">
        <v>2610</v>
      </c>
      <c r="I791" s="7"/>
      <c r="K791" s="26"/>
      <c r="L791" s="6" t="str">
        <f>IFERROR(VLOOKUP(E791,A:I,9, FALSE),"")</f>
        <v>Scharfzeichnung</v>
      </c>
      <c r="M791" s="6" t="str">
        <f>IFERROR(VLOOKUP(H791,B:J,9,FALSE),"")</f>
        <v>Einstellung für Scharfzeichnung</v>
      </c>
      <c r="N791" s="6"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5" t="str">
        <f>IF(TRIM(I792)="","",E792)</f>
        <v>ShootingMode</v>
      </c>
      <c r="B792" s="5" t="str">
        <f>IF(TRIM(J792)="","",H792)</f>
        <v>Shooting mode</v>
      </c>
      <c r="C792" s="5" t="str">
        <f>LEFT(F792,FIND(".",F792,6))</f>
        <v>Exif.Nikon3.</v>
      </c>
      <c r="D792" s="5" t="str">
        <f>VLOOKUP(C792,PrefixUebersetzung,2,FALSE)</f>
        <v>Exif.Nikon3.</v>
      </c>
      <c r="E792" s="5" t="str">
        <f>MID(F792,FIND(".",F792,6)+1,99)</f>
        <v>ShootingMode</v>
      </c>
      <c r="F792" s="5" t="s">
        <v>658</v>
      </c>
      <c r="G792" s="5" t="s">
        <v>9664</v>
      </c>
      <c r="H792" s="6" t="s">
        <v>2664</v>
      </c>
      <c r="I792" s="31" t="s">
        <v>3959</v>
      </c>
      <c r="J792" s="14" t="s">
        <v>3959</v>
      </c>
      <c r="K792" s="26"/>
      <c r="L792" s="6" t="str">
        <f>IFERROR(VLOOKUP(E792,A:I,9, FALSE),"")</f>
        <v>Aufnahmemodus</v>
      </c>
      <c r="M792" s="6" t="str">
        <f>IFERROR(VLOOKUP(H792,B:J,9,FALSE),"")</f>
        <v>Aufnahmemodus</v>
      </c>
      <c r="N792" s="6" t="str">
        <f>IF(AND(TRIM(I792)="",L792=""),"Suffix not translated ",
   IF(AND(TRIM(I792)&lt;&gt;"",TRIM(L792)&lt;&gt;"",TRIM(I792)&lt;&gt;TRIM(L792)),"Suffix translation &lt;&gt; lookup ", "" ))
&amp;IF(AND(TRIM(J792)="",M792=""),"Description not translated ",
   IF(AND(TRIM(J792)&lt;&gt;"",TRIM(M792)&lt;&gt;"",TRIM(J792)&lt;&gt;TRIM(M792)),"Description translation&lt;&gt; lookup ", "" ))</f>
        <v/>
      </c>
      <c r="O792" s="6" t="s">
        <v>8574</v>
      </c>
      <c r="P792" s="6" t="s">
        <v>8574</v>
      </c>
      <c r="Q792" s="6" t="s">
        <v>3959</v>
      </c>
    </row>
    <row r="793" spans="1:17" ht="30" x14ac:dyDescent="0.25">
      <c r="A793" s="5" t="str">
        <f>IF(TRIM(I793)="","",E793)</f>
        <v/>
      </c>
      <c r="B793" s="5" t="str">
        <f>IF(TRIM(J793)="","",H793)</f>
        <v>Shot info</v>
      </c>
      <c r="C793" s="5" t="str">
        <f>LEFT(F793,FIND(".",F793,6))</f>
        <v>Exif.Nikon3.</v>
      </c>
      <c r="D793" s="5" t="str">
        <f>VLOOKUP(C793,PrefixUebersetzung,2,FALSE)</f>
        <v>Exif.Nikon3.</v>
      </c>
      <c r="E793" s="5" t="str">
        <f>MID(F793,FIND(".",F793,6)+1,99)</f>
        <v>ShotInfo</v>
      </c>
      <c r="F793" s="5" t="s">
        <v>659</v>
      </c>
      <c r="G793" s="5" t="s">
        <v>9669</v>
      </c>
      <c r="H793" s="6" t="s">
        <v>2665</v>
      </c>
      <c r="I793" s="7"/>
      <c r="J793" s="14" t="s">
        <v>4889</v>
      </c>
      <c r="K793" s="26"/>
      <c r="L793" s="6" t="str">
        <f>IFERROR(VLOOKUP(E793,A:I,9, FALSE),"")</f>
        <v>Aufnahmeinformationen</v>
      </c>
      <c r="N793" s="6" t="str">
        <f>IF(AND(TRIM(I793)="",L793=""),"Suffix not translated ",
   IF(AND(TRIM(I793)&lt;&gt;"",TRIM(L793)&lt;&gt;"",TRIM(I793)&lt;&gt;TRIM(L793)),"Suffix translation &lt;&gt; lookup ", "" ))
&amp;IF(AND(TRIM(J793)="",M793=""),"Description not translated ",
   IF(AND(TRIM(J793)&lt;&gt;"",TRIM(M793)&lt;&gt;"",TRIM(J793)&lt;&gt;TRIM(M793)),"Description translation&lt;&gt; lookup ", "" ))</f>
        <v/>
      </c>
      <c r="P793" s="6" t="s">
        <v>8574</v>
      </c>
      <c r="Q793" s="6" t="s">
        <v>9346</v>
      </c>
    </row>
    <row r="794" spans="1:17" x14ac:dyDescent="0.25">
      <c r="A794" s="5" t="str">
        <f>IF(TRIM(I794)="","",E794)</f>
        <v>ShutterCount</v>
      </c>
      <c r="B794" s="5" t="str">
        <f>IF(TRIM(J794)="","",H794)</f>
        <v>Number of shots taken by camera</v>
      </c>
      <c r="C794" s="5" t="str">
        <f>LEFT(F794,FIND(".",F794,6))</f>
        <v>Exif.Nikon3.</v>
      </c>
      <c r="D794" s="5" t="str">
        <f>VLOOKUP(C794,PrefixUebersetzung,2,FALSE)</f>
        <v>Exif.Nikon3.</v>
      </c>
      <c r="E794" s="5" t="str">
        <f>MID(F794,FIND(".",F794,6)+1,99)</f>
        <v>ShutterCount</v>
      </c>
      <c r="F794" s="5" t="s">
        <v>660</v>
      </c>
      <c r="G794" s="5" t="s">
        <v>9667</v>
      </c>
      <c r="H794" s="6" t="s">
        <v>2666</v>
      </c>
      <c r="I794" s="7" t="s">
        <v>4344</v>
      </c>
      <c r="J794" s="14" t="s">
        <v>6640</v>
      </c>
      <c r="K794" s="26"/>
      <c r="L794" s="6" t="str">
        <f>IFERROR(VLOOKUP(E794,A:I,9, FALSE),"")</f>
        <v>Verschlusszähler</v>
      </c>
      <c r="N794" s="6" t="str">
        <f>IF(AND(TRIM(I794)="",L794=""),"Suffix not translated ",
   IF(AND(TRIM(I794)&lt;&gt;"",TRIM(L794)&lt;&gt;"",TRIM(I794)&lt;&gt;TRIM(L794)),"Suffix translation &lt;&gt; lookup ", "" ))
&amp;IF(AND(TRIM(J794)="",M794=""),"Description not translated ",
   IF(AND(TRIM(J794)&lt;&gt;"",TRIM(M794)&lt;&gt;"",TRIM(J794)&lt;&gt;TRIM(M794)),"Description translation&lt;&gt; lookup ", "" ))</f>
        <v/>
      </c>
      <c r="O794" s="6" t="s">
        <v>8574</v>
      </c>
      <c r="P794" s="6" t="s">
        <v>8574</v>
      </c>
      <c r="Q794" s="6" t="s">
        <v>9433</v>
      </c>
    </row>
    <row r="795" spans="1:17" x14ac:dyDescent="0.25">
      <c r="A795" s="5" t="str">
        <f>IF(TRIM(I795)="","",E795)</f>
        <v>ToneComp</v>
      </c>
      <c r="B795" s="5" t="str">
        <f>IF(TRIM(J795)="","",H795)</f>
        <v>Tone compensation</v>
      </c>
      <c r="C795" s="5" t="str">
        <f>LEFT(F795,FIND(".",F795,6))</f>
        <v>Exif.Nikon3.</v>
      </c>
      <c r="D795" s="5" t="str">
        <f>VLOOKUP(C795,PrefixUebersetzung,2,FALSE)</f>
        <v>Exif.Nikon3.</v>
      </c>
      <c r="E795" s="5" t="str">
        <f>MID(F795,FIND(".",F795,6)+1,99)</f>
        <v>ToneComp</v>
      </c>
      <c r="F795" s="5" t="s">
        <v>661</v>
      </c>
      <c r="G795" s="5" t="s">
        <v>9666</v>
      </c>
      <c r="H795" s="6" t="s">
        <v>2667</v>
      </c>
      <c r="I795" s="31" t="s">
        <v>3960</v>
      </c>
      <c r="J795" s="14" t="s">
        <v>3960</v>
      </c>
      <c r="K795" s="26"/>
      <c r="N795" s="6" t="str">
        <f>IF(AND(TRIM(I795)="",L795=""),"Suffix not translated ",
   IF(AND(TRIM(I795)&lt;&gt;"",TRIM(L795)&lt;&gt;"",TRIM(I795)&lt;&gt;TRIM(L795)),"Suffix translation &lt;&gt; lookup ", "" ))
&amp;IF(AND(TRIM(J795)="",M795=""),"Description not translated ",
   IF(AND(TRIM(J795)&lt;&gt;"",TRIM(M795)&lt;&gt;"",TRIM(J795)&lt;&gt;TRIM(M795)),"Description translation&lt;&gt; lookup ", "" ))</f>
        <v/>
      </c>
      <c r="O795" s="6" t="s">
        <v>8574</v>
      </c>
      <c r="P795" s="6" t="s">
        <v>8574</v>
      </c>
      <c r="Q795" s="6" t="s">
        <v>9207</v>
      </c>
    </row>
    <row r="796" spans="1:17" x14ac:dyDescent="0.25">
      <c r="A796" s="5" t="str">
        <f>IF(TRIM(I796)="","",E796)</f>
        <v/>
      </c>
      <c r="B796" s="5" t="str">
        <f>IF(TRIM(J796)="","",H796)</f>
        <v/>
      </c>
      <c r="C796" s="5" t="str">
        <f>LEFT(F796,FIND(".",F796,6))</f>
        <v>Exif.Nikon3.</v>
      </c>
      <c r="D796" s="5" t="str">
        <f>VLOOKUP(C796,PrefixUebersetzung,2,FALSE)</f>
        <v>Exif.Nikon3.</v>
      </c>
      <c r="E796" s="5" t="str">
        <f>MID(F796,FIND(".",F796,6)+1,99)</f>
        <v>ToningEffect</v>
      </c>
      <c r="F796" s="5" t="s">
        <v>662</v>
      </c>
      <c r="G796" s="5" t="s">
        <v>9666</v>
      </c>
      <c r="H796" s="6" t="s">
        <v>2668</v>
      </c>
      <c r="I796" s="7"/>
      <c r="K796" s="26"/>
      <c r="L796" s="6" t="str">
        <f>IFERROR(VLOOKUP(E796,A:I,9, FALSE),"")</f>
        <v>Toneffekt</v>
      </c>
      <c r="M796" s="6" t="str">
        <f>IFERROR(VLOOKUP(H796,B:J,9,FALSE),"")</f>
        <v>Toneffekt</v>
      </c>
      <c r="N796" s="6"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7" x14ac:dyDescent="0.25">
      <c r="A797" s="5" t="str">
        <f>IF(TRIM(I797)="","",E797)</f>
        <v>VariProgram</v>
      </c>
      <c r="B797" s="5" t="str">
        <f>IF(TRIM(J797)="","",H797)</f>
        <v>Program variation</v>
      </c>
      <c r="C797" s="5" t="str">
        <f>LEFT(F797,FIND(".",F797,6))</f>
        <v>Exif.Nikon3.</v>
      </c>
      <c r="D797" s="5" t="str">
        <f>VLOOKUP(C797,PrefixUebersetzung,2,FALSE)</f>
        <v>Exif.Nikon3.</v>
      </c>
      <c r="E797" s="5" t="str">
        <f>MID(F797,FIND(".",F797,6)+1,99)</f>
        <v>VariProgram</v>
      </c>
      <c r="F797" s="5" t="s">
        <v>663</v>
      </c>
      <c r="G797" s="5" t="s">
        <v>9666</v>
      </c>
      <c r="H797" s="6" t="s">
        <v>2669</v>
      </c>
      <c r="I797" s="24" t="s">
        <v>3961</v>
      </c>
      <c r="J797" s="14" t="s">
        <v>3961</v>
      </c>
      <c r="K797" s="26"/>
      <c r="L797" s="6" t="str">
        <f>IFERROR(VLOOKUP(E797,A:I,9, FALSE),"")</f>
        <v>Programm Variation</v>
      </c>
      <c r="N797" s="6" t="str">
        <f>IF(AND(TRIM(I797)="",L797=""),"Suffix not translated ",
   IF(AND(TRIM(I797)&lt;&gt;"",TRIM(L797)&lt;&gt;"",TRIM(I797)&lt;&gt;TRIM(L797)),"Suffix translation &lt;&gt; lookup ", "" ))
&amp;IF(AND(TRIM(J797)="",M797=""),"Description not translated ",
   IF(AND(TRIM(J797)&lt;&gt;"",TRIM(M797)&lt;&gt;"",TRIM(J797)&lt;&gt;TRIM(M797)),"Description translation&lt;&gt; lookup ", "" ))</f>
        <v/>
      </c>
      <c r="O797" s="6" t="s">
        <v>8574</v>
      </c>
      <c r="P797" s="6" t="s">
        <v>8574</v>
      </c>
      <c r="Q797" s="6" t="s">
        <v>9459</v>
      </c>
    </row>
    <row r="798" spans="1:17" x14ac:dyDescent="0.25">
      <c r="A798" s="5" t="str">
        <f>IF(TRIM(I798)="","",E798)</f>
        <v/>
      </c>
      <c r="B798" s="5" t="str">
        <f>IF(TRIM(J798)="","",H798)</f>
        <v/>
      </c>
      <c r="C798" s="5" t="str">
        <f>LEFT(F798,FIND(".",F798,6))</f>
        <v>Exif.Nikon3.</v>
      </c>
      <c r="D798" s="5" t="str">
        <f>VLOOKUP(C798,PrefixUebersetzung,2,FALSE)</f>
        <v>Exif.Nikon3.</v>
      </c>
      <c r="E798" s="5" t="str">
        <f>MID(F798,FIND(".",F798,6)+1,99)</f>
        <v>Version</v>
      </c>
      <c r="F798" s="5" t="s">
        <v>664</v>
      </c>
      <c r="G798" s="5" t="s">
        <v>9669</v>
      </c>
      <c r="H798" s="6" t="s">
        <v>2611</v>
      </c>
      <c r="I798" s="7"/>
      <c r="K798" s="26"/>
      <c r="L798" s="6" t="str">
        <f>IFERROR(VLOOKUP(E798,A:I,9, FALSE),"")</f>
        <v>Version</v>
      </c>
      <c r="M798" s="6" t="str">
        <f>IFERROR(VLOOKUP(H798,B:J,9,FALSE),"")</f>
        <v>Nikon Herstellernotiz Version</v>
      </c>
      <c r="N798" s="6"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7" x14ac:dyDescent="0.25">
      <c r="A799" s="5" t="str">
        <f>IF(TRIM(I799)="","",E799)</f>
        <v>VignetteControl</v>
      </c>
      <c r="B799" s="5" t="str">
        <f>IF(TRIM(J799)="","",H799)</f>
        <v>Vignette control</v>
      </c>
      <c r="C799" s="5" t="str">
        <f>LEFT(F799,FIND(".",F799,6))</f>
        <v>Exif.Nikon3.</v>
      </c>
      <c r="D799" s="5" t="str">
        <f>VLOOKUP(C799,PrefixUebersetzung,2,FALSE)</f>
        <v>Exif.Nikon3.</v>
      </c>
      <c r="E799" s="5" t="str">
        <f>MID(F799,FIND(".",F799,6)+1,99)</f>
        <v>VignetteControl</v>
      </c>
      <c r="F799" s="5" t="s">
        <v>665</v>
      </c>
      <c r="G799" s="5" t="s">
        <v>9664</v>
      </c>
      <c r="H799" s="6" t="s">
        <v>2670</v>
      </c>
      <c r="I799" s="7" t="s">
        <v>4345</v>
      </c>
      <c r="J799" s="14" t="s">
        <v>4345</v>
      </c>
      <c r="K799" s="26"/>
      <c r="N799" s="6" t="str">
        <f>IF(AND(TRIM(I799)="",L799=""),"Suffix not translated ",
   IF(AND(TRIM(I799)&lt;&gt;"",TRIM(L799)&lt;&gt;"",TRIM(I799)&lt;&gt;TRIM(L799)),"Suffix translation &lt;&gt; lookup ", "" ))
&amp;IF(AND(TRIM(J799)="",M799=""),"Description not translated ",
   IF(AND(TRIM(J799)&lt;&gt;"",TRIM(M799)&lt;&gt;"",TRIM(J799)&lt;&gt;TRIM(M799)),"Description translation&lt;&gt; lookup ", "" ))</f>
        <v/>
      </c>
      <c r="O799" s="6" t="s">
        <v>8574</v>
      </c>
      <c r="P799" s="6" t="s">
        <v>8574</v>
      </c>
      <c r="Q799" s="6" t="s">
        <v>9243</v>
      </c>
    </row>
    <row r="800" spans="1:17" x14ac:dyDescent="0.25">
      <c r="A800" s="5" t="str">
        <f>IF(TRIM(I800)="","",E800)</f>
        <v>VRInfo</v>
      </c>
      <c r="B800" s="5" t="str">
        <f>IF(TRIM(J800)="","",H800)</f>
        <v>VR info</v>
      </c>
      <c r="C800" s="5" t="str">
        <f>LEFT(F800,FIND(".",F800,6))</f>
        <v>Exif.Nikon3.</v>
      </c>
      <c r="D800" s="5" t="str">
        <f>VLOOKUP(C800,PrefixUebersetzung,2,FALSE)</f>
        <v>Exif.Nikon3.</v>
      </c>
      <c r="E800" s="5" t="str">
        <f>MID(F800,FIND(".",F800,6)+1,99)</f>
        <v>VRInfo</v>
      </c>
      <c r="F800" s="5" t="s">
        <v>666</v>
      </c>
      <c r="G800" s="5" t="s">
        <v>9669</v>
      </c>
      <c r="H800" s="6" t="s">
        <v>2671</v>
      </c>
      <c r="I800" s="7" t="s">
        <v>4346</v>
      </c>
      <c r="J800" s="14" t="s">
        <v>4346</v>
      </c>
      <c r="K800" s="26"/>
      <c r="N800" s="6" t="str">
        <f>IF(AND(TRIM(I800)="",L800=""),"Suffix not translated ",
   IF(AND(TRIM(I800)&lt;&gt;"",TRIM(L800)&lt;&gt;"",TRIM(I800)&lt;&gt;TRIM(L800)),"Suffix translation &lt;&gt; lookup ", "" ))
&amp;IF(AND(TRIM(J800)="",M800=""),"Description not translated ",
   IF(AND(TRIM(J800)&lt;&gt;"",TRIM(M800)&lt;&gt;"",TRIM(J800)&lt;&gt;TRIM(M800)),"Description translation&lt;&gt; lookup ", "" ))</f>
        <v/>
      </c>
      <c r="O800" s="6" t="s">
        <v>8574</v>
      </c>
      <c r="P800" s="6" t="s">
        <v>8574</v>
      </c>
      <c r="Q800" s="6" t="s">
        <v>9466</v>
      </c>
    </row>
    <row r="801" spans="1:17" x14ac:dyDescent="0.25">
      <c r="A801" s="5" t="str">
        <f>IF(TRIM(I801)="","",E801)</f>
        <v/>
      </c>
      <c r="B801" s="5" t="str">
        <f>IF(TRIM(J801)="","",H801)</f>
        <v/>
      </c>
      <c r="C801" s="5" t="str">
        <f>LEFT(F801,FIND(".",F801,6))</f>
        <v>Exif.Nikon3.</v>
      </c>
      <c r="D801" s="5" t="str">
        <f>VLOOKUP(C801,PrefixUebersetzung,2,FALSE)</f>
        <v>Exif.Nikon3.</v>
      </c>
      <c r="E801" s="5" t="str">
        <f>MID(F801,FIND(".",F801,6)+1,99)</f>
        <v>WB_RBLevels</v>
      </c>
      <c r="F801" s="5" t="s">
        <v>667</v>
      </c>
      <c r="G801" s="5" t="s">
        <v>9671</v>
      </c>
      <c r="H801" s="6" t="s">
        <v>2672</v>
      </c>
      <c r="I801" s="7"/>
      <c r="K801" s="26"/>
      <c r="L801" s="6" t="str">
        <f>IFERROR(VLOOKUP(E801,A:I,9, FALSE),"")</f>
        <v/>
      </c>
      <c r="M801" s="6" t="str">
        <f>IFERROR(VLOOKUP(H801,B:J,9,FALSE),"")</f>
        <v/>
      </c>
      <c r="N801" s="6" t="str">
        <f>IF(AND(TRIM(I801)="",L801=""),"Suffix not translated ",
   IF(AND(TRIM(I801)&lt;&gt;"",TRIM(L801)&lt;&gt;"",TRIM(I801)&lt;&gt;TRIM(L801)),"Suffix translation &lt;&gt; lookup ", "" ))
&amp;IF(AND(TRIM(J801)="",M801=""),"Description not translated ",
   IF(AND(TRIM(J801)&lt;&gt;"",TRIM(M801)&lt;&gt;"",TRIM(J801)&lt;&gt;TRIM(M801)),"Description translation&lt;&gt; lookup ", "" ))</f>
        <v xml:space="preserve">Suffix not translated Description not translated </v>
      </c>
      <c r="O801" s="6" t="s">
        <v>8574</v>
      </c>
      <c r="P801" s="6" t="s">
        <v>8574</v>
      </c>
    </row>
    <row r="802" spans="1:17" x14ac:dyDescent="0.25">
      <c r="A802" s="5" t="str">
        <f>IF(TRIM(I802)="","",E802)</f>
        <v/>
      </c>
      <c r="B802" s="5" t="str">
        <f>IF(TRIM(J802)="","",H802)</f>
        <v/>
      </c>
      <c r="C802" s="5" t="str">
        <f>LEFT(F802,FIND(".",F802,6))</f>
        <v>Exif.Nikon3.</v>
      </c>
      <c r="D802" s="5" t="str">
        <f>VLOOKUP(C802,PrefixUebersetzung,2,FALSE)</f>
        <v>Exif.Nikon3.</v>
      </c>
      <c r="E802" s="5" t="str">
        <f>MID(F802,FIND(".",F802,6)+1,99)</f>
        <v>WhiteBalance</v>
      </c>
      <c r="F802" s="5" t="s">
        <v>668</v>
      </c>
      <c r="G802" s="5" t="s">
        <v>9666</v>
      </c>
      <c r="H802" s="6" t="s">
        <v>2250</v>
      </c>
      <c r="K802" s="26"/>
      <c r="L802" s="6" t="str">
        <f>IFERROR(VLOOKUP(E802,A:I,9, FALSE),"")</f>
        <v>Weißabgleich</v>
      </c>
      <c r="M802" s="6" t="str">
        <f>IFERROR(VLOOKUP(H802,B:J,9,FALSE),"")</f>
        <v>Weißabgleich</v>
      </c>
      <c r="N802" s="6"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5" t="str">
        <f>IF(TRIM(I803)="","",E803)</f>
        <v/>
      </c>
      <c r="B803" s="5" t="str">
        <f>IF(TRIM(J803)="","",H803)</f>
        <v/>
      </c>
      <c r="C803" s="5" t="str">
        <f>LEFT(F803,FIND(".",F803,6))</f>
        <v>Exif.Nikon3.</v>
      </c>
      <c r="D803" s="5" t="str">
        <f>VLOOKUP(C803,PrefixUebersetzung,2,FALSE)</f>
        <v>Exif.Nikon3.</v>
      </c>
      <c r="E803" s="5" t="str">
        <f>MID(F803,FIND(".",F803,6)+1,99)</f>
        <v>WhiteBalanceBias</v>
      </c>
      <c r="F803" s="5" t="s">
        <v>669</v>
      </c>
      <c r="G803" s="5" t="s">
        <v>9665</v>
      </c>
      <c r="H803" s="6" t="s">
        <v>2673</v>
      </c>
      <c r="K803" s="26"/>
      <c r="L803" s="6" t="str">
        <f>IFERROR(VLOOKUP(E803,A:I,9, FALSE),"")</f>
        <v>Weißabgleich Korrektur</v>
      </c>
      <c r="M803" s="6" t="str">
        <f>IFERROR(VLOOKUP(H803,B:J,9,FALSE),"")</f>
        <v>Weißabgleich Korrektur</v>
      </c>
      <c r="N803" s="6"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5" t="str">
        <f>IF(TRIM(I804)="","",E804)</f>
        <v>WorldTime</v>
      </c>
      <c r="B804" s="5" t="str">
        <f>IF(TRIM(J804)="","",H804)</f>
        <v>World time</v>
      </c>
      <c r="C804" s="5" t="str">
        <f>LEFT(F804,FIND(".",F804,6))</f>
        <v>Exif.Nikon3.</v>
      </c>
      <c r="D804" s="5" t="str">
        <f>VLOOKUP(C804,PrefixUebersetzung,2,FALSE)</f>
        <v>Exif.Nikon3.</v>
      </c>
      <c r="E804" s="5" t="str">
        <f>MID(F804,FIND(".",F804,6)+1,99)</f>
        <v>WorldTime</v>
      </c>
      <c r="F804" s="5" t="s">
        <v>670</v>
      </c>
      <c r="G804" s="5" t="s">
        <v>9669</v>
      </c>
      <c r="H804" s="6" t="s">
        <v>2674</v>
      </c>
      <c r="I804" s="31" t="s">
        <v>3962</v>
      </c>
      <c r="J804" s="14" t="s">
        <v>3962</v>
      </c>
      <c r="K804" s="26"/>
      <c r="L804" s="6" t="str">
        <f>IFERROR(VLOOKUP(E804,A:I,9, FALSE),"")</f>
        <v>Weltzeit</v>
      </c>
      <c r="M804" s="6" t="str">
        <f>IFERROR(VLOOKUP(H804,B:J,9,FALSE),"")</f>
        <v>Weltzeit</v>
      </c>
      <c r="N804" s="6" t="str">
        <f>IF(AND(TRIM(I804)="",L804=""),"Suffix not translated ",
   IF(AND(TRIM(I804)&lt;&gt;"",TRIM(L804)&lt;&gt;"",TRIM(I804)&lt;&gt;TRIM(L804)),"Suffix translation &lt;&gt; lookup ", "" ))
&amp;IF(AND(TRIM(J804)="",M804=""),"Description not translated ",
   IF(AND(TRIM(J804)&lt;&gt;"",TRIM(M804)&lt;&gt;"",TRIM(J804)&lt;&gt;TRIM(M804)),"Description translation&lt;&gt; lookup ", "" ))</f>
        <v/>
      </c>
      <c r="O804" s="6" t="s">
        <v>8574</v>
      </c>
      <c r="P804" s="6" t="s">
        <v>8574</v>
      </c>
      <c r="Q804" s="6" t="s">
        <v>3938</v>
      </c>
    </row>
    <row r="805" spans="1:17" x14ac:dyDescent="0.25">
      <c r="A805" s="5" t="str">
        <f>IF(TRIM(I805)="","",E805)</f>
        <v/>
      </c>
      <c r="B805" s="5" t="str">
        <f>IF(TRIM(J805)="","",H805)</f>
        <v/>
      </c>
      <c r="C805" s="5" t="str">
        <f>LEFT(F805,FIND(".",F805,6))</f>
        <v>Exif.NikonAf.</v>
      </c>
      <c r="D805" s="5" t="str">
        <f>VLOOKUP(C805,PrefixUebersetzung,2,FALSE)</f>
        <v>Exif.NikonAf.</v>
      </c>
      <c r="E805" s="5" t="str">
        <f>MID(F805,FIND(".",F805,6)+1,99)</f>
        <v>AFAreaMode</v>
      </c>
      <c r="F805" s="5" t="s">
        <v>671</v>
      </c>
      <c r="G805" s="5" t="s">
        <v>9670</v>
      </c>
      <c r="H805" s="6" t="s">
        <v>2675</v>
      </c>
      <c r="I805" s="7"/>
      <c r="K805" s="26"/>
      <c r="L805" s="6" t="str">
        <f>IFERROR(VLOOKUP(E805,A:I,9, FALSE),"")</f>
        <v>AF Bereich Modus</v>
      </c>
      <c r="M805" s="6" t="str">
        <f>IFERROR(VLOOKUP(H805,B:J,9,FALSE),"")</f>
        <v>AF Bereich Modus</v>
      </c>
      <c r="N805" s="6"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5" t="str">
        <f>IF(TRIM(I806)="","",E806)</f>
        <v/>
      </c>
      <c r="B806" s="5" t="str">
        <f>IF(TRIM(J806)="","",H806)</f>
        <v/>
      </c>
      <c r="C806" s="5" t="str">
        <f>LEFT(F806,FIND(".",F806,6))</f>
        <v>Exif.NikonAf.</v>
      </c>
      <c r="D806" s="5" t="str">
        <f>VLOOKUP(C806,PrefixUebersetzung,2,FALSE)</f>
        <v>Exif.NikonAf.</v>
      </c>
      <c r="E806" s="5" t="str">
        <f>MID(F806,FIND(".",F806,6)+1,99)</f>
        <v>AFPoint</v>
      </c>
      <c r="F806" s="5" t="s">
        <v>672</v>
      </c>
      <c r="G806" s="5" t="s">
        <v>9670</v>
      </c>
      <c r="H806" s="6" t="s">
        <v>2676</v>
      </c>
      <c r="I806" s="7"/>
      <c r="K806" s="26"/>
      <c r="L806" s="6" t="str">
        <f>IFERROR(VLOOKUP(E806,A:I,9, FALSE),"")</f>
        <v>AF Messfeld ausgewählt</v>
      </c>
      <c r="M806" s="6" t="str">
        <f>IFERROR(VLOOKUP(H806,B:J,9,FALSE),"")</f>
        <v>ausgewähltes AF-Messfeld</v>
      </c>
      <c r="N806" s="6"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5" t="str">
        <f>IF(TRIM(I807)="","",E807)</f>
        <v/>
      </c>
      <c r="B807" s="5" t="str">
        <f>IF(TRIM(J807)="","",H807)</f>
        <v/>
      </c>
      <c r="C807" s="5" t="str">
        <f>LEFT(F807,FIND(".",F807,6))</f>
        <v>Exif.NikonAf.</v>
      </c>
      <c r="D807" s="5" t="str">
        <f>VLOOKUP(C807,PrefixUebersetzung,2,FALSE)</f>
        <v>Exif.NikonAf.</v>
      </c>
      <c r="E807" s="5" t="str">
        <f>MID(F807,FIND(".",F807,6)+1,99)</f>
        <v>AFPointsInFocus</v>
      </c>
      <c r="F807" s="5" t="s">
        <v>673</v>
      </c>
      <c r="G807" s="5" t="s">
        <v>9664</v>
      </c>
      <c r="H807" s="6" t="s">
        <v>2677</v>
      </c>
      <c r="K807" s="26"/>
      <c r="L807" s="6" t="str">
        <f>IFERROR(VLOOKUP(E807,A:I,9, FALSE),"")</f>
        <v>AF Messfelder im Fokus</v>
      </c>
      <c r="M807" s="6" t="str">
        <f>IFERROR(VLOOKUP(H807,B:J,9,FALSE),"")</f>
        <v>AF Messfelder im Fokus</v>
      </c>
      <c r="N807" s="6"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x14ac:dyDescent="0.25">
      <c r="A808" s="5" t="str">
        <f>IF(TRIM(I808)="","",E808)</f>
        <v>AFAreaHeight</v>
      </c>
      <c r="B808" s="5" t="str">
        <f>IF(TRIM(J808)="","",H808)</f>
        <v>AF area height</v>
      </c>
      <c r="C808" s="5" t="str">
        <f>LEFT(F808,FIND(".",F808,6))</f>
        <v>Exif.NikonAf2.</v>
      </c>
      <c r="D808" s="5" t="str">
        <f>VLOOKUP(C808,PrefixUebersetzung,2,FALSE)</f>
        <v>Exif.NikonAf2.</v>
      </c>
      <c r="E808" s="5" t="str">
        <f>MID(F808,FIND(".",F808,6)+1,99)</f>
        <v>AFAreaHeight</v>
      </c>
      <c r="F808" s="5" t="s">
        <v>674</v>
      </c>
      <c r="G808" s="5" t="s">
        <v>9664</v>
      </c>
      <c r="H808" s="6" t="s">
        <v>2678</v>
      </c>
      <c r="I808" s="31" t="s">
        <v>4893</v>
      </c>
      <c r="J808" s="14" t="s">
        <v>4893</v>
      </c>
      <c r="K808" s="26"/>
      <c r="L808" s="6" t="str">
        <f>IFERROR(VLOOKUP(E808,A:I,9, FALSE),"")</f>
        <v>AF Bereich Höhe</v>
      </c>
      <c r="M808" s="6" t="str">
        <f>IFERROR(VLOOKUP(H808,B:J,9,FALSE),"")</f>
        <v>AF Bereich Höhe</v>
      </c>
      <c r="N808" s="6" t="str">
        <f>IF(AND(TRIM(I808)="",L808=""),"Suffix not translated ",
   IF(AND(TRIM(I808)&lt;&gt;"",TRIM(L808)&lt;&gt;"",TRIM(I808)&lt;&gt;TRIM(L808)),"Suffix translation &lt;&gt; lookup ", "" ))
&amp;IF(AND(TRIM(J808)="",M808=""),"Description not translated ",
   IF(AND(TRIM(J808)&lt;&gt;"",TRIM(M808)&lt;&gt;"",TRIM(J808)&lt;&gt;TRIM(M808)),"Description translation&lt;&gt; lookup ", "" ))</f>
        <v/>
      </c>
      <c r="O808" s="6" t="s">
        <v>8574</v>
      </c>
      <c r="P808" s="6" t="s">
        <v>8574</v>
      </c>
      <c r="Q808" s="6" t="s">
        <v>9118</v>
      </c>
    </row>
    <row r="809" spans="1:17" x14ac:dyDescent="0.25">
      <c r="A809" s="5" t="str">
        <f>IF(TRIM(I809)="","",E809)</f>
        <v/>
      </c>
      <c r="B809" s="5" t="str">
        <f>IF(TRIM(J809)="","",H809)</f>
        <v/>
      </c>
      <c r="C809" s="5" t="str">
        <f>LEFT(F809,FIND(".",F809,6))</f>
        <v>Exif.NikonAf2.</v>
      </c>
      <c r="D809" s="5" t="str">
        <f>VLOOKUP(C809,PrefixUebersetzung,2,FALSE)</f>
        <v>Exif.NikonAf2.</v>
      </c>
      <c r="E809" s="5" t="str">
        <f>MID(F809,FIND(".",F809,6)+1,99)</f>
        <v>AFAreaMode</v>
      </c>
      <c r="F809" s="5" t="s">
        <v>675</v>
      </c>
      <c r="G809" s="5" t="s">
        <v>9670</v>
      </c>
      <c r="H809" s="6" t="s">
        <v>2675</v>
      </c>
      <c r="I809" s="7"/>
      <c r="K809" s="26"/>
      <c r="L809" s="6" t="str">
        <f>IFERROR(VLOOKUP(E809,A:I,9, FALSE),"")</f>
        <v>AF Bereich Modus</v>
      </c>
      <c r="M809" s="6" t="str">
        <f>IFERROR(VLOOKUP(H809,B:J,9,FALSE),"")</f>
        <v>AF Bereich Modus</v>
      </c>
      <c r="N809" s="6"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5" t="str">
        <f>IF(TRIM(I810)="","",E810)</f>
        <v>AFAreaWidth</v>
      </c>
      <c r="B810" s="5" t="str">
        <f>IF(TRIM(J810)="","",H810)</f>
        <v>AF area width</v>
      </c>
      <c r="C810" s="5" t="str">
        <f>LEFT(F810,FIND(".",F810,6))</f>
        <v>Exif.NikonAf2.</v>
      </c>
      <c r="D810" s="5" t="str">
        <f>VLOOKUP(C810,PrefixUebersetzung,2,FALSE)</f>
        <v>Exif.NikonAf2.</v>
      </c>
      <c r="E810" s="5" t="str">
        <f>MID(F810,FIND(".",F810,6)+1,99)</f>
        <v>AFAreaWidth</v>
      </c>
      <c r="F810" s="5" t="s">
        <v>676</v>
      </c>
      <c r="G810" s="5" t="s">
        <v>9664</v>
      </c>
      <c r="H810" s="6" t="s">
        <v>2679</v>
      </c>
      <c r="I810" s="31" t="s">
        <v>4894</v>
      </c>
      <c r="J810" s="14" t="s">
        <v>4894</v>
      </c>
      <c r="K810" s="26"/>
      <c r="L810" s="6" t="str">
        <f>IFERROR(VLOOKUP(E810,A:I,9, FALSE),"")</f>
        <v>AF Bereich Breite</v>
      </c>
      <c r="M810" s="6" t="str">
        <f>IFERROR(VLOOKUP(H810,B:J,9,FALSE),"")</f>
        <v>AF Bereich Breite</v>
      </c>
      <c r="N810" s="6" t="str">
        <f>IF(AND(TRIM(I810)="",L810=""),"Suffix not translated ",
   IF(AND(TRIM(I810)&lt;&gt;"",TRIM(L810)&lt;&gt;"",TRIM(I810)&lt;&gt;TRIM(L810)),"Suffix translation &lt;&gt; lookup ", "" ))
&amp;IF(AND(TRIM(J810)="",M810=""),"Description not translated ",
   IF(AND(TRIM(J810)&lt;&gt;"",TRIM(M810)&lt;&gt;"",TRIM(J810)&lt;&gt;TRIM(M810)),"Description translation&lt;&gt; lookup ", "" ))</f>
        <v/>
      </c>
      <c r="O810" s="6" t="s">
        <v>8574</v>
      </c>
      <c r="P810" s="6" t="s">
        <v>8574</v>
      </c>
      <c r="Q810" s="6" t="s">
        <v>5217</v>
      </c>
    </row>
    <row r="811" spans="1:17" x14ac:dyDescent="0.25">
      <c r="A811" s="5" t="str">
        <f>IF(TRIM(I811)="","",E811)</f>
        <v>AFAreaXPosition</v>
      </c>
      <c r="B811" s="5" t="str">
        <f>IF(TRIM(J811)="","",H811)</f>
        <v>AF area x position</v>
      </c>
      <c r="C811" s="5" t="str">
        <f>LEFT(F811,FIND(".",F811,6))</f>
        <v>Exif.NikonAf2.</v>
      </c>
      <c r="D811" s="5" t="str">
        <f>VLOOKUP(C811,PrefixUebersetzung,2,FALSE)</f>
        <v>Exif.NikonAf2.</v>
      </c>
      <c r="E811" s="5" t="str">
        <f>MID(F811,FIND(".",F811,6)+1,99)</f>
        <v>AFAreaXPosition</v>
      </c>
      <c r="F811" s="5" t="s">
        <v>677</v>
      </c>
      <c r="G811" s="5" t="s">
        <v>9664</v>
      </c>
      <c r="H811" s="6" t="s">
        <v>2680</v>
      </c>
      <c r="I811" s="31" t="s">
        <v>4895</v>
      </c>
      <c r="J811" s="14" t="s">
        <v>4895</v>
      </c>
      <c r="K811" s="26"/>
      <c r="L811" s="6" t="str">
        <f>IFERROR(VLOOKUP(E811,A:I,9, FALSE),"")</f>
        <v>AF Bereich x-Position</v>
      </c>
      <c r="M811" s="6" t="str">
        <f>IFERROR(VLOOKUP(H811,B:J,9,FALSE),"")</f>
        <v>AF Bereich x-Position</v>
      </c>
      <c r="N811" s="6" t="str">
        <f>IF(AND(TRIM(I811)="",L811=""),"Suffix not translated ",
   IF(AND(TRIM(I811)&lt;&gt;"",TRIM(L811)&lt;&gt;"",TRIM(I811)&lt;&gt;TRIM(L811)),"Suffix translation &lt;&gt; lookup ", "" ))
&amp;IF(AND(TRIM(J811)="",M811=""),"Description not translated ",
   IF(AND(TRIM(J811)&lt;&gt;"",TRIM(M811)&lt;&gt;"",TRIM(J811)&lt;&gt;TRIM(M811)),"Description translation&lt;&gt; lookup ", "" ))</f>
        <v/>
      </c>
      <c r="O811" s="6" t="s">
        <v>8574</v>
      </c>
      <c r="P811" s="6" t="s">
        <v>8574</v>
      </c>
      <c r="Q811" s="6" t="s">
        <v>9106</v>
      </c>
    </row>
    <row r="812" spans="1:17" x14ac:dyDescent="0.25">
      <c r="A812" s="5" t="str">
        <f>IF(TRIM(I812)="","",E812)</f>
        <v>AFAreaYPosition</v>
      </c>
      <c r="B812" s="5" t="str">
        <f>IF(TRIM(J812)="","",H812)</f>
        <v>AF area y position</v>
      </c>
      <c r="C812" s="5" t="str">
        <f>LEFT(F812,FIND(".",F812,6))</f>
        <v>Exif.NikonAf2.</v>
      </c>
      <c r="D812" s="5" t="str">
        <f>VLOOKUP(C812,PrefixUebersetzung,2,FALSE)</f>
        <v>Exif.NikonAf2.</v>
      </c>
      <c r="E812" s="5" t="str">
        <f>MID(F812,FIND(".",F812,6)+1,99)</f>
        <v>AFAreaYPosition</v>
      </c>
      <c r="F812" s="5" t="s">
        <v>678</v>
      </c>
      <c r="G812" s="5" t="s">
        <v>9664</v>
      </c>
      <c r="H812" s="6" t="s">
        <v>2681</v>
      </c>
      <c r="I812" s="31" t="s">
        <v>4896</v>
      </c>
      <c r="J812" s="14" t="s">
        <v>4896</v>
      </c>
      <c r="K812" s="26"/>
      <c r="L812" s="6" t="str">
        <f>IFERROR(VLOOKUP(E812,A:I,9, FALSE),"")</f>
        <v>AF Bereich y-Position</v>
      </c>
      <c r="M812" s="6" t="str">
        <f>IFERROR(VLOOKUP(H812,B:J,9,FALSE),"")</f>
        <v>AF Bereich y-Position</v>
      </c>
      <c r="N812" s="6" t="str">
        <f>IF(AND(TRIM(I812)="",L812=""),"Suffix not translated ",
   IF(AND(TRIM(I812)&lt;&gt;"",TRIM(L812)&lt;&gt;"",TRIM(I812)&lt;&gt;TRIM(L812)),"Suffix translation &lt;&gt; lookup ", "" ))
&amp;IF(AND(TRIM(J812)="",M812=""),"Description not translated ",
   IF(AND(TRIM(J812)&lt;&gt;"",TRIM(M812)&lt;&gt;"",TRIM(J812)&lt;&gt;TRIM(M812)),"Description translation&lt;&gt; lookup ", "" ))</f>
        <v/>
      </c>
      <c r="O812" s="6" t="s">
        <v>8574</v>
      </c>
      <c r="P812" s="6" t="s">
        <v>8574</v>
      </c>
      <c r="Q812" s="6" t="s">
        <v>9106</v>
      </c>
    </row>
    <row r="813" spans="1:17" x14ac:dyDescent="0.25">
      <c r="A813" s="5" t="str">
        <f>IF(TRIM(I813)="","",E813)</f>
        <v/>
      </c>
      <c r="B813" s="5" t="str">
        <f>IF(TRIM(J813)="","",H813)</f>
        <v>AF image height</v>
      </c>
      <c r="C813" s="5" t="str">
        <f>LEFT(F813,FIND(".",F813,6))</f>
        <v>Exif.NikonAf2.</v>
      </c>
      <c r="D813" s="5" t="str">
        <f>VLOOKUP(C813,PrefixUebersetzung,2,FALSE)</f>
        <v>Exif.NikonAf2.</v>
      </c>
      <c r="E813" s="5" t="str">
        <f>MID(F813,FIND(".",F813,6)+1,99)</f>
        <v>AFImageHeight</v>
      </c>
      <c r="F813" s="5" t="s">
        <v>679</v>
      </c>
      <c r="G813" s="5" t="s">
        <v>9664</v>
      </c>
      <c r="H813" s="6" t="s">
        <v>2682</v>
      </c>
      <c r="J813" s="14" t="s">
        <v>3963</v>
      </c>
      <c r="K813" s="26"/>
      <c r="L813" s="6" t="str">
        <f>IFERROR(VLOOKUP(E813,A:I,9, FALSE),"")</f>
        <v>AF Bildhöhe</v>
      </c>
      <c r="M813" s="6" t="str">
        <f>IFERROR(VLOOKUP(H813,B:J,9,FALSE),"")</f>
        <v>AF Bildhöhe</v>
      </c>
      <c r="N813" s="6" t="str">
        <f>IF(AND(TRIM(I813)="",L813=""),"Suffix not translated ",
   IF(AND(TRIM(I813)&lt;&gt;"",TRIM(L813)&lt;&gt;"",TRIM(I813)&lt;&gt;TRIM(L813)),"Suffix translation &lt;&gt; lookup ", "" ))
&amp;IF(AND(TRIM(J813)="",M813=""),"Description not translated ",
   IF(AND(TRIM(J813)&lt;&gt;"",TRIM(M813)&lt;&gt;"",TRIM(J813)&lt;&gt;TRIM(M813)),"Description translation&lt;&gt; lookup ", "" ))</f>
        <v/>
      </c>
      <c r="P813" s="6" t="s">
        <v>8574</v>
      </c>
      <c r="Q813" s="6" t="s">
        <v>9110</v>
      </c>
    </row>
    <row r="814" spans="1:17" x14ac:dyDescent="0.25">
      <c r="A814" s="5" t="str">
        <f>IF(TRIM(I814)="","",E814)</f>
        <v/>
      </c>
      <c r="B814" s="5" t="str">
        <f>IF(TRIM(J814)="","",H814)</f>
        <v>AF image width</v>
      </c>
      <c r="C814" s="5" t="str">
        <f>LEFT(F814,FIND(".",F814,6))</f>
        <v>Exif.NikonAf2.</v>
      </c>
      <c r="D814" s="5" t="str">
        <f>VLOOKUP(C814,PrefixUebersetzung,2,FALSE)</f>
        <v>Exif.NikonAf2.</v>
      </c>
      <c r="E814" s="5" t="str">
        <f>MID(F814,FIND(".",F814,6)+1,99)</f>
        <v>AFImageWidth</v>
      </c>
      <c r="F814" s="5" t="s">
        <v>680</v>
      </c>
      <c r="G814" s="5" t="s">
        <v>9664</v>
      </c>
      <c r="H814" s="6" t="s">
        <v>2683</v>
      </c>
      <c r="J814" s="14" t="s">
        <v>3964</v>
      </c>
      <c r="K814" s="26"/>
      <c r="L814" s="6" t="str">
        <f>IFERROR(VLOOKUP(E814,A:I,9, FALSE),"")</f>
        <v>AF Bildbreite</v>
      </c>
      <c r="M814" s="6" t="str">
        <f>IFERROR(VLOOKUP(H814,B:J,9,FALSE),"")</f>
        <v>AF Bildbreite</v>
      </c>
      <c r="N814" s="6" t="str">
        <f>IF(AND(TRIM(I814)="",L814=""),"Suffix not translated ",
   IF(AND(TRIM(I814)&lt;&gt;"",TRIM(L814)&lt;&gt;"",TRIM(I814)&lt;&gt;TRIM(L814)),"Suffix translation &lt;&gt; lookup ", "" ))
&amp;IF(AND(TRIM(J814)="",M814=""),"Description not translated ",
   IF(AND(TRIM(J814)&lt;&gt;"",TRIM(M814)&lt;&gt;"",TRIM(J814)&lt;&gt;TRIM(M814)),"Description translation&lt;&gt; lookup ", "" ))</f>
        <v/>
      </c>
      <c r="P814" s="6" t="s">
        <v>8574</v>
      </c>
      <c r="Q814" s="6" t="s">
        <v>3797</v>
      </c>
    </row>
    <row r="815" spans="1:17" ht="30" x14ac:dyDescent="0.25">
      <c r="A815" s="5" t="str">
        <f>IF(TRIM(I815)="","",E815)</f>
        <v/>
      </c>
      <c r="B815" s="5" t="str">
        <f>IF(TRIM(J815)="","",H815)</f>
        <v/>
      </c>
      <c r="C815" s="5" t="str">
        <f>LEFT(F815,FIND(".",F815,6))</f>
        <v>Exif.NikonAf2.</v>
      </c>
      <c r="D815" s="5" t="str">
        <f>VLOOKUP(C815,PrefixUebersetzung,2,FALSE)</f>
        <v>Exif.NikonAf2.</v>
      </c>
      <c r="E815" s="5" t="str">
        <f>MID(F815,FIND(".",F815,6)+1,99)</f>
        <v>AFPointsUsed</v>
      </c>
      <c r="F815" s="5" t="s">
        <v>681</v>
      </c>
      <c r="G815" s="5" t="s">
        <v>9670</v>
      </c>
      <c r="H815" s="6" t="s">
        <v>2234</v>
      </c>
      <c r="I815" s="7"/>
      <c r="K815" s="26"/>
      <c r="L815" s="6" t="str">
        <f>IFERROR(VLOOKUP(E815,A:I,9, FALSE),"")</f>
        <v>AF Messfelder verwendet</v>
      </c>
      <c r="M815" s="6" t="str">
        <f>IFERROR(VLOOKUP(H815,B:J,9,FALSE),"")</f>
        <v xml:space="preserve">verwendete AF-Messfelder </v>
      </c>
      <c r="N815" s="6" t="str">
        <f>IF(AND(TRIM(I815)="",L815=""),"Suffix not translated ",
   IF(AND(TRIM(I815)&lt;&gt;"",TRIM(L815)&lt;&gt;"",TRIM(I815)&lt;&gt;TRIM(L815)),"Suffix translation &lt;&gt; lookup ", "" ))
&amp;IF(AND(TRIM(J815)="",M815=""),"Description not translated ",
   IF(AND(TRIM(J815)&lt;&gt;"",TRIM(M815)&lt;&gt;"",TRIM(J815)&lt;&gt;TRIM(M815)),"Description translation&lt;&gt; lookup ", "" ))</f>
        <v/>
      </c>
    </row>
    <row r="816" spans="1:17" x14ac:dyDescent="0.25">
      <c r="A816" s="5" t="str">
        <f>IF(TRIM(I816)="","",E816)</f>
        <v>ContrastDetectAF</v>
      </c>
      <c r="B816" s="5" t="str">
        <f>IF(TRIM(J816)="","",H816)</f>
        <v>Contrast detect AF</v>
      </c>
      <c r="C816" s="5" t="str">
        <f>LEFT(F816,FIND(".",F816,6))</f>
        <v>Exif.NikonAf2.</v>
      </c>
      <c r="D816" s="5" t="str">
        <f>VLOOKUP(C816,PrefixUebersetzung,2,FALSE)</f>
        <v>Exif.NikonAf2.</v>
      </c>
      <c r="E816" s="5" t="str">
        <f>MID(F816,FIND(".",F816,6)+1,99)</f>
        <v>ContrastDetectAF</v>
      </c>
      <c r="F816" s="5" t="s">
        <v>682</v>
      </c>
      <c r="G816" s="5" t="s">
        <v>9670</v>
      </c>
      <c r="H816" s="6" t="s">
        <v>2684</v>
      </c>
      <c r="I816" s="7" t="s">
        <v>4348</v>
      </c>
      <c r="J816" s="14" t="s">
        <v>4348</v>
      </c>
      <c r="K816" s="26"/>
      <c r="L816" s="6" t="str">
        <f>IFERROR(VLOOKUP(E816,A:I,9, FALSE),"")</f>
        <v>Kontrasterkennung-AF</v>
      </c>
      <c r="M816" s="6" t="str">
        <f>IFERROR(VLOOKUP(H816,B:J,9,FALSE),"")</f>
        <v>Kontrasterkennung-AF</v>
      </c>
      <c r="N816" s="6" t="str">
        <f>IF(AND(TRIM(I816)="",L816=""),"Suffix not translated ",
   IF(AND(TRIM(I816)&lt;&gt;"",TRIM(L816)&lt;&gt;"",TRIM(I816)&lt;&gt;TRIM(L816)),"Suffix translation &lt;&gt; lookup ", "" ))
&amp;IF(AND(TRIM(J816)="",M816=""),"Description not translated ",
   IF(AND(TRIM(J816)&lt;&gt;"",TRIM(M816)&lt;&gt;"",TRIM(J816)&lt;&gt;TRIM(M816)),"Description translation&lt;&gt; lookup ", "" ))</f>
        <v/>
      </c>
      <c r="O816" s="6" t="s">
        <v>8574</v>
      </c>
      <c r="P816" s="6" t="s">
        <v>8574</v>
      </c>
      <c r="Q816" s="6" t="s">
        <v>9220</v>
      </c>
    </row>
    <row r="817" spans="1:17" ht="30" x14ac:dyDescent="0.25">
      <c r="A817" s="5" t="str">
        <f>IF(TRIM(I817)="","",E817)</f>
        <v>ContrastDetectAFInFocus</v>
      </c>
      <c r="B817" s="5" t="str">
        <f>IF(TRIM(J817)="","",H817)</f>
        <v>Contrast detect AF in focus</v>
      </c>
      <c r="C817" s="5" t="str">
        <f>LEFT(F817,FIND(".",F817,6))</f>
        <v>Exif.NikonAf2.</v>
      </c>
      <c r="D817" s="5" t="str">
        <f>VLOOKUP(C817,PrefixUebersetzung,2,FALSE)</f>
        <v>Exif.NikonAf2.</v>
      </c>
      <c r="E817" s="5" t="str">
        <f>MID(F817,FIND(".",F817,6)+1,99)</f>
        <v>ContrastDetectAFInFocus</v>
      </c>
      <c r="F817" s="5" t="s">
        <v>683</v>
      </c>
      <c r="G817" s="5" t="s">
        <v>9664</v>
      </c>
      <c r="H817" s="6" t="s">
        <v>2685</v>
      </c>
      <c r="I817" s="7" t="s">
        <v>4349</v>
      </c>
      <c r="J817" s="14" t="s">
        <v>4349</v>
      </c>
      <c r="K817" s="26"/>
      <c r="L817" s="6" t="str">
        <f>IFERROR(VLOOKUP(E817,A:I,9, FALSE),"")</f>
        <v>Kontrasterkennung-AF in Fokus</v>
      </c>
      <c r="M817" s="6" t="str">
        <f>IFERROR(VLOOKUP(H817,B:J,9,FALSE),"")</f>
        <v>Kontrasterkennung-AF in Fokus</v>
      </c>
      <c r="N817" s="6" t="str">
        <f>IF(AND(TRIM(I817)="",L817=""),"Suffix not translated ",
   IF(AND(TRIM(I817)&lt;&gt;"",TRIM(L817)&lt;&gt;"",TRIM(I817)&lt;&gt;TRIM(L817)),"Suffix translation &lt;&gt; lookup ", "" ))
&amp;IF(AND(TRIM(J817)="",M817=""),"Description not translated ",
   IF(AND(TRIM(J817)&lt;&gt;"",TRIM(M817)&lt;&gt;"",TRIM(J817)&lt;&gt;TRIM(M817)),"Description translation&lt;&gt; lookup ", "" ))</f>
        <v/>
      </c>
      <c r="O817" s="6" t="s">
        <v>8574</v>
      </c>
      <c r="P817" s="6" t="s">
        <v>8574</v>
      </c>
      <c r="Q817" s="6" t="s">
        <v>9220</v>
      </c>
    </row>
    <row r="818" spans="1:17" x14ac:dyDescent="0.25">
      <c r="A818" s="5" t="str">
        <f>IF(TRIM(I818)="","",E818)</f>
        <v>PhaseDetectAF</v>
      </c>
      <c r="B818" s="5" t="str">
        <f>IF(TRIM(J818)="","",H818)</f>
        <v>Phase detect AF</v>
      </c>
      <c r="C818" s="5" t="str">
        <f>LEFT(F818,FIND(".",F818,6))</f>
        <v>Exif.NikonAf2.</v>
      </c>
      <c r="D818" s="5" t="str">
        <f>VLOOKUP(C818,PrefixUebersetzung,2,FALSE)</f>
        <v>Exif.NikonAf2.</v>
      </c>
      <c r="E818" s="5" t="str">
        <f>MID(F818,FIND(".",F818,6)+1,99)</f>
        <v>PhaseDetectAF</v>
      </c>
      <c r="F818" s="5" t="s">
        <v>684</v>
      </c>
      <c r="G818" s="5" t="s">
        <v>9670</v>
      </c>
      <c r="H818" s="6" t="s">
        <v>2686</v>
      </c>
      <c r="I818" s="7" t="s">
        <v>4347</v>
      </c>
      <c r="J818" s="14" t="s">
        <v>4347</v>
      </c>
      <c r="K818" s="26"/>
      <c r="L818" s="6" t="str">
        <f>IFERROR(VLOOKUP(E818,A:I,9, FALSE),"")</f>
        <v>Phasenerkennung-AF</v>
      </c>
      <c r="M818" s="6" t="str">
        <f>IFERROR(VLOOKUP(H818,B:J,9,FALSE),"")</f>
        <v>Phasenerkennung-AF</v>
      </c>
      <c r="N818" s="6" t="str">
        <f>IF(AND(TRIM(I818)="",L818=""),"Suffix not translated ",
   IF(AND(TRIM(I818)&lt;&gt;"",TRIM(L818)&lt;&gt;"",TRIM(I818)&lt;&gt;TRIM(L818)),"Suffix translation &lt;&gt; lookup ", "" ))
&amp;IF(AND(TRIM(J818)="",M818=""),"Description not translated ",
   IF(AND(TRIM(J818)&lt;&gt;"",TRIM(M818)&lt;&gt;"",TRIM(J818)&lt;&gt;TRIM(M818)),"Description translation&lt;&gt; lookup ", "" ))</f>
        <v/>
      </c>
      <c r="O818" s="6" t="s">
        <v>8574</v>
      </c>
      <c r="P818" s="6" t="s">
        <v>8574</v>
      </c>
      <c r="Q818" s="6" t="s">
        <v>9294</v>
      </c>
    </row>
    <row r="819" spans="1:17" x14ac:dyDescent="0.25">
      <c r="A819" s="5" t="str">
        <f>IF(TRIM(I819)="","",E819)</f>
        <v>PrimaryAFPoint</v>
      </c>
      <c r="B819" s="5" t="str">
        <f>IF(TRIM(J819)="","",H819)</f>
        <v>Primary AF point</v>
      </c>
      <c r="C819" s="5" t="str">
        <f>LEFT(F819,FIND(".",F819,6))</f>
        <v>Exif.NikonAf2.</v>
      </c>
      <c r="D819" s="5" t="str">
        <f>VLOOKUP(C819,PrefixUebersetzung,2,FALSE)</f>
        <v>Exif.NikonAf2.</v>
      </c>
      <c r="E819" s="5" t="str">
        <f>MID(F819,FIND(".",F819,6)+1,99)</f>
        <v>PrimaryAFPoint</v>
      </c>
      <c r="F819" s="5" t="s">
        <v>685</v>
      </c>
      <c r="G819" s="5" t="s">
        <v>9670</v>
      </c>
      <c r="H819" s="6" t="s">
        <v>2687</v>
      </c>
      <c r="I819" s="31" t="s">
        <v>4898</v>
      </c>
      <c r="J819" s="30" t="s">
        <v>4898</v>
      </c>
      <c r="K819" s="26"/>
      <c r="L819" s="6" t="str">
        <f>IFERROR(VLOOKUP(E819,A:I,9, FALSE),"")</f>
        <v>AF Messfeld primär</v>
      </c>
      <c r="M819" s="6" t="str">
        <f>IFERROR(VLOOKUP(H819,B:J,9,FALSE),"")</f>
        <v>AF Messfeld primär</v>
      </c>
      <c r="N819" s="6" t="str">
        <f>IF(AND(TRIM(I819)="",L819=""),"Suffix not translated ",
   IF(AND(TRIM(I819)&lt;&gt;"",TRIM(L819)&lt;&gt;"",TRIM(I819)&lt;&gt;TRIM(L819)),"Suffix translation &lt;&gt; lookup ", "" ))
&amp;IF(AND(TRIM(J819)="",M819=""),"Description not translated ",
   IF(AND(TRIM(J819)&lt;&gt;"",TRIM(M819)&lt;&gt;"",TRIM(J819)&lt;&gt;TRIM(M819)),"Description translation&lt;&gt; lookup ", "" ))</f>
        <v/>
      </c>
      <c r="O819" s="6" t="s">
        <v>8574</v>
      </c>
      <c r="P819" s="6" t="s">
        <v>8574</v>
      </c>
      <c r="Q819" s="6" t="s">
        <v>4924</v>
      </c>
    </row>
    <row r="820" spans="1:17" x14ac:dyDescent="0.25">
      <c r="A820" s="5" t="str">
        <f>IF(TRIM(I820)="","",E820)</f>
        <v/>
      </c>
      <c r="B820" s="5" t="str">
        <f>IF(TRIM(J820)="","",H820)</f>
        <v>Version</v>
      </c>
      <c r="C820" s="5" t="str">
        <f>LEFT(F820,FIND(".",F820,6))</f>
        <v>Exif.NikonAf2.</v>
      </c>
      <c r="D820" s="5" t="str">
        <f>VLOOKUP(C820,PrefixUebersetzung,2,FALSE)</f>
        <v>Exif.NikonAf2.</v>
      </c>
      <c r="E820" s="5" t="str">
        <f>MID(F820,FIND(".",F820,6)+1,99)</f>
        <v>Version</v>
      </c>
      <c r="F820" s="5" t="s">
        <v>686</v>
      </c>
      <c r="G820" s="5" t="s">
        <v>9669</v>
      </c>
      <c r="H820" s="6" t="s">
        <v>2688</v>
      </c>
      <c r="I820" s="7"/>
      <c r="J820" s="14" t="s">
        <v>2688</v>
      </c>
      <c r="K820" s="26"/>
      <c r="L820" s="6" t="str">
        <f>IFERROR(VLOOKUP(E820,A:I,9, FALSE),"")</f>
        <v>Version</v>
      </c>
      <c r="M820" s="6" t="str">
        <f>IFERROR(VLOOKUP(H820,B:J,9,FALSE),"")</f>
        <v>Version</v>
      </c>
      <c r="N820" s="6" t="str">
        <f>IF(AND(TRIM(I820)="",L820=""),"Suffix not translated ",
   IF(AND(TRIM(I820)&lt;&gt;"",TRIM(L820)&lt;&gt;"",TRIM(I820)&lt;&gt;TRIM(L820)),"Suffix translation &lt;&gt; lookup ", "" ))
&amp;IF(AND(TRIM(J820)="",M820=""),"Description not translated ",
   IF(AND(TRIM(J820)&lt;&gt;"",TRIM(M820)&lt;&gt;"",TRIM(J820)&lt;&gt;TRIM(M820)),"Description translation&lt;&gt; lookup ", "" ))</f>
        <v/>
      </c>
      <c r="P820" s="6" t="s">
        <v>8574</v>
      </c>
      <c r="Q820" s="6" t="s">
        <v>2688</v>
      </c>
    </row>
    <row r="821" spans="1:17" x14ac:dyDescent="0.25">
      <c r="A821" s="5" t="str">
        <f>IF(TRIM(I821)="","",E821)</f>
        <v/>
      </c>
      <c r="B821" s="5" t="str">
        <f>IF(TRIM(J821)="","",H821)</f>
        <v/>
      </c>
      <c r="C821" s="5" t="str">
        <f>LEFT(F821,FIND(".",F821,6))</f>
        <v>Exif.NikonAf22.</v>
      </c>
      <c r="D821" s="5" t="str">
        <f>VLOOKUP(C821,PrefixUebersetzung,2,FALSE)</f>
        <v>Exif.NikonAf22.</v>
      </c>
      <c r="E821" s="5" t="str">
        <f>MID(F821,FIND(".",F821,6)+1,99)</f>
        <v>AFAreaHeight</v>
      </c>
      <c r="F821" s="11" t="s">
        <v>8580</v>
      </c>
      <c r="G821" s="5" t="s">
        <v>9664</v>
      </c>
      <c r="H821" s="11" t="s">
        <v>2678</v>
      </c>
      <c r="I821" s="7"/>
      <c r="J821" s="8"/>
      <c r="K821" s="26"/>
      <c r="L821" s="6" t="str">
        <f>IFERROR(VLOOKUP(E821,A:I,9, FALSE),"")</f>
        <v>AF Bereich Höhe</v>
      </c>
      <c r="M821" s="6" t="str">
        <f>IFERROR(VLOOKUP(H821,B:J,9,FALSE),"")</f>
        <v>AF Bereich Höhe</v>
      </c>
      <c r="N821" s="6" t="str">
        <f>IF(AND(TRIM(I821)="",L821=""),"Suffix not translated ",
   IF(AND(TRIM(I821)&lt;&gt;"",TRIM(L821)&lt;&gt;"",TRIM(I821)&lt;&gt;TRIM(L821)),"Suffix translation &lt;&gt; lookup ", "" ))
&amp;IF(AND(TRIM(J821)="",M821=""),"Description not translated ",
   IF(AND(TRIM(J821)&lt;&gt;"",TRIM(M821)&lt;&gt;"",TRIM(J821)&lt;&gt;TRIM(M821)),"Description translation&lt;&gt; lookup ", "" ))</f>
        <v/>
      </c>
    </row>
    <row r="822" spans="1:17" x14ac:dyDescent="0.25">
      <c r="A822" s="5" t="str">
        <f>IF(TRIM(I822)="","",E822)</f>
        <v/>
      </c>
      <c r="B822" s="5" t="str">
        <f>IF(TRIM(J822)="","",H822)</f>
        <v/>
      </c>
      <c r="C822" s="5" t="str">
        <f>LEFT(F822,FIND(".",F822,6))</f>
        <v>Exif.NikonAf22.</v>
      </c>
      <c r="D822" s="5" t="str">
        <f>VLOOKUP(C822,PrefixUebersetzung,2,FALSE)</f>
        <v>Exif.NikonAf22.</v>
      </c>
      <c r="E822" s="5" t="str">
        <f>MID(F822,FIND(".",F822,6)+1,99)</f>
        <v>AFAreaMode</v>
      </c>
      <c r="F822" s="11" t="s">
        <v>8581</v>
      </c>
      <c r="G822" s="5" t="s">
        <v>9670</v>
      </c>
      <c r="H822" s="11" t="s">
        <v>2675</v>
      </c>
      <c r="I822" s="7"/>
      <c r="J822" s="8"/>
      <c r="K822" s="26"/>
      <c r="L822" s="6" t="str">
        <f>IFERROR(VLOOKUP(E822,A:I,9, FALSE),"")</f>
        <v>AF Bereich Modus</v>
      </c>
      <c r="M822" s="6" t="str">
        <f>IFERROR(VLOOKUP(H822,B:J,9,FALSE),"")</f>
        <v>AF Bereich Modus</v>
      </c>
      <c r="N822" s="6" t="str">
        <f>IF(AND(TRIM(I822)="",L822=""),"Suffix not translated ",
   IF(AND(TRIM(I822)&lt;&gt;"",TRIM(L822)&lt;&gt;"",TRIM(I822)&lt;&gt;TRIM(L822)),"Suffix translation &lt;&gt; lookup ", "" ))
&amp;IF(AND(TRIM(J822)="",M822=""),"Description not translated ",
   IF(AND(TRIM(J822)&lt;&gt;"",TRIM(M822)&lt;&gt;"",TRIM(J822)&lt;&gt;TRIM(M822)),"Description translation&lt;&gt; lookup ", "" ))</f>
        <v/>
      </c>
    </row>
    <row r="823" spans="1:17" x14ac:dyDescent="0.25">
      <c r="A823" s="5" t="str">
        <f>IF(TRIM(I823)="","",E823)</f>
        <v/>
      </c>
      <c r="B823" s="5" t="str">
        <f>IF(TRIM(J823)="","",H823)</f>
        <v/>
      </c>
      <c r="C823" s="5" t="str">
        <f>LEFT(F823,FIND(".",F823,6))</f>
        <v>Exif.NikonAf22.</v>
      </c>
      <c r="D823" s="5" t="str">
        <f>VLOOKUP(C823,PrefixUebersetzung,2,FALSE)</f>
        <v>Exif.NikonAf22.</v>
      </c>
      <c r="E823" s="5" t="str">
        <f>MID(F823,FIND(".",F823,6)+1,99)</f>
        <v>AFAreaWidth</v>
      </c>
      <c r="F823" s="11" t="s">
        <v>8582</v>
      </c>
      <c r="G823" s="5" t="s">
        <v>9664</v>
      </c>
      <c r="H823" s="11" t="s">
        <v>2679</v>
      </c>
      <c r="I823" s="7"/>
      <c r="J823" s="8"/>
      <c r="K823" s="26"/>
      <c r="L823" s="6" t="str">
        <f>IFERROR(VLOOKUP(E823,A:I,9, FALSE),"")</f>
        <v>AF Bereich Breite</v>
      </c>
      <c r="M823" s="6" t="str">
        <f>IFERROR(VLOOKUP(H823,B:J,9,FALSE),"")</f>
        <v>AF Bereich Breite</v>
      </c>
      <c r="N823" s="6" t="str">
        <f>IF(AND(TRIM(I823)="",L823=""),"Suffix not translated ",
   IF(AND(TRIM(I823)&lt;&gt;"",TRIM(L823)&lt;&gt;"",TRIM(I823)&lt;&gt;TRIM(L823)),"Suffix translation &lt;&gt; lookup ", "" ))
&amp;IF(AND(TRIM(J823)="",M823=""),"Description not translated ",
   IF(AND(TRIM(J823)&lt;&gt;"",TRIM(M823)&lt;&gt;"",TRIM(J823)&lt;&gt;TRIM(M823)),"Description translation&lt;&gt; lookup ", "" ))</f>
        <v/>
      </c>
    </row>
    <row r="824" spans="1:17" x14ac:dyDescent="0.25">
      <c r="A824" s="5" t="str">
        <f>IF(TRIM(I824)="","",E824)</f>
        <v/>
      </c>
      <c r="B824" s="5" t="str">
        <f>IF(TRIM(J824)="","",H824)</f>
        <v/>
      </c>
      <c r="C824" s="5" t="str">
        <f>LEFT(F824,FIND(".",F824,6))</f>
        <v>Exif.NikonAf22.</v>
      </c>
      <c r="D824" s="5" t="str">
        <f>VLOOKUP(C824,PrefixUebersetzung,2,FALSE)</f>
        <v>Exif.NikonAf22.</v>
      </c>
      <c r="E824" s="5" t="str">
        <f>MID(F824,FIND(".",F824,6)+1,99)</f>
        <v>AFAreaXPosition</v>
      </c>
      <c r="F824" s="11" t="s">
        <v>8583</v>
      </c>
      <c r="G824" s="5" t="s">
        <v>9664</v>
      </c>
      <c r="H824" s="11" t="s">
        <v>2680</v>
      </c>
      <c r="I824" s="7"/>
      <c r="J824" s="8"/>
      <c r="K824" s="26"/>
      <c r="L824" s="6" t="str">
        <f>IFERROR(VLOOKUP(E824,A:I,9, FALSE),"")</f>
        <v>AF Bereich x-Position</v>
      </c>
      <c r="M824" s="6" t="str">
        <f>IFERROR(VLOOKUP(H824,B:J,9,FALSE),"")</f>
        <v>AF Bereich x-Position</v>
      </c>
      <c r="N824" s="6" t="str">
        <f>IF(AND(TRIM(I824)="",L824=""),"Suffix not translated ",
   IF(AND(TRIM(I824)&lt;&gt;"",TRIM(L824)&lt;&gt;"",TRIM(I824)&lt;&gt;TRIM(L824)),"Suffix translation &lt;&gt; lookup ", "" ))
&amp;IF(AND(TRIM(J824)="",M824=""),"Description not translated ",
   IF(AND(TRIM(J824)&lt;&gt;"",TRIM(M824)&lt;&gt;"",TRIM(J824)&lt;&gt;TRIM(M824)),"Description translation&lt;&gt; lookup ", "" ))</f>
        <v/>
      </c>
    </row>
    <row r="825" spans="1:17" x14ac:dyDescent="0.25">
      <c r="A825" s="5" t="str">
        <f>IF(TRIM(I825)="","",E825)</f>
        <v/>
      </c>
      <c r="B825" s="5" t="str">
        <f>IF(TRIM(J825)="","",H825)</f>
        <v/>
      </c>
      <c r="C825" s="5" t="str">
        <f>LEFT(F825,FIND(".",F825,6))</f>
        <v>Exif.NikonAf22.</v>
      </c>
      <c r="D825" s="5" t="str">
        <f>VLOOKUP(C825,PrefixUebersetzung,2,FALSE)</f>
        <v>Exif.NikonAf22.</v>
      </c>
      <c r="E825" s="5" t="str">
        <f>MID(F825,FIND(".",F825,6)+1,99)</f>
        <v>AFAreaYPosition</v>
      </c>
      <c r="F825" s="11" t="s">
        <v>8584</v>
      </c>
      <c r="G825" s="5" t="s">
        <v>9664</v>
      </c>
      <c r="H825" s="11" t="s">
        <v>2681</v>
      </c>
      <c r="I825" s="7"/>
      <c r="J825" s="8"/>
      <c r="K825" s="26"/>
      <c r="L825" s="6" t="str">
        <f>IFERROR(VLOOKUP(E825,A:I,9, FALSE),"")</f>
        <v>AF Bereich y-Position</v>
      </c>
      <c r="M825" s="6" t="str">
        <f>IFERROR(VLOOKUP(H825,B:J,9,FALSE),"")</f>
        <v>AF Bereich y-Position</v>
      </c>
      <c r="N825" s="6" t="str">
        <f>IF(AND(TRIM(I825)="",L825=""),"Suffix not translated ",
   IF(AND(TRIM(I825)&lt;&gt;"",TRIM(L825)&lt;&gt;"",TRIM(I825)&lt;&gt;TRIM(L825)),"Suffix translation &lt;&gt; lookup ", "" ))
&amp;IF(AND(TRIM(J825)="",M825=""),"Description not translated ",
   IF(AND(TRIM(J825)&lt;&gt;"",TRIM(M825)&lt;&gt;"",TRIM(J825)&lt;&gt;TRIM(M825)),"Description translation&lt;&gt; lookup ", "" ))</f>
        <v/>
      </c>
    </row>
    <row r="826" spans="1:17" x14ac:dyDescent="0.25">
      <c r="A826" s="5" t="str">
        <f>IF(TRIM(I826)="","",E826)</f>
        <v/>
      </c>
      <c r="B826" s="5" t="str">
        <f>IF(TRIM(J826)="","",H826)</f>
        <v/>
      </c>
      <c r="C826" s="5" t="str">
        <f>LEFT(F826,FIND(".",F826,6))</f>
        <v>Exif.NikonAf22.</v>
      </c>
      <c r="D826" s="5" t="str">
        <f>VLOOKUP(C826,PrefixUebersetzung,2,FALSE)</f>
        <v>Exif.NikonAf22.</v>
      </c>
      <c r="E826" s="5" t="str">
        <f>MID(F826,FIND(".",F826,6)+1,99)</f>
        <v>AFImageHeight</v>
      </c>
      <c r="F826" s="11" t="s">
        <v>8585</v>
      </c>
      <c r="G826" s="5" t="s">
        <v>9664</v>
      </c>
      <c r="H826" s="11" t="s">
        <v>2682</v>
      </c>
      <c r="I826" s="7"/>
      <c r="J826" s="8"/>
      <c r="K826" s="26"/>
      <c r="L826" s="6" t="str">
        <f>IFERROR(VLOOKUP(E826,A:I,9, FALSE),"")</f>
        <v>AF Bildhöhe</v>
      </c>
      <c r="M826" s="6" t="str">
        <f>IFERROR(VLOOKUP(H826,B:J,9,FALSE),"")</f>
        <v>AF Bildhöhe</v>
      </c>
      <c r="N826" s="6" t="str">
        <f>IF(AND(TRIM(I826)="",L826=""),"Suffix not translated ",
   IF(AND(TRIM(I826)&lt;&gt;"",TRIM(L826)&lt;&gt;"",TRIM(I826)&lt;&gt;TRIM(L826)),"Suffix translation &lt;&gt; lookup ", "" ))
&amp;IF(AND(TRIM(J826)="",M826=""),"Description not translated ",
   IF(AND(TRIM(J826)&lt;&gt;"",TRIM(M826)&lt;&gt;"",TRIM(J826)&lt;&gt;TRIM(M826)),"Description translation&lt;&gt; lookup ", "" ))</f>
        <v/>
      </c>
    </row>
    <row r="827" spans="1:17" x14ac:dyDescent="0.25">
      <c r="A827" s="5" t="str">
        <f>IF(TRIM(I827)="","",E827)</f>
        <v/>
      </c>
      <c r="B827" s="5" t="str">
        <f>IF(TRIM(J827)="","",H827)</f>
        <v/>
      </c>
      <c r="C827" s="5" t="str">
        <f>LEFT(F827,FIND(".",F827,6))</f>
        <v>Exif.NikonAf22.</v>
      </c>
      <c r="D827" s="5" t="str">
        <f>VLOOKUP(C827,PrefixUebersetzung,2,FALSE)</f>
        <v>Exif.NikonAf22.</v>
      </c>
      <c r="E827" s="5" t="str">
        <f>MID(F827,FIND(".",F827,6)+1,99)</f>
        <v>AFImageWidth</v>
      </c>
      <c r="F827" s="11" t="s">
        <v>8586</v>
      </c>
      <c r="G827" s="5" t="s">
        <v>9664</v>
      </c>
      <c r="H827" s="11" t="s">
        <v>2683</v>
      </c>
      <c r="I827" s="7"/>
      <c r="J827" s="8"/>
      <c r="K827" s="26"/>
      <c r="L827" s="6" t="str">
        <f>IFERROR(VLOOKUP(E827,A:I,9, FALSE),"")</f>
        <v>AF Bildbreite</v>
      </c>
      <c r="M827" s="6" t="str">
        <f>IFERROR(VLOOKUP(H827,B:J,9,FALSE),"")</f>
        <v>AF Bildbreite</v>
      </c>
      <c r="N827" s="6" t="str">
        <f>IF(AND(TRIM(I827)="",L827=""),"Suffix not translated ",
   IF(AND(TRIM(I827)&lt;&gt;"",TRIM(L827)&lt;&gt;"",TRIM(I827)&lt;&gt;TRIM(L827)),"Suffix translation &lt;&gt; lookup ", "" ))
&amp;IF(AND(TRIM(J827)="",M827=""),"Description not translated ",
   IF(AND(TRIM(J827)&lt;&gt;"",TRIM(M827)&lt;&gt;"",TRIM(J827)&lt;&gt;TRIM(M827)),"Description translation&lt;&gt; lookup ", "" ))</f>
        <v/>
      </c>
    </row>
    <row r="828" spans="1:17" ht="30" x14ac:dyDescent="0.25">
      <c r="A828" s="5" t="str">
        <f>IF(TRIM(I828)="","",E828)</f>
        <v/>
      </c>
      <c r="B828" s="5" t="str">
        <f>IF(TRIM(J828)="","",H828)</f>
        <v/>
      </c>
      <c r="C828" s="5" t="str">
        <f>LEFT(F828,FIND(".",F828,6))</f>
        <v>Exif.NikonAf22.</v>
      </c>
      <c r="D828" s="5" t="str">
        <f>VLOOKUP(C828,PrefixUebersetzung,2,FALSE)</f>
        <v>Exif.NikonAf22.</v>
      </c>
      <c r="E828" s="5" t="str">
        <f>MID(F828,FIND(".",F828,6)+1,99)</f>
        <v>AFPointsUsed</v>
      </c>
      <c r="F828" s="11" t="s">
        <v>8587</v>
      </c>
      <c r="G828" s="5" t="s">
        <v>9670</v>
      </c>
      <c r="H828" s="11" t="s">
        <v>2234</v>
      </c>
      <c r="I828" s="7"/>
      <c r="J828" s="8"/>
      <c r="K828" s="26"/>
      <c r="L828" s="6" t="str">
        <f>IFERROR(VLOOKUP(E828,A:I,9, FALSE),"")</f>
        <v>AF Messfelder verwendet</v>
      </c>
      <c r="M828" s="6" t="str">
        <f>IFERROR(VLOOKUP(H828,B:J,9,FALSE),"")</f>
        <v xml:space="preserve">verwendete AF-Messfelder </v>
      </c>
      <c r="N828" s="6" t="str">
        <f>IF(AND(TRIM(I828)="",L828=""),"Suffix not translated ",
   IF(AND(TRIM(I828)&lt;&gt;"",TRIM(L828)&lt;&gt;"",TRIM(I828)&lt;&gt;TRIM(L828)),"Suffix translation &lt;&gt; lookup ", "" ))
&amp;IF(AND(TRIM(J828)="",M828=""),"Description not translated ",
   IF(AND(TRIM(J828)&lt;&gt;"",TRIM(M828)&lt;&gt;"",TRIM(J828)&lt;&gt;TRIM(M828)),"Description translation&lt;&gt; lookup ", "" ))</f>
        <v/>
      </c>
    </row>
    <row r="829" spans="1:17" x14ac:dyDescent="0.25">
      <c r="A829" s="5" t="str">
        <f>IF(TRIM(I829)="","",E829)</f>
        <v/>
      </c>
      <c r="B829" s="5" t="str">
        <f>IF(TRIM(J829)="","",H829)</f>
        <v/>
      </c>
      <c r="C829" s="5" t="str">
        <f>LEFT(F829,FIND(".",F829,6))</f>
        <v>Exif.NikonAf22.</v>
      </c>
      <c r="D829" s="5" t="str">
        <f>VLOOKUP(C829,PrefixUebersetzung,2,FALSE)</f>
        <v>Exif.NikonAf22.</v>
      </c>
      <c r="E829" s="5" t="str">
        <f>MID(F829,FIND(".",F829,6)+1,99)</f>
        <v>ContrastDetectAF</v>
      </c>
      <c r="F829" s="11" t="s">
        <v>8588</v>
      </c>
      <c r="G829" s="5" t="s">
        <v>9670</v>
      </c>
      <c r="H829" s="11" t="s">
        <v>2684</v>
      </c>
      <c r="I829" s="7"/>
      <c r="J829" s="8"/>
      <c r="K829" s="26"/>
      <c r="L829" s="6" t="str">
        <f>IFERROR(VLOOKUP(E829,A:I,9, FALSE),"")</f>
        <v>Kontrasterkennung-AF</v>
      </c>
      <c r="M829" s="6" t="str">
        <f>IFERROR(VLOOKUP(H829,B:J,9,FALSE),"")</f>
        <v>Kontrasterkennung-AF</v>
      </c>
      <c r="N829" s="6" t="str">
        <f>IF(AND(TRIM(I829)="",L829=""),"Suffix not translated ",
   IF(AND(TRIM(I829)&lt;&gt;"",TRIM(L829)&lt;&gt;"",TRIM(I829)&lt;&gt;TRIM(L829)),"Suffix translation &lt;&gt; lookup ", "" ))
&amp;IF(AND(TRIM(J829)="",M829=""),"Description not translated ",
   IF(AND(TRIM(J829)&lt;&gt;"",TRIM(M829)&lt;&gt;"",TRIM(J829)&lt;&gt;TRIM(M829)),"Description translation&lt;&gt; lookup ", "" ))</f>
        <v/>
      </c>
    </row>
    <row r="830" spans="1:17" ht="30" x14ac:dyDescent="0.25">
      <c r="A830" s="5" t="str">
        <f>IF(TRIM(I830)="","",E830)</f>
        <v/>
      </c>
      <c r="B830" s="5" t="str">
        <f>IF(TRIM(J830)="","",H830)</f>
        <v/>
      </c>
      <c r="C830" s="5" t="str">
        <f>LEFT(F830,FIND(".",F830,6))</f>
        <v>Exif.NikonAf22.</v>
      </c>
      <c r="D830" s="5" t="str">
        <f>VLOOKUP(C830,PrefixUebersetzung,2,FALSE)</f>
        <v>Exif.NikonAf22.</v>
      </c>
      <c r="E830" s="5" t="str">
        <f>MID(F830,FIND(".",F830,6)+1,99)</f>
        <v>ContrastDetectAFInFocus</v>
      </c>
      <c r="F830" s="11" t="s">
        <v>8589</v>
      </c>
      <c r="G830" s="5" t="s">
        <v>9664</v>
      </c>
      <c r="H830" s="11" t="s">
        <v>2685</v>
      </c>
      <c r="I830" s="7"/>
      <c r="J830" s="8"/>
      <c r="K830" s="26"/>
      <c r="L830" s="6" t="str">
        <f>IFERROR(VLOOKUP(E830,A:I,9, FALSE),"")</f>
        <v>Kontrasterkennung-AF in Fokus</v>
      </c>
      <c r="M830" s="6" t="str">
        <f>IFERROR(VLOOKUP(H830,B:J,9,FALSE),"")</f>
        <v>Kontrasterkennung-AF in Fokus</v>
      </c>
      <c r="N830" s="6" t="str">
        <f>IF(AND(TRIM(I830)="",L830=""),"Suffix not translated ",
   IF(AND(TRIM(I830)&lt;&gt;"",TRIM(L830)&lt;&gt;"",TRIM(I830)&lt;&gt;TRIM(L830)),"Suffix translation &lt;&gt; lookup ", "" ))
&amp;IF(AND(TRIM(J830)="",M830=""),"Description not translated ",
   IF(AND(TRIM(J830)&lt;&gt;"",TRIM(M830)&lt;&gt;"",TRIM(J830)&lt;&gt;TRIM(M830)),"Description translation&lt;&gt; lookup ", "" ))</f>
        <v/>
      </c>
    </row>
    <row r="831" spans="1:17" x14ac:dyDescent="0.25">
      <c r="A831" s="5" t="str">
        <f>IF(TRIM(I831)="","",E831)</f>
        <v/>
      </c>
      <c r="B831" s="5" t="str">
        <f>IF(TRIM(J831)="","",H831)</f>
        <v/>
      </c>
      <c r="C831" s="5" t="str">
        <f>LEFT(F831,FIND(".",F831,6))</f>
        <v>Exif.NikonAf22.</v>
      </c>
      <c r="D831" s="5" t="str">
        <f>VLOOKUP(C831,PrefixUebersetzung,2,FALSE)</f>
        <v>Exif.NikonAf22.</v>
      </c>
      <c r="E831" s="5" t="str">
        <f>MID(F831,FIND(".",F831,6)+1,99)</f>
        <v>PhaseDetectAF</v>
      </c>
      <c r="F831" s="11" t="s">
        <v>8590</v>
      </c>
      <c r="G831" s="5" t="s">
        <v>9670</v>
      </c>
      <c r="H831" s="11" t="s">
        <v>2686</v>
      </c>
      <c r="I831" s="7"/>
      <c r="J831" s="8"/>
      <c r="K831" s="26"/>
      <c r="L831" s="6" t="str">
        <f>IFERROR(VLOOKUP(E831,A:I,9, FALSE),"")</f>
        <v>Phasenerkennung-AF</v>
      </c>
      <c r="M831" s="6" t="str">
        <f>IFERROR(VLOOKUP(H831,B:J,9,FALSE),"")</f>
        <v>Phasenerkennung-AF</v>
      </c>
      <c r="N831" s="6" t="str">
        <f>IF(AND(TRIM(I831)="",L831=""),"Suffix not translated ",
   IF(AND(TRIM(I831)&lt;&gt;"",TRIM(L831)&lt;&gt;"",TRIM(I831)&lt;&gt;TRIM(L831)),"Suffix translation &lt;&gt; lookup ", "" ))
&amp;IF(AND(TRIM(J831)="",M831=""),"Description not translated ",
   IF(AND(TRIM(J831)&lt;&gt;"",TRIM(M831)&lt;&gt;"",TRIM(J831)&lt;&gt;TRIM(M831)),"Description translation&lt;&gt; lookup ", "" ))</f>
        <v/>
      </c>
    </row>
    <row r="832" spans="1:17" x14ac:dyDescent="0.25">
      <c r="A832" s="5" t="str">
        <f>IF(TRIM(I832)="","",E832)</f>
        <v/>
      </c>
      <c r="B832" s="5" t="str">
        <f>IF(TRIM(J832)="","",H832)</f>
        <v/>
      </c>
      <c r="C832" s="5" t="str">
        <f>LEFT(F832,FIND(".",F832,6))</f>
        <v>Exif.NikonAf22.</v>
      </c>
      <c r="D832" s="5" t="str">
        <f>VLOOKUP(C832,PrefixUebersetzung,2,FALSE)</f>
        <v>Exif.NikonAf22.</v>
      </c>
      <c r="E832" s="5" t="str">
        <f>MID(F832,FIND(".",F832,6)+1,99)</f>
        <v>PrimaryAFPoint</v>
      </c>
      <c r="F832" s="11" t="s">
        <v>8591</v>
      </c>
      <c r="G832" s="5" t="s">
        <v>9670</v>
      </c>
      <c r="H832" s="11" t="s">
        <v>2687</v>
      </c>
      <c r="I832" s="7"/>
      <c r="J832" s="13"/>
      <c r="K832" s="26"/>
      <c r="L832" s="6" t="str">
        <f>IFERROR(VLOOKUP(E832,A:I,9, FALSE),"")</f>
        <v>AF Messfeld primär</v>
      </c>
      <c r="M832" s="6" t="str">
        <f>IFERROR(VLOOKUP(H832,B:J,9,FALSE),"")</f>
        <v>AF Messfeld primär</v>
      </c>
      <c r="N832" s="6" t="str">
        <f>IF(AND(TRIM(I832)="",L832=""),"Suffix not translated ",
   IF(AND(TRIM(I832)&lt;&gt;"",TRIM(L832)&lt;&gt;"",TRIM(I832)&lt;&gt;TRIM(L832)),"Suffix translation &lt;&gt; lookup ", "" ))
&amp;IF(AND(TRIM(J832)="",M832=""),"Description not translated ",
   IF(AND(TRIM(J832)&lt;&gt;"",TRIM(M832)&lt;&gt;"",TRIM(J832)&lt;&gt;TRIM(M832)),"Description translation&lt;&gt; lookup ", "" ))</f>
        <v/>
      </c>
    </row>
    <row r="833" spans="1:17" x14ac:dyDescent="0.25">
      <c r="A833" s="5" t="str">
        <f>IF(TRIM(I833)="","",E833)</f>
        <v/>
      </c>
      <c r="B833" s="5" t="str">
        <f>IF(TRIM(J833)="","",H833)</f>
        <v/>
      </c>
      <c r="C833" s="5" t="str">
        <f>LEFT(F833,FIND(".",F833,6))</f>
        <v>Exif.NikonAf22.</v>
      </c>
      <c r="D833" s="5" t="str">
        <f>VLOOKUP(C833,PrefixUebersetzung,2,FALSE)</f>
        <v>Exif.NikonAf22.</v>
      </c>
      <c r="E833" s="5" t="str">
        <f>MID(F833,FIND(".",F833,6)+1,99)</f>
        <v>Version</v>
      </c>
      <c r="F833" s="11" t="s">
        <v>8592</v>
      </c>
      <c r="G833" s="5" t="s">
        <v>9669</v>
      </c>
      <c r="H833" s="11" t="s">
        <v>2688</v>
      </c>
      <c r="I833" s="7"/>
      <c r="J833" s="8"/>
      <c r="K833" s="26"/>
      <c r="L833" s="6" t="str">
        <f>IFERROR(VLOOKUP(E833,A:I,9, FALSE),"")</f>
        <v>Version</v>
      </c>
      <c r="M833" s="6" t="str">
        <f>IFERROR(VLOOKUP(H833,B:J,9,FALSE),"")</f>
        <v>Version</v>
      </c>
      <c r="N833" s="6" t="str">
        <f>IF(AND(TRIM(I833)="",L833=""),"Suffix not translated ",
   IF(AND(TRIM(I833)&lt;&gt;"",TRIM(L833)&lt;&gt;"",TRIM(I833)&lt;&gt;TRIM(L833)),"Suffix translation &lt;&gt; lookup ", "" ))
&amp;IF(AND(TRIM(J833)="",M833=""),"Description not translated ",
   IF(AND(TRIM(J833)&lt;&gt;"",TRIM(M833)&lt;&gt;"",TRIM(J833)&lt;&gt;TRIM(M833)),"Description translation&lt;&gt; lookup ", "" ))</f>
        <v/>
      </c>
    </row>
    <row r="834" spans="1:17" x14ac:dyDescent="0.25">
      <c r="A834" s="5" t="str">
        <f>IF(TRIM(I834)="","",E834)</f>
        <v>AFFineTune</v>
      </c>
      <c r="B834" s="5" t="str">
        <f>IF(TRIM(J834)="","",H834)</f>
        <v>AF fine tune</v>
      </c>
      <c r="C834" s="5" t="str">
        <f>LEFT(F834,FIND(".",F834,6))</f>
        <v>Exif.NikonAFT.</v>
      </c>
      <c r="D834" s="5" t="str">
        <f>VLOOKUP(C834,PrefixUebersetzung,2,FALSE)</f>
        <v>Exif.NikonAFT.</v>
      </c>
      <c r="E834" s="5" t="str">
        <f>MID(F834,FIND(".",F834,6)+1,99)</f>
        <v>AFFineTune</v>
      </c>
      <c r="F834" s="5" t="s">
        <v>687</v>
      </c>
      <c r="G834" s="5" t="s">
        <v>9670</v>
      </c>
      <c r="H834" s="6" t="s">
        <v>2689</v>
      </c>
      <c r="I834" s="31" t="s">
        <v>3965</v>
      </c>
      <c r="J834" s="14" t="s">
        <v>3965</v>
      </c>
      <c r="K834" s="26"/>
      <c r="N834" s="6" t="str">
        <f>IF(AND(TRIM(I834)="",L834=""),"Suffix not translated ",
   IF(AND(TRIM(I834)&lt;&gt;"",TRIM(L834)&lt;&gt;"",TRIM(I834)&lt;&gt;TRIM(L834)),"Suffix translation &lt;&gt; lookup ", "" ))
&amp;IF(AND(TRIM(J834)="",M834=""),"Description not translated ",
   IF(AND(TRIM(J834)&lt;&gt;"",TRIM(M834)&lt;&gt;"",TRIM(J834)&lt;&gt;TRIM(M834)),"Description translation&lt;&gt; lookup ", "" ))</f>
        <v/>
      </c>
      <c r="O834" s="6" t="s">
        <v>8574</v>
      </c>
      <c r="P834" s="6" t="s">
        <v>8574</v>
      </c>
      <c r="Q834" s="6" t="s">
        <v>9109</v>
      </c>
    </row>
    <row r="835" spans="1:17" ht="30" x14ac:dyDescent="0.25">
      <c r="A835" s="5" t="str">
        <f>IF(TRIM(I835)="","",E835)</f>
        <v>AFFineTuneAdj</v>
      </c>
      <c r="B835" s="5" t="str">
        <f>IF(TRIM(J835)="","",H835)</f>
        <v>AF fine tune adjustment</v>
      </c>
      <c r="C835" s="5" t="str">
        <f>LEFT(F835,FIND(".",F835,6))</f>
        <v>Exif.NikonAFT.</v>
      </c>
      <c r="D835" s="5" t="str">
        <f>VLOOKUP(C835,PrefixUebersetzung,2,FALSE)</f>
        <v>Exif.NikonAFT.</v>
      </c>
      <c r="E835" s="5" t="str">
        <f>MID(F835,FIND(".",F835,6)+1,99)</f>
        <v>AFFineTuneAdj</v>
      </c>
      <c r="F835" s="5" t="s">
        <v>688</v>
      </c>
      <c r="G835" s="5" t="s">
        <v>9676</v>
      </c>
      <c r="H835" s="6" t="s">
        <v>2690</v>
      </c>
      <c r="I835" s="31" t="s">
        <v>3966</v>
      </c>
      <c r="J835" s="14" t="s">
        <v>3966</v>
      </c>
      <c r="K835" s="26"/>
      <c r="L835" s="6" t="str">
        <f>IFERROR(VLOOKUP(E835,A:I,9, FALSE),"")</f>
        <v>AF Feinabstimmung Anpassung</v>
      </c>
      <c r="N835" s="6" t="str">
        <f>IF(AND(TRIM(I835)="",L835=""),"Suffix not translated ",
   IF(AND(TRIM(I835)&lt;&gt;"",TRIM(L835)&lt;&gt;"",TRIM(I835)&lt;&gt;TRIM(L835)),"Suffix translation &lt;&gt; lookup ", "" ))
&amp;IF(AND(TRIM(J835)="",M835=""),"Description not translated ",
   IF(AND(TRIM(J835)&lt;&gt;"",TRIM(M835)&lt;&gt;"",TRIM(J835)&lt;&gt;TRIM(M835)),"Description translation&lt;&gt; lookup ", "" ))</f>
        <v/>
      </c>
      <c r="O835" s="6" t="s">
        <v>8574</v>
      </c>
      <c r="P835" s="6" t="s">
        <v>8574</v>
      </c>
      <c r="Q835" s="6" t="s">
        <v>9109</v>
      </c>
    </row>
    <row r="836" spans="1:17" x14ac:dyDescent="0.25">
      <c r="A836" s="5" t="str">
        <f>IF(TRIM(I836)="","",E836)</f>
        <v>AFFineTuneIndex</v>
      </c>
      <c r="B836" s="5" t="str">
        <f>IF(TRIM(J836)="","",H836)</f>
        <v>AF fine tune index</v>
      </c>
      <c r="C836" s="5" t="str">
        <f>LEFT(F836,FIND(".",F836,6))</f>
        <v>Exif.NikonAFT.</v>
      </c>
      <c r="D836" s="5" t="str">
        <f>VLOOKUP(C836,PrefixUebersetzung,2,FALSE)</f>
        <v>Exif.NikonAFT.</v>
      </c>
      <c r="E836" s="5" t="str">
        <f>MID(F836,FIND(".",F836,6)+1,99)</f>
        <v>AFFineTuneIndex</v>
      </c>
      <c r="F836" s="5" t="s">
        <v>689</v>
      </c>
      <c r="G836" s="5" t="s">
        <v>9670</v>
      </c>
      <c r="H836" s="6" t="s">
        <v>2691</v>
      </c>
      <c r="I836" s="31" t="s">
        <v>3967</v>
      </c>
      <c r="J836" s="14" t="s">
        <v>3967</v>
      </c>
      <c r="K836" s="26"/>
      <c r="N836" s="6" t="str">
        <f>IF(AND(TRIM(I836)="",L836=""),"Suffix not translated ",
   IF(AND(TRIM(I836)&lt;&gt;"",TRIM(L836)&lt;&gt;"",TRIM(I836)&lt;&gt;TRIM(L836)),"Suffix translation &lt;&gt; lookup ", "" ))
&amp;IF(AND(TRIM(J836)="",M836=""),"Description not translated ",
   IF(AND(TRIM(J836)&lt;&gt;"",TRIM(M836)&lt;&gt;"",TRIM(J836)&lt;&gt;TRIM(M836)),"Description translation&lt;&gt; lookup ", "" ))</f>
        <v/>
      </c>
      <c r="O836" s="6" t="s">
        <v>8574</v>
      </c>
      <c r="P836" s="6" t="s">
        <v>8574</v>
      </c>
      <c r="Q836" s="6" t="s">
        <v>9109</v>
      </c>
    </row>
    <row r="837" spans="1:17" x14ac:dyDescent="0.25">
      <c r="A837" s="5" t="str">
        <f>IF(TRIM(I837)="","",E837)</f>
        <v/>
      </c>
      <c r="B837" s="5" t="str">
        <f>IF(TRIM(J837)="","",H837)</f>
        <v/>
      </c>
      <c r="C837" s="5" t="str">
        <f>LEFT(F837,FIND(".",F837,6))</f>
        <v>Exif.NikonCb1.</v>
      </c>
      <c r="D837" s="5" t="str">
        <f>VLOOKUP(C837,PrefixUebersetzung,2,FALSE)</f>
        <v>Exif.NikonCb1.</v>
      </c>
      <c r="E837" s="5" t="str">
        <f>MID(F837,FIND(".",F837,6)+1,99)</f>
        <v>Version</v>
      </c>
      <c r="F837" s="5" t="s">
        <v>690</v>
      </c>
      <c r="G837" s="5" t="s">
        <v>9669</v>
      </c>
      <c r="H837" s="6" t="s">
        <v>2688</v>
      </c>
      <c r="K837" s="26"/>
      <c r="L837" s="6" t="str">
        <f>IFERROR(VLOOKUP(E837,A:I,9, FALSE),"")</f>
        <v>Version</v>
      </c>
      <c r="M837" s="6" t="str">
        <f>IFERROR(VLOOKUP(H837,B:J,9,FALSE),"")</f>
        <v>Version</v>
      </c>
      <c r="N837" s="6" t="str">
        <f>IF(AND(TRIM(I837)="",L837=""),"Suffix not translated ",
   IF(AND(TRIM(I837)&lt;&gt;"",TRIM(L837)&lt;&gt;"",TRIM(I837)&lt;&gt;TRIM(L837)),"Suffix translation &lt;&gt; lookup ", "" ))
&amp;IF(AND(TRIM(J837)="",M837=""),"Description not translated ",
   IF(AND(TRIM(J837)&lt;&gt;"",TRIM(M837)&lt;&gt;"",TRIM(J837)&lt;&gt;TRIM(M837)),"Description translation&lt;&gt; lookup ", "" ))</f>
        <v/>
      </c>
    </row>
    <row r="838" spans="1:17" x14ac:dyDescent="0.25">
      <c r="A838" s="5" t="str">
        <f>IF(TRIM(I838)="","",E838)</f>
        <v>WB_RBGGLevels</v>
      </c>
      <c r="B838" s="5" t="str">
        <f>IF(TRIM(J838)="","",H838)</f>
        <v>WB RBGG levels</v>
      </c>
      <c r="C838" s="5" t="str">
        <f>LEFT(F838,FIND(".",F838,6))</f>
        <v>Exif.NikonCb1.</v>
      </c>
      <c r="D838" s="5" t="str">
        <f>VLOOKUP(C838,PrefixUebersetzung,2,FALSE)</f>
        <v>Exif.NikonCb1.</v>
      </c>
      <c r="E838" s="5" t="str">
        <f>MID(F838,FIND(".",F838,6)+1,99)</f>
        <v>WB_RBGGLevels</v>
      </c>
      <c r="F838" s="5" t="s">
        <v>691</v>
      </c>
      <c r="G838" s="5" t="s">
        <v>9664</v>
      </c>
      <c r="H838" s="6" t="s">
        <v>2692</v>
      </c>
      <c r="I838" s="31" t="s">
        <v>3968</v>
      </c>
      <c r="J838" s="14" t="s">
        <v>3968</v>
      </c>
      <c r="K838" s="26"/>
      <c r="N838" s="6" t="str">
        <f>IF(AND(TRIM(I838)="",L838=""),"Suffix not translated ",
   IF(AND(TRIM(I838)&lt;&gt;"",TRIM(L838)&lt;&gt;"",TRIM(I838)&lt;&gt;TRIM(L838)),"Suffix translation &lt;&gt; lookup ", "" ))
&amp;IF(AND(TRIM(J838)="",M838=""),"Description not translated ",
   IF(AND(TRIM(J838)&lt;&gt;"",TRIM(M838)&lt;&gt;"",TRIM(J838)&lt;&gt;TRIM(M838)),"Description translation&lt;&gt; lookup ", "" ))</f>
        <v/>
      </c>
      <c r="O838" s="6" t="s">
        <v>8574</v>
      </c>
      <c r="P838" s="6" t="s">
        <v>8574</v>
      </c>
      <c r="Q838" s="6" t="s">
        <v>9163</v>
      </c>
    </row>
    <row r="839" spans="1:17" x14ac:dyDescent="0.25">
      <c r="A839" s="5" t="str">
        <f>IF(TRIM(I839)="","",E839)</f>
        <v/>
      </c>
      <c r="B839" s="5" t="str">
        <f>IF(TRIM(J839)="","",H839)</f>
        <v/>
      </c>
      <c r="C839" s="5" t="str">
        <f>LEFT(F839,FIND(".",F839,6))</f>
        <v>Exif.NikonCb2.</v>
      </c>
      <c r="D839" s="5" t="str">
        <f>VLOOKUP(C839,PrefixUebersetzung,2,FALSE)</f>
        <v>Exif.NikonCb2.</v>
      </c>
      <c r="E839" s="5" t="str">
        <f>MID(F839,FIND(".",F839,6)+1,99)</f>
        <v>Version</v>
      </c>
      <c r="F839" s="5" t="s">
        <v>692</v>
      </c>
      <c r="G839" s="5" t="s">
        <v>9669</v>
      </c>
      <c r="H839" s="6" t="s">
        <v>2688</v>
      </c>
      <c r="I839" s="7"/>
      <c r="K839" s="26"/>
      <c r="L839" s="6" t="str">
        <f>IFERROR(VLOOKUP(E839,A:I,9, FALSE),"")</f>
        <v>Version</v>
      </c>
      <c r="M839" s="6" t="str">
        <f>IFERROR(VLOOKUP(H839,B:J,9,FALSE),"")</f>
        <v>Version</v>
      </c>
      <c r="N839" s="6" t="str">
        <f>IF(AND(TRIM(I839)="",L839=""),"Suffix not translated ",
   IF(AND(TRIM(I839)&lt;&gt;"",TRIM(L839)&lt;&gt;"",TRIM(I839)&lt;&gt;TRIM(L839)),"Suffix translation &lt;&gt; lookup ", "" ))
&amp;IF(AND(TRIM(J839)="",M839=""),"Description not translated ",
   IF(AND(TRIM(J839)&lt;&gt;"",TRIM(M839)&lt;&gt;"",TRIM(J839)&lt;&gt;TRIM(M839)),"Description translation&lt;&gt; lookup ", "" ))</f>
        <v/>
      </c>
    </row>
    <row r="840" spans="1:17" x14ac:dyDescent="0.25">
      <c r="A840" s="5" t="str">
        <f>IF(TRIM(I840)="","",E840)</f>
        <v>WB_RGGBLevels</v>
      </c>
      <c r="B840" s="5" t="str">
        <f>IF(TRIM(J840)="","",H840)</f>
        <v>WB RGGB levels</v>
      </c>
      <c r="C840" s="5" t="str">
        <f>LEFT(F840,FIND(".",F840,6))</f>
        <v>Exif.NikonCb2.</v>
      </c>
      <c r="D840" s="5" t="str">
        <f>VLOOKUP(C840,PrefixUebersetzung,2,FALSE)</f>
        <v>Exif.NikonCb2.</v>
      </c>
      <c r="E840" s="5" t="str">
        <f>MID(F840,FIND(".",F840,6)+1,99)</f>
        <v>WB_RGGBLevels</v>
      </c>
      <c r="F840" s="5" t="s">
        <v>693</v>
      </c>
      <c r="G840" s="5" t="s">
        <v>9664</v>
      </c>
      <c r="H840" s="6" t="s">
        <v>2693</v>
      </c>
      <c r="I840" s="31" t="s">
        <v>3969</v>
      </c>
      <c r="J840" s="14" t="s">
        <v>3969</v>
      </c>
      <c r="K840" s="26"/>
      <c r="L840" s="6" t="str">
        <f>IFERROR(VLOOKUP(E840,A:I,9, FALSE),"")</f>
        <v>WB RGGB Ebenen</v>
      </c>
      <c r="M840" s="6" t="str">
        <f>IFERROR(VLOOKUP(H840,B:J,9,FALSE),"")</f>
        <v>WB RGGB Ebenen</v>
      </c>
      <c r="N840" s="6" t="str">
        <f>IF(AND(TRIM(I840)="",L840=""),"Suffix not translated ",
   IF(AND(TRIM(I840)&lt;&gt;"",TRIM(L840)&lt;&gt;"",TRIM(I840)&lt;&gt;TRIM(L840)),"Suffix translation &lt;&gt; lookup ", "" ))
&amp;IF(AND(TRIM(J840)="",M840=""),"Description not translated ",
   IF(AND(TRIM(J840)&lt;&gt;"",TRIM(M840)&lt;&gt;"",TRIM(J840)&lt;&gt;TRIM(M840)),"Description translation&lt;&gt; lookup ", "" ))</f>
        <v/>
      </c>
      <c r="O840" s="6" t="s">
        <v>8574</v>
      </c>
      <c r="P840" s="6" t="s">
        <v>8574</v>
      </c>
      <c r="Q840" s="6" t="s">
        <v>9163</v>
      </c>
    </row>
    <row r="841" spans="1:17" x14ac:dyDescent="0.25">
      <c r="A841" s="5" t="str">
        <f>IF(TRIM(I841)="","",E841)</f>
        <v/>
      </c>
      <c r="B841" s="5" t="str">
        <f>IF(TRIM(J841)="","",H841)</f>
        <v/>
      </c>
      <c r="C841" s="5" t="str">
        <f>LEFT(F841,FIND(".",F841,6))</f>
        <v>Exif.NikonCb2a.</v>
      </c>
      <c r="D841" s="5" t="str">
        <f>VLOOKUP(C841,PrefixUebersetzung,2,FALSE)</f>
        <v>Exif.NikonCb2a.</v>
      </c>
      <c r="E841" s="5" t="str">
        <f>MID(F841,FIND(".",F841,6)+1,99)</f>
        <v>Version</v>
      </c>
      <c r="F841" s="5" t="s">
        <v>694</v>
      </c>
      <c r="G841" s="5" t="s">
        <v>9669</v>
      </c>
      <c r="H841" s="6" t="s">
        <v>2688</v>
      </c>
      <c r="K841" s="26"/>
      <c r="L841" s="6" t="str">
        <f>IFERROR(VLOOKUP(E841,A:I,9, FALSE),"")</f>
        <v>Version</v>
      </c>
      <c r="M841" s="6" t="str">
        <f>IFERROR(VLOOKUP(H841,B:J,9,FALSE),"")</f>
        <v>Version</v>
      </c>
      <c r="N841" s="6"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5" t="str">
        <f>IF(TRIM(I842)="","",E842)</f>
        <v/>
      </c>
      <c r="B842" s="5" t="str">
        <f>IF(TRIM(J842)="","",H842)</f>
        <v/>
      </c>
      <c r="C842" s="5" t="str">
        <f>LEFT(F842,FIND(".",F842,6))</f>
        <v>Exif.NikonCb2a.</v>
      </c>
      <c r="D842" s="5" t="str">
        <f>VLOOKUP(C842,PrefixUebersetzung,2,FALSE)</f>
        <v>Exif.NikonCb2a.</v>
      </c>
      <c r="E842" s="5" t="str">
        <f>MID(F842,FIND(".",F842,6)+1,99)</f>
        <v>WB_RGGBLevels</v>
      </c>
      <c r="F842" s="5" t="s">
        <v>695</v>
      </c>
      <c r="G842" s="5" t="s">
        <v>9664</v>
      </c>
      <c r="H842" s="6" t="s">
        <v>2693</v>
      </c>
      <c r="K842" s="26"/>
      <c r="L842" s="6" t="str">
        <f>IFERROR(VLOOKUP(E842,A:I,9, FALSE),"")</f>
        <v>WB RGGB Ebenen</v>
      </c>
      <c r="M842" s="6" t="str">
        <f>IFERROR(VLOOKUP(H842,B:J,9,FALSE),"")</f>
        <v>WB RGGB Ebenen</v>
      </c>
      <c r="N842" s="6"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5" t="str">
        <f>IF(TRIM(I843)="","",E843)</f>
        <v/>
      </c>
      <c r="B843" s="5" t="str">
        <f>IF(TRIM(J843)="","",H843)</f>
        <v/>
      </c>
      <c r="C843" s="5" t="str">
        <f>LEFT(F843,FIND(".",F843,6))</f>
        <v>Exif.NikonCb2b.</v>
      </c>
      <c r="D843" s="5" t="str">
        <f>VLOOKUP(C843,PrefixUebersetzung,2,FALSE)</f>
        <v>Exif.NikonCb2b.</v>
      </c>
      <c r="E843" s="5" t="str">
        <f>MID(F843,FIND(".",F843,6)+1,99)</f>
        <v>Version</v>
      </c>
      <c r="F843" s="5" t="s">
        <v>696</v>
      </c>
      <c r="G843" s="5" t="s">
        <v>9669</v>
      </c>
      <c r="H843" s="6" t="s">
        <v>2688</v>
      </c>
      <c r="K843" s="26"/>
      <c r="L843" s="6" t="str">
        <f>IFERROR(VLOOKUP(E843,A:I,9, FALSE),"")</f>
        <v>Version</v>
      </c>
      <c r="M843" s="6" t="str">
        <f>IFERROR(VLOOKUP(H843,B:J,9,FALSE),"")</f>
        <v>Version</v>
      </c>
      <c r="N843" s="6" t="str">
        <f>IF(AND(TRIM(I843)="",L843=""),"Suffix not translated ",
   IF(AND(TRIM(I843)&lt;&gt;"",TRIM(L843)&lt;&gt;"",TRIM(I843)&lt;&gt;TRIM(L843)),"Suffix translation &lt;&gt; lookup ", "" ))
&amp;IF(AND(TRIM(J843)="",M843=""),"Description not translated ",
   IF(AND(TRIM(J843)&lt;&gt;"",TRIM(M843)&lt;&gt;"",TRIM(J843)&lt;&gt;TRIM(M843)),"Description translation&lt;&gt; lookup ", "" ))</f>
        <v/>
      </c>
    </row>
    <row r="844" spans="1:17" x14ac:dyDescent="0.25">
      <c r="A844" s="5" t="str">
        <f>IF(TRIM(I844)="","",E844)</f>
        <v/>
      </c>
      <c r="B844" s="5" t="str">
        <f>IF(TRIM(J844)="","",H844)</f>
        <v/>
      </c>
      <c r="C844" s="5" t="str">
        <f>LEFT(F844,FIND(".",F844,6))</f>
        <v>Exif.NikonCb2b.</v>
      </c>
      <c r="D844" s="5" t="str">
        <f>VLOOKUP(C844,PrefixUebersetzung,2,FALSE)</f>
        <v>Exif.NikonCb2b.</v>
      </c>
      <c r="E844" s="5" t="str">
        <f>MID(F844,FIND(".",F844,6)+1,99)</f>
        <v>WB_RGGBLevels</v>
      </c>
      <c r="F844" s="5" t="s">
        <v>697</v>
      </c>
      <c r="G844" s="5" t="s">
        <v>9664</v>
      </c>
      <c r="H844" s="6" t="s">
        <v>2693</v>
      </c>
      <c r="K844" s="26"/>
      <c r="L844" s="6" t="str">
        <f>IFERROR(VLOOKUP(E844,A:I,9, FALSE),"")</f>
        <v>WB RGGB Ebenen</v>
      </c>
      <c r="M844" s="6" t="str">
        <f>IFERROR(VLOOKUP(H844,B:J,9,FALSE),"")</f>
        <v>WB RGGB Ebenen</v>
      </c>
      <c r="N844" s="6"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x14ac:dyDescent="0.25">
      <c r="A845" s="5" t="str">
        <f>IF(TRIM(I845)="","",E845)</f>
        <v/>
      </c>
      <c r="B845" s="5" t="str">
        <f>IF(TRIM(J845)="","",H845)</f>
        <v/>
      </c>
      <c r="C845" s="5" t="str">
        <f>LEFT(F845,FIND(".",F845,6))</f>
        <v>Exif.NikonCb3.</v>
      </c>
      <c r="D845" s="5" t="str">
        <f>VLOOKUP(C845,PrefixUebersetzung,2,FALSE)</f>
        <v>Exif.NikonCb3.</v>
      </c>
      <c r="E845" s="5" t="str">
        <f>MID(F845,FIND(".",F845,6)+1,99)</f>
        <v>Version</v>
      </c>
      <c r="F845" s="5" t="s">
        <v>698</v>
      </c>
      <c r="G845" s="5" t="s">
        <v>9669</v>
      </c>
      <c r="H845" s="6" t="s">
        <v>2688</v>
      </c>
      <c r="K845" s="26"/>
      <c r="L845" s="6" t="str">
        <f>IFERROR(VLOOKUP(E845,A:I,9, FALSE),"")</f>
        <v>Version</v>
      </c>
      <c r="M845" s="6" t="str">
        <f>IFERROR(VLOOKUP(H845,B:J,9,FALSE),"")</f>
        <v>Version</v>
      </c>
      <c r="N845" s="6"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5" t="str">
        <f>IF(TRIM(I846)="","",E846)</f>
        <v>WB_RGBGLevels</v>
      </c>
      <c r="B846" s="5" t="str">
        <f>IF(TRIM(J846)="","",H846)</f>
        <v>WB RGBG levels</v>
      </c>
      <c r="C846" s="5" t="str">
        <f>LEFT(F846,FIND(".",F846,6))</f>
        <v>Exif.NikonCb3.</v>
      </c>
      <c r="D846" s="5" t="str">
        <f>VLOOKUP(C846,PrefixUebersetzung,2,FALSE)</f>
        <v>Exif.NikonCb3.</v>
      </c>
      <c r="E846" s="5" t="str">
        <f>MID(F846,FIND(".",F846,6)+1,99)</f>
        <v>WB_RGBGLevels</v>
      </c>
      <c r="F846" s="5" t="s">
        <v>699</v>
      </c>
      <c r="G846" s="5" t="s">
        <v>9664</v>
      </c>
      <c r="H846" s="6" t="s">
        <v>2694</v>
      </c>
      <c r="I846" s="31" t="s">
        <v>3970</v>
      </c>
      <c r="J846" s="14" t="s">
        <v>3970</v>
      </c>
      <c r="K846" s="26"/>
      <c r="N846" s="6" t="str">
        <f>IF(AND(TRIM(I846)="",L846=""),"Suffix not translated ",
   IF(AND(TRIM(I846)&lt;&gt;"",TRIM(L846)&lt;&gt;"",TRIM(I846)&lt;&gt;TRIM(L846)),"Suffix translation &lt;&gt; lookup ", "" ))
&amp;IF(AND(TRIM(J846)="",M846=""),"Description not translated ",
   IF(AND(TRIM(J846)&lt;&gt;"",TRIM(M846)&lt;&gt;"",TRIM(J846)&lt;&gt;TRIM(M846)),"Description translation&lt;&gt; lookup ", "" ))</f>
        <v/>
      </c>
      <c r="O846" s="6" t="s">
        <v>8574</v>
      </c>
      <c r="P846" s="6" t="s">
        <v>8574</v>
      </c>
      <c r="Q846" s="6" t="s">
        <v>9163</v>
      </c>
    </row>
    <row r="847" spans="1:17" x14ac:dyDescent="0.25">
      <c r="A847" s="5" t="str">
        <f>IF(TRIM(I847)="","",E847)</f>
        <v/>
      </c>
      <c r="B847" s="5" t="str">
        <f>IF(TRIM(J847)="","",H847)</f>
        <v/>
      </c>
      <c r="C847" s="5" t="str">
        <f>LEFT(F847,FIND(".",F847,6))</f>
        <v>Exif.NikonCb4.</v>
      </c>
      <c r="D847" s="5" t="str">
        <f>VLOOKUP(C847,PrefixUebersetzung,2,FALSE)</f>
        <v>Exif.NikonCb4.</v>
      </c>
      <c r="E847" s="5" t="str">
        <f>MID(F847,FIND(".",F847,6)+1,99)</f>
        <v>Version</v>
      </c>
      <c r="F847" s="5" t="s">
        <v>700</v>
      </c>
      <c r="G847" s="5" t="s">
        <v>9669</v>
      </c>
      <c r="H847" s="6" t="s">
        <v>2688</v>
      </c>
      <c r="K847" s="26"/>
      <c r="L847" s="6" t="str">
        <f>IFERROR(VLOOKUP(E847,A:I,9, FALSE),"")</f>
        <v>Version</v>
      </c>
      <c r="M847" s="6" t="str">
        <f>IFERROR(VLOOKUP(H847,B:J,9,FALSE),"")</f>
        <v>Version</v>
      </c>
      <c r="N847" s="6" t="str">
        <f>IF(AND(TRIM(I847)="",L847=""),"Suffix not translated ",
   IF(AND(TRIM(I847)&lt;&gt;"",TRIM(L847)&lt;&gt;"",TRIM(I847)&lt;&gt;TRIM(L847)),"Suffix translation &lt;&gt; lookup ", "" ))
&amp;IF(AND(TRIM(J847)="",M847=""),"Description not translated ",
   IF(AND(TRIM(J847)&lt;&gt;"",TRIM(M847)&lt;&gt;"",TRIM(J847)&lt;&gt;TRIM(M847)),"Description translation&lt;&gt; lookup ", "" ))</f>
        <v/>
      </c>
    </row>
    <row r="848" spans="1:17" x14ac:dyDescent="0.25">
      <c r="A848" s="5" t="str">
        <f>IF(TRIM(I848)="","",E848)</f>
        <v>WB_GRBGLevels</v>
      </c>
      <c r="B848" s="5" t="str">
        <f>IF(TRIM(J848)="","",H848)</f>
        <v>WB GRBG levels</v>
      </c>
      <c r="C848" s="5" t="str">
        <f>LEFT(F848,FIND(".",F848,6))</f>
        <v>Exif.NikonCb4.</v>
      </c>
      <c r="D848" s="5" t="str">
        <f>VLOOKUP(C848,PrefixUebersetzung,2,FALSE)</f>
        <v>Exif.NikonCb4.</v>
      </c>
      <c r="E848" s="5" t="str">
        <f>MID(F848,FIND(".",F848,6)+1,99)</f>
        <v>WB_GRBGLevels</v>
      </c>
      <c r="F848" s="5" t="s">
        <v>701</v>
      </c>
      <c r="G848" s="5" t="s">
        <v>9664</v>
      </c>
      <c r="H848" s="6" t="s">
        <v>2695</v>
      </c>
      <c r="I848" s="31" t="s">
        <v>3971</v>
      </c>
      <c r="J848" s="14" t="s">
        <v>3971</v>
      </c>
      <c r="K848" s="26"/>
      <c r="N848" s="6" t="str">
        <f>IF(AND(TRIM(I848)="",L848=""),"Suffix not translated ",
   IF(AND(TRIM(I848)&lt;&gt;"",TRIM(L848)&lt;&gt;"",TRIM(I848)&lt;&gt;TRIM(L848)),"Suffix translation &lt;&gt; lookup ", "" ))
&amp;IF(AND(TRIM(J848)="",M848=""),"Description not translated ",
   IF(AND(TRIM(J848)&lt;&gt;"",TRIM(M848)&lt;&gt;"",TRIM(J848)&lt;&gt;TRIM(M848)),"Description translation&lt;&gt; lookup ", "" ))</f>
        <v/>
      </c>
      <c r="O848" s="6" t="s">
        <v>8574</v>
      </c>
      <c r="P848" s="6" t="s">
        <v>8574</v>
      </c>
      <c r="Q848" s="6" t="s">
        <v>9163</v>
      </c>
    </row>
    <row r="849" spans="1:17" x14ac:dyDescent="0.25">
      <c r="A849" s="5" t="str">
        <f>IF(TRIM(I849)="","",E849)</f>
        <v>DirectoryNumber</v>
      </c>
      <c r="B849" s="5" t="str">
        <f>IF(TRIM(J849)="","",H849)</f>
        <v>Directory number</v>
      </c>
      <c r="C849" s="5" t="str">
        <f>LEFT(F849,FIND(".",F849,6))</f>
        <v>Exif.NikonFi.</v>
      </c>
      <c r="D849" s="5" t="str">
        <f>VLOOKUP(C849,PrefixUebersetzung,2,FALSE)</f>
        <v>Exif.NikonFi.</v>
      </c>
      <c r="E849" s="5" t="str">
        <f>MID(F849,FIND(".",F849,6)+1,99)</f>
        <v>DirectoryNumber</v>
      </c>
      <c r="F849" s="5" t="s">
        <v>702</v>
      </c>
      <c r="G849" s="5" t="s">
        <v>9664</v>
      </c>
      <c r="H849" s="6" t="s">
        <v>2696</v>
      </c>
      <c r="I849" s="31" t="s">
        <v>4899</v>
      </c>
      <c r="J849" s="14" t="s">
        <v>4899</v>
      </c>
      <c r="K849" s="26"/>
      <c r="N849" s="6" t="str">
        <f>IF(AND(TRIM(I849)="",L849=""),"Suffix not translated ",
   IF(AND(TRIM(I849)&lt;&gt;"",TRIM(L849)&lt;&gt;"",TRIM(I849)&lt;&gt;TRIM(L849)),"Suffix translation &lt;&gt; lookup ", "" ))
&amp;IF(AND(TRIM(J849)="",M849=""),"Description not translated ",
   IF(AND(TRIM(J849)&lt;&gt;"",TRIM(M849)&lt;&gt;"",TRIM(J849)&lt;&gt;TRIM(M849)),"Description translation&lt;&gt; lookup ", "" ))</f>
        <v/>
      </c>
      <c r="O849" s="6" t="s">
        <v>8574</v>
      </c>
      <c r="P849" s="6" t="s">
        <v>8574</v>
      </c>
      <c r="Q849" s="6" t="s">
        <v>9251</v>
      </c>
    </row>
    <row r="850" spans="1:17" x14ac:dyDescent="0.25">
      <c r="A850" s="5" t="str">
        <f>IF(TRIM(I850)="","",E850)</f>
        <v/>
      </c>
      <c r="B850" s="5" t="str">
        <f>IF(TRIM(J850)="","",H850)</f>
        <v/>
      </c>
      <c r="C850" s="5" t="str">
        <f>LEFT(F850,FIND(".",F850,6))</f>
        <v>Exif.NikonFi.</v>
      </c>
      <c r="D850" s="5" t="str">
        <f>VLOOKUP(C850,PrefixUebersetzung,2,FALSE)</f>
        <v>Exif.NikonFi.</v>
      </c>
      <c r="E850" s="5" t="str">
        <f>MID(F850,FIND(".",F850,6)+1,99)</f>
        <v>FileNumber</v>
      </c>
      <c r="F850" s="5" t="s">
        <v>703</v>
      </c>
      <c r="G850" s="5" t="s">
        <v>9664</v>
      </c>
      <c r="H850" s="6" t="s">
        <v>2146</v>
      </c>
      <c r="I850" s="7"/>
      <c r="K850" s="26"/>
      <c r="L850" s="6" t="str">
        <f>IFERROR(VLOOKUP(E850,A:I,9, FALSE),"")</f>
        <v>Dateinummer</v>
      </c>
      <c r="M850" s="6" t="str">
        <f>IFERROR(VLOOKUP(H850,B:J,9,FALSE),"")</f>
        <v>Dateinummer</v>
      </c>
      <c r="N850" s="6" t="str">
        <f>IF(AND(TRIM(I850)="",L850=""),"Suffix not translated ",
   IF(AND(TRIM(I850)&lt;&gt;"",TRIM(L850)&lt;&gt;"",TRIM(I850)&lt;&gt;TRIM(L850)),"Suffix translation &lt;&gt; lookup ", "" ))
&amp;IF(AND(TRIM(J850)="",M850=""),"Description not translated ",
   IF(AND(TRIM(J850)&lt;&gt;"",TRIM(M850)&lt;&gt;"",TRIM(J850)&lt;&gt;TRIM(M850)),"Description translation&lt;&gt; lookup ", "" ))</f>
        <v/>
      </c>
    </row>
    <row r="851" spans="1:17" x14ac:dyDescent="0.25">
      <c r="A851" s="5" t="str">
        <f>IF(TRIM(I851)="","",E851)</f>
        <v/>
      </c>
      <c r="B851" s="5" t="str">
        <f>IF(TRIM(J851)="","",H851)</f>
        <v/>
      </c>
      <c r="C851" s="5" t="str">
        <f>LEFT(F851,FIND(".",F851,6))</f>
        <v>Exif.NikonFi.</v>
      </c>
      <c r="D851" s="5" t="str">
        <f>VLOOKUP(C851,PrefixUebersetzung,2,FALSE)</f>
        <v>Exif.NikonFi.</v>
      </c>
      <c r="E851" s="5" t="str">
        <f>MID(F851,FIND(".",F851,6)+1,99)</f>
        <v>Version</v>
      </c>
      <c r="F851" s="5" t="s">
        <v>704</v>
      </c>
      <c r="G851" s="5" t="s">
        <v>9669</v>
      </c>
      <c r="H851" s="6" t="s">
        <v>2688</v>
      </c>
      <c r="I851" s="7"/>
      <c r="K851" s="26"/>
      <c r="L851" s="6" t="str">
        <f>IFERROR(VLOOKUP(E851,A:I,9, FALSE),"")</f>
        <v>Version</v>
      </c>
      <c r="M851" s="6" t="str">
        <f>IFERROR(VLOOKUP(H851,B:J,9,FALSE),"")</f>
        <v>Version</v>
      </c>
      <c r="N851" s="6"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5" t="str">
        <f>IF(TRIM(I852)="","",E852)</f>
        <v/>
      </c>
      <c r="B852" s="5" t="str">
        <f>IF(TRIM(J852)="","",H852)</f>
        <v/>
      </c>
      <c r="C852" s="5" t="str">
        <f>LEFT(F852,FIND(".",F852,6))</f>
        <v>Exif.NikonFl1.</v>
      </c>
      <c r="D852" s="5" t="str">
        <f>VLOOKUP(C852,PrefixUebersetzung,2,FALSE)</f>
        <v>Exif.NikonFl1.</v>
      </c>
      <c r="E852" s="5" t="str">
        <f>MID(F852,FIND(".",F852,6)+1,99)</f>
        <v>0x0005</v>
      </c>
      <c r="F852" s="5" t="s">
        <v>705</v>
      </c>
      <c r="G852" s="5" t="s">
        <v>9670</v>
      </c>
      <c r="H852" s="6" t="s">
        <v>2138</v>
      </c>
      <c r="I852" s="7"/>
      <c r="K852" s="26"/>
      <c r="L852" s="6" t="str">
        <f>IFERROR(VLOOKUP(E852,A:I,9, FALSE),"")</f>
        <v/>
      </c>
      <c r="M852" s="6" t="str">
        <f>IFERROR(VLOOKUP(H852,B:J,9,FALSE),"")</f>
        <v>Unbekannt</v>
      </c>
      <c r="N852" s="6" t="str">
        <f>IF(AND(TRIM(I852)="",L852=""),"Suffix not translated ",
   IF(AND(TRIM(I852)&lt;&gt;"",TRIM(L852)&lt;&gt;"",TRIM(I852)&lt;&gt;TRIM(L852)),"Suffix translation &lt;&gt; lookup ", "" ))
&amp;IF(AND(TRIM(J852)="",M852=""),"Description not translated ",
   IF(AND(TRIM(J852)&lt;&gt;"",TRIM(M852)&lt;&gt;"",TRIM(J852)&lt;&gt;TRIM(M852)),"Description translation&lt;&gt; lookup ", "" ))</f>
        <v xml:space="preserve">Suffix not translated </v>
      </c>
      <c r="O852" s="6" t="s">
        <v>8574</v>
      </c>
    </row>
    <row r="853" spans="1:17" x14ac:dyDescent="0.25">
      <c r="A853" s="5" t="str">
        <f>IF(TRIM(I853)="","",E853)</f>
        <v>ExternalFlashFirmware</v>
      </c>
      <c r="B853" s="5" t="str">
        <f>IF(TRIM(J853)="","",H853)</f>
        <v>External flash firmware</v>
      </c>
      <c r="C853" s="5" t="str">
        <f>LEFT(F853,FIND(".",F853,6))</f>
        <v>Exif.NikonFl1.</v>
      </c>
      <c r="D853" s="5" t="str">
        <f>VLOOKUP(C853,PrefixUebersetzung,2,FALSE)</f>
        <v>Exif.NikonFl1.</v>
      </c>
      <c r="E853" s="5" t="str">
        <f>MID(F853,FIND(".",F853,6)+1,99)</f>
        <v>ExternalFlashFirmware</v>
      </c>
      <c r="F853" s="5" t="s">
        <v>706</v>
      </c>
      <c r="G853" s="5" t="s">
        <v>9664</v>
      </c>
      <c r="H853" s="6" t="s">
        <v>2697</v>
      </c>
      <c r="I853" s="31" t="s">
        <v>3972</v>
      </c>
      <c r="J853" s="14" t="s">
        <v>3972</v>
      </c>
      <c r="K853" s="26"/>
      <c r="L853" s="6" t="str">
        <f>IFERROR(VLOOKUP(E853,A:I,9, FALSE),"")</f>
        <v>Externer Blitz Firmware</v>
      </c>
      <c r="M853" s="6" t="str">
        <f>IFERROR(VLOOKUP(H853,B:J,9,FALSE),"")</f>
        <v>Externer Blitz Firmware</v>
      </c>
      <c r="N853" s="6" t="str">
        <f>IF(AND(TRIM(I853)="",L853=""),"Suffix not translated ",
   IF(AND(TRIM(I853)&lt;&gt;"",TRIM(L853)&lt;&gt;"",TRIM(I853)&lt;&gt;TRIM(L853)),"Suffix translation &lt;&gt; lookup ", "" ))
&amp;IF(AND(TRIM(J853)="",M853=""),"Description not translated ",
   IF(AND(TRIM(J853)&lt;&gt;"",TRIM(M853)&lt;&gt;"",TRIM(J853)&lt;&gt;TRIM(M853)),"Description translation&lt;&gt; lookup ", "" ))</f>
        <v/>
      </c>
      <c r="O853" s="6" t="s">
        <v>8574</v>
      </c>
      <c r="P853" s="6" t="s">
        <v>8574</v>
      </c>
      <c r="Q853" s="6" t="s">
        <v>9290</v>
      </c>
    </row>
    <row r="854" spans="1:17" ht="30" x14ac:dyDescent="0.25">
      <c r="A854" s="5" t="str">
        <f>IF(TRIM(I854)="","",E854)</f>
        <v>ExternalFlashFlags</v>
      </c>
      <c r="B854" s="5" t="str">
        <f>IF(TRIM(J854)="","",H854)</f>
        <v>External flash flags</v>
      </c>
      <c r="C854" s="5" t="str">
        <f>LEFT(F854,FIND(".",F854,6))</f>
        <v>Exif.NikonFl1.</v>
      </c>
      <c r="D854" s="5" t="str">
        <f>VLOOKUP(C854,PrefixUebersetzung,2,FALSE)</f>
        <v>Exif.NikonFl1.</v>
      </c>
      <c r="E854" s="5" t="str">
        <f>MID(F854,FIND(".",F854,6)+1,99)</f>
        <v>ExternalFlashFlags</v>
      </c>
      <c r="F854" s="5" t="s">
        <v>707</v>
      </c>
      <c r="G854" s="5" t="s">
        <v>9670</v>
      </c>
      <c r="H854" s="6" t="s">
        <v>2698</v>
      </c>
      <c r="I854" s="7" t="s">
        <v>4350</v>
      </c>
      <c r="J854" s="14" t="s">
        <v>4350</v>
      </c>
      <c r="K854" s="26"/>
      <c r="L854" s="6" t="str">
        <f>IFERROR(VLOOKUP(E854,A:I,9, FALSE),"")</f>
        <v>Externer Blitz Kennungen</v>
      </c>
      <c r="M854" s="6" t="str">
        <f>IFERROR(VLOOKUP(H854,B:J,9,FALSE),"")</f>
        <v>Externer Blitz Kennungen</v>
      </c>
      <c r="N854" s="6" t="str">
        <f>IF(AND(TRIM(I854)="",L854=""),"Suffix not translated ",
   IF(AND(TRIM(I854)&lt;&gt;"",TRIM(L854)&lt;&gt;"",TRIM(I854)&lt;&gt;TRIM(L854)),"Suffix translation &lt;&gt; lookup ", "" ))
&amp;IF(AND(TRIM(J854)="",M854=""),"Description not translated ",
   IF(AND(TRIM(J854)&lt;&gt;"",TRIM(M854)&lt;&gt;"",TRIM(J854)&lt;&gt;TRIM(M854)),"Description translation&lt;&gt; lookup ", "" ))</f>
        <v/>
      </c>
      <c r="O854" s="6" t="s">
        <v>8574</v>
      </c>
      <c r="P854" s="6" t="s">
        <v>8574</v>
      </c>
      <c r="Q854" s="6" t="s">
        <v>4031</v>
      </c>
    </row>
    <row r="855" spans="1:17" x14ac:dyDescent="0.25">
      <c r="A855" s="5" t="str">
        <f>IF(TRIM(I855)="","",E855)</f>
        <v>FlashFocalLength</v>
      </c>
      <c r="B855" s="5" t="str">
        <f>IF(TRIM(J855)="","",H855)</f>
        <v>Flash focal length</v>
      </c>
      <c r="C855" s="5" t="str">
        <f>LEFT(F855,FIND(".",F855,6))</f>
        <v>Exif.NikonFl1.</v>
      </c>
      <c r="D855" s="5" t="str">
        <f>VLOOKUP(C855,PrefixUebersetzung,2,FALSE)</f>
        <v>Exif.NikonFl1.</v>
      </c>
      <c r="E855" s="5" t="str">
        <f>MID(F855,FIND(".",F855,6)+1,99)</f>
        <v>FlashFocalLength</v>
      </c>
      <c r="F855" s="5" t="s">
        <v>708</v>
      </c>
      <c r="G855" s="5" t="s">
        <v>9670</v>
      </c>
      <c r="H855" s="6" t="s">
        <v>2699</v>
      </c>
      <c r="I855" s="31" t="s">
        <v>4900</v>
      </c>
      <c r="J855" s="14" t="s">
        <v>4900</v>
      </c>
      <c r="K855" s="26"/>
      <c r="L855" s="6" t="str">
        <f>IFERROR(VLOOKUP(E855,A:I,9, FALSE),"")</f>
        <v>Blitzbrennweite</v>
      </c>
      <c r="M855" s="6" t="str">
        <f>IFERROR(VLOOKUP(H855,B:J,9,FALSE),"")</f>
        <v>Blitzbrennweite</v>
      </c>
      <c r="N855" s="6" t="str">
        <f>IF(AND(TRIM(I855)="",L855=""),"Suffix not translated ",
   IF(AND(TRIM(I855)&lt;&gt;"",TRIM(L855)&lt;&gt;"",TRIM(I855)&lt;&gt;TRIM(L855)),"Suffix translation &lt;&gt; lookup ", "" ))
&amp;IF(AND(TRIM(J855)="",M855=""),"Description not translated ",
   IF(AND(TRIM(J855)&lt;&gt;"",TRIM(M855)&lt;&gt;"",TRIM(J855)&lt;&gt;TRIM(M855)),"Description translation&lt;&gt; lookup ", "" ))</f>
        <v/>
      </c>
      <c r="O855" s="6" t="s">
        <v>8574</v>
      </c>
      <c r="P855" s="6" t="s">
        <v>8574</v>
      </c>
      <c r="Q855" s="6" t="s">
        <v>9310</v>
      </c>
    </row>
    <row r="856" spans="1:17" x14ac:dyDescent="0.25">
      <c r="A856" s="5" t="str">
        <f>IF(TRIM(I856)="","",E856)</f>
        <v>FlashGNDistance</v>
      </c>
      <c r="B856" s="5" t="str">
        <f>IF(TRIM(J856)="","",H856)</f>
        <v>Flash GN distance</v>
      </c>
      <c r="C856" s="5" t="str">
        <f>LEFT(F856,FIND(".",F856,6))</f>
        <v>Exif.NikonFl1.</v>
      </c>
      <c r="D856" s="5" t="str">
        <f>VLOOKUP(C856,PrefixUebersetzung,2,FALSE)</f>
        <v>Exif.NikonFl1.</v>
      </c>
      <c r="E856" s="5" t="str">
        <f>MID(F856,FIND(".",F856,6)+1,99)</f>
        <v>FlashGNDistance</v>
      </c>
      <c r="F856" s="5" t="s">
        <v>709</v>
      </c>
      <c r="G856" s="5" t="s">
        <v>9670</v>
      </c>
      <c r="H856" s="6" t="s">
        <v>2700</v>
      </c>
      <c r="I856" s="7" t="s">
        <v>4901</v>
      </c>
      <c r="J856" s="14" t="s">
        <v>4901</v>
      </c>
      <c r="K856" s="26"/>
      <c r="L856" s="6" t="str">
        <f>IFERROR(VLOOKUP(E856,A:I,9, FALSE),"")</f>
        <v>Blitzleitzahl Abstand</v>
      </c>
      <c r="M856" s="6" t="str">
        <f>IFERROR(VLOOKUP(H856,B:J,9,FALSE),"")</f>
        <v>Blitzleitzahl Abstand</v>
      </c>
      <c r="N856" s="6" t="str">
        <f>IF(AND(TRIM(I856)="",L856=""),"Suffix not translated ",
   IF(AND(TRIM(I856)&lt;&gt;"",TRIM(L856)&lt;&gt;"",TRIM(I856)&lt;&gt;TRIM(L856)),"Suffix translation &lt;&gt; lookup ", "" ))
&amp;IF(AND(TRIM(J856)="",M856=""),"Description not translated ",
   IF(AND(TRIM(J856)&lt;&gt;"",TRIM(M856)&lt;&gt;"",TRIM(J856)&lt;&gt;TRIM(M856)),"Description translation&lt;&gt; lookup ", "" ))</f>
        <v/>
      </c>
      <c r="O856" s="6" t="s">
        <v>8574</v>
      </c>
      <c r="P856" s="6" t="s">
        <v>8574</v>
      </c>
      <c r="Q856" s="6" t="s">
        <v>9311</v>
      </c>
    </row>
    <row r="857" spans="1:17" x14ac:dyDescent="0.25">
      <c r="A857" s="5" t="str">
        <f>IF(TRIM(I857)="","",E857)</f>
        <v>FlashGroupAControlMode</v>
      </c>
      <c r="B857" s="5" t="str">
        <f>IF(TRIM(J857)="","",H857)</f>
        <v>Flash group a control mode</v>
      </c>
      <c r="C857" s="5" t="str">
        <f>LEFT(F857,FIND(".",F857,6))</f>
        <v>Exif.NikonFl1.</v>
      </c>
      <c r="D857" s="5" t="str">
        <f>VLOOKUP(C857,PrefixUebersetzung,2,FALSE)</f>
        <v>Exif.NikonFl1.</v>
      </c>
      <c r="E857" s="5" t="str">
        <f>MID(F857,FIND(".",F857,6)+1,99)</f>
        <v>FlashGroupAControlMode</v>
      </c>
      <c r="F857" s="5" t="s">
        <v>710</v>
      </c>
      <c r="G857" s="5" t="s">
        <v>9670</v>
      </c>
      <c r="H857" s="6" t="s">
        <v>2701</v>
      </c>
      <c r="I857" s="7" t="s">
        <v>4351</v>
      </c>
      <c r="J857" s="14" t="s">
        <v>4351</v>
      </c>
      <c r="K857" s="26"/>
      <c r="N857" s="6" t="str">
        <f>IF(AND(TRIM(I857)="",L857=""),"Suffix not translated ",
   IF(AND(TRIM(I857)&lt;&gt;"",TRIM(L857)&lt;&gt;"",TRIM(I857)&lt;&gt;TRIM(L857)),"Suffix translation &lt;&gt; lookup ", "" ))
&amp;IF(AND(TRIM(J857)="",M857=""),"Description not translated ",
   IF(AND(TRIM(J857)&lt;&gt;"",TRIM(M857)&lt;&gt;"",TRIM(J857)&lt;&gt;TRIM(M857)),"Description translation&lt;&gt; lookup ", "" ))</f>
        <v/>
      </c>
      <c r="O857" s="6" t="s">
        <v>8574</v>
      </c>
      <c r="P857" s="6" t="s">
        <v>8574</v>
      </c>
    </row>
    <row r="858" spans="1:17" x14ac:dyDescent="0.25">
      <c r="A858" s="5" t="str">
        <f>IF(TRIM(I858)="","",E858)</f>
        <v>FlashGroupBControlMode</v>
      </c>
      <c r="B858" s="5" t="str">
        <f>IF(TRIM(J858)="","",H858)</f>
        <v>Flash group b control mode</v>
      </c>
      <c r="C858" s="5" t="str">
        <f>LEFT(F858,FIND(".",F858,6))</f>
        <v>Exif.NikonFl1.</v>
      </c>
      <c r="D858" s="5" t="str">
        <f>VLOOKUP(C858,PrefixUebersetzung,2,FALSE)</f>
        <v>Exif.NikonFl1.</v>
      </c>
      <c r="E858" s="5" t="str">
        <f>MID(F858,FIND(".",F858,6)+1,99)</f>
        <v>FlashGroupBControlMode</v>
      </c>
      <c r="F858" s="5" t="s">
        <v>711</v>
      </c>
      <c r="G858" s="5" t="s">
        <v>9670</v>
      </c>
      <c r="H858" s="6" t="s">
        <v>2702</v>
      </c>
      <c r="I858" s="7" t="s">
        <v>4829</v>
      </c>
      <c r="J858" s="14" t="s">
        <v>4829</v>
      </c>
      <c r="K858" s="26"/>
      <c r="N858" s="6" t="str">
        <f>IF(AND(TRIM(I858)="",L858=""),"Suffix not translated ",
   IF(AND(TRIM(I858)&lt;&gt;"",TRIM(L858)&lt;&gt;"",TRIM(I858)&lt;&gt;TRIM(L858)),"Suffix translation &lt;&gt; lookup ", "" ))
&amp;IF(AND(TRIM(J858)="",M858=""),"Description not translated ",
   IF(AND(TRIM(J858)&lt;&gt;"",TRIM(M858)&lt;&gt;"",TRIM(J858)&lt;&gt;TRIM(M858)),"Description translation&lt;&gt; lookup ", "" ))</f>
        <v/>
      </c>
      <c r="O858" s="6" t="s">
        <v>8574</v>
      </c>
      <c r="P858" s="6" t="s">
        <v>8574</v>
      </c>
    </row>
    <row r="859" spans="1:17" x14ac:dyDescent="0.25">
      <c r="A859" s="5" t="str">
        <f>IF(TRIM(I859)="","",E859)</f>
        <v>FlashSource</v>
      </c>
      <c r="B859" s="5" t="str">
        <f>IF(TRIM(J859)="","",H859)</f>
        <v>Flash source</v>
      </c>
      <c r="C859" s="5" t="str">
        <f>LEFT(F859,FIND(".",F859,6))</f>
        <v>Exif.NikonFl1.</v>
      </c>
      <c r="D859" s="5" t="str">
        <f>VLOOKUP(C859,PrefixUebersetzung,2,FALSE)</f>
        <v>Exif.NikonFl1.</v>
      </c>
      <c r="E859" s="5" t="str">
        <f>MID(F859,FIND(".",F859,6)+1,99)</f>
        <v>FlashSource</v>
      </c>
      <c r="F859" s="5" t="s">
        <v>712</v>
      </c>
      <c r="G859" s="5" t="s">
        <v>9670</v>
      </c>
      <c r="H859" s="6" t="s">
        <v>2703</v>
      </c>
      <c r="I859" s="7" t="s">
        <v>4352</v>
      </c>
      <c r="J859" s="14" t="s">
        <v>4352</v>
      </c>
      <c r="K859" s="26"/>
      <c r="L859" s="6" t="str">
        <f>IFERROR(VLOOKUP(E859,A:I,9, FALSE),"")</f>
        <v>Blitzquelle</v>
      </c>
      <c r="M859" s="6" t="str">
        <f>IFERROR(VLOOKUP(H859,B:J,9,FALSE),"")</f>
        <v>Blitzquelle</v>
      </c>
      <c r="N859" s="6" t="str">
        <f>IF(AND(TRIM(I859)="",L859=""),"Suffix not translated ",
   IF(AND(TRIM(I859)&lt;&gt;"",TRIM(L859)&lt;&gt;"",TRIM(I859)&lt;&gt;TRIM(L859)),"Suffix translation &lt;&gt; lookup ", "" ))
&amp;IF(AND(TRIM(J859)="",M859=""),"Description not translated ",
   IF(AND(TRIM(J859)&lt;&gt;"",TRIM(M859)&lt;&gt;"",TRIM(J859)&lt;&gt;TRIM(M859)),"Description translation&lt;&gt; lookup ", "" ))</f>
        <v/>
      </c>
      <c r="O859" s="6" t="s">
        <v>8574</v>
      </c>
      <c r="P859" s="6" t="s">
        <v>8574</v>
      </c>
      <c r="Q859" s="6" t="s">
        <v>9301</v>
      </c>
    </row>
    <row r="860" spans="1:17" x14ac:dyDescent="0.25">
      <c r="A860" s="5" t="str">
        <f>IF(TRIM(I860)="","",E860)</f>
        <v>RepeatingFlashCount</v>
      </c>
      <c r="B860" s="5" t="str">
        <f>IF(TRIM(J860)="","",H860)</f>
        <v>Repeating flash count</v>
      </c>
      <c r="C860" s="5" t="str">
        <f>LEFT(F860,FIND(".",F860,6))</f>
        <v>Exif.NikonFl1.</v>
      </c>
      <c r="D860" s="5" t="str">
        <f>VLOOKUP(C860,PrefixUebersetzung,2,FALSE)</f>
        <v>Exif.NikonFl1.</v>
      </c>
      <c r="E860" s="5" t="str">
        <f>MID(F860,FIND(".",F860,6)+1,99)</f>
        <v>RepeatingFlashCount</v>
      </c>
      <c r="F860" s="5" t="s">
        <v>713</v>
      </c>
      <c r="G860" s="5" t="s">
        <v>9670</v>
      </c>
      <c r="H860" s="6" t="s">
        <v>2704</v>
      </c>
      <c r="I860" s="31" t="s">
        <v>4353</v>
      </c>
      <c r="J860" s="14" t="s">
        <v>4353</v>
      </c>
      <c r="K860" s="26"/>
      <c r="L860" s="6" t="str">
        <f>IFERROR(VLOOKUP(E860,A:I,9, FALSE),"")</f>
        <v>Stroboskopblitz Zähler</v>
      </c>
      <c r="M860" s="6" t="str">
        <f>IFERROR(VLOOKUP(H860,B:J,9,FALSE),"")</f>
        <v>Stroboskopblitz Zähler</v>
      </c>
      <c r="N860" s="6" t="str">
        <f>IF(AND(TRIM(I860)="",L860=""),"Suffix not translated ",
   IF(AND(TRIM(I860)&lt;&gt;"",TRIM(L860)&lt;&gt;"",TRIM(I860)&lt;&gt;TRIM(L860)),"Suffix translation &lt;&gt; lookup ", "" ))
&amp;IF(AND(TRIM(J860)="",M860=""),"Description not translated ",
   IF(AND(TRIM(J860)&lt;&gt;"",TRIM(M860)&lt;&gt;"",TRIM(J860)&lt;&gt;TRIM(M860)),"Description translation&lt;&gt; lookup ", "" ))</f>
        <v/>
      </c>
      <c r="O860" s="6" t="s">
        <v>8574</v>
      </c>
      <c r="P860" s="6" t="s">
        <v>8574</v>
      </c>
      <c r="Q860" s="6" t="s">
        <v>9412</v>
      </c>
    </row>
    <row r="861" spans="1:17" x14ac:dyDescent="0.25">
      <c r="A861" s="5" t="str">
        <f>IF(TRIM(I861)="","",E861)</f>
        <v>RepeatingFlashRate</v>
      </c>
      <c r="B861" s="5" t="str">
        <f>IF(TRIM(J861)="","",H861)</f>
        <v>Repeating flash rate</v>
      </c>
      <c r="C861" s="5" t="str">
        <f>LEFT(F861,FIND(".",F861,6))</f>
        <v>Exif.NikonFl1.</v>
      </c>
      <c r="D861" s="5" t="str">
        <f>VLOOKUP(C861,PrefixUebersetzung,2,FALSE)</f>
        <v>Exif.NikonFl1.</v>
      </c>
      <c r="E861" s="5" t="str">
        <f>MID(F861,FIND(".",F861,6)+1,99)</f>
        <v>RepeatingFlashRate</v>
      </c>
      <c r="F861" s="5" t="s">
        <v>714</v>
      </c>
      <c r="G861" s="5" t="s">
        <v>9670</v>
      </c>
      <c r="H861" s="6" t="s">
        <v>2705</v>
      </c>
      <c r="I861" s="31" t="s">
        <v>3973</v>
      </c>
      <c r="J861" s="14" t="s">
        <v>3973</v>
      </c>
      <c r="K861" s="26"/>
      <c r="L861" s="6" t="str">
        <f>IFERROR(VLOOKUP(E861,A:I,9, FALSE),"")</f>
        <v>Stroboskopblitz Rate</v>
      </c>
      <c r="M861" s="6" t="str">
        <f>IFERROR(VLOOKUP(H861,B:J,9,FALSE),"")</f>
        <v>Stroboskopblitz Rate</v>
      </c>
      <c r="N861" s="6" t="str">
        <f>IF(AND(TRIM(I861)="",L861=""),"Suffix not translated ",
   IF(AND(TRIM(I861)&lt;&gt;"",TRIM(L861)&lt;&gt;"",TRIM(I861)&lt;&gt;TRIM(L861)),"Suffix translation &lt;&gt; lookup ", "" ))
&amp;IF(AND(TRIM(J861)="",M861=""),"Description not translated ",
   IF(AND(TRIM(J861)&lt;&gt;"",TRIM(M861)&lt;&gt;"",TRIM(J861)&lt;&gt;TRIM(M861)),"Description translation&lt;&gt; lookup ", "" ))</f>
        <v/>
      </c>
      <c r="O861" s="6" t="s">
        <v>8574</v>
      </c>
      <c r="P861" s="6" t="s">
        <v>8574</v>
      </c>
      <c r="Q861" s="6" t="s">
        <v>9472</v>
      </c>
    </row>
    <row r="862" spans="1:17" x14ac:dyDescent="0.25">
      <c r="A862" s="5" t="str">
        <f>IF(TRIM(I862)="","",E862)</f>
        <v/>
      </c>
      <c r="B862" s="5" t="str">
        <f>IF(TRIM(J862)="","",H862)</f>
        <v/>
      </c>
      <c r="C862" s="5" t="str">
        <f>LEFT(F862,FIND(".",F862,6))</f>
        <v>Exif.NikonFl1.</v>
      </c>
      <c r="D862" s="5" t="str">
        <f>VLOOKUP(C862,PrefixUebersetzung,2,FALSE)</f>
        <v>Exif.NikonFl1.</v>
      </c>
      <c r="E862" s="5" t="str">
        <f>MID(F862,FIND(".",F862,6)+1,99)</f>
        <v>Version</v>
      </c>
      <c r="F862" s="5" t="s">
        <v>715</v>
      </c>
      <c r="G862" s="5" t="s">
        <v>9669</v>
      </c>
      <c r="H862" s="6" t="s">
        <v>2688</v>
      </c>
      <c r="I862" s="7"/>
      <c r="K862" s="26"/>
      <c r="L862" s="6" t="str">
        <f>IFERROR(VLOOKUP(E862,A:I,9, FALSE),"")</f>
        <v>Version</v>
      </c>
      <c r="M862" s="6" t="str">
        <f>IFERROR(VLOOKUP(H862,B:J,9,FALSE),"")</f>
        <v>Version</v>
      </c>
      <c r="N862" s="6" t="str">
        <f>IF(AND(TRIM(I862)="",L862=""),"Suffix not translated ",
   IF(AND(TRIM(I862)&lt;&gt;"",TRIM(L862)&lt;&gt;"",TRIM(I862)&lt;&gt;TRIM(L862)),"Suffix translation &lt;&gt; lookup ", "" ))
&amp;IF(AND(TRIM(J862)="",M862=""),"Description not translated ",
   IF(AND(TRIM(J862)&lt;&gt;"",TRIM(M862)&lt;&gt;"",TRIM(J862)&lt;&gt;TRIM(M862)),"Description translation&lt;&gt; lookup ", "" ))</f>
        <v/>
      </c>
    </row>
    <row r="863" spans="1:17" x14ac:dyDescent="0.25">
      <c r="A863" s="5" t="str">
        <f>IF(TRIM(I863)="","",E863)</f>
        <v/>
      </c>
      <c r="B863" s="5" t="str">
        <f>IF(TRIM(J863)="","",H863)</f>
        <v/>
      </c>
      <c r="C863" s="5" t="str">
        <f>LEFT(F863,FIND(".",F863,6))</f>
        <v>Exif.NikonFl2.</v>
      </c>
      <c r="D863" s="5" t="str">
        <f>VLOOKUP(C863,PrefixUebersetzung,2,FALSE)</f>
        <v>Exif.NikonFl2.</v>
      </c>
      <c r="E863" s="5" t="str">
        <f>MID(F863,FIND(".",F863,6)+1,99)</f>
        <v>0x0005</v>
      </c>
      <c r="F863" s="5" t="s">
        <v>716</v>
      </c>
      <c r="G863" s="5" t="s">
        <v>9670</v>
      </c>
      <c r="H863" s="6" t="s">
        <v>2138</v>
      </c>
      <c r="I863" s="7"/>
      <c r="K863" s="26"/>
      <c r="L863" s="6" t="str">
        <f>IFERROR(VLOOKUP(E863,A:I,9, FALSE),"")</f>
        <v/>
      </c>
      <c r="M863" s="6" t="str">
        <f>IFERROR(VLOOKUP(H863,B:J,9,FALSE),"")</f>
        <v>Unbekannt</v>
      </c>
      <c r="N863" s="6" t="str">
        <f>IF(AND(TRIM(I863)="",L863=""),"Suffix not translated ",
   IF(AND(TRIM(I863)&lt;&gt;"",TRIM(L863)&lt;&gt;"",TRIM(I863)&lt;&gt;TRIM(L863)),"Suffix translation &lt;&gt; lookup ", "" ))
&amp;IF(AND(TRIM(J863)="",M863=""),"Description not translated ",
   IF(AND(TRIM(J863)&lt;&gt;"",TRIM(M863)&lt;&gt;"",TRIM(J863)&lt;&gt;TRIM(M863)),"Description translation&lt;&gt; lookup ", "" ))</f>
        <v xml:space="preserve">Suffix not translated </v>
      </c>
    </row>
    <row r="864" spans="1:17" x14ac:dyDescent="0.25">
      <c r="A864" s="5" t="str">
        <f>IF(TRIM(I864)="","",E864)</f>
        <v/>
      </c>
      <c r="B864" s="5" t="str">
        <f>IF(TRIM(J864)="","",H864)</f>
        <v/>
      </c>
      <c r="C864" s="5" t="str">
        <f>LEFT(F864,FIND(".",F864,6))</f>
        <v>Exif.NikonFl2.</v>
      </c>
      <c r="D864" s="5" t="str">
        <f>VLOOKUP(C864,PrefixUebersetzung,2,FALSE)</f>
        <v>Exif.NikonFl2.</v>
      </c>
      <c r="E864" s="5" t="str">
        <f>MID(F864,FIND(".",F864,6)+1,99)</f>
        <v>ExternalFlashFirmware</v>
      </c>
      <c r="F864" s="5" t="s">
        <v>717</v>
      </c>
      <c r="G864" s="5" t="s">
        <v>9664</v>
      </c>
      <c r="H864" s="6" t="s">
        <v>2697</v>
      </c>
      <c r="I864" s="7"/>
      <c r="K864" s="26"/>
      <c r="L864" s="6" t="str">
        <f>IFERROR(VLOOKUP(E864,A:I,9, FALSE),"")</f>
        <v>Externer Blitz Firmware</v>
      </c>
      <c r="M864" s="6" t="str">
        <f>IFERROR(VLOOKUP(H864,B:J,9,FALSE),"")</f>
        <v>Externer Blitz Firmware</v>
      </c>
      <c r="N864" s="6" t="str">
        <f>IF(AND(TRIM(I864)="",L864=""),"Suffix not translated ",
   IF(AND(TRIM(I864)&lt;&gt;"",TRIM(L864)&lt;&gt;"",TRIM(I864)&lt;&gt;TRIM(L864)),"Suffix translation &lt;&gt; lookup ", "" ))
&amp;IF(AND(TRIM(J864)="",M864=""),"Description not translated ",
   IF(AND(TRIM(J864)&lt;&gt;"",TRIM(M864)&lt;&gt;"",TRIM(J864)&lt;&gt;TRIM(M864)),"Description translation&lt;&gt; lookup ", "" ))</f>
        <v/>
      </c>
    </row>
    <row r="865" spans="1:17" ht="30" x14ac:dyDescent="0.25">
      <c r="A865" s="5" t="str">
        <f>IF(TRIM(I865)="","",E865)</f>
        <v/>
      </c>
      <c r="B865" s="5" t="str">
        <f>IF(TRIM(J865)="","",H865)</f>
        <v/>
      </c>
      <c r="C865" s="5" t="str">
        <f>LEFT(F865,FIND(".",F865,6))</f>
        <v>Exif.NikonFl2.</v>
      </c>
      <c r="D865" s="5" t="str">
        <f>VLOOKUP(C865,PrefixUebersetzung,2,FALSE)</f>
        <v>Exif.NikonFl2.</v>
      </c>
      <c r="E865" s="5" t="str">
        <f>MID(F865,FIND(".",F865,6)+1,99)</f>
        <v>ExternalFlashFlags</v>
      </c>
      <c r="F865" s="5" t="s">
        <v>718</v>
      </c>
      <c r="G865" s="5" t="s">
        <v>9670</v>
      </c>
      <c r="H865" s="6" t="s">
        <v>2698</v>
      </c>
      <c r="I865" s="7"/>
      <c r="K865" s="26"/>
      <c r="L865" s="6" t="str">
        <f>IFERROR(VLOOKUP(E865,A:I,9, FALSE),"")</f>
        <v>Externer Blitz Kennungen</v>
      </c>
      <c r="M865" s="6" t="str">
        <f>IFERROR(VLOOKUP(H865,B:J,9,FALSE),"")</f>
        <v>Externer Blitz Kennungen</v>
      </c>
      <c r="N865" s="6" t="str">
        <f>IF(AND(TRIM(I865)="",L865=""),"Suffix not translated ",
   IF(AND(TRIM(I865)&lt;&gt;"",TRIM(L865)&lt;&gt;"",TRIM(I865)&lt;&gt;TRIM(L865)),"Suffix translation &lt;&gt; lookup ", "" ))
&amp;IF(AND(TRIM(J865)="",M865=""),"Description not translated ",
   IF(AND(TRIM(J865)&lt;&gt;"",TRIM(M865)&lt;&gt;"",TRIM(J865)&lt;&gt;TRIM(M865)),"Description translation&lt;&gt; lookup ", "" ))</f>
        <v/>
      </c>
    </row>
    <row r="866" spans="1:17" x14ac:dyDescent="0.25">
      <c r="A866" s="5" t="str">
        <f>IF(TRIM(I866)="","",E866)</f>
        <v/>
      </c>
      <c r="B866" s="5" t="str">
        <f>IF(TRIM(J866)="","",H866)</f>
        <v/>
      </c>
      <c r="C866" s="5" t="str">
        <f>LEFT(F866,FIND(".",F866,6))</f>
        <v>Exif.NikonFl2.</v>
      </c>
      <c r="D866" s="5" t="str">
        <f>VLOOKUP(C866,PrefixUebersetzung,2,FALSE)</f>
        <v>Exif.NikonFl2.</v>
      </c>
      <c r="E866" s="5" t="str">
        <f>MID(F866,FIND(".",F866,6)+1,99)</f>
        <v>FlashFocalLength</v>
      </c>
      <c r="F866" s="5" t="s">
        <v>719</v>
      </c>
      <c r="G866" s="5" t="s">
        <v>9670</v>
      </c>
      <c r="H866" s="6" t="s">
        <v>2699</v>
      </c>
      <c r="I866" s="7"/>
      <c r="K866" s="26"/>
      <c r="L866" s="6" t="str">
        <f>IFERROR(VLOOKUP(E866,A:I,9, FALSE),"")</f>
        <v>Blitzbrennweite</v>
      </c>
      <c r="M866" s="6" t="str">
        <f>IFERROR(VLOOKUP(H866,B:J,9,FALSE),"")</f>
        <v>Blitzbrennweite</v>
      </c>
      <c r="N866" s="6" t="str">
        <f>IF(AND(TRIM(I866)="",L866=""),"Suffix not translated ",
   IF(AND(TRIM(I866)&lt;&gt;"",TRIM(L866)&lt;&gt;"",TRIM(I866)&lt;&gt;TRIM(L866)),"Suffix translation &lt;&gt; lookup ", "" ))
&amp;IF(AND(TRIM(J866)="",M866=""),"Description not translated ",
   IF(AND(TRIM(J866)&lt;&gt;"",TRIM(M866)&lt;&gt;"",TRIM(J866)&lt;&gt;TRIM(M866)),"Description translation&lt;&gt; lookup ", "" ))</f>
        <v/>
      </c>
    </row>
    <row r="867" spans="1:17" x14ac:dyDescent="0.25">
      <c r="A867" s="5" t="str">
        <f>IF(TRIM(I867)="","",E867)</f>
        <v/>
      </c>
      <c r="B867" s="5" t="str">
        <f>IF(TRIM(J867)="","",H867)</f>
        <v/>
      </c>
      <c r="C867" s="5" t="str">
        <f>LEFT(F867,FIND(".",F867,6))</f>
        <v>Exif.NikonFl2.</v>
      </c>
      <c r="D867" s="5" t="str">
        <f>VLOOKUP(C867,PrefixUebersetzung,2,FALSE)</f>
        <v>Exif.NikonFl2.</v>
      </c>
      <c r="E867" s="5" t="str">
        <f>MID(F867,FIND(".",F867,6)+1,99)</f>
        <v>FlashGNDistance</v>
      </c>
      <c r="F867" s="5" t="s">
        <v>720</v>
      </c>
      <c r="G867" s="5" t="s">
        <v>9670</v>
      </c>
      <c r="H867" s="6" t="s">
        <v>2700</v>
      </c>
      <c r="I867" s="7"/>
      <c r="K867" s="26"/>
      <c r="L867" s="6" t="str">
        <f>IFERROR(VLOOKUP(E867,A:I,9, FALSE),"")</f>
        <v>Blitzleitzahl Abstand</v>
      </c>
      <c r="M867" s="6" t="str">
        <f>IFERROR(VLOOKUP(H867,B:J,9,FALSE),"")</f>
        <v>Blitzleitzahl Abstand</v>
      </c>
      <c r="N867" s="6"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5" t="str">
        <f>IF(TRIM(I868)="","",E868)</f>
        <v/>
      </c>
      <c r="B868" s="5" t="str">
        <f>IF(TRIM(J868)="","",H868)</f>
        <v/>
      </c>
      <c r="C868" s="5" t="str">
        <f>LEFT(F868,FIND(".",F868,6))</f>
        <v>Exif.NikonFl2.</v>
      </c>
      <c r="D868" s="5" t="str">
        <f>VLOOKUP(C868,PrefixUebersetzung,2,FALSE)</f>
        <v>Exif.NikonFl2.</v>
      </c>
      <c r="E868" s="5" t="str">
        <f>MID(F868,FIND(".",F868,6)+1,99)</f>
        <v>FlashSource</v>
      </c>
      <c r="F868" s="5" t="s">
        <v>721</v>
      </c>
      <c r="G868" s="5" t="s">
        <v>9670</v>
      </c>
      <c r="H868" s="6" t="s">
        <v>2703</v>
      </c>
      <c r="I868" s="7"/>
      <c r="K868" s="26"/>
      <c r="L868" s="6" t="str">
        <f>IFERROR(VLOOKUP(E868,A:I,9, FALSE),"")</f>
        <v>Blitzquelle</v>
      </c>
      <c r="M868" s="6" t="str">
        <f>IFERROR(VLOOKUP(H868,B:J,9,FALSE),"")</f>
        <v>Blitzquelle</v>
      </c>
      <c r="N868" s="6" t="str">
        <f>IF(AND(TRIM(I868)="",L868=""),"Suffix not translated ",
   IF(AND(TRIM(I868)&lt;&gt;"",TRIM(L868)&lt;&gt;"",TRIM(I868)&lt;&gt;TRIM(L868)),"Suffix translation &lt;&gt; lookup ", "" ))
&amp;IF(AND(TRIM(J868)="",M868=""),"Description not translated ",
   IF(AND(TRIM(J868)&lt;&gt;"",TRIM(M868)&lt;&gt;"",TRIM(J868)&lt;&gt;TRIM(M868)),"Description translation&lt;&gt; lookup ", "" ))</f>
        <v/>
      </c>
    </row>
    <row r="869" spans="1:17" x14ac:dyDescent="0.25">
      <c r="A869" s="5" t="str">
        <f>IF(TRIM(I869)="","",E869)</f>
        <v/>
      </c>
      <c r="B869" s="5" t="str">
        <f>IF(TRIM(J869)="","",H869)</f>
        <v/>
      </c>
      <c r="C869" s="5" t="str">
        <f>LEFT(F869,FIND(".",F869,6))</f>
        <v>Exif.NikonFl2.</v>
      </c>
      <c r="D869" s="5" t="str">
        <f>VLOOKUP(C869,PrefixUebersetzung,2,FALSE)</f>
        <v>Exif.NikonFl2.</v>
      </c>
      <c r="E869" s="5" t="str">
        <f>MID(F869,FIND(".",F869,6)+1,99)</f>
        <v>RepeatingFlashCount</v>
      </c>
      <c r="F869" s="5" t="s">
        <v>722</v>
      </c>
      <c r="G869" s="5" t="s">
        <v>9670</v>
      </c>
      <c r="H869" s="6" t="s">
        <v>2704</v>
      </c>
      <c r="I869" s="7"/>
      <c r="K869" s="26"/>
      <c r="L869" s="6" t="str">
        <f>IFERROR(VLOOKUP(E869,A:I,9, FALSE),"")</f>
        <v>Stroboskopblitz Zähler</v>
      </c>
      <c r="M869" s="6" t="str">
        <f>IFERROR(VLOOKUP(H869,B:J,9,FALSE),"")</f>
        <v>Stroboskopblitz Zähler</v>
      </c>
      <c r="N869" s="6" t="str">
        <f>IF(AND(TRIM(I869)="",L869=""),"Suffix not translated ",
   IF(AND(TRIM(I869)&lt;&gt;"",TRIM(L869)&lt;&gt;"",TRIM(I869)&lt;&gt;TRIM(L869)),"Suffix translation &lt;&gt; lookup ", "" ))
&amp;IF(AND(TRIM(J869)="",M869=""),"Description not translated ",
   IF(AND(TRIM(J869)&lt;&gt;"",TRIM(M869)&lt;&gt;"",TRIM(J869)&lt;&gt;TRIM(M869)),"Description translation&lt;&gt; lookup ", "" ))</f>
        <v/>
      </c>
    </row>
    <row r="870" spans="1:17" x14ac:dyDescent="0.25">
      <c r="A870" s="5" t="str">
        <f>IF(TRIM(I870)="","",E870)</f>
        <v/>
      </c>
      <c r="B870" s="5" t="str">
        <f>IF(TRIM(J870)="","",H870)</f>
        <v/>
      </c>
      <c r="C870" s="5" t="str">
        <f>LEFT(F870,FIND(".",F870,6))</f>
        <v>Exif.NikonFl2.</v>
      </c>
      <c r="D870" s="5" t="str">
        <f>VLOOKUP(C870,PrefixUebersetzung,2,FALSE)</f>
        <v>Exif.NikonFl2.</v>
      </c>
      <c r="E870" s="5" t="str">
        <f>MID(F870,FIND(".",F870,6)+1,99)</f>
        <v>RepeatingFlashRate</v>
      </c>
      <c r="F870" s="5" t="s">
        <v>723</v>
      </c>
      <c r="G870" s="5" t="s">
        <v>9670</v>
      </c>
      <c r="H870" s="6" t="s">
        <v>2705</v>
      </c>
      <c r="I870" s="7"/>
      <c r="K870" s="26"/>
      <c r="L870" s="6" t="str">
        <f>IFERROR(VLOOKUP(E870,A:I,9, FALSE),"")</f>
        <v>Stroboskopblitz Rate</v>
      </c>
      <c r="M870" s="6" t="str">
        <f>IFERROR(VLOOKUP(H870,B:J,9,FALSE),"")</f>
        <v>Stroboskopblitz Rate</v>
      </c>
      <c r="N870" s="6" t="str">
        <f>IF(AND(TRIM(I870)="",L870=""),"Suffix not translated ",
   IF(AND(TRIM(I870)&lt;&gt;"",TRIM(L870)&lt;&gt;"",TRIM(I870)&lt;&gt;TRIM(L870)),"Suffix translation &lt;&gt; lookup ", "" ))
&amp;IF(AND(TRIM(J870)="",M870=""),"Description not translated ",
   IF(AND(TRIM(J870)&lt;&gt;"",TRIM(M870)&lt;&gt;"",TRIM(J870)&lt;&gt;TRIM(M870)),"Description translation&lt;&gt; lookup ", "" ))</f>
        <v/>
      </c>
    </row>
    <row r="871" spans="1:17" x14ac:dyDescent="0.25">
      <c r="A871" s="5" t="str">
        <f>IF(TRIM(I871)="","",E871)</f>
        <v/>
      </c>
      <c r="B871" s="5" t="str">
        <f>IF(TRIM(J871)="","",H871)</f>
        <v/>
      </c>
      <c r="C871" s="5" t="str">
        <f>LEFT(F871,FIND(".",F871,6))</f>
        <v>Exif.NikonFl2.</v>
      </c>
      <c r="D871" s="5" t="str">
        <f>VLOOKUP(C871,PrefixUebersetzung,2,FALSE)</f>
        <v>Exif.NikonFl2.</v>
      </c>
      <c r="E871" s="5" t="str">
        <f>MID(F871,FIND(".",F871,6)+1,99)</f>
        <v>Version</v>
      </c>
      <c r="F871" s="5" t="s">
        <v>724</v>
      </c>
      <c r="G871" s="5" t="s">
        <v>9669</v>
      </c>
      <c r="H871" s="6" t="s">
        <v>2688</v>
      </c>
      <c r="I871" s="7"/>
      <c r="K871" s="26"/>
      <c r="L871" s="6" t="str">
        <f>IFERROR(VLOOKUP(E871,A:I,9, FALSE),"")</f>
        <v>Version</v>
      </c>
      <c r="M871" s="6" t="str">
        <f>IFERROR(VLOOKUP(H871,B:J,9,FALSE),"")</f>
        <v>Version</v>
      </c>
      <c r="N871" s="6" t="str">
        <f>IF(AND(TRIM(I871)="",L871=""),"Suffix not translated ",
   IF(AND(TRIM(I871)&lt;&gt;"",TRIM(L871)&lt;&gt;"",TRIM(I871)&lt;&gt;TRIM(L871)),"Suffix translation &lt;&gt; lookup ", "" ))
&amp;IF(AND(TRIM(J871)="",M871=""),"Description not translated ",
   IF(AND(TRIM(J871)&lt;&gt;"",TRIM(M871)&lt;&gt;"",TRIM(J871)&lt;&gt;TRIM(M871)),"Description translation&lt;&gt; lookup ", "" ))</f>
        <v/>
      </c>
    </row>
    <row r="872" spans="1:17" x14ac:dyDescent="0.25">
      <c r="A872" s="5" t="str">
        <f>IF(TRIM(I872)="","",E872)</f>
        <v/>
      </c>
      <c r="B872" s="5" t="str">
        <f>IF(TRIM(J872)="","",H872)</f>
        <v/>
      </c>
      <c r="C872" s="5" t="str">
        <f>LEFT(F872,FIND(".",F872,6))</f>
        <v>Exif.NikonFl3.</v>
      </c>
      <c r="D872" s="5" t="str">
        <f>VLOOKUP(C872,PrefixUebersetzung,2,FALSE)</f>
        <v>Exif.NikonFl3.</v>
      </c>
      <c r="E872" s="5" t="str">
        <f>MID(F872,FIND(".",F872,6)+1,99)</f>
        <v>ExternalFlashFirmware</v>
      </c>
      <c r="F872" s="5" t="s">
        <v>725</v>
      </c>
      <c r="G872" s="5" t="s">
        <v>9664</v>
      </c>
      <c r="H872" s="6" t="s">
        <v>2697</v>
      </c>
      <c r="I872" s="7"/>
      <c r="K872" s="26"/>
      <c r="L872" s="6" t="str">
        <f>IFERROR(VLOOKUP(E872,A:I,9, FALSE),"")</f>
        <v>Externer Blitz Firmware</v>
      </c>
      <c r="M872" s="6" t="str">
        <f>IFERROR(VLOOKUP(H872,B:J,9,FALSE),"")</f>
        <v>Externer Blitz Firmware</v>
      </c>
      <c r="N872" s="6" t="str">
        <f>IF(AND(TRIM(I872)="",L872=""),"Suffix not translated ",
   IF(AND(TRIM(I872)&lt;&gt;"",TRIM(L872)&lt;&gt;"",TRIM(I872)&lt;&gt;TRIM(L872)),"Suffix translation &lt;&gt; lookup ", "" ))
&amp;IF(AND(TRIM(J872)="",M872=""),"Description not translated ",
   IF(AND(TRIM(J872)&lt;&gt;"",TRIM(M872)&lt;&gt;"",TRIM(J872)&lt;&gt;TRIM(M872)),"Description translation&lt;&gt; lookup ", "" ))</f>
        <v/>
      </c>
    </row>
    <row r="873" spans="1:17" ht="30" x14ac:dyDescent="0.25">
      <c r="A873" s="5" t="str">
        <f>IF(TRIM(I873)="","",E873)</f>
        <v/>
      </c>
      <c r="B873" s="5" t="str">
        <f>IF(TRIM(J873)="","",H873)</f>
        <v/>
      </c>
      <c r="C873" s="5" t="str">
        <f>LEFT(F873,FIND(".",F873,6))</f>
        <v>Exif.NikonFl3.</v>
      </c>
      <c r="D873" s="5" t="str">
        <f>VLOOKUP(C873,PrefixUebersetzung,2,FALSE)</f>
        <v>Exif.NikonFl3.</v>
      </c>
      <c r="E873" s="5" t="str">
        <f>MID(F873,FIND(".",F873,6)+1,99)</f>
        <v>ExternalFlashFlags</v>
      </c>
      <c r="F873" s="5" t="s">
        <v>726</v>
      </c>
      <c r="G873" s="5" t="s">
        <v>9670</v>
      </c>
      <c r="H873" s="6" t="s">
        <v>2698</v>
      </c>
      <c r="I873" s="7"/>
      <c r="K873" s="26"/>
      <c r="L873" s="6" t="str">
        <f>IFERROR(VLOOKUP(E873,A:I,9, FALSE),"")</f>
        <v>Externer Blitz Kennungen</v>
      </c>
      <c r="M873" s="6" t="str">
        <f>IFERROR(VLOOKUP(H873,B:J,9,FALSE),"")</f>
        <v>Externer Blitz Kennungen</v>
      </c>
      <c r="N873" s="6" t="str">
        <f>IF(AND(TRIM(I873)="",L873=""),"Suffix not translated ",
   IF(AND(TRIM(I873)&lt;&gt;"",TRIM(L873)&lt;&gt;"",TRIM(I873)&lt;&gt;TRIM(L873)),"Suffix translation &lt;&gt; lookup ", "" ))
&amp;IF(AND(TRIM(J873)="",M873=""),"Description not translated ",
   IF(AND(TRIM(J873)&lt;&gt;"",TRIM(M873)&lt;&gt;"",TRIM(J873)&lt;&gt;TRIM(M873)),"Description translation&lt;&gt; lookup ", "" ))</f>
        <v/>
      </c>
    </row>
    <row r="874" spans="1:17" x14ac:dyDescent="0.25">
      <c r="A874" s="5" t="str">
        <f>IF(TRIM(I874)="","",E874)</f>
        <v>FlashColorFilter</v>
      </c>
      <c r="B874" s="5" t="str">
        <f>IF(TRIM(J874)="","",H874)</f>
        <v>Flash color filter</v>
      </c>
      <c r="C874" s="5" t="str">
        <f>LEFT(F874,FIND(".",F874,6))</f>
        <v>Exif.NikonFl3.</v>
      </c>
      <c r="D874" s="5" t="str">
        <f>VLOOKUP(C874,PrefixUebersetzung,2,FALSE)</f>
        <v>Exif.NikonFl3.</v>
      </c>
      <c r="E874" s="5" t="str">
        <f>MID(F874,FIND(".",F874,6)+1,99)</f>
        <v>FlashColorFilter</v>
      </c>
      <c r="F874" s="5" t="s">
        <v>727</v>
      </c>
      <c r="G874" s="5" t="s">
        <v>9670</v>
      </c>
      <c r="H874" s="6" t="s">
        <v>2706</v>
      </c>
      <c r="I874" s="7" t="s">
        <v>4354</v>
      </c>
      <c r="J874" s="14" t="s">
        <v>4354</v>
      </c>
      <c r="K874" s="26"/>
      <c r="N874" s="6" t="str">
        <f>IF(AND(TRIM(I874)="",L874=""),"Suffix not translated ",
   IF(AND(TRIM(I874)&lt;&gt;"",TRIM(L874)&lt;&gt;"",TRIM(I874)&lt;&gt;TRIM(L874)),"Suffix translation &lt;&gt; lookup ", "" ))
&amp;IF(AND(TRIM(J874)="",M874=""),"Description not translated ",
   IF(AND(TRIM(J874)&lt;&gt;"",TRIM(M874)&lt;&gt;"",TRIM(J874)&lt;&gt;TRIM(M874)),"Description translation&lt;&gt; lookup ", "" ))</f>
        <v/>
      </c>
      <c r="O874" s="6" t="s">
        <v>8574</v>
      </c>
      <c r="P874" s="6" t="s">
        <v>8574</v>
      </c>
      <c r="Q874" s="6" t="s">
        <v>3928</v>
      </c>
    </row>
    <row r="875" spans="1:17" x14ac:dyDescent="0.25">
      <c r="A875" s="5" t="str">
        <f>IF(TRIM(I875)="","",E875)</f>
        <v/>
      </c>
      <c r="B875" s="5" t="str">
        <f>IF(TRIM(J875)="","",H875)</f>
        <v/>
      </c>
      <c r="C875" s="5" t="str">
        <f>LEFT(F875,FIND(".",F875,6))</f>
        <v>Exif.NikonFl3.</v>
      </c>
      <c r="D875" s="5" t="str">
        <f>VLOOKUP(C875,PrefixUebersetzung,2,FALSE)</f>
        <v>Exif.NikonFl3.</v>
      </c>
      <c r="E875" s="5" t="str">
        <f>MID(F875,FIND(".",F875,6)+1,99)</f>
        <v>FlashFocalLength</v>
      </c>
      <c r="F875" s="5" t="s">
        <v>728</v>
      </c>
      <c r="G875" s="5" t="s">
        <v>9670</v>
      </c>
      <c r="H875" s="6" t="s">
        <v>2699</v>
      </c>
      <c r="I875" s="7"/>
      <c r="K875" s="26"/>
      <c r="L875" s="6" t="str">
        <f>IFERROR(VLOOKUP(E875,A:I,9, FALSE),"")</f>
        <v>Blitzbrennweite</v>
      </c>
      <c r="M875" s="6" t="str">
        <f>IFERROR(VLOOKUP(H875,B:J,9,FALSE),"")</f>
        <v>Blitzbrennweite</v>
      </c>
      <c r="N875" s="6"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5" t="str">
        <f>IF(TRIM(I876)="","",E876)</f>
        <v/>
      </c>
      <c r="B876" s="5" t="str">
        <f>IF(TRIM(J876)="","",H876)</f>
        <v/>
      </c>
      <c r="C876" s="5" t="str">
        <f>LEFT(F876,FIND(".",F876,6))</f>
        <v>Exif.NikonFl3.</v>
      </c>
      <c r="D876" s="5" t="str">
        <f>VLOOKUP(C876,PrefixUebersetzung,2,FALSE)</f>
        <v>Exif.NikonFl3.</v>
      </c>
      <c r="E876" s="5" t="str">
        <f>MID(F876,FIND(".",F876,6)+1,99)</f>
        <v>FlashGNDistance</v>
      </c>
      <c r="F876" s="5" t="s">
        <v>729</v>
      </c>
      <c r="G876" s="5" t="s">
        <v>9670</v>
      </c>
      <c r="H876" s="6" t="s">
        <v>2700</v>
      </c>
      <c r="I876" s="7"/>
      <c r="K876" s="26"/>
      <c r="L876" s="6" t="str">
        <f>IFERROR(VLOOKUP(E876,A:I,9, FALSE),"")</f>
        <v>Blitzleitzahl Abstand</v>
      </c>
      <c r="M876" s="6" t="str">
        <f>IFERROR(VLOOKUP(H876,B:J,9,FALSE),"")</f>
        <v>Blitzleitzahl Abstand</v>
      </c>
      <c r="N876" s="6"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5" t="str">
        <f>IF(TRIM(I877)="","",E877)</f>
        <v/>
      </c>
      <c r="B877" s="5" t="str">
        <f>IF(TRIM(J877)="","",H877)</f>
        <v/>
      </c>
      <c r="C877" s="5" t="str">
        <f>LEFT(F877,FIND(".",F877,6))</f>
        <v>Exif.NikonFl3.</v>
      </c>
      <c r="D877" s="5" t="str">
        <f>VLOOKUP(C877,PrefixUebersetzung,2,FALSE)</f>
        <v>Exif.NikonFl3.</v>
      </c>
      <c r="E877" s="5" t="str">
        <f>MID(F877,FIND(".",F877,6)+1,99)</f>
        <v>FlashSource</v>
      </c>
      <c r="F877" s="5" t="s">
        <v>730</v>
      </c>
      <c r="G877" s="5" t="s">
        <v>9670</v>
      </c>
      <c r="H877" s="6" t="s">
        <v>2703</v>
      </c>
      <c r="I877" s="7"/>
      <c r="K877" s="26"/>
      <c r="L877" s="6" t="str">
        <f>IFERROR(VLOOKUP(E877,A:I,9, FALSE),"")</f>
        <v>Blitzquelle</v>
      </c>
      <c r="M877" s="6" t="str">
        <f>IFERROR(VLOOKUP(H877,B:J,9,FALSE),"")</f>
        <v>Blitzquelle</v>
      </c>
      <c r="N877" s="6"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5" t="str">
        <f>IF(TRIM(I878)="","",E878)</f>
        <v/>
      </c>
      <c r="B878" s="5" t="str">
        <f>IF(TRIM(J878)="","",H878)</f>
        <v/>
      </c>
      <c r="C878" s="5" t="str">
        <f>LEFT(F878,FIND(".",F878,6))</f>
        <v>Exif.NikonFl3.</v>
      </c>
      <c r="D878" s="5" t="str">
        <f>VLOOKUP(C878,PrefixUebersetzung,2,FALSE)</f>
        <v>Exif.NikonFl3.</v>
      </c>
      <c r="E878" s="5" t="str">
        <f>MID(F878,FIND(".",F878,6)+1,99)</f>
        <v>RepeatingFlashCount</v>
      </c>
      <c r="F878" s="5" t="s">
        <v>731</v>
      </c>
      <c r="G878" s="5" t="s">
        <v>9670</v>
      </c>
      <c r="H878" s="6" t="s">
        <v>2704</v>
      </c>
      <c r="I878" s="7"/>
      <c r="K878" s="26"/>
      <c r="L878" s="6" t="str">
        <f>IFERROR(VLOOKUP(E878,A:I,9, FALSE),"")</f>
        <v>Stroboskopblitz Zähler</v>
      </c>
      <c r="M878" s="6" t="str">
        <f>IFERROR(VLOOKUP(H878,B:J,9,FALSE),"")</f>
        <v>Stroboskopblitz Zähler</v>
      </c>
      <c r="N878" s="6" t="str">
        <f>IF(AND(TRIM(I878)="",L878=""),"Suffix not translated ",
   IF(AND(TRIM(I878)&lt;&gt;"",TRIM(L878)&lt;&gt;"",TRIM(I878)&lt;&gt;TRIM(L878)),"Suffix translation &lt;&gt; lookup ", "" ))
&amp;IF(AND(TRIM(J878)="",M878=""),"Description not translated ",
   IF(AND(TRIM(J878)&lt;&gt;"",TRIM(M878)&lt;&gt;"",TRIM(J878)&lt;&gt;TRIM(M878)),"Description translation&lt;&gt; lookup ", "" ))</f>
        <v/>
      </c>
    </row>
    <row r="879" spans="1:17" x14ac:dyDescent="0.25">
      <c r="A879" s="5" t="str">
        <f>IF(TRIM(I879)="","",E879)</f>
        <v/>
      </c>
      <c r="B879" s="5" t="str">
        <f>IF(TRIM(J879)="","",H879)</f>
        <v/>
      </c>
      <c r="C879" s="5" t="str">
        <f>LEFT(F879,FIND(".",F879,6))</f>
        <v>Exif.NikonFl3.</v>
      </c>
      <c r="D879" s="5" t="str">
        <f>VLOOKUP(C879,PrefixUebersetzung,2,FALSE)</f>
        <v>Exif.NikonFl3.</v>
      </c>
      <c r="E879" s="5" t="str">
        <f>MID(F879,FIND(".",F879,6)+1,99)</f>
        <v>RepeatingFlashRate</v>
      </c>
      <c r="F879" s="5" t="s">
        <v>732</v>
      </c>
      <c r="G879" s="5" t="s">
        <v>9670</v>
      </c>
      <c r="H879" s="6" t="s">
        <v>2705</v>
      </c>
      <c r="I879" s="7"/>
      <c r="K879" s="26"/>
      <c r="L879" s="6" t="str">
        <f>IFERROR(VLOOKUP(E879,A:I,9, FALSE),"")</f>
        <v>Stroboskopblitz Rate</v>
      </c>
      <c r="M879" s="6" t="str">
        <f>IFERROR(VLOOKUP(H879,B:J,9,FALSE),"")</f>
        <v>Stroboskopblitz Rate</v>
      </c>
      <c r="N879" s="6"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5" t="str">
        <f>IF(TRIM(I880)="","",E880)</f>
        <v/>
      </c>
      <c r="B880" s="5" t="str">
        <f>IF(TRIM(J880)="","",H880)</f>
        <v/>
      </c>
      <c r="C880" s="5" t="str">
        <f>LEFT(F880,FIND(".",F880,6))</f>
        <v>Exif.NikonFl3.</v>
      </c>
      <c r="D880" s="5" t="str">
        <f>VLOOKUP(C880,PrefixUebersetzung,2,FALSE)</f>
        <v>Exif.NikonFl3.</v>
      </c>
      <c r="E880" s="5" t="str">
        <f>MID(F880,FIND(".",F880,6)+1,99)</f>
        <v>Version</v>
      </c>
      <c r="F880" s="5" t="s">
        <v>733</v>
      </c>
      <c r="G880" s="5" t="s">
        <v>9669</v>
      </c>
      <c r="H880" s="6" t="s">
        <v>2688</v>
      </c>
      <c r="I880" s="7"/>
      <c r="K880" s="26"/>
      <c r="L880" s="6" t="str">
        <f>IFERROR(VLOOKUP(E880,A:I,9, FALSE),"")</f>
        <v>Version</v>
      </c>
      <c r="M880" s="6" t="str">
        <f>IFERROR(VLOOKUP(H880,B:J,9,FALSE),"")</f>
        <v>Version</v>
      </c>
      <c r="N880" s="6"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7" x14ac:dyDescent="0.25">
      <c r="A881" s="5" t="str">
        <f>IF(TRIM(I881)="","",E881)</f>
        <v/>
      </c>
      <c r="B881" s="5" t="str">
        <f>IF(TRIM(J881)="","",H881)</f>
        <v/>
      </c>
      <c r="C881" s="5" t="str">
        <f>LEFT(F881,FIND(".",F881,6))</f>
        <v>Exif.NikonIi.</v>
      </c>
      <c r="D881" s="5" t="str">
        <f>VLOOKUP(C881,PrefixUebersetzung,2,FALSE)</f>
        <v>Exif.NikonIi.</v>
      </c>
      <c r="E881" s="5" t="str">
        <f>MID(F881,FIND(".",F881,6)+1,99)</f>
        <v>ISO</v>
      </c>
      <c r="F881" s="5" t="s">
        <v>734</v>
      </c>
      <c r="G881" s="5" t="s">
        <v>9670</v>
      </c>
      <c r="H881" s="6" t="s">
        <v>2707</v>
      </c>
      <c r="I881" s="7"/>
      <c r="K881" s="26"/>
      <c r="L881" s="6" t="str">
        <f>IFERROR(VLOOKUP(E881,A:I,9, FALSE),"")</f>
        <v>ISO</v>
      </c>
      <c r="M881" s="6" t="str">
        <f>IFERROR(VLOOKUP(H881,B:J,9,FALSE),"")</f>
        <v>ISO</v>
      </c>
      <c r="N881" s="6"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7" x14ac:dyDescent="0.25">
      <c r="A882" s="5" t="str">
        <f>IF(TRIM(I882)="","",E882)</f>
        <v>ISO2</v>
      </c>
      <c r="B882" s="5" t="str">
        <f>IF(TRIM(J882)="","",H882)</f>
        <v>ISO 2</v>
      </c>
      <c r="C882" s="5" t="str">
        <f>LEFT(F882,FIND(".",F882,6))</f>
        <v>Exif.NikonIi.</v>
      </c>
      <c r="D882" s="5" t="str">
        <f>VLOOKUP(C882,PrefixUebersetzung,2,FALSE)</f>
        <v>Exif.NikonIi.</v>
      </c>
      <c r="E882" s="5" t="str">
        <f>MID(F882,FIND(".",F882,6)+1,99)</f>
        <v>ISO2</v>
      </c>
      <c r="F882" s="5" t="s">
        <v>735</v>
      </c>
      <c r="G882" s="5" t="s">
        <v>9670</v>
      </c>
      <c r="H882" s="6" t="s">
        <v>2708</v>
      </c>
      <c r="I882" s="7" t="s">
        <v>4212</v>
      </c>
      <c r="J882" s="14" t="s">
        <v>2708</v>
      </c>
      <c r="K882" s="26"/>
      <c r="N882" s="6" t="str">
        <f>IF(AND(TRIM(I882)="",L882=""),"Suffix not translated ",
   IF(AND(TRIM(I882)&lt;&gt;"",TRIM(L882)&lt;&gt;"",TRIM(I882)&lt;&gt;TRIM(L882)),"Suffix translation &lt;&gt; lookup ", "" ))
&amp;IF(AND(TRIM(J882)="",M882=""),"Description not translated ",
   IF(AND(TRIM(J882)&lt;&gt;"",TRIM(M882)&lt;&gt;"",TRIM(J882)&lt;&gt;TRIM(M882)),"Description translation&lt;&gt; lookup ", "" ))</f>
        <v/>
      </c>
      <c r="O882" s="6" t="s">
        <v>8574</v>
      </c>
      <c r="P882" s="6" t="s">
        <v>8574</v>
      </c>
      <c r="Q882" s="6" t="s">
        <v>9346</v>
      </c>
    </row>
    <row r="883" spans="1:17" x14ac:dyDescent="0.25">
      <c r="A883" s="5" t="str">
        <f>IF(TRIM(I883)="","",E883)</f>
        <v>ISOExpansion</v>
      </c>
      <c r="B883" s="5" t="str">
        <f>IF(TRIM(J883)="","",H883)</f>
        <v>ISO expansion</v>
      </c>
      <c r="C883" s="5" t="str">
        <f>LEFT(F883,FIND(".",F883,6))</f>
        <v>Exif.NikonIi.</v>
      </c>
      <c r="D883" s="5" t="str">
        <f>VLOOKUP(C883,PrefixUebersetzung,2,FALSE)</f>
        <v>Exif.NikonIi.</v>
      </c>
      <c r="E883" s="5" t="str">
        <f>MID(F883,FIND(".",F883,6)+1,99)</f>
        <v>ISOExpansion</v>
      </c>
      <c r="F883" s="5" t="s">
        <v>736</v>
      </c>
      <c r="G883" s="5" t="s">
        <v>9664</v>
      </c>
      <c r="H883" s="6" t="s">
        <v>2709</v>
      </c>
      <c r="I883" s="31" t="s">
        <v>4902</v>
      </c>
      <c r="J883" s="14" t="s">
        <v>4902</v>
      </c>
      <c r="K883" s="26"/>
      <c r="N883" s="6" t="str">
        <f>IF(AND(TRIM(I883)="",L883=""),"Suffix not translated ",
   IF(AND(TRIM(I883)&lt;&gt;"",TRIM(L883)&lt;&gt;"",TRIM(I883)&lt;&gt;TRIM(L883)),"Suffix translation &lt;&gt; lookup ", "" ))
&amp;IF(AND(TRIM(J883)="",M883=""),"Description not translated ",
   IF(AND(TRIM(J883)&lt;&gt;"",TRIM(M883)&lt;&gt;"",TRIM(J883)&lt;&gt;TRIM(M883)),"Description translation&lt;&gt; lookup ", "" ))</f>
        <v/>
      </c>
      <c r="O883" s="6" t="s">
        <v>8574</v>
      </c>
      <c r="P883" s="6" t="s">
        <v>8574</v>
      </c>
      <c r="Q883" s="6" t="s">
        <v>9159</v>
      </c>
    </row>
    <row r="884" spans="1:17" x14ac:dyDescent="0.25">
      <c r="A884" s="5" t="str">
        <f>IF(TRIM(I884)="","",E884)</f>
        <v>ISOExpansion2</v>
      </c>
      <c r="B884" s="5" t="str">
        <f>IF(TRIM(J884)="","",H884)</f>
        <v>ISO expansion 2</v>
      </c>
      <c r="C884" s="5" t="str">
        <f>LEFT(F884,FIND(".",F884,6))</f>
        <v>Exif.NikonIi.</v>
      </c>
      <c r="D884" s="5" t="str">
        <f>VLOOKUP(C884,PrefixUebersetzung,2,FALSE)</f>
        <v>Exif.NikonIi.</v>
      </c>
      <c r="E884" s="5" t="str">
        <f>MID(F884,FIND(".",F884,6)+1,99)</f>
        <v>ISOExpansion2</v>
      </c>
      <c r="F884" s="5" t="s">
        <v>737</v>
      </c>
      <c r="G884" s="5" t="s">
        <v>9664</v>
      </c>
      <c r="H884" s="6" t="s">
        <v>2710</v>
      </c>
      <c r="I884" s="31" t="s">
        <v>4903</v>
      </c>
      <c r="J884" s="14" t="s">
        <v>4903</v>
      </c>
      <c r="K884" s="26"/>
      <c r="N884" s="6" t="str">
        <f>IF(AND(TRIM(I884)="",L884=""),"Suffix not translated ",
   IF(AND(TRIM(I884)&lt;&gt;"",TRIM(L884)&lt;&gt;"",TRIM(I884)&lt;&gt;TRIM(L884)),"Suffix translation &lt;&gt; lookup ", "" ))
&amp;IF(AND(TRIM(J884)="",M884=""),"Description not translated ",
   IF(AND(TRIM(J884)&lt;&gt;"",TRIM(M884)&lt;&gt;"",TRIM(J884)&lt;&gt;TRIM(M884)),"Description translation&lt;&gt; lookup ", "" ))</f>
        <v/>
      </c>
      <c r="O884" s="6" t="s">
        <v>8574</v>
      </c>
      <c r="P884" s="6" t="s">
        <v>8574</v>
      </c>
      <c r="Q884" s="6" t="s">
        <v>9159</v>
      </c>
    </row>
    <row r="885" spans="1:17" x14ac:dyDescent="0.25">
      <c r="A885" s="5" t="str">
        <f>IF(TRIM(I885)="","",E885)</f>
        <v/>
      </c>
      <c r="B885" s="5" t="str">
        <f>IF(TRIM(J885)="","",H885)</f>
        <v>Lens F-stops</v>
      </c>
      <c r="C885" s="5" t="str">
        <f>LEFT(F885,FIND(".",F885,6))</f>
        <v>Exif.NikonLd1.</v>
      </c>
      <c r="D885" s="5" t="str">
        <f>VLOOKUP(C885,PrefixUebersetzung,2,FALSE)</f>
        <v>Exif.NikonLd1.</v>
      </c>
      <c r="E885" s="5" t="str">
        <f>MID(F885,FIND(".",F885,6)+1,99)</f>
        <v>LensFStops</v>
      </c>
      <c r="F885" s="5" t="s">
        <v>738</v>
      </c>
      <c r="G885" s="5" t="s">
        <v>9670</v>
      </c>
      <c r="H885" s="6" t="s">
        <v>2711</v>
      </c>
      <c r="I885" s="7"/>
      <c r="J885" s="14" t="s">
        <v>5128</v>
      </c>
      <c r="K885" s="26"/>
      <c r="L885" s="6" t="str">
        <f>IFERROR(VLOOKUP(E885,A:I,9, FALSE),"")</f>
        <v>Objektiv Blendenstufen</v>
      </c>
      <c r="M885" s="6" t="str">
        <f>IFERROR(VLOOKUP(H885,B:J,9,FALSE),"")</f>
        <v>Objektiv Blendenstufen</v>
      </c>
      <c r="N885" s="6" t="str">
        <f>IF(AND(TRIM(I885)="",L885=""),"Suffix not translated ",
   IF(AND(TRIM(I885)&lt;&gt;"",TRIM(L885)&lt;&gt;"",TRIM(I885)&lt;&gt;TRIM(L885)),"Suffix translation &lt;&gt; lookup ", "" ))
&amp;IF(AND(TRIM(J885)="",M885=""),"Description not translated ",
   IF(AND(TRIM(J885)&lt;&gt;"",TRIM(M885)&lt;&gt;"",TRIM(J885)&lt;&gt;TRIM(M885)),"Description translation&lt;&gt; lookup ", "" ))</f>
        <v/>
      </c>
      <c r="P885" s="6" t="s">
        <v>8574</v>
      </c>
      <c r="Q885" s="6" t="s">
        <v>9391</v>
      </c>
    </row>
    <row r="886" spans="1:17" x14ac:dyDescent="0.25">
      <c r="A886" s="5" t="str">
        <f>IF(TRIM(I886)="","",E886)</f>
        <v>LensIDNumber</v>
      </c>
      <c r="B886" s="5" t="str">
        <f>IF(TRIM(J886)="","",H886)</f>
        <v>Lens ID number</v>
      </c>
      <c r="C886" s="5" t="str">
        <f>LEFT(F886,FIND(".",F886,6))</f>
        <v>Exif.NikonLd1.</v>
      </c>
      <c r="D886" s="5" t="str">
        <f>VLOOKUP(C886,PrefixUebersetzung,2,FALSE)</f>
        <v>Exif.NikonLd1.</v>
      </c>
      <c r="E886" s="5" t="str">
        <f>MID(F886,FIND(".",F886,6)+1,99)</f>
        <v>LensIDNumber</v>
      </c>
      <c r="F886" s="5" t="s">
        <v>739</v>
      </c>
      <c r="G886" s="5" t="s">
        <v>9670</v>
      </c>
      <c r="H886" s="6" t="s">
        <v>2712</v>
      </c>
      <c r="I886" s="7" t="s">
        <v>5063</v>
      </c>
      <c r="J886" s="14" t="s">
        <v>5063</v>
      </c>
      <c r="K886" s="26"/>
      <c r="L886" s="6" t="str">
        <f>IFERROR(VLOOKUP(E886,A:I,9, FALSE),"")</f>
        <v>Objektiv ID-Nummer</v>
      </c>
      <c r="M886" s="6" t="str">
        <f>IFERROR(VLOOKUP(H886,B:J,9,FALSE),"")</f>
        <v>Objektiv ID-Nummer</v>
      </c>
      <c r="N886" s="6" t="str">
        <f>IF(AND(TRIM(I886)="",L886=""),"Suffix not translated ",
   IF(AND(TRIM(I886)&lt;&gt;"",TRIM(L886)&lt;&gt;"",TRIM(I886)&lt;&gt;TRIM(L886)),"Suffix translation &lt;&gt; lookup ", "" ))
&amp;IF(AND(TRIM(J886)="",M886=""),"Description not translated ",
   IF(AND(TRIM(J886)&lt;&gt;"",TRIM(M886)&lt;&gt;"",TRIM(J886)&lt;&gt;TRIM(M886)),"Description translation&lt;&gt; lookup ", "" ))</f>
        <v/>
      </c>
      <c r="O886" s="6" t="s">
        <v>8574</v>
      </c>
      <c r="P886" s="6" t="s">
        <v>8574</v>
      </c>
      <c r="Q886" s="6" t="s">
        <v>9393</v>
      </c>
    </row>
    <row r="887" spans="1:17" ht="30" x14ac:dyDescent="0.25">
      <c r="A887" s="5" t="str">
        <f>IF(TRIM(I887)="","",E887)</f>
        <v/>
      </c>
      <c r="B887" s="5" t="str">
        <f>IF(TRIM(J887)="","",H887)</f>
        <v>Max aperture at max focal</v>
      </c>
      <c r="C887" s="5" t="str">
        <f>LEFT(F887,FIND(".",F887,6))</f>
        <v>Exif.NikonLd1.</v>
      </c>
      <c r="D887" s="5" t="str">
        <f>VLOOKUP(C887,PrefixUebersetzung,2,FALSE)</f>
        <v>Exif.NikonLd1.</v>
      </c>
      <c r="E887" s="5" t="str">
        <f>MID(F887,FIND(".",F887,6)+1,99)</f>
        <v>MaxApertureAtMaxFocal</v>
      </c>
      <c r="F887" s="5" t="s">
        <v>740</v>
      </c>
      <c r="G887" s="5" t="s">
        <v>9670</v>
      </c>
      <c r="H887" s="6" t="s">
        <v>2713</v>
      </c>
      <c r="J887" s="14" t="s">
        <v>3835</v>
      </c>
      <c r="K887" s="26"/>
      <c r="L887" s="6" t="str">
        <f>IFERROR(VLOOKUP(E887,A:I,9, FALSE),"")</f>
        <v>Max Blende bei max Brennweite</v>
      </c>
      <c r="M887" s="6" t="str">
        <f>IFERROR(VLOOKUP(H887,B:J,9,FALSE),"")</f>
        <v>Maximale Blende bei maximaler Brennweite</v>
      </c>
      <c r="N887" s="6" t="str">
        <f>IF(AND(TRIM(I887)="",L887=""),"Suffix not translated ",
   IF(AND(TRIM(I887)&lt;&gt;"",TRIM(L887)&lt;&gt;"",TRIM(I887)&lt;&gt;TRIM(L887)),"Suffix translation &lt;&gt; lookup ", "" ))
&amp;IF(AND(TRIM(J887)="",M887=""),"Description not translated ",
   IF(AND(TRIM(J887)&lt;&gt;"",TRIM(M887)&lt;&gt;"",TRIM(J887)&lt;&gt;TRIM(M887)),"Description translation&lt;&gt; lookup ", "" ))</f>
        <v/>
      </c>
      <c r="P887" s="6" t="s">
        <v>8574</v>
      </c>
      <c r="Q887" s="6" t="s">
        <v>9416</v>
      </c>
    </row>
    <row r="888" spans="1:17" ht="30" x14ac:dyDescent="0.25">
      <c r="A888" s="5" t="str">
        <f>IF(TRIM(I888)="","",E888)</f>
        <v/>
      </c>
      <c r="B888" s="5" t="str">
        <f>IF(TRIM(J888)="","",H888)</f>
        <v>Max aperture at min focal</v>
      </c>
      <c r="C888" s="5" t="str">
        <f>LEFT(F888,FIND(".",F888,6))</f>
        <v>Exif.NikonLd1.</v>
      </c>
      <c r="D888" s="5" t="str">
        <f>VLOOKUP(C888,PrefixUebersetzung,2,FALSE)</f>
        <v>Exif.NikonLd1.</v>
      </c>
      <c r="E888" s="5" t="str">
        <f>MID(F888,FIND(".",F888,6)+1,99)</f>
        <v>MaxApertureAtMinFocal</v>
      </c>
      <c r="F888" s="5" t="s">
        <v>741</v>
      </c>
      <c r="G888" s="5" t="s">
        <v>9670</v>
      </c>
      <c r="H888" s="6" t="s">
        <v>2714</v>
      </c>
      <c r="I888" s="7"/>
      <c r="J888" s="14" t="s">
        <v>5194</v>
      </c>
      <c r="K888" s="26"/>
      <c r="L888" s="6" t="str">
        <f>IFERROR(VLOOKUP(E888,A:I,9, FALSE),"")</f>
        <v>Max Blende bei min Brennweite</v>
      </c>
      <c r="M888" s="6" t="str">
        <f>IFERROR(VLOOKUP(H888,B:J,9,FALSE),"")</f>
        <v>Maximale Blende bei minimaler Brennweite</v>
      </c>
      <c r="N888" s="6" t="str">
        <f>IF(AND(TRIM(I888)="",L888=""),"Suffix not translated ",
   IF(AND(TRIM(I888)&lt;&gt;"",TRIM(L888)&lt;&gt;"",TRIM(I888)&lt;&gt;TRIM(L888)),"Suffix translation &lt;&gt; lookup ", "" ))
&amp;IF(AND(TRIM(J888)="",M888=""),"Description not translated ",
   IF(AND(TRIM(J888)&lt;&gt;"",TRIM(M888)&lt;&gt;"",TRIM(J888)&lt;&gt;TRIM(M888)),"Description translation&lt;&gt; lookup ", "" ))</f>
        <v/>
      </c>
      <c r="P888" s="6" t="s">
        <v>8574</v>
      </c>
      <c r="Q888" s="6" t="s">
        <v>9200</v>
      </c>
    </row>
    <row r="889" spans="1:17" x14ac:dyDescent="0.25">
      <c r="A889" s="5" t="str">
        <f>IF(TRIM(I889)="","",E889)</f>
        <v/>
      </c>
      <c r="B889" s="5" t="str">
        <f>IF(TRIM(J889)="","",H889)</f>
        <v>Max focal length</v>
      </c>
      <c r="C889" s="5" t="str">
        <f>LEFT(F889,FIND(".",F889,6))</f>
        <v>Exif.NikonLd1.</v>
      </c>
      <c r="D889" s="5" t="str">
        <f>VLOOKUP(C889,PrefixUebersetzung,2,FALSE)</f>
        <v>Exif.NikonLd1.</v>
      </c>
      <c r="E889" s="5" t="str">
        <f>MID(F889,FIND(".",F889,6)+1,99)</f>
        <v>MaxFocalLength</v>
      </c>
      <c r="F889" s="5" t="s">
        <v>742</v>
      </c>
      <c r="G889" s="5" t="s">
        <v>9670</v>
      </c>
      <c r="H889" s="6" t="s">
        <v>2715</v>
      </c>
      <c r="I889" s="7"/>
      <c r="J889" s="14" t="s">
        <v>3836</v>
      </c>
      <c r="K889" s="26"/>
      <c r="L889" s="6" t="str">
        <f>IFERROR(VLOOKUP(E889,A:I,9, FALSE),"")</f>
        <v>Brennweite maximal</v>
      </c>
      <c r="M889" s="6" t="str">
        <f>IFERROR(VLOOKUP(H889,B:J,9,FALSE),"")</f>
        <v>Maximale Brennweite</v>
      </c>
      <c r="N889" s="6" t="str">
        <f>IF(AND(TRIM(I889)="",L889=""),"Suffix not translated ",
   IF(AND(TRIM(I889)&lt;&gt;"",TRIM(L889)&lt;&gt;"",TRIM(I889)&lt;&gt;TRIM(L889)),"Suffix translation &lt;&gt; lookup ", "" ))
&amp;IF(AND(TRIM(J889)="",M889=""),"Description not translated ",
   IF(AND(TRIM(J889)&lt;&gt;"",TRIM(M889)&lt;&gt;"",TRIM(J889)&lt;&gt;TRIM(M889)),"Description translation&lt;&gt; lookup ", "" ))</f>
        <v/>
      </c>
      <c r="P889" s="6" t="s">
        <v>8574</v>
      </c>
      <c r="Q889" s="6" t="s">
        <v>9310</v>
      </c>
    </row>
    <row r="890" spans="1:17" x14ac:dyDescent="0.25">
      <c r="A890" s="5" t="str">
        <f>IF(TRIM(I890)="","",E890)</f>
        <v>MCUVersion</v>
      </c>
      <c r="B890" s="5" t="str">
        <f>IF(TRIM(J890)="","",H890)</f>
        <v>MCU version</v>
      </c>
      <c r="C890" s="5" t="str">
        <f>LEFT(F890,FIND(".",F890,6))</f>
        <v>Exif.NikonLd1.</v>
      </c>
      <c r="D890" s="5" t="str">
        <f>VLOOKUP(C890,PrefixUebersetzung,2,FALSE)</f>
        <v>Exif.NikonLd1.</v>
      </c>
      <c r="E890" s="5" t="str">
        <f>MID(F890,FIND(".",F890,6)+1,99)</f>
        <v>MCUVersion</v>
      </c>
      <c r="F890" s="5" t="s">
        <v>743</v>
      </c>
      <c r="G890" s="5" t="s">
        <v>9670</v>
      </c>
      <c r="H890" s="6" t="s">
        <v>2716</v>
      </c>
      <c r="I890" s="7" t="s">
        <v>5175</v>
      </c>
      <c r="J890" s="14" t="s">
        <v>5175</v>
      </c>
      <c r="K890" s="26"/>
      <c r="L890" s="6" t="str">
        <f>IFERROR(VLOOKUP(E890,A:I,9, FALSE),"")</f>
        <v>MCU Version</v>
      </c>
      <c r="M890" s="6" t="str">
        <f>IFERROR(VLOOKUP(H890,B:J,9,FALSE),"")</f>
        <v>MCU Version</v>
      </c>
      <c r="N890" s="6" t="str">
        <f>IF(AND(TRIM(I890)="",L890=""),"Suffix not translated ",
   IF(AND(TRIM(I890)&lt;&gt;"",TRIM(L890)&lt;&gt;"",TRIM(I890)&lt;&gt;TRIM(L890)),"Suffix translation &lt;&gt; lookup ", "" ))
&amp;IF(AND(TRIM(J890)="",M890=""),"Description not translated ",
   IF(AND(TRIM(J890)&lt;&gt;"",TRIM(M890)&lt;&gt;"",TRIM(J890)&lt;&gt;TRIM(M890)),"Description translation&lt;&gt; lookup ", "" ))</f>
        <v/>
      </c>
      <c r="O890" s="6" t="s">
        <v>8574</v>
      </c>
      <c r="P890" s="6" t="s">
        <v>8574</v>
      </c>
      <c r="Q890" s="6" t="s">
        <v>4666</v>
      </c>
    </row>
    <row r="891" spans="1:17" x14ac:dyDescent="0.25">
      <c r="A891" s="5" t="str">
        <f>IF(TRIM(I891)="","",E891)</f>
        <v/>
      </c>
      <c r="B891" s="5" t="str">
        <f>IF(TRIM(J891)="","",H891)</f>
        <v>Min focal length</v>
      </c>
      <c r="C891" s="5" t="str">
        <f>LEFT(F891,FIND(".",F891,6))</f>
        <v>Exif.NikonLd1.</v>
      </c>
      <c r="D891" s="5" t="str">
        <f>VLOOKUP(C891,PrefixUebersetzung,2,FALSE)</f>
        <v>Exif.NikonLd1.</v>
      </c>
      <c r="E891" s="5" t="str">
        <f>MID(F891,FIND(".",F891,6)+1,99)</f>
        <v>MinFocalLength</v>
      </c>
      <c r="F891" s="5" t="s">
        <v>744</v>
      </c>
      <c r="G891" s="5" t="s">
        <v>9670</v>
      </c>
      <c r="H891" s="6" t="s">
        <v>2717</v>
      </c>
      <c r="I891" s="7"/>
      <c r="J891" s="14" t="s">
        <v>3837</v>
      </c>
      <c r="K891" s="26"/>
      <c r="L891" s="6" t="str">
        <f>IFERROR(VLOOKUP(E891,A:I,9, FALSE),"")</f>
        <v>Brennweite minimal</v>
      </c>
      <c r="M891" s="6" t="str">
        <f>IFERROR(VLOOKUP(H891,B:J,9,FALSE),"")</f>
        <v>Minimale Brennweite</v>
      </c>
      <c r="N891" s="6" t="str">
        <f>IF(AND(TRIM(I891)="",L891=""),"Suffix not translated ",
   IF(AND(TRIM(I891)&lt;&gt;"",TRIM(L891)&lt;&gt;"",TRIM(I891)&lt;&gt;TRIM(L891)),"Suffix translation &lt;&gt; lookup ", "" ))
&amp;IF(AND(TRIM(J891)="",M891=""),"Description not translated ",
   IF(AND(TRIM(J891)&lt;&gt;"",TRIM(M891)&lt;&gt;"",TRIM(J891)&lt;&gt;TRIM(M891)),"Description translation&lt;&gt; lookup ", "" ))</f>
        <v/>
      </c>
      <c r="P891" s="6" t="s">
        <v>8574</v>
      </c>
      <c r="Q891" s="6" t="s">
        <v>9421</v>
      </c>
    </row>
    <row r="892" spans="1:17" x14ac:dyDescent="0.25">
      <c r="A892" s="5" t="str">
        <f>IF(TRIM(I892)="","",E892)</f>
        <v/>
      </c>
      <c r="B892" s="5" t="str">
        <f>IF(TRIM(J892)="","",H892)</f>
        <v/>
      </c>
      <c r="C892" s="5" t="str">
        <f>LEFT(F892,FIND(".",F892,6))</f>
        <v>Exif.NikonLd1.</v>
      </c>
      <c r="D892" s="5" t="str">
        <f>VLOOKUP(C892,PrefixUebersetzung,2,FALSE)</f>
        <v>Exif.NikonLd1.</v>
      </c>
      <c r="E892" s="5" t="str">
        <f>MID(F892,FIND(".",F892,6)+1,99)</f>
        <v>Version</v>
      </c>
      <c r="F892" s="5" t="s">
        <v>745</v>
      </c>
      <c r="G892" s="5" t="s">
        <v>9669</v>
      </c>
      <c r="H892" s="6" t="s">
        <v>2688</v>
      </c>
      <c r="I892" s="7"/>
      <c r="K892" s="26"/>
      <c r="L892" s="6" t="str">
        <f>IFERROR(VLOOKUP(E892,A:I,9, FALSE),"")</f>
        <v>Version</v>
      </c>
      <c r="M892" s="6" t="str">
        <f>IFERROR(VLOOKUP(H892,B:J,9,FALSE),"")</f>
        <v>Version</v>
      </c>
      <c r="N892" s="6"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7" x14ac:dyDescent="0.25">
      <c r="A893" s="5" t="str">
        <f>IF(TRIM(I893)="","",E893)</f>
        <v>AFAperture</v>
      </c>
      <c r="B893" s="5" t="str">
        <f>IF(TRIM(J893)="","",H893)</f>
        <v>AF aperture</v>
      </c>
      <c r="C893" s="5" t="str">
        <f>LEFT(F893,FIND(".",F893,6))</f>
        <v>Exif.NikonLd2.</v>
      </c>
      <c r="D893" s="5" t="str">
        <f>VLOOKUP(C893,PrefixUebersetzung,2,FALSE)</f>
        <v>Exif.NikonLd2.</v>
      </c>
      <c r="E893" s="5" t="str">
        <f>MID(F893,FIND(".",F893,6)+1,99)</f>
        <v>AFAperture</v>
      </c>
      <c r="F893" s="5" t="s">
        <v>746</v>
      </c>
      <c r="G893" s="5" t="s">
        <v>9670</v>
      </c>
      <c r="H893" s="6" t="s">
        <v>2718</v>
      </c>
      <c r="I893" s="31" t="s">
        <v>3974</v>
      </c>
      <c r="J893" s="14" t="s">
        <v>3974</v>
      </c>
      <c r="K893" s="26"/>
      <c r="L893" s="6" t="str">
        <f>IFERROR(VLOOKUP(E893,A:I,9, FALSE),"")</f>
        <v>AF Öffnung</v>
      </c>
      <c r="M893" s="6" t="str">
        <f>IFERROR(VLOOKUP(H893,B:J,9,FALSE),"")</f>
        <v>AF Öffnung</v>
      </c>
      <c r="N893" s="6" t="str">
        <f>IF(AND(TRIM(I893)="",L893=""),"Suffix not translated ",
   IF(AND(TRIM(I893)&lt;&gt;"",TRIM(L893)&lt;&gt;"",TRIM(I893)&lt;&gt;TRIM(L893)),"Suffix translation &lt;&gt; lookup ", "" ))
&amp;IF(AND(TRIM(J893)="",M893=""),"Description not translated ",
   IF(AND(TRIM(J893)&lt;&gt;"",TRIM(M893)&lt;&gt;"",TRIM(J893)&lt;&gt;TRIM(M893)),"Description translation&lt;&gt; lookup ", "" ))</f>
        <v/>
      </c>
      <c r="O893" s="6" t="s">
        <v>8574</v>
      </c>
      <c r="P893" s="6" t="s">
        <v>8574</v>
      </c>
      <c r="Q893" s="6" t="s">
        <v>3813</v>
      </c>
    </row>
    <row r="894" spans="1:17" ht="30" x14ac:dyDescent="0.25">
      <c r="A894" s="5" t="str">
        <f>IF(TRIM(I894)="","",E894)</f>
        <v>EffectiveMaxAperture</v>
      </c>
      <c r="B894" s="5" t="str">
        <f>IF(TRIM(J894)="","",H894)</f>
        <v>Effective max aperture</v>
      </c>
      <c r="C894" s="5" t="str">
        <f>LEFT(F894,FIND(".",F894,6))</f>
        <v>Exif.NikonLd2.</v>
      </c>
      <c r="D894" s="5" t="str">
        <f>VLOOKUP(C894,PrefixUebersetzung,2,FALSE)</f>
        <v>Exif.NikonLd2.</v>
      </c>
      <c r="E894" s="5" t="str">
        <f>MID(F894,FIND(".",F894,6)+1,99)</f>
        <v>EffectiveMaxAperture</v>
      </c>
      <c r="F894" s="5" t="s">
        <v>747</v>
      </c>
      <c r="G894" s="5" t="s">
        <v>9670</v>
      </c>
      <c r="H894" s="6" t="s">
        <v>2719</v>
      </c>
      <c r="I894" s="31" t="s">
        <v>4355</v>
      </c>
      <c r="J894" s="14" t="s">
        <v>4355</v>
      </c>
      <c r="K894" s="26"/>
      <c r="L894" s="6" t="str">
        <f>IFERROR(VLOOKUP(E894,A:I,9, FALSE),"")</f>
        <v>Effektive max Blendenöffnung</v>
      </c>
      <c r="M894" s="6" t="str">
        <f>IFERROR(VLOOKUP(H894,B:J,9,FALSE),"")</f>
        <v>Effektive max Blendenöffnung</v>
      </c>
      <c r="N894" s="6" t="str">
        <f>IF(AND(TRIM(I894)="",L894=""),"Suffix not translated ",
   IF(AND(TRIM(I894)&lt;&gt;"",TRIM(L894)&lt;&gt;"",TRIM(I894)&lt;&gt;TRIM(L894)),"Suffix translation &lt;&gt; lookup ", "" ))
&amp;IF(AND(TRIM(J894)="",M894=""),"Description not translated ",
   IF(AND(TRIM(J894)&lt;&gt;"",TRIM(M894)&lt;&gt;"",TRIM(J894)&lt;&gt;TRIM(M894)),"Description translation&lt;&gt; lookup ", "" ))</f>
        <v/>
      </c>
      <c r="O894" s="6" t="s">
        <v>8574</v>
      </c>
      <c r="P894" s="6" t="s">
        <v>8574</v>
      </c>
      <c r="Q894" s="6" t="s">
        <v>3773</v>
      </c>
    </row>
    <row r="895" spans="1:17" ht="30" x14ac:dyDescent="0.25">
      <c r="A895" s="5" t="str">
        <f>IF(TRIM(I895)="","",E895)</f>
        <v>ExitPupilPosition</v>
      </c>
      <c r="B895" s="5" t="str">
        <f>IF(TRIM(J895)="","",H895)</f>
        <v>Exit pupil position</v>
      </c>
      <c r="C895" s="5" t="str">
        <f>LEFT(F895,FIND(".",F895,6))</f>
        <v>Exif.NikonLd2.</v>
      </c>
      <c r="D895" s="5" t="str">
        <f>VLOOKUP(C895,PrefixUebersetzung,2,FALSE)</f>
        <v>Exif.NikonLd2.</v>
      </c>
      <c r="E895" s="5" t="str">
        <f>MID(F895,FIND(".",F895,6)+1,99)</f>
        <v>ExitPupilPosition</v>
      </c>
      <c r="F895" s="5" t="s">
        <v>748</v>
      </c>
      <c r="G895" s="5" t="s">
        <v>9670</v>
      </c>
      <c r="H895" s="6" t="s">
        <v>2720</v>
      </c>
      <c r="I895" s="31" t="s">
        <v>3975</v>
      </c>
      <c r="J895" s="14" t="s">
        <v>3975</v>
      </c>
      <c r="K895" s="26"/>
      <c r="L895" s="6" t="str">
        <f>IFERROR(VLOOKUP(E895,A:I,9, FALSE),"")</f>
        <v>Austrittspupillenposition</v>
      </c>
      <c r="M895" s="6" t="str">
        <f>IFERROR(VLOOKUP(H895,B:J,9,FALSE),"")</f>
        <v>Austrittspupillenposition</v>
      </c>
      <c r="N895" s="6" t="str">
        <f>IF(AND(TRIM(I895)="",L895=""),"Suffix not translated ",
   IF(AND(TRIM(I895)&lt;&gt;"",TRIM(L895)&lt;&gt;"",TRIM(I895)&lt;&gt;TRIM(L895)),"Suffix translation &lt;&gt; lookup ", "" ))
&amp;IF(AND(TRIM(J895)="",M895=""),"Description not translated ",
   IF(AND(TRIM(J895)&lt;&gt;"",TRIM(M895)&lt;&gt;"",TRIM(J895)&lt;&gt;TRIM(M895)),"Description translation&lt;&gt; lookup ", "" ))</f>
        <v/>
      </c>
      <c r="O895" s="6" t="s">
        <v>8574</v>
      </c>
      <c r="P895" s="6" t="s">
        <v>8574</v>
      </c>
      <c r="Q895" s="6" t="s">
        <v>4883</v>
      </c>
    </row>
    <row r="896" spans="1:17" x14ac:dyDescent="0.25">
      <c r="A896" s="5" t="str">
        <f>IF(TRIM(I896)="","",E896)</f>
        <v/>
      </c>
      <c r="B896" s="5" t="str">
        <f>IF(TRIM(J896)="","",H896)</f>
        <v/>
      </c>
      <c r="C896" s="5" t="str">
        <f>LEFT(F896,FIND(".",F896,6))</f>
        <v>Exif.NikonLd2.</v>
      </c>
      <c r="D896" s="5" t="str">
        <f>VLOOKUP(C896,PrefixUebersetzung,2,FALSE)</f>
        <v>Exif.NikonLd2.</v>
      </c>
      <c r="E896" s="5" t="str">
        <f>MID(F896,FIND(".",F896,6)+1,99)</f>
        <v>FocalLength</v>
      </c>
      <c r="F896" s="5" t="s">
        <v>749</v>
      </c>
      <c r="G896" s="5" t="s">
        <v>9670</v>
      </c>
      <c r="H896" s="6" t="s">
        <v>2148</v>
      </c>
      <c r="I896" s="7"/>
      <c r="K896" s="26"/>
      <c r="L896" s="6" t="str">
        <f>IFERROR(VLOOKUP(E896,A:I,9, FALSE),"")</f>
        <v>Brennweite</v>
      </c>
      <c r="M896" s="6" t="str">
        <f>IFERROR(VLOOKUP(H896,B:J,9,FALSE),"")</f>
        <v>Brennweite</v>
      </c>
      <c r="N896" s="6"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4" x14ac:dyDescent="0.25">
      <c r="A897" s="5" t="str">
        <f>IF(TRIM(I897)="","",E897)</f>
        <v/>
      </c>
      <c r="B897" s="5" t="str">
        <f>IF(TRIM(J897)="","",H897)</f>
        <v/>
      </c>
      <c r="C897" s="5" t="str">
        <f>LEFT(F897,FIND(".",F897,6))</f>
        <v>Exif.NikonLd2.</v>
      </c>
      <c r="D897" s="5" t="str">
        <f>VLOOKUP(C897,PrefixUebersetzung,2,FALSE)</f>
        <v>Exif.NikonLd2.</v>
      </c>
      <c r="E897" s="5" t="str">
        <f>MID(F897,FIND(".",F897,6)+1,99)</f>
        <v>FocusDistance</v>
      </c>
      <c r="F897" s="5" t="s">
        <v>750</v>
      </c>
      <c r="G897" s="5" t="s">
        <v>9670</v>
      </c>
      <c r="H897" s="6" t="s">
        <v>2586</v>
      </c>
      <c r="I897" s="7"/>
      <c r="K897" s="26"/>
      <c r="L897" s="6" t="str">
        <f>IFERROR(VLOOKUP(E897,A:I,9, FALSE),"")</f>
        <v>Aufnahmeabstand</v>
      </c>
      <c r="M897" s="6" t="str">
        <f>IFERROR(VLOOKUP(H897,B:J,9,FALSE),"")</f>
        <v>Aufnahmeabstand</v>
      </c>
      <c r="N897" s="6"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4" x14ac:dyDescent="0.25">
      <c r="A898" s="5" t="str">
        <f>IF(TRIM(I898)="","",E898)</f>
        <v/>
      </c>
      <c r="B898" s="5" t="str">
        <f>IF(TRIM(J898)="","",H898)</f>
        <v/>
      </c>
      <c r="C898" s="5" t="str">
        <f>LEFT(F898,FIND(".",F898,6))</f>
        <v>Exif.NikonLd2.</v>
      </c>
      <c r="D898" s="5" t="str">
        <f>VLOOKUP(C898,PrefixUebersetzung,2,FALSE)</f>
        <v>Exif.NikonLd2.</v>
      </c>
      <c r="E898" s="5" t="str">
        <f>MID(F898,FIND(".",F898,6)+1,99)</f>
        <v>FocusPosition</v>
      </c>
      <c r="F898" s="5" t="s">
        <v>751</v>
      </c>
      <c r="G898" s="5" t="s">
        <v>9670</v>
      </c>
      <c r="H898" s="6" t="s">
        <v>2559</v>
      </c>
      <c r="I898" s="7"/>
      <c r="K898" s="26"/>
      <c r="L898" s="6" t="str">
        <f>IFERROR(VLOOKUP(E898,A:I,9, FALSE),"")</f>
        <v>Fokusposition</v>
      </c>
      <c r="M898" s="6" t="str">
        <f>IFERROR(VLOOKUP(H898,B:J,9,FALSE),"")</f>
        <v>Fokusposition</v>
      </c>
      <c r="N898" s="6"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4" x14ac:dyDescent="0.25">
      <c r="A899" s="5" t="str">
        <f>IF(TRIM(I899)="","",E899)</f>
        <v/>
      </c>
      <c r="B899" s="5" t="str">
        <f>IF(TRIM(J899)="","",H899)</f>
        <v/>
      </c>
      <c r="C899" s="5" t="str">
        <f>LEFT(F899,FIND(".",F899,6))</f>
        <v>Exif.NikonLd2.</v>
      </c>
      <c r="D899" s="5" t="str">
        <f>VLOOKUP(C899,PrefixUebersetzung,2,FALSE)</f>
        <v>Exif.NikonLd2.</v>
      </c>
      <c r="E899" s="5" t="str">
        <f>MID(F899,FIND(".",F899,6)+1,99)</f>
        <v>LensFStops</v>
      </c>
      <c r="F899" s="5" t="s">
        <v>752</v>
      </c>
      <c r="G899" s="5" t="s">
        <v>9670</v>
      </c>
      <c r="H899" s="6" t="s">
        <v>2711</v>
      </c>
      <c r="I899" s="7"/>
      <c r="K899" s="26"/>
      <c r="L899" s="6" t="str">
        <f>IFERROR(VLOOKUP(E899,A:I,9, FALSE),"")</f>
        <v>Objektiv Blendenstufen</v>
      </c>
      <c r="M899" s="6" t="str">
        <f>IFERROR(VLOOKUP(H899,B:J,9,FALSE),"")</f>
        <v>Objektiv Blendenstufen</v>
      </c>
      <c r="N899" s="6"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4" x14ac:dyDescent="0.25">
      <c r="A900" s="5" t="str">
        <f>IF(TRIM(I900)="","",E900)</f>
        <v/>
      </c>
      <c r="B900" s="5" t="str">
        <f>IF(TRIM(J900)="","",H900)</f>
        <v/>
      </c>
      <c r="C900" s="5" t="str">
        <f>LEFT(F900,FIND(".",F900,6))</f>
        <v>Exif.NikonLd2.</v>
      </c>
      <c r="D900" s="5" t="str">
        <f>VLOOKUP(C900,PrefixUebersetzung,2,FALSE)</f>
        <v>Exif.NikonLd2.</v>
      </c>
      <c r="E900" s="5" t="str">
        <f>MID(F900,FIND(".",F900,6)+1,99)</f>
        <v>LensIDNumber</v>
      </c>
      <c r="F900" s="5" t="s">
        <v>753</v>
      </c>
      <c r="G900" s="5" t="s">
        <v>9670</v>
      </c>
      <c r="H900" s="6" t="s">
        <v>2712</v>
      </c>
      <c r="I900" s="7"/>
      <c r="K900" s="26"/>
      <c r="L900" s="6" t="str">
        <f>IFERROR(VLOOKUP(E900,A:I,9, FALSE),"")</f>
        <v>Objektiv ID-Nummer</v>
      </c>
      <c r="M900" s="6" t="str">
        <f>IFERROR(VLOOKUP(H900,B:J,9,FALSE),"")</f>
        <v>Objektiv ID-Nummer</v>
      </c>
      <c r="N900" s="6"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4" ht="30" x14ac:dyDescent="0.25">
      <c r="A901" s="5" t="str">
        <f>IF(TRIM(I901)="","",E901)</f>
        <v/>
      </c>
      <c r="B901" s="5" t="str">
        <f>IF(TRIM(J901)="","",H901)</f>
        <v/>
      </c>
      <c r="C901" s="5" t="str">
        <f>LEFT(F901,FIND(".",F901,6))</f>
        <v>Exif.NikonLd2.</v>
      </c>
      <c r="D901" s="5" t="str">
        <f>VLOOKUP(C901,PrefixUebersetzung,2,FALSE)</f>
        <v>Exif.NikonLd2.</v>
      </c>
      <c r="E901" s="5" t="str">
        <f>MID(F901,FIND(".",F901,6)+1,99)</f>
        <v>MaxApertureAtMaxFocal</v>
      </c>
      <c r="F901" s="5" t="s">
        <v>754</v>
      </c>
      <c r="G901" s="5" t="s">
        <v>9670</v>
      </c>
      <c r="H901" s="6" t="s">
        <v>2713</v>
      </c>
      <c r="K901" s="26"/>
      <c r="L901" s="6" t="str">
        <f>IFERROR(VLOOKUP(E901,A:I,9, FALSE),"")</f>
        <v>Max Blende bei max Brennweite</v>
      </c>
      <c r="M901" s="6" t="str">
        <f>IFERROR(VLOOKUP(H901,B:J,9,FALSE),"")</f>
        <v>Maximale Blende bei maximaler Brennweite</v>
      </c>
      <c r="N901" s="6"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4" ht="30" x14ac:dyDescent="0.25">
      <c r="A902" s="5" t="str">
        <f>IF(TRIM(I902)="","",E902)</f>
        <v/>
      </c>
      <c r="B902" s="5" t="str">
        <f>IF(TRIM(J902)="","",H902)</f>
        <v/>
      </c>
      <c r="C902" s="5" t="str">
        <f>LEFT(F902,FIND(".",F902,6))</f>
        <v>Exif.NikonLd2.</v>
      </c>
      <c r="D902" s="5" t="str">
        <f>VLOOKUP(C902,PrefixUebersetzung,2,FALSE)</f>
        <v>Exif.NikonLd2.</v>
      </c>
      <c r="E902" s="5" t="str">
        <f>MID(F902,FIND(".",F902,6)+1,99)</f>
        <v>MaxApertureAtMinFocal</v>
      </c>
      <c r="F902" s="5" t="s">
        <v>755</v>
      </c>
      <c r="G902" s="5" t="s">
        <v>9670</v>
      </c>
      <c r="H902" s="6" t="s">
        <v>2714</v>
      </c>
      <c r="I902" s="7"/>
      <c r="K902" s="26"/>
      <c r="L902" s="6" t="str">
        <f>IFERROR(VLOOKUP(E902,A:I,9, FALSE),"")</f>
        <v>Max Blende bei min Brennweite</v>
      </c>
      <c r="M902" s="6" t="str">
        <f>IFERROR(VLOOKUP(H902,B:J,9,FALSE),"")</f>
        <v>Maximale Blende bei minimaler Brennweite</v>
      </c>
      <c r="N902" s="6" t="str">
        <f>IF(AND(TRIM(I902)="",L902=""),"Suffix not translated ",
   IF(AND(TRIM(I902)&lt;&gt;"",TRIM(L902)&lt;&gt;"",TRIM(I902)&lt;&gt;TRIM(L902)),"Suffix translation &lt;&gt; lookup ", "" ))
&amp;IF(AND(TRIM(J902)="",M902=""),"Description not translated ",
   IF(AND(TRIM(J902)&lt;&gt;"",TRIM(M902)&lt;&gt;"",TRIM(J902)&lt;&gt;TRIM(M902)),"Description translation&lt;&gt; lookup ", "" ))</f>
        <v/>
      </c>
    </row>
    <row r="903" spans="1:14" x14ac:dyDescent="0.25">
      <c r="A903" s="5" t="str">
        <f>IF(TRIM(I903)="","",E903)</f>
        <v/>
      </c>
      <c r="B903" s="5" t="str">
        <f>IF(TRIM(J903)="","",H903)</f>
        <v/>
      </c>
      <c r="C903" s="5" t="str">
        <f>LEFT(F903,FIND(".",F903,6))</f>
        <v>Exif.NikonLd2.</v>
      </c>
      <c r="D903" s="5" t="str">
        <f>VLOOKUP(C903,PrefixUebersetzung,2,FALSE)</f>
        <v>Exif.NikonLd2.</v>
      </c>
      <c r="E903" s="5" t="str">
        <f>MID(F903,FIND(".",F903,6)+1,99)</f>
        <v>MaxFocalLength</v>
      </c>
      <c r="F903" s="5" t="s">
        <v>756</v>
      </c>
      <c r="G903" s="5" t="s">
        <v>9670</v>
      </c>
      <c r="H903" s="6" t="s">
        <v>2715</v>
      </c>
      <c r="I903" s="7"/>
      <c r="K903" s="26"/>
      <c r="L903" s="6" t="str">
        <f>IFERROR(VLOOKUP(E903,A:I,9, FALSE),"")</f>
        <v>Brennweite maximal</v>
      </c>
      <c r="M903" s="6" t="str">
        <f>IFERROR(VLOOKUP(H903,B:J,9,FALSE),"")</f>
        <v>Maximale Brennweite</v>
      </c>
      <c r="N903" s="6"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4" x14ac:dyDescent="0.25">
      <c r="A904" s="5" t="str">
        <f>IF(TRIM(I904)="","",E904)</f>
        <v/>
      </c>
      <c r="B904" s="5" t="str">
        <f>IF(TRIM(J904)="","",H904)</f>
        <v/>
      </c>
      <c r="C904" s="5" t="str">
        <f>LEFT(F904,FIND(".",F904,6))</f>
        <v>Exif.NikonLd2.</v>
      </c>
      <c r="D904" s="5" t="str">
        <f>VLOOKUP(C904,PrefixUebersetzung,2,FALSE)</f>
        <v>Exif.NikonLd2.</v>
      </c>
      <c r="E904" s="5" t="str">
        <f>MID(F904,FIND(".",F904,6)+1,99)</f>
        <v>MCUVersion</v>
      </c>
      <c r="F904" s="5" t="s">
        <v>757</v>
      </c>
      <c r="G904" s="5" t="s">
        <v>9670</v>
      </c>
      <c r="H904" s="6" t="s">
        <v>2716</v>
      </c>
      <c r="I904" s="7"/>
      <c r="K904" s="26"/>
      <c r="L904" s="6" t="str">
        <f>IFERROR(VLOOKUP(E904,A:I,9, FALSE),"")</f>
        <v>MCU Version</v>
      </c>
      <c r="M904" s="6" t="str">
        <f>IFERROR(VLOOKUP(H904,B:J,9,FALSE),"")</f>
        <v>MCU Version</v>
      </c>
      <c r="N904" s="6" t="str">
        <f>IF(AND(TRIM(I904)="",L904=""),"Suffix not translated ",
   IF(AND(TRIM(I904)&lt;&gt;"",TRIM(L904)&lt;&gt;"",TRIM(I904)&lt;&gt;TRIM(L904)),"Suffix translation &lt;&gt; lookup ", "" ))
&amp;IF(AND(TRIM(J904)="",M904=""),"Description not translated ",
   IF(AND(TRIM(J904)&lt;&gt;"",TRIM(M904)&lt;&gt;"",TRIM(J904)&lt;&gt;TRIM(M904)),"Description translation&lt;&gt; lookup ", "" ))</f>
        <v/>
      </c>
    </row>
    <row r="905" spans="1:14" x14ac:dyDescent="0.25">
      <c r="A905" s="5" t="str">
        <f>IF(TRIM(I905)="","",E905)</f>
        <v/>
      </c>
      <c r="B905" s="5" t="str">
        <f>IF(TRIM(J905)="","",H905)</f>
        <v/>
      </c>
      <c r="C905" s="5" t="str">
        <f>LEFT(F905,FIND(".",F905,6))</f>
        <v>Exif.NikonLd2.</v>
      </c>
      <c r="D905" s="5" t="str">
        <f>VLOOKUP(C905,PrefixUebersetzung,2,FALSE)</f>
        <v>Exif.NikonLd2.</v>
      </c>
      <c r="E905" s="5" t="str">
        <f>MID(F905,FIND(".",F905,6)+1,99)</f>
        <v>MinFocalLength</v>
      </c>
      <c r="F905" s="5" t="s">
        <v>758</v>
      </c>
      <c r="G905" s="5" t="s">
        <v>9670</v>
      </c>
      <c r="H905" s="6" t="s">
        <v>2717</v>
      </c>
      <c r="I905" s="7"/>
      <c r="K905" s="26"/>
      <c r="L905" s="6" t="str">
        <f>IFERROR(VLOOKUP(E905,A:I,9, FALSE),"")</f>
        <v>Brennweite minimal</v>
      </c>
      <c r="M905" s="6" t="str">
        <f>IFERROR(VLOOKUP(H905,B:J,9,FALSE),"")</f>
        <v>Minimale Brennweite</v>
      </c>
      <c r="N905" s="6"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4" x14ac:dyDescent="0.25">
      <c r="A906" s="5" t="str">
        <f>IF(TRIM(I906)="","",E906)</f>
        <v/>
      </c>
      <c r="B906" s="5" t="str">
        <f>IF(TRIM(J906)="","",H906)</f>
        <v/>
      </c>
      <c r="C906" s="5" t="str">
        <f>LEFT(F906,FIND(".",F906,6))</f>
        <v>Exif.NikonLd2.</v>
      </c>
      <c r="D906" s="5" t="str">
        <f>VLOOKUP(C906,PrefixUebersetzung,2,FALSE)</f>
        <v>Exif.NikonLd2.</v>
      </c>
      <c r="E906" s="5" t="str">
        <f>MID(F906,FIND(".",F906,6)+1,99)</f>
        <v>Version</v>
      </c>
      <c r="F906" s="5" t="s">
        <v>759</v>
      </c>
      <c r="G906" s="5" t="s">
        <v>9669</v>
      </c>
      <c r="H906" s="6" t="s">
        <v>2688</v>
      </c>
      <c r="I906" s="7"/>
      <c r="K906" s="26"/>
      <c r="L906" s="6" t="str">
        <f>IFERROR(VLOOKUP(E906,A:I,9, FALSE),"")</f>
        <v>Version</v>
      </c>
      <c r="M906" s="6" t="str">
        <f>IFERROR(VLOOKUP(H906,B:J,9,FALSE),"")</f>
        <v>Version</v>
      </c>
      <c r="N906" s="6" t="str">
        <f>IF(AND(TRIM(I906)="",L906=""),"Suffix not translated ",
   IF(AND(TRIM(I906)&lt;&gt;"",TRIM(L906)&lt;&gt;"",TRIM(I906)&lt;&gt;TRIM(L906)),"Suffix translation &lt;&gt; lookup ", "" ))
&amp;IF(AND(TRIM(J906)="",M906=""),"Description not translated ",
   IF(AND(TRIM(J906)&lt;&gt;"",TRIM(M906)&lt;&gt;"",TRIM(J906)&lt;&gt;TRIM(M906)),"Description translation&lt;&gt; lookup ", "" ))</f>
        <v/>
      </c>
    </row>
    <row r="907" spans="1:14" x14ac:dyDescent="0.25">
      <c r="A907" s="5" t="str">
        <f>IF(TRIM(I907)="","",E907)</f>
        <v/>
      </c>
      <c r="B907" s="5" t="str">
        <f>IF(TRIM(J907)="","",H907)</f>
        <v/>
      </c>
      <c r="C907" s="5" t="str">
        <f>LEFT(F907,FIND(".",F907,6))</f>
        <v>Exif.NikonLd3.</v>
      </c>
      <c r="D907" s="5" t="str">
        <f>VLOOKUP(C907,PrefixUebersetzung,2,FALSE)</f>
        <v>Exif.NikonLd3.</v>
      </c>
      <c r="E907" s="5" t="str">
        <f>MID(F907,FIND(".",F907,6)+1,99)</f>
        <v>AFAperture</v>
      </c>
      <c r="F907" s="5" t="s">
        <v>760</v>
      </c>
      <c r="G907" s="5" t="s">
        <v>9670</v>
      </c>
      <c r="H907" s="6" t="s">
        <v>2718</v>
      </c>
      <c r="I907" s="7"/>
      <c r="K907" s="26"/>
      <c r="L907" s="6" t="str">
        <f>IFERROR(VLOOKUP(E907,A:I,9, FALSE),"")</f>
        <v>AF Öffnung</v>
      </c>
      <c r="M907" s="6" t="str">
        <f>IFERROR(VLOOKUP(H907,B:J,9,FALSE),"")</f>
        <v>AF Öffnung</v>
      </c>
      <c r="N907" s="6"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4" ht="30" x14ac:dyDescent="0.25">
      <c r="A908" s="5" t="str">
        <f>IF(TRIM(I908)="","",E908)</f>
        <v/>
      </c>
      <c r="B908" s="5" t="str">
        <f>IF(TRIM(J908)="","",H908)</f>
        <v/>
      </c>
      <c r="C908" s="5" t="str">
        <f>LEFT(F908,FIND(".",F908,6))</f>
        <v>Exif.NikonLd3.</v>
      </c>
      <c r="D908" s="5" t="str">
        <f>VLOOKUP(C908,PrefixUebersetzung,2,FALSE)</f>
        <v>Exif.NikonLd3.</v>
      </c>
      <c r="E908" s="5" t="str">
        <f>MID(F908,FIND(".",F908,6)+1,99)</f>
        <v>EffectiveMaxAperture</v>
      </c>
      <c r="F908" s="5" t="s">
        <v>761</v>
      </c>
      <c r="G908" s="5" t="s">
        <v>9670</v>
      </c>
      <c r="H908" s="6" t="s">
        <v>2719</v>
      </c>
      <c r="I908" s="7"/>
      <c r="K908" s="26"/>
      <c r="L908" s="6" t="str">
        <f>IFERROR(VLOOKUP(E908,A:I,9, FALSE),"")</f>
        <v>Effektive max Blendenöffnung</v>
      </c>
      <c r="M908" s="6" t="str">
        <f>IFERROR(VLOOKUP(H908,B:J,9,FALSE),"")</f>
        <v>Effektive max Blendenöffnung</v>
      </c>
      <c r="N908" s="6" t="str">
        <f>IF(AND(TRIM(I908)="",L908=""),"Suffix not translated ",
   IF(AND(TRIM(I908)&lt;&gt;"",TRIM(L908)&lt;&gt;"",TRIM(I908)&lt;&gt;TRIM(L908)),"Suffix translation &lt;&gt; lookup ", "" ))
&amp;IF(AND(TRIM(J908)="",M908=""),"Description not translated ",
   IF(AND(TRIM(J908)&lt;&gt;"",TRIM(M908)&lt;&gt;"",TRIM(J908)&lt;&gt;TRIM(M908)),"Description translation&lt;&gt; lookup ", "" ))</f>
        <v/>
      </c>
    </row>
    <row r="909" spans="1:14" ht="30" x14ac:dyDescent="0.25">
      <c r="A909" s="5" t="str">
        <f>IF(TRIM(I909)="","",E909)</f>
        <v/>
      </c>
      <c r="B909" s="5" t="str">
        <f>IF(TRIM(J909)="","",H909)</f>
        <v/>
      </c>
      <c r="C909" s="5" t="str">
        <f>LEFT(F909,FIND(".",F909,6))</f>
        <v>Exif.NikonLd3.</v>
      </c>
      <c r="D909" s="5" t="str">
        <f>VLOOKUP(C909,PrefixUebersetzung,2,FALSE)</f>
        <v>Exif.NikonLd3.</v>
      </c>
      <c r="E909" s="5" t="str">
        <f>MID(F909,FIND(".",F909,6)+1,99)</f>
        <v>ExitPupilPosition</v>
      </c>
      <c r="F909" s="5" t="s">
        <v>762</v>
      </c>
      <c r="G909" s="5" t="s">
        <v>9670</v>
      </c>
      <c r="H909" s="6" t="s">
        <v>2720</v>
      </c>
      <c r="I909" s="7"/>
      <c r="K909" s="26"/>
      <c r="L909" s="6" t="str">
        <f>IFERROR(VLOOKUP(E909,A:I,9, FALSE),"")</f>
        <v>Austrittspupillenposition</v>
      </c>
      <c r="M909" s="6" t="str">
        <f>IFERROR(VLOOKUP(H909,B:J,9,FALSE),"")</f>
        <v>Austrittspupillenposition</v>
      </c>
      <c r="N909" s="6"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4" x14ac:dyDescent="0.25">
      <c r="A910" s="5" t="str">
        <f>IF(TRIM(I910)="","",E910)</f>
        <v/>
      </c>
      <c r="B910" s="5" t="str">
        <f>IF(TRIM(J910)="","",H910)</f>
        <v/>
      </c>
      <c r="C910" s="5" t="str">
        <f>LEFT(F910,FIND(".",F910,6))</f>
        <v>Exif.NikonLd3.</v>
      </c>
      <c r="D910" s="5" t="str">
        <f>VLOOKUP(C910,PrefixUebersetzung,2,FALSE)</f>
        <v>Exif.NikonLd3.</v>
      </c>
      <c r="E910" s="5" t="str">
        <f>MID(F910,FIND(".",F910,6)+1,99)</f>
        <v>FocalLength</v>
      </c>
      <c r="F910" s="5" t="s">
        <v>763</v>
      </c>
      <c r="G910" s="5" t="s">
        <v>9670</v>
      </c>
      <c r="H910" s="6" t="s">
        <v>2148</v>
      </c>
      <c r="I910" s="7"/>
      <c r="K910" s="26"/>
      <c r="L910" s="6" t="str">
        <f>IFERROR(VLOOKUP(E910,A:I,9, FALSE),"")</f>
        <v>Brennweite</v>
      </c>
      <c r="M910" s="6" t="str">
        <f>IFERROR(VLOOKUP(H910,B:J,9,FALSE),"")</f>
        <v>Brennweite</v>
      </c>
      <c r="N910" s="6" t="str">
        <f>IF(AND(TRIM(I910)="",L910=""),"Suffix not translated ",
   IF(AND(TRIM(I910)&lt;&gt;"",TRIM(L910)&lt;&gt;"",TRIM(I910)&lt;&gt;TRIM(L910)),"Suffix translation &lt;&gt; lookup ", "" ))
&amp;IF(AND(TRIM(J910)="",M910=""),"Description not translated ",
   IF(AND(TRIM(J910)&lt;&gt;"",TRIM(M910)&lt;&gt;"",TRIM(J910)&lt;&gt;TRIM(M910)),"Description translation&lt;&gt; lookup ", "" ))</f>
        <v/>
      </c>
    </row>
    <row r="911" spans="1:14" x14ac:dyDescent="0.25">
      <c r="A911" s="5" t="str">
        <f>IF(TRIM(I911)="","",E911)</f>
        <v/>
      </c>
      <c r="B911" s="5" t="str">
        <f>IF(TRIM(J911)="","",H911)</f>
        <v/>
      </c>
      <c r="C911" s="5" t="str">
        <f>LEFT(F911,FIND(".",F911,6))</f>
        <v>Exif.NikonLd3.</v>
      </c>
      <c r="D911" s="5" t="str">
        <f>VLOOKUP(C911,PrefixUebersetzung,2,FALSE)</f>
        <v>Exif.NikonLd3.</v>
      </c>
      <c r="E911" s="5" t="str">
        <f>MID(F911,FIND(".",F911,6)+1,99)</f>
        <v>FocusDistance</v>
      </c>
      <c r="F911" s="5" t="s">
        <v>764</v>
      </c>
      <c r="G911" s="5" t="s">
        <v>9670</v>
      </c>
      <c r="H911" s="6" t="s">
        <v>2586</v>
      </c>
      <c r="I911" s="7"/>
      <c r="K911" s="26"/>
      <c r="L911" s="6" t="str">
        <f>IFERROR(VLOOKUP(E911,A:I,9, FALSE),"")</f>
        <v>Aufnahmeabstand</v>
      </c>
      <c r="M911" s="6" t="str">
        <f>IFERROR(VLOOKUP(H911,B:J,9,FALSE),"")</f>
        <v>Aufnahmeabstand</v>
      </c>
      <c r="N911" s="6" t="str">
        <f>IF(AND(TRIM(I911)="",L911=""),"Suffix not translated ",
   IF(AND(TRIM(I911)&lt;&gt;"",TRIM(L911)&lt;&gt;"",TRIM(I911)&lt;&gt;TRIM(L911)),"Suffix translation &lt;&gt; lookup ", "" ))
&amp;IF(AND(TRIM(J911)="",M911=""),"Description not translated ",
   IF(AND(TRIM(J911)&lt;&gt;"",TRIM(M911)&lt;&gt;"",TRIM(J911)&lt;&gt;TRIM(M911)),"Description translation&lt;&gt; lookup ", "" ))</f>
        <v/>
      </c>
    </row>
    <row r="912" spans="1:14" x14ac:dyDescent="0.25">
      <c r="A912" s="5" t="str">
        <f>IF(TRIM(I912)="","",E912)</f>
        <v/>
      </c>
      <c r="B912" s="5" t="str">
        <f>IF(TRIM(J912)="","",H912)</f>
        <v/>
      </c>
      <c r="C912" s="5" t="str">
        <f>LEFT(F912,FIND(".",F912,6))</f>
        <v>Exif.NikonLd3.</v>
      </c>
      <c r="D912" s="5" t="str">
        <f>VLOOKUP(C912,PrefixUebersetzung,2,FALSE)</f>
        <v>Exif.NikonLd3.</v>
      </c>
      <c r="E912" s="5" t="str">
        <f>MID(F912,FIND(".",F912,6)+1,99)</f>
        <v>FocusPosition</v>
      </c>
      <c r="F912" s="5" t="s">
        <v>765</v>
      </c>
      <c r="G912" s="5" t="s">
        <v>9670</v>
      </c>
      <c r="H912" s="6" t="s">
        <v>2559</v>
      </c>
      <c r="I912" s="7"/>
      <c r="K912" s="26"/>
      <c r="L912" s="6" t="str">
        <f>IFERROR(VLOOKUP(E912,A:I,9, FALSE),"")</f>
        <v>Fokusposition</v>
      </c>
      <c r="M912" s="6" t="str">
        <f>IFERROR(VLOOKUP(H912,B:J,9,FALSE),"")</f>
        <v>Fokusposition</v>
      </c>
      <c r="N912" s="6" t="str">
        <f>IF(AND(TRIM(I912)="",L912=""),"Suffix not translated ",
   IF(AND(TRIM(I912)&lt;&gt;"",TRIM(L912)&lt;&gt;"",TRIM(I912)&lt;&gt;TRIM(L912)),"Suffix translation &lt;&gt; lookup ", "" ))
&amp;IF(AND(TRIM(J912)="",M912=""),"Description not translated ",
   IF(AND(TRIM(J912)&lt;&gt;"",TRIM(M912)&lt;&gt;"",TRIM(J912)&lt;&gt;TRIM(M912)),"Description translation&lt;&gt; lookup ", "" ))</f>
        <v/>
      </c>
    </row>
    <row r="913" spans="1:17" x14ac:dyDescent="0.25">
      <c r="A913" s="5" t="str">
        <f>IF(TRIM(I913)="","",E913)</f>
        <v/>
      </c>
      <c r="B913" s="5" t="str">
        <f>IF(TRIM(J913)="","",H913)</f>
        <v/>
      </c>
      <c r="C913" s="5" t="str">
        <f>LEFT(F913,FIND(".",F913,6))</f>
        <v>Exif.NikonLd3.</v>
      </c>
      <c r="D913" s="5" t="str">
        <f>VLOOKUP(C913,PrefixUebersetzung,2,FALSE)</f>
        <v>Exif.NikonLd3.</v>
      </c>
      <c r="E913" s="5" t="str">
        <f>MID(F913,FIND(".",F913,6)+1,99)</f>
        <v>LensFStops</v>
      </c>
      <c r="F913" s="5" t="s">
        <v>766</v>
      </c>
      <c r="G913" s="5" t="s">
        <v>9670</v>
      </c>
      <c r="H913" s="6" t="s">
        <v>2711</v>
      </c>
      <c r="I913" s="7"/>
      <c r="K913" s="26"/>
      <c r="L913" s="6" t="str">
        <f>IFERROR(VLOOKUP(E913,A:I,9, FALSE),"")</f>
        <v>Objektiv Blendenstufen</v>
      </c>
      <c r="M913" s="6" t="str">
        <f>IFERROR(VLOOKUP(H913,B:J,9,FALSE),"")</f>
        <v>Objektiv Blendenstufen</v>
      </c>
      <c r="N913" s="6"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5" t="str">
        <f>IF(TRIM(I914)="","",E914)</f>
        <v/>
      </c>
      <c r="B914" s="5" t="str">
        <f>IF(TRIM(J914)="","",H914)</f>
        <v/>
      </c>
      <c r="C914" s="5" t="str">
        <f>LEFT(F914,FIND(".",F914,6))</f>
        <v>Exif.NikonLd3.</v>
      </c>
      <c r="D914" s="5" t="str">
        <f>VLOOKUP(C914,PrefixUebersetzung,2,FALSE)</f>
        <v>Exif.NikonLd3.</v>
      </c>
      <c r="E914" s="5" t="str">
        <f>MID(F914,FIND(".",F914,6)+1,99)</f>
        <v>LensIDNumber</v>
      </c>
      <c r="F914" s="5" t="s">
        <v>767</v>
      </c>
      <c r="G914" s="5" t="s">
        <v>9670</v>
      </c>
      <c r="H914" s="6" t="s">
        <v>2712</v>
      </c>
      <c r="I914" s="7"/>
      <c r="K914" s="26"/>
      <c r="L914" s="6" t="str">
        <f>IFERROR(VLOOKUP(E914,A:I,9, FALSE),"")</f>
        <v>Objektiv ID-Nummer</v>
      </c>
      <c r="M914" s="6" t="str">
        <f>IFERROR(VLOOKUP(H914,B:J,9,FALSE),"")</f>
        <v>Objektiv ID-Nummer</v>
      </c>
      <c r="N914" s="6" t="str">
        <f>IF(AND(TRIM(I914)="",L914=""),"Suffix not translated ",
   IF(AND(TRIM(I914)&lt;&gt;"",TRIM(L914)&lt;&gt;"",TRIM(I914)&lt;&gt;TRIM(L914)),"Suffix translation &lt;&gt; lookup ", "" ))
&amp;IF(AND(TRIM(J914)="",M914=""),"Description not translated ",
   IF(AND(TRIM(J914)&lt;&gt;"",TRIM(M914)&lt;&gt;"",TRIM(J914)&lt;&gt;TRIM(M914)),"Description translation&lt;&gt; lookup ", "" ))</f>
        <v/>
      </c>
    </row>
    <row r="915" spans="1:17" ht="30" x14ac:dyDescent="0.25">
      <c r="A915" s="5" t="str">
        <f>IF(TRIM(I915)="","",E915)</f>
        <v/>
      </c>
      <c r="B915" s="5" t="str">
        <f>IF(TRIM(J915)="","",H915)</f>
        <v>Max aperture at max focal length</v>
      </c>
      <c r="C915" s="5" t="str">
        <f>LEFT(F915,FIND(".",F915,6))</f>
        <v>Exif.NikonLd3.</v>
      </c>
      <c r="D915" s="5" t="str">
        <f>VLOOKUP(C915,PrefixUebersetzung,2,FALSE)</f>
        <v>Exif.NikonLd3.</v>
      </c>
      <c r="E915" s="5" t="str">
        <f>MID(F915,FIND(".",F915,6)+1,99)</f>
        <v>MaxApertureAtMaxFocal</v>
      </c>
      <c r="F915" s="5" t="s">
        <v>768</v>
      </c>
      <c r="G915" s="5" t="s">
        <v>9670</v>
      </c>
      <c r="H915" s="6" t="s">
        <v>2721</v>
      </c>
      <c r="J915" s="14" t="s">
        <v>3835</v>
      </c>
      <c r="K915" s="26"/>
      <c r="L915" s="6" t="str">
        <f>IFERROR(VLOOKUP(E915,A:I,9, FALSE),"")</f>
        <v>Max Blende bei max Brennweite</v>
      </c>
      <c r="N915" s="6" t="str">
        <f>IF(AND(TRIM(I915)="",L915=""),"Suffix not translated ",
   IF(AND(TRIM(I915)&lt;&gt;"",TRIM(L915)&lt;&gt;"",TRIM(I915)&lt;&gt;TRIM(L915)),"Suffix translation &lt;&gt; lookup ", "" ))
&amp;IF(AND(TRIM(J915)="",M915=""),"Description not translated ",
   IF(AND(TRIM(J915)&lt;&gt;"",TRIM(M915)&lt;&gt;"",TRIM(J915)&lt;&gt;TRIM(M915)),"Description translation&lt;&gt; lookup ", "" ))</f>
        <v/>
      </c>
      <c r="P915" s="6" t="s">
        <v>8574</v>
      </c>
      <c r="Q915" s="6" t="s">
        <v>9416</v>
      </c>
    </row>
    <row r="916" spans="1:17" ht="30" x14ac:dyDescent="0.25">
      <c r="A916" s="5" t="str">
        <f>IF(TRIM(I916)="","",E916)</f>
        <v/>
      </c>
      <c r="B916" s="5" t="str">
        <f>IF(TRIM(J916)="","",H916)</f>
        <v>Max aperture at min focal length</v>
      </c>
      <c r="C916" s="5" t="str">
        <f>LEFT(F916,FIND(".",F916,6))</f>
        <v>Exif.NikonLd3.</v>
      </c>
      <c r="D916" s="5" t="str">
        <f>VLOOKUP(C916,PrefixUebersetzung,2,FALSE)</f>
        <v>Exif.NikonLd3.</v>
      </c>
      <c r="E916" s="5" t="str">
        <f>MID(F916,FIND(".",F916,6)+1,99)</f>
        <v>MaxApertureAtMinFocal</v>
      </c>
      <c r="F916" s="5" t="s">
        <v>769</v>
      </c>
      <c r="G916" s="5" t="s">
        <v>9670</v>
      </c>
      <c r="H916" s="6" t="s">
        <v>2722</v>
      </c>
      <c r="I916" s="7"/>
      <c r="J916" s="14" t="s">
        <v>5194</v>
      </c>
      <c r="K916" s="26"/>
      <c r="L916" s="6" t="str">
        <f>IFERROR(VLOOKUP(E916,A:I,9, FALSE),"")</f>
        <v>Max Blende bei min Brennweite</v>
      </c>
      <c r="N916" s="6" t="str">
        <f>IF(AND(TRIM(I916)="",L916=""),"Suffix not translated ",
   IF(AND(TRIM(I916)&lt;&gt;"",TRIM(L916)&lt;&gt;"",TRIM(I916)&lt;&gt;TRIM(L916)),"Suffix translation &lt;&gt; lookup ", "" ))
&amp;IF(AND(TRIM(J916)="",M916=""),"Description not translated ",
   IF(AND(TRIM(J916)&lt;&gt;"",TRIM(M916)&lt;&gt;"",TRIM(J916)&lt;&gt;TRIM(M916)),"Description translation&lt;&gt; lookup ", "" ))</f>
        <v/>
      </c>
      <c r="P916" s="6" t="s">
        <v>8574</v>
      </c>
      <c r="Q916" s="6" t="s">
        <v>9200</v>
      </c>
    </row>
    <row r="917" spans="1:17" x14ac:dyDescent="0.25">
      <c r="A917" s="5" t="str">
        <f>IF(TRIM(I917)="","",E917)</f>
        <v/>
      </c>
      <c r="B917" s="5" t="str">
        <f>IF(TRIM(J917)="","",H917)</f>
        <v/>
      </c>
      <c r="C917" s="5" t="str">
        <f>LEFT(F917,FIND(".",F917,6))</f>
        <v>Exif.NikonLd3.</v>
      </c>
      <c r="D917" s="5" t="str">
        <f>VLOOKUP(C917,PrefixUebersetzung,2,FALSE)</f>
        <v>Exif.NikonLd3.</v>
      </c>
      <c r="E917" s="5" t="str">
        <f>MID(F917,FIND(".",F917,6)+1,99)</f>
        <v>MaxFocalLength</v>
      </c>
      <c r="F917" s="5" t="s">
        <v>770</v>
      </c>
      <c r="G917" s="5" t="s">
        <v>9670</v>
      </c>
      <c r="H917" s="6" t="s">
        <v>2715</v>
      </c>
      <c r="I917" s="7"/>
      <c r="K917" s="26"/>
      <c r="L917" s="6" t="str">
        <f>IFERROR(VLOOKUP(E917,A:I,9, FALSE),"")</f>
        <v>Brennweite maximal</v>
      </c>
      <c r="M917" s="6" t="str">
        <f>IFERROR(VLOOKUP(H917,B:J,9,FALSE),"")</f>
        <v>Maximale Brennweite</v>
      </c>
      <c r="N917" s="6"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5" t="str">
        <f>IF(TRIM(I918)="","",E918)</f>
        <v/>
      </c>
      <c r="B918" s="5" t="str">
        <f>IF(TRIM(J918)="","",H918)</f>
        <v/>
      </c>
      <c r="C918" s="5" t="str">
        <f>LEFT(F918,FIND(".",F918,6))</f>
        <v>Exif.NikonLd3.</v>
      </c>
      <c r="D918" s="5" t="str">
        <f>VLOOKUP(C918,PrefixUebersetzung,2,FALSE)</f>
        <v>Exif.NikonLd3.</v>
      </c>
      <c r="E918" s="5" t="str">
        <f>MID(F918,FIND(".",F918,6)+1,99)</f>
        <v>MCUVersion</v>
      </c>
      <c r="F918" s="5" t="s">
        <v>771</v>
      </c>
      <c r="G918" s="5" t="s">
        <v>9670</v>
      </c>
      <c r="H918" s="6" t="s">
        <v>2716</v>
      </c>
      <c r="I918" s="7"/>
      <c r="K918" s="26"/>
      <c r="L918" s="6" t="str">
        <f>IFERROR(VLOOKUP(E918,A:I,9, FALSE),"")</f>
        <v>MCU Version</v>
      </c>
      <c r="M918" s="6" t="str">
        <f>IFERROR(VLOOKUP(H918,B:J,9,FALSE),"")</f>
        <v>MCU Version</v>
      </c>
      <c r="N918" s="6" t="str">
        <f>IF(AND(TRIM(I918)="",L918=""),"Suffix not translated ",
   IF(AND(TRIM(I918)&lt;&gt;"",TRIM(L918)&lt;&gt;"",TRIM(I918)&lt;&gt;TRIM(L918)),"Suffix translation &lt;&gt; lookup ", "" ))
&amp;IF(AND(TRIM(J918)="",M918=""),"Description not translated ",
   IF(AND(TRIM(J918)&lt;&gt;"",TRIM(M918)&lt;&gt;"",TRIM(J918)&lt;&gt;TRIM(M918)),"Description translation&lt;&gt; lookup ", "" ))</f>
        <v/>
      </c>
    </row>
    <row r="919" spans="1:17" x14ac:dyDescent="0.25">
      <c r="A919" s="5" t="str">
        <f>IF(TRIM(I919)="","",E919)</f>
        <v/>
      </c>
      <c r="B919" s="5" t="str">
        <f>IF(TRIM(J919)="","",H919)</f>
        <v/>
      </c>
      <c r="C919" s="5" t="str">
        <f>LEFT(F919,FIND(".",F919,6))</f>
        <v>Exif.NikonLd3.</v>
      </c>
      <c r="D919" s="5" t="str">
        <f>VLOOKUP(C919,PrefixUebersetzung,2,FALSE)</f>
        <v>Exif.NikonLd3.</v>
      </c>
      <c r="E919" s="5" t="str">
        <f>MID(F919,FIND(".",F919,6)+1,99)</f>
        <v>MinFocalLength</v>
      </c>
      <c r="F919" s="5" t="s">
        <v>772</v>
      </c>
      <c r="G919" s="5" t="s">
        <v>9670</v>
      </c>
      <c r="H919" s="6" t="s">
        <v>2717</v>
      </c>
      <c r="I919" s="7"/>
      <c r="K919" s="26"/>
      <c r="L919" s="6" t="str">
        <f>IFERROR(VLOOKUP(E919,A:I,9, FALSE),"")</f>
        <v>Brennweite minimal</v>
      </c>
      <c r="M919" s="6" t="str">
        <f>IFERROR(VLOOKUP(H919,B:J,9,FALSE),"")</f>
        <v>Minimale Brennweite</v>
      </c>
      <c r="N919" s="6"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5" t="str">
        <f>IF(TRIM(I920)="","",E920)</f>
        <v/>
      </c>
      <c r="B920" s="5" t="str">
        <f>IF(TRIM(J920)="","",H920)</f>
        <v/>
      </c>
      <c r="C920" s="5" t="str">
        <f>LEFT(F920,FIND(".",F920,6))</f>
        <v>Exif.NikonLd3.</v>
      </c>
      <c r="D920" s="5" t="str">
        <f>VLOOKUP(C920,PrefixUebersetzung,2,FALSE)</f>
        <v>Exif.NikonLd3.</v>
      </c>
      <c r="E920" s="5" t="str">
        <f>MID(F920,FIND(".",F920,6)+1,99)</f>
        <v>Version</v>
      </c>
      <c r="F920" s="5" t="s">
        <v>773</v>
      </c>
      <c r="G920" s="5" t="s">
        <v>9669</v>
      </c>
      <c r="H920" s="6" t="s">
        <v>2688</v>
      </c>
      <c r="I920" s="7"/>
      <c r="K920" s="26"/>
      <c r="L920" s="6" t="str">
        <f>IFERROR(VLOOKUP(E920,A:I,9, FALSE),"")</f>
        <v>Version</v>
      </c>
      <c r="M920" s="6" t="str">
        <f>IFERROR(VLOOKUP(H920,B:J,9,FALSE),"")</f>
        <v>Version</v>
      </c>
      <c r="N920" s="6" t="str">
        <f>IF(AND(TRIM(I920)="",L920=""),"Suffix not translated ",
   IF(AND(TRIM(I920)&lt;&gt;"",TRIM(L920)&lt;&gt;"",TRIM(I920)&lt;&gt;TRIM(L920)),"Suffix translation &lt;&gt; lookup ", "" ))
&amp;IF(AND(TRIM(J920)="",M920=""),"Description not translated ",
   IF(AND(TRIM(J920)&lt;&gt;"",TRIM(M920)&lt;&gt;"",TRIM(J920)&lt;&gt;TRIM(M920)),"Description translation&lt;&gt; lookup ", "" ))</f>
        <v/>
      </c>
    </row>
    <row r="921" spans="1:17" x14ac:dyDescent="0.25">
      <c r="A921" s="5" t="str">
        <f>IF(TRIM(I921)="","",E921)</f>
        <v>MultiExposureAutoGain</v>
      </c>
      <c r="B921" s="5" t="str">
        <f>IF(TRIM(J921)="","",H921)</f>
        <v>Multi exposure auto gain</v>
      </c>
      <c r="C921" s="5" t="str">
        <f>LEFT(F921,FIND(".",F921,6))</f>
        <v>Exif.NikonMe.</v>
      </c>
      <c r="D921" s="5" t="str">
        <f>VLOOKUP(C921,PrefixUebersetzung,2,FALSE)</f>
        <v>Exif.NikonMe.</v>
      </c>
      <c r="E921" s="5" t="str">
        <f>MID(F921,FIND(".",F921,6)+1,99)</f>
        <v>MultiExposureAutoGain</v>
      </c>
      <c r="F921" s="5" t="s">
        <v>774</v>
      </c>
      <c r="G921" s="5" t="s">
        <v>9667</v>
      </c>
      <c r="H921" s="6" t="s">
        <v>2723</v>
      </c>
      <c r="I921" s="7" t="s">
        <v>4904</v>
      </c>
      <c r="J921" s="30" t="s">
        <v>4904</v>
      </c>
      <c r="K921" s="26"/>
      <c r="N921" s="6" t="str">
        <f>IF(AND(TRIM(I921)="",L921=""),"Suffix not translated ",
   IF(AND(TRIM(I921)&lt;&gt;"",TRIM(L921)&lt;&gt;"",TRIM(I921)&lt;&gt;TRIM(L921)),"Suffix translation &lt;&gt; lookup ", "" ))
&amp;IF(AND(TRIM(J921)="",M921=""),"Description not translated ",
   IF(AND(TRIM(J921)&lt;&gt;"",TRIM(M921)&lt;&gt;"",TRIM(J921)&lt;&gt;TRIM(M921)),"Description translation&lt;&gt; lookup ", "" ))</f>
        <v/>
      </c>
      <c r="O921" s="6" t="s">
        <v>8574</v>
      </c>
      <c r="P921" s="6" t="s">
        <v>8574</v>
      </c>
      <c r="Q921" s="6" t="s">
        <v>9156</v>
      </c>
    </row>
    <row r="922" spans="1:17" x14ac:dyDescent="0.25">
      <c r="A922" s="5" t="str">
        <f>IF(TRIM(I922)="","",E922)</f>
        <v>MultiExposureMode</v>
      </c>
      <c r="B922" s="5" t="str">
        <f>IF(TRIM(J922)="","",H922)</f>
        <v>Multi exposure mode</v>
      </c>
      <c r="C922" s="5" t="str">
        <f>LEFT(F922,FIND(".",F922,6))</f>
        <v>Exif.NikonMe.</v>
      </c>
      <c r="D922" s="5" t="str">
        <f>VLOOKUP(C922,PrefixUebersetzung,2,FALSE)</f>
        <v>Exif.NikonMe.</v>
      </c>
      <c r="E922" s="5" t="str">
        <f>MID(F922,FIND(".",F922,6)+1,99)</f>
        <v>MultiExposureMode</v>
      </c>
      <c r="F922" s="5" t="s">
        <v>775</v>
      </c>
      <c r="G922" s="5" t="s">
        <v>9667</v>
      </c>
      <c r="H922" s="6" t="s">
        <v>2724</v>
      </c>
      <c r="I922" s="7" t="s">
        <v>4039</v>
      </c>
      <c r="J922" s="30" t="s">
        <v>4039</v>
      </c>
      <c r="K922" s="26"/>
      <c r="N922" s="6" t="str">
        <f>IF(AND(TRIM(I922)="",L922=""),"Suffix not translated ",
   IF(AND(TRIM(I922)&lt;&gt;"",TRIM(L922)&lt;&gt;"",TRIM(I922)&lt;&gt;TRIM(L922)),"Suffix translation &lt;&gt; lookup ", "" ))
&amp;IF(AND(TRIM(J922)="",M922=""),"Description not translated ",
   IF(AND(TRIM(J922)&lt;&gt;"",TRIM(M922)&lt;&gt;"",TRIM(J922)&lt;&gt;TRIM(M922)),"Description translation&lt;&gt; lookup ", "" ))</f>
        <v/>
      </c>
      <c r="O922" s="6" t="s">
        <v>8574</v>
      </c>
      <c r="P922" s="6" t="s">
        <v>8574</v>
      </c>
      <c r="Q922" s="6" t="s">
        <v>9156</v>
      </c>
    </row>
    <row r="923" spans="1:17" x14ac:dyDescent="0.25">
      <c r="A923" s="5" t="str">
        <f>IF(TRIM(I923)="","",E923)</f>
        <v>MultiExposureShots</v>
      </c>
      <c r="B923" s="5" t="str">
        <f>IF(TRIM(J923)="","",H923)</f>
        <v>Multi exposure shots</v>
      </c>
      <c r="C923" s="5" t="str">
        <f>LEFT(F923,FIND(".",F923,6))</f>
        <v>Exif.NikonMe.</v>
      </c>
      <c r="D923" s="5" t="str">
        <f>VLOOKUP(C923,PrefixUebersetzung,2,FALSE)</f>
        <v>Exif.NikonMe.</v>
      </c>
      <c r="E923" s="5" t="str">
        <f>MID(F923,FIND(".",F923,6)+1,99)</f>
        <v>MultiExposureShots</v>
      </c>
      <c r="F923" s="5" t="s">
        <v>776</v>
      </c>
      <c r="G923" s="5" t="s">
        <v>9667</v>
      </c>
      <c r="H923" s="6" t="s">
        <v>2725</v>
      </c>
      <c r="I923" s="7" t="s">
        <v>4356</v>
      </c>
      <c r="J923" s="30" t="s">
        <v>4356</v>
      </c>
      <c r="K923" s="26"/>
      <c r="N923" s="6" t="str">
        <f>IF(AND(TRIM(I923)="",L923=""),"Suffix not translated ",
   IF(AND(TRIM(I923)&lt;&gt;"",TRIM(L923)&lt;&gt;"",TRIM(I923)&lt;&gt;TRIM(L923)),"Suffix translation &lt;&gt; lookup ", "" ))
&amp;IF(AND(TRIM(J923)="",M923=""),"Description not translated ",
   IF(AND(TRIM(J923)&lt;&gt;"",TRIM(M923)&lt;&gt;"",TRIM(J923)&lt;&gt;TRIM(M923)),"Description translation&lt;&gt; lookup ", "" ))</f>
        <v/>
      </c>
      <c r="O923" s="6" t="s">
        <v>8574</v>
      </c>
      <c r="P923" s="6" t="s">
        <v>8574</v>
      </c>
      <c r="Q923" s="6" t="s">
        <v>9156</v>
      </c>
    </row>
    <row r="924" spans="1:17" x14ac:dyDescent="0.25">
      <c r="A924" s="5" t="str">
        <f>IF(TRIM(I924)="","",E924)</f>
        <v/>
      </c>
      <c r="B924" s="5" t="str">
        <f>IF(TRIM(J924)="","",H924)</f>
        <v/>
      </c>
      <c r="C924" s="5" t="str">
        <f>LEFT(F924,FIND(".",F924,6))</f>
        <v>Exif.NikonMe.</v>
      </c>
      <c r="D924" s="5" t="str">
        <f>VLOOKUP(C924,PrefixUebersetzung,2,FALSE)</f>
        <v>Exif.NikonMe.</v>
      </c>
      <c r="E924" s="5" t="str">
        <f>MID(F924,FIND(".",F924,6)+1,99)</f>
        <v>Version</v>
      </c>
      <c r="F924" s="5" t="s">
        <v>777</v>
      </c>
      <c r="G924" s="5" t="s">
        <v>9669</v>
      </c>
      <c r="H924" s="6" t="s">
        <v>2688</v>
      </c>
      <c r="I924" s="7"/>
      <c r="K924" s="26"/>
      <c r="L924" s="6" t="str">
        <f>IFERROR(VLOOKUP(E924,A:I,9, FALSE),"")</f>
        <v>Version</v>
      </c>
      <c r="M924" s="6" t="str">
        <f>IFERROR(VLOOKUP(H924,B:J,9,FALSE),"")</f>
        <v>Version</v>
      </c>
      <c r="N924" s="6" t="str">
        <f>IF(AND(TRIM(I924)="",L924=""),"Suffix not translated ",
   IF(AND(TRIM(I924)&lt;&gt;"",TRIM(L924)&lt;&gt;"",TRIM(I924)&lt;&gt;TRIM(L924)),"Suffix translation &lt;&gt; lookup ", "" ))
&amp;IF(AND(TRIM(J924)="",M924=""),"Description not translated ",
   IF(AND(TRIM(J924)&lt;&gt;"",TRIM(M924)&lt;&gt;"",TRIM(J924)&lt;&gt;TRIM(M924)),"Description translation&lt;&gt; lookup ", "" ))</f>
        <v/>
      </c>
    </row>
    <row r="925" spans="1:17" x14ac:dyDescent="0.25">
      <c r="A925" s="5" t="str">
        <f>IF(TRIM(I925)="","",E925)</f>
        <v>Adjust</v>
      </c>
      <c r="B925" s="5" t="str">
        <f>IF(TRIM(J925)="","",H925)</f>
        <v>Adjust</v>
      </c>
      <c r="C925" s="5" t="str">
        <f>LEFT(F925,FIND(".",F925,6))</f>
        <v>Exif.NikonPc.</v>
      </c>
      <c r="D925" s="5" t="str">
        <f>VLOOKUP(C925,PrefixUebersetzung,2,FALSE)</f>
        <v>Exif.NikonPc.</v>
      </c>
      <c r="E925" s="5" t="str">
        <f>MID(F925,FIND(".",F925,6)+1,99)</f>
        <v>Adjust</v>
      </c>
      <c r="F925" s="5" t="s">
        <v>778</v>
      </c>
      <c r="G925" s="5" t="s">
        <v>9670</v>
      </c>
      <c r="H925" s="6" t="s">
        <v>2726</v>
      </c>
      <c r="I925" s="7" t="s">
        <v>4357</v>
      </c>
      <c r="J925" s="14" t="s">
        <v>4357</v>
      </c>
      <c r="K925" s="26"/>
      <c r="N925" s="6" t="str">
        <f>IF(AND(TRIM(I925)="",L925=""),"Suffix not translated ",
   IF(AND(TRIM(I925)&lt;&gt;"",TRIM(L925)&lt;&gt;"",TRIM(I925)&lt;&gt;TRIM(L925)),"Suffix translation &lt;&gt; lookup ", "" ))
&amp;IF(AND(TRIM(J925)="",M925=""),"Description not translated ",
   IF(AND(TRIM(J925)&lt;&gt;"",TRIM(M925)&lt;&gt;"",TRIM(J925)&lt;&gt;TRIM(M925)),"Description translation&lt;&gt; lookup ", "" ))</f>
        <v/>
      </c>
      <c r="O925" s="6" t="s">
        <v>8574</v>
      </c>
      <c r="P925" s="6" t="s">
        <v>8574</v>
      </c>
      <c r="Q925" s="6" t="s">
        <v>9127</v>
      </c>
    </row>
    <row r="926" spans="1:17" x14ac:dyDescent="0.25">
      <c r="A926" s="5" t="str">
        <f>IF(TRIM(I926)="","",E926)</f>
        <v>Base</v>
      </c>
      <c r="B926" s="5" t="str">
        <f>IF(TRIM(J926)="","",H926)</f>
        <v>Base</v>
      </c>
      <c r="C926" s="5" t="str">
        <f>LEFT(F926,FIND(".",F926,6))</f>
        <v>Exif.NikonPc.</v>
      </c>
      <c r="D926" s="5" t="str">
        <f>VLOOKUP(C926,PrefixUebersetzung,2,FALSE)</f>
        <v>Exif.NikonPc.</v>
      </c>
      <c r="E926" s="5" t="str">
        <f>MID(F926,FIND(".",F926,6)+1,99)</f>
        <v>Base</v>
      </c>
      <c r="F926" s="5" t="s">
        <v>779</v>
      </c>
      <c r="G926" s="5" t="s">
        <v>9666</v>
      </c>
      <c r="H926" s="6" t="s">
        <v>2727</v>
      </c>
      <c r="I926" s="7" t="s">
        <v>3976</v>
      </c>
      <c r="J926" s="14" t="s">
        <v>3976</v>
      </c>
      <c r="K926" s="26"/>
      <c r="N926" s="6" t="str">
        <f>IF(AND(TRIM(I926)="",L926=""),"Suffix not translated ",
   IF(AND(TRIM(I926)&lt;&gt;"",TRIM(L926)&lt;&gt;"",TRIM(I926)&lt;&gt;TRIM(L926)),"Suffix translation &lt;&gt; lookup ", "" ))
&amp;IF(AND(TRIM(J926)="",M926=""),"Description not translated ",
   IF(AND(TRIM(J926)&lt;&gt;"",TRIM(M926)&lt;&gt;"",TRIM(J926)&lt;&gt;TRIM(M926)),"Description translation&lt;&gt; lookup ", "" ))</f>
        <v/>
      </c>
      <c r="O926" s="6" t="s">
        <v>8574</v>
      </c>
      <c r="P926" s="6" t="s">
        <v>8574</v>
      </c>
      <c r="Q926" s="6" t="s">
        <v>9155</v>
      </c>
    </row>
    <row r="927" spans="1:17" x14ac:dyDescent="0.25">
      <c r="A927" s="5" t="str">
        <f>IF(TRIM(I927)="","",E927)</f>
        <v/>
      </c>
      <c r="B927" s="5" t="str">
        <f>IF(TRIM(J927)="","",H927)</f>
        <v/>
      </c>
      <c r="C927" s="5" t="str">
        <f>LEFT(F927,FIND(".",F927,6))</f>
        <v>Exif.NikonPc.</v>
      </c>
      <c r="D927" s="5" t="str">
        <f>VLOOKUP(C927,PrefixUebersetzung,2,FALSE)</f>
        <v>Exif.NikonPc.</v>
      </c>
      <c r="E927" s="5" t="str">
        <f>MID(F927,FIND(".",F927,6)+1,99)</f>
        <v>Brightness</v>
      </c>
      <c r="F927" s="5" t="s">
        <v>780</v>
      </c>
      <c r="G927" s="5" t="s">
        <v>9670</v>
      </c>
      <c r="H927" s="6" t="s">
        <v>2573</v>
      </c>
      <c r="K927" s="26"/>
      <c r="L927" s="6" t="str">
        <f>IFERROR(VLOOKUP(E927,A:I,9, FALSE),"")</f>
        <v>Bildhelligkeit</v>
      </c>
      <c r="M927" s="6" t="str">
        <f>IFERROR(VLOOKUP(H927,B:J,9,FALSE),"")</f>
        <v>Helligkeit</v>
      </c>
      <c r="N927" s="6" t="str">
        <f>IF(AND(TRIM(I927)="",L927=""),"Suffix not translated ",
   IF(AND(TRIM(I927)&lt;&gt;"",TRIM(L927)&lt;&gt;"",TRIM(I927)&lt;&gt;TRIM(L927)),"Suffix translation &lt;&gt; lookup ", "" ))
&amp;IF(AND(TRIM(J927)="",M927=""),"Description not translated ",
   IF(AND(TRIM(J927)&lt;&gt;"",TRIM(M927)&lt;&gt;"",TRIM(J927)&lt;&gt;TRIM(M927)),"Description translation&lt;&gt; lookup ", "" ))</f>
        <v/>
      </c>
    </row>
    <row r="928" spans="1:17" x14ac:dyDescent="0.25">
      <c r="A928" s="5" t="str">
        <f>IF(TRIM(I928)="","",E928)</f>
        <v/>
      </c>
      <c r="B928" s="5" t="str">
        <f>IF(TRIM(J928)="","",H928)</f>
        <v/>
      </c>
      <c r="C928" s="5" t="str">
        <f>LEFT(F928,FIND(".",F928,6))</f>
        <v>Exif.NikonPc.</v>
      </c>
      <c r="D928" s="5" t="str">
        <f>VLOOKUP(C928,PrefixUebersetzung,2,FALSE)</f>
        <v>Exif.NikonPc.</v>
      </c>
      <c r="E928" s="5" t="str">
        <f>MID(F928,FIND(".",F928,6)+1,99)</f>
        <v>Contrast</v>
      </c>
      <c r="F928" s="5" t="s">
        <v>781</v>
      </c>
      <c r="G928" s="5" t="s">
        <v>9670</v>
      </c>
      <c r="H928" s="6" t="s">
        <v>2549</v>
      </c>
      <c r="K928" s="26"/>
      <c r="L928" s="6" t="str">
        <f>IFERROR(VLOOKUP(E928,A:I,9, FALSE),"")</f>
        <v>Kontrast</v>
      </c>
      <c r="M928" s="6" t="str">
        <f>IFERROR(VLOOKUP(H928,B:J,9,FALSE),"")</f>
        <v>Kontrast</v>
      </c>
      <c r="N928" s="6" t="str">
        <f>IF(AND(TRIM(I928)="",L928=""),"Suffix not translated ",
   IF(AND(TRIM(I928)&lt;&gt;"",TRIM(L928)&lt;&gt;"",TRIM(I928)&lt;&gt;TRIM(L928)),"Suffix translation &lt;&gt; lookup ", "" ))
&amp;IF(AND(TRIM(J928)="",M928=""),"Description not translated ",
   IF(AND(TRIM(J928)&lt;&gt;"",TRIM(M928)&lt;&gt;"",TRIM(J928)&lt;&gt;TRIM(M928)),"Description translation&lt;&gt; lookup ", "" ))</f>
        <v/>
      </c>
    </row>
    <row r="929" spans="1:17" x14ac:dyDescent="0.25">
      <c r="A929" s="5" t="str">
        <f>IF(TRIM(I929)="","",E929)</f>
        <v/>
      </c>
      <c r="B929" s="5" t="str">
        <f>IF(TRIM(J929)="","",H929)</f>
        <v/>
      </c>
      <c r="C929" s="5" t="str">
        <f>LEFT(F929,FIND(".",F929,6))</f>
        <v>Exif.NikonPc.</v>
      </c>
      <c r="D929" s="5" t="str">
        <f>VLOOKUP(C929,PrefixUebersetzung,2,FALSE)</f>
        <v>Exif.NikonPc.</v>
      </c>
      <c r="E929" s="5" t="str">
        <f>MID(F929,FIND(".",F929,6)+1,99)</f>
        <v>FilterEffect</v>
      </c>
      <c r="F929" s="5" t="s">
        <v>782</v>
      </c>
      <c r="G929" s="5" t="s">
        <v>9670</v>
      </c>
      <c r="H929" s="6" t="s">
        <v>2728</v>
      </c>
      <c r="K929" s="26"/>
      <c r="L929" s="6" t="str">
        <f>IFERROR(VLOOKUP(E929,A:I,9, FALSE),"")</f>
        <v>Filtereffekt</v>
      </c>
      <c r="M929" s="6" t="str">
        <f>IFERROR(VLOOKUP(H929,B:J,9,FALSE),"")</f>
        <v>Filtereffekt</v>
      </c>
      <c r="N929" s="6" t="str">
        <f>IF(AND(TRIM(I929)="",L929=""),"Suffix not translated ",
   IF(AND(TRIM(I929)&lt;&gt;"",TRIM(L929)&lt;&gt;"",TRIM(I929)&lt;&gt;TRIM(L929)),"Suffix translation &lt;&gt; lookup ", "" ))
&amp;IF(AND(TRIM(J929)="",M929=""),"Description not translated ",
   IF(AND(TRIM(J929)&lt;&gt;"",TRIM(M929)&lt;&gt;"",TRIM(J929)&lt;&gt;TRIM(M929)),"Description translation&lt;&gt; lookup ", "" ))</f>
        <v/>
      </c>
    </row>
    <row r="930" spans="1:17" x14ac:dyDescent="0.25">
      <c r="A930" s="5" t="str">
        <f>IF(TRIM(I930)="","",E930)</f>
        <v/>
      </c>
      <c r="B930" s="5" t="str">
        <f>IF(TRIM(J930)="","",H930)</f>
        <v/>
      </c>
      <c r="C930" s="5" t="str">
        <f>LEFT(F930,FIND(".",F930,6))</f>
        <v>Exif.NikonPc.</v>
      </c>
      <c r="D930" s="5" t="str">
        <f>VLOOKUP(C930,PrefixUebersetzung,2,FALSE)</f>
        <v>Exif.NikonPc.</v>
      </c>
      <c r="E930" s="5" t="str">
        <f>MID(F930,FIND(".",F930,6)+1,99)</f>
        <v>HueAdjustment</v>
      </c>
      <c r="F930" s="5" t="s">
        <v>783</v>
      </c>
      <c r="G930" s="5" t="s">
        <v>9670</v>
      </c>
      <c r="H930" s="6" t="s">
        <v>2637</v>
      </c>
      <c r="I930" s="7"/>
      <c r="K930" s="26"/>
      <c r="L930" s="6" t="str">
        <f>IFERROR(VLOOKUP(E930,A:I,9, FALSE),"")</f>
        <v>Farbtonanpassung</v>
      </c>
      <c r="M930" s="6" t="str">
        <f>IFERROR(VLOOKUP(H930,B:J,9,FALSE),"")</f>
        <v>Farbtonanpassung</v>
      </c>
      <c r="N930" s="6" t="str">
        <f>IF(AND(TRIM(I930)="",L930=""),"Suffix not translated ",
   IF(AND(TRIM(I930)&lt;&gt;"",TRIM(L930)&lt;&gt;"",TRIM(I930)&lt;&gt;TRIM(L930)),"Suffix translation &lt;&gt; lookup ", "" ))
&amp;IF(AND(TRIM(J930)="",M930=""),"Description not translated ",
   IF(AND(TRIM(J930)&lt;&gt;"",TRIM(M930)&lt;&gt;"",TRIM(J930)&lt;&gt;TRIM(M930)),"Description translation&lt;&gt; lookup ", "" ))</f>
        <v/>
      </c>
    </row>
    <row r="931" spans="1:17" x14ac:dyDescent="0.25">
      <c r="A931" s="5" t="str">
        <f>IF(TRIM(I931)="","",E931)</f>
        <v>Name</v>
      </c>
      <c r="B931" s="5" t="str">
        <f>IF(TRIM(J931)="","",H931)</f>
        <v>Name</v>
      </c>
      <c r="C931" s="5" t="str">
        <f>LEFT(F931,FIND(".",F931,6))</f>
        <v>Exif.NikonPc.</v>
      </c>
      <c r="D931" s="5" t="str">
        <f>VLOOKUP(C931,PrefixUebersetzung,2,FALSE)</f>
        <v>Exif.NikonPc.</v>
      </c>
      <c r="E931" s="5" t="str">
        <f>MID(F931,FIND(".",F931,6)+1,99)</f>
        <v>Name</v>
      </c>
      <c r="F931" s="5" t="s">
        <v>784</v>
      </c>
      <c r="G931" s="5" t="s">
        <v>9666</v>
      </c>
      <c r="H931" s="6" t="s">
        <v>2729</v>
      </c>
      <c r="I931" s="7" t="s">
        <v>2729</v>
      </c>
      <c r="J931" s="30" t="s">
        <v>2729</v>
      </c>
      <c r="K931" s="26"/>
      <c r="L931" s="6" t="str">
        <f>IFERROR(VLOOKUP(E931,A:I,9, FALSE),"")</f>
        <v>Name</v>
      </c>
      <c r="N931" s="6" t="str">
        <f>IF(AND(TRIM(I931)="",L931=""),"Suffix not translated ",
   IF(AND(TRIM(I931)&lt;&gt;"",TRIM(L931)&lt;&gt;"",TRIM(I931)&lt;&gt;TRIM(L931)),"Suffix translation &lt;&gt; lookup ", "" ))
&amp;IF(AND(TRIM(J931)="",M931=""),"Description not translated ",
   IF(AND(TRIM(J931)&lt;&gt;"",TRIM(M931)&lt;&gt;"",TRIM(J931)&lt;&gt;TRIM(M931)),"Description translation&lt;&gt; lookup ", "" ))</f>
        <v/>
      </c>
      <c r="O931" s="6" t="s">
        <v>8574</v>
      </c>
      <c r="P931" s="6" t="s">
        <v>8574</v>
      </c>
      <c r="Q931" s="6" t="s">
        <v>9427</v>
      </c>
    </row>
    <row r="932" spans="1:17" x14ac:dyDescent="0.25">
      <c r="A932" s="5" t="str">
        <f>IF(TRIM(I932)="","",E932)</f>
        <v>QuickAdjust</v>
      </c>
      <c r="B932" s="5" t="str">
        <f>IF(TRIM(J932)="","",H932)</f>
        <v>Quick adjust</v>
      </c>
      <c r="C932" s="5" t="str">
        <f>LEFT(F932,FIND(".",F932,6))</f>
        <v>Exif.NikonPc.</v>
      </c>
      <c r="D932" s="5" t="str">
        <f>VLOOKUP(C932,PrefixUebersetzung,2,FALSE)</f>
        <v>Exif.NikonPc.</v>
      </c>
      <c r="E932" s="5" t="str">
        <f>MID(F932,FIND(".",F932,6)+1,99)</f>
        <v>QuickAdjust</v>
      </c>
      <c r="F932" s="5" t="s">
        <v>785</v>
      </c>
      <c r="G932" s="5" t="s">
        <v>9670</v>
      </c>
      <c r="H932" s="6" t="s">
        <v>2730</v>
      </c>
      <c r="I932" s="7" t="s">
        <v>4358</v>
      </c>
      <c r="J932" s="14" t="s">
        <v>4358</v>
      </c>
      <c r="K932" s="26"/>
      <c r="N932" s="6" t="str">
        <f>IF(AND(TRIM(I932)="",L932=""),"Suffix not translated ",
   IF(AND(TRIM(I932)&lt;&gt;"",TRIM(L932)&lt;&gt;"",TRIM(I932)&lt;&gt;TRIM(L932)),"Suffix translation &lt;&gt; lookup ", "" ))
&amp;IF(AND(TRIM(J932)="",M932=""),"Description not translated ",
   IF(AND(TRIM(J932)&lt;&gt;"",TRIM(M932)&lt;&gt;"",TRIM(J932)&lt;&gt;TRIM(M932)),"Description translation&lt;&gt; lookup ", "" ))</f>
        <v/>
      </c>
      <c r="O932" s="6" t="s">
        <v>8574</v>
      </c>
      <c r="P932" s="6" t="s">
        <v>8574</v>
      </c>
      <c r="Q932" s="6" t="s">
        <v>9105</v>
      </c>
    </row>
    <row r="933" spans="1:17" x14ac:dyDescent="0.25">
      <c r="A933" s="5" t="str">
        <f>IF(TRIM(I933)="","",E933)</f>
        <v/>
      </c>
      <c r="B933" s="5" t="str">
        <f>IF(TRIM(J933)="","",H933)</f>
        <v/>
      </c>
      <c r="C933" s="5" t="str">
        <f>LEFT(F933,FIND(".",F933,6))</f>
        <v>Exif.NikonPc.</v>
      </c>
      <c r="D933" s="5" t="str">
        <f>VLOOKUP(C933,PrefixUebersetzung,2,FALSE)</f>
        <v>Exif.NikonPc.</v>
      </c>
      <c r="E933" s="5" t="str">
        <f>MID(F933,FIND(".",F933,6)+1,99)</f>
        <v>Saturation</v>
      </c>
      <c r="F933" s="5" t="s">
        <v>786</v>
      </c>
      <c r="G933" s="5" t="s">
        <v>9670</v>
      </c>
      <c r="H933" s="6" t="s">
        <v>2567</v>
      </c>
      <c r="I933" s="7"/>
      <c r="K933" s="26"/>
      <c r="L933" s="6" t="str">
        <f>IFERROR(VLOOKUP(E933,A:I,9, FALSE),"")</f>
        <v>Sättigung</v>
      </c>
      <c r="M933" s="6" t="str">
        <f>IFERROR(VLOOKUP(H933,B:J,9,FALSE),"")</f>
        <v>Sättigung</v>
      </c>
      <c r="N933" s="6" t="str">
        <f>IF(AND(TRIM(I933)="",L933=""),"Suffix not translated ",
   IF(AND(TRIM(I933)&lt;&gt;"",TRIM(L933)&lt;&gt;"",TRIM(I933)&lt;&gt;TRIM(L933)),"Suffix translation &lt;&gt; lookup ", "" ))
&amp;IF(AND(TRIM(J933)="",M933=""),"Description not translated ",
   IF(AND(TRIM(J933)&lt;&gt;"",TRIM(M933)&lt;&gt;"",TRIM(J933)&lt;&gt;TRIM(M933)),"Description translation&lt;&gt; lookup ", "" ))</f>
        <v/>
      </c>
    </row>
    <row r="934" spans="1:17" x14ac:dyDescent="0.25">
      <c r="A934" s="5" t="str">
        <f>IF(TRIM(I934)="","",E934)</f>
        <v/>
      </c>
      <c r="B934" s="5" t="str">
        <f>IF(TRIM(J934)="","",H934)</f>
        <v/>
      </c>
      <c r="C934" s="5" t="str">
        <f>LEFT(F934,FIND(".",F934,6))</f>
        <v>Exif.NikonPc.</v>
      </c>
      <c r="D934" s="5" t="str">
        <f>VLOOKUP(C934,PrefixUebersetzung,2,FALSE)</f>
        <v>Exif.NikonPc.</v>
      </c>
      <c r="E934" s="5" t="str">
        <f>MID(F934,FIND(".",F934,6)+1,99)</f>
        <v>Sharpness</v>
      </c>
      <c r="F934" s="5" t="s">
        <v>787</v>
      </c>
      <c r="G934" s="5" t="s">
        <v>9670</v>
      </c>
      <c r="H934" s="6" t="s">
        <v>2245</v>
      </c>
      <c r="I934" s="7"/>
      <c r="K934" s="26"/>
      <c r="L934" s="6" t="str">
        <f>IFERROR(VLOOKUP(E934,A:I,9, FALSE),"")</f>
        <v>Schärfe</v>
      </c>
      <c r="M934" s="6" t="str">
        <f>IFERROR(VLOOKUP(H934,B:J,9,FALSE),"")</f>
        <v>Schärfe</v>
      </c>
      <c r="N934" s="6" t="str">
        <f>IF(AND(TRIM(I934)="",L934=""),"Suffix not translated ",
   IF(AND(TRIM(I934)&lt;&gt;"",TRIM(L934)&lt;&gt;"",TRIM(I934)&lt;&gt;TRIM(L934)),"Suffix translation &lt;&gt; lookup ", "" ))
&amp;IF(AND(TRIM(J934)="",M934=""),"Description not translated ",
   IF(AND(TRIM(J934)&lt;&gt;"",TRIM(M934)&lt;&gt;"",TRIM(J934)&lt;&gt;TRIM(M934)),"Description translation&lt;&gt; lookup ", "" ))</f>
        <v/>
      </c>
    </row>
    <row r="935" spans="1:17" x14ac:dyDescent="0.25">
      <c r="A935" s="5" t="str">
        <f>IF(TRIM(I935)="","",E935)</f>
        <v/>
      </c>
      <c r="B935" s="5" t="str">
        <f>IF(TRIM(J935)="","",H935)</f>
        <v/>
      </c>
      <c r="C935" s="5" t="str">
        <f>LEFT(F935,FIND(".",F935,6))</f>
        <v>Exif.NikonPc.</v>
      </c>
      <c r="D935" s="5" t="str">
        <f>VLOOKUP(C935,PrefixUebersetzung,2,FALSE)</f>
        <v>Exif.NikonPc.</v>
      </c>
      <c r="E935" s="5" t="str">
        <f>MID(F935,FIND(".",F935,6)+1,99)</f>
        <v>ToningEffect</v>
      </c>
      <c r="F935" s="5" t="s">
        <v>788</v>
      </c>
      <c r="G935" s="5" t="s">
        <v>9670</v>
      </c>
      <c r="H935" s="6" t="s">
        <v>2668</v>
      </c>
      <c r="I935" s="7"/>
      <c r="K935" s="26"/>
      <c r="L935" s="6" t="str">
        <f>IFERROR(VLOOKUP(E935,A:I,9, FALSE),"")</f>
        <v>Toneffekt</v>
      </c>
      <c r="M935" s="6" t="str">
        <f>IFERROR(VLOOKUP(H935,B:J,9,FALSE),"")</f>
        <v>Toneffekt</v>
      </c>
      <c r="N935" s="6" t="str">
        <f>IF(AND(TRIM(I935)="",L935=""),"Suffix not translated ",
   IF(AND(TRIM(I935)&lt;&gt;"",TRIM(L935)&lt;&gt;"",TRIM(I935)&lt;&gt;TRIM(L935)),"Suffix translation &lt;&gt; lookup ", "" ))
&amp;IF(AND(TRIM(J935)="",M935=""),"Description not translated ",
   IF(AND(TRIM(J935)&lt;&gt;"",TRIM(M935)&lt;&gt;"",TRIM(J935)&lt;&gt;TRIM(M935)),"Description translation&lt;&gt; lookup ", "" ))</f>
        <v/>
      </c>
    </row>
    <row r="936" spans="1:17" x14ac:dyDescent="0.25">
      <c r="A936" s="5" t="str">
        <f>IF(TRIM(I936)="","",E936)</f>
        <v>ToningSaturation</v>
      </c>
      <c r="B936" s="5" t="str">
        <f>IF(TRIM(J936)="","",H936)</f>
        <v>Toning saturation</v>
      </c>
      <c r="C936" s="5" t="str">
        <f>LEFT(F936,FIND(".",F936,6))</f>
        <v>Exif.NikonPc.</v>
      </c>
      <c r="D936" s="5" t="str">
        <f>VLOOKUP(C936,PrefixUebersetzung,2,FALSE)</f>
        <v>Exif.NikonPc.</v>
      </c>
      <c r="E936" s="5" t="str">
        <f>MID(F936,FIND(".",F936,6)+1,99)</f>
        <v>ToningSaturation</v>
      </c>
      <c r="F936" s="5" t="s">
        <v>789</v>
      </c>
      <c r="G936" s="5" t="s">
        <v>9670</v>
      </c>
      <c r="H936" s="6" t="s">
        <v>2731</v>
      </c>
      <c r="I936" s="7" t="s">
        <v>4359</v>
      </c>
      <c r="J936" s="14" t="s">
        <v>4359</v>
      </c>
      <c r="K936" s="26"/>
      <c r="N936" s="6" t="str">
        <f>IF(AND(TRIM(I936)="",L936=""),"Suffix not translated ",
   IF(AND(TRIM(I936)&lt;&gt;"",TRIM(L936)&lt;&gt;"",TRIM(I936)&lt;&gt;TRIM(L936)),"Suffix translation &lt;&gt; lookup ", "" ))
&amp;IF(AND(TRIM(J936)="",M936=""),"Description not translated ",
   IF(AND(TRIM(J936)&lt;&gt;"",TRIM(M936)&lt;&gt;"",TRIM(J936)&lt;&gt;TRIM(M936)),"Description translation&lt;&gt; lookup ", "" ))</f>
        <v/>
      </c>
      <c r="O936" s="6" t="s">
        <v>8574</v>
      </c>
      <c r="P936" s="6" t="s">
        <v>8574</v>
      </c>
      <c r="Q936" s="6" t="s">
        <v>9172</v>
      </c>
    </row>
    <row r="937" spans="1:17" x14ac:dyDescent="0.25">
      <c r="A937" s="5" t="str">
        <f>IF(TRIM(I937)="","",E937)</f>
        <v/>
      </c>
      <c r="B937" s="5" t="str">
        <f>IF(TRIM(J937)="","",H937)</f>
        <v/>
      </c>
      <c r="C937" s="5" t="str">
        <f>LEFT(F937,FIND(".",F937,6))</f>
        <v>Exif.NikonPc.</v>
      </c>
      <c r="D937" s="5" t="str">
        <f>VLOOKUP(C937,PrefixUebersetzung,2,FALSE)</f>
        <v>Exif.NikonPc.</v>
      </c>
      <c r="E937" s="5" t="str">
        <f>MID(F937,FIND(".",F937,6)+1,99)</f>
        <v>Version</v>
      </c>
      <c r="F937" s="5" t="s">
        <v>790</v>
      </c>
      <c r="G937" s="5" t="s">
        <v>9669</v>
      </c>
      <c r="H937" s="6" t="s">
        <v>2688</v>
      </c>
      <c r="I937" s="7"/>
      <c r="K937" s="26"/>
      <c r="L937" s="6" t="str">
        <f>IFERROR(VLOOKUP(E937,A:I,9, FALSE),"")</f>
        <v>Version</v>
      </c>
      <c r="M937" s="6" t="str">
        <f>IFERROR(VLOOKUP(H937,B:J,9,FALSE),"")</f>
        <v>Version</v>
      </c>
      <c r="N937" s="6" t="str">
        <f>IF(AND(TRIM(I937)="",L937=""),"Suffix not translated ",
   IF(AND(TRIM(I937)&lt;&gt;"",TRIM(L937)&lt;&gt;"",TRIM(I937)&lt;&gt;TRIM(L937)),"Suffix translation &lt;&gt; lookup ", "" ))
&amp;IF(AND(TRIM(J937)="",M937=""),"Description not translated ",
   IF(AND(TRIM(J937)&lt;&gt;"",TRIM(M937)&lt;&gt;"",TRIM(J937)&lt;&gt;TRIM(M937)),"Description translation&lt;&gt; lookup ", "" ))</f>
        <v/>
      </c>
    </row>
    <row r="938" spans="1:17" x14ac:dyDescent="0.25">
      <c r="A938" s="5" t="str">
        <f>IF(TRIM(I938)="","",E938)</f>
        <v/>
      </c>
      <c r="B938" s="5" t="str">
        <f>IF(TRIM(J938)="","",H938)</f>
        <v/>
      </c>
      <c r="C938" s="5" t="str">
        <f>LEFT(F938,FIND(".",F938,6))</f>
        <v>Exif.NikonSi02xx.</v>
      </c>
      <c r="D938" s="5" t="str">
        <f>VLOOKUP(C938,PrefixUebersetzung,2,FALSE)</f>
        <v>Exif.NikonSi02xx.</v>
      </c>
      <c r="E938" s="5" t="str">
        <f>MID(F938,FIND(".",F938,6)+1,99)</f>
        <v>DeletedImageCount</v>
      </c>
      <c r="F938" s="5" t="s">
        <v>791</v>
      </c>
      <c r="G938" s="5" t="s">
        <v>9667</v>
      </c>
      <c r="H938" s="6" t="s">
        <v>2625</v>
      </c>
      <c r="I938" s="7"/>
      <c r="K938" s="26"/>
      <c r="L938" s="6" t="str">
        <f>IFERROR(VLOOKUP(E938,A:I,9, FALSE),"")</f>
        <v>Gelöschte Bilder Zähler</v>
      </c>
      <c r="M938" s="6" t="str">
        <f>IFERROR(VLOOKUP(H938,B:J,9,FALSE),"")</f>
        <v>Zähler gelöschte Bilder</v>
      </c>
      <c r="N938" s="6" t="str">
        <f>IF(AND(TRIM(I938)="",L938=""),"Suffix not translated ",
   IF(AND(TRIM(I938)&lt;&gt;"",TRIM(L938)&lt;&gt;"",TRIM(I938)&lt;&gt;TRIM(L938)),"Suffix translation &lt;&gt; lookup ", "" ))
&amp;IF(AND(TRIM(J938)="",M938=""),"Description not translated ",
   IF(AND(TRIM(J938)&lt;&gt;"",TRIM(M938)&lt;&gt;"",TRIM(J938)&lt;&gt;TRIM(M938)),"Description translation&lt;&gt; lookup ", "" ))</f>
        <v/>
      </c>
    </row>
    <row r="939" spans="1:17" x14ac:dyDescent="0.25">
      <c r="A939" s="5" t="str">
        <f>IF(TRIM(I939)="","",E939)</f>
        <v/>
      </c>
      <c r="B939" s="5" t="str">
        <f>IF(TRIM(J939)="","",H939)</f>
        <v/>
      </c>
      <c r="C939" s="5" t="str">
        <f>LEFT(F939,FIND(".",F939,6))</f>
        <v>Exif.NikonSi02xx.</v>
      </c>
      <c r="D939" s="5" t="str">
        <f>VLOOKUP(C939,PrefixUebersetzung,2,FALSE)</f>
        <v>Exif.NikonSi02xx.</v>
      </c>
      <c r="E939" s="5" t="str">
        <f>MID(F939,FIND(".",F939,6)+1,99)</f>
        <v>ISO</v>
      </c>
      <c r="F939" s="5" t="s">
        <v>792</v>
      </c>
      <c r="G939" s="5" t="s">
        <v>9670</v>
      </c>
      <c r="H939" s="6" t="s">
        <v>2707</v>
      </c>
      <c r="I939" s="7"/>
      <c r="K939" s="26"/>
      <c r="L939" s="6" t="str">
        <f>IFERROR(VLOOKUP(E939,A:I,9, FALSE),"")</f>
        <v>ISO</v>
      </c>
      <c r="M939" s="6" t="str">
        <f>IFERROR(VLOOKUP(H939,B:J,9,FALSE),"")</f>
        <v>ISO</v>
      </c>
      <c r="N939" s="6" t="str">
        <f>IF(AND(TRIM(I939)="",L939=""),"Suffix not translated ",
   IF(AND(TRIM(I939)&lt;&gt;"",TRIM(L939)&lt;&gt;"",TRIM(I939)&lt;&gt;TRIM(L939)),"Suffix translation &lt;&gt; lookup ", "" ))
&amp;IF(AND(TRIM(J939)="",M939=""),"Description not translated ",
   IF(AND(TRIM(J939)&lt;&gt;"",TRIM(M939)&lt;&gt;"",TRIM(J939)&lt;&gt;TRIM(M939)),"Description translation&lt;&gt; lookup ", "" ))</f>
        <v/>
      </c>
    </row>
    <row r="940" spans="1:17" x14ac:dyDescent="0.25">
      <c r="A940" s="5" t="str">
        <f>IF(TRIM(I940)="","",E940)</f>
        <v/>
      </c>
      <c r="B940" s="5" t="str">
        <f>IF(TRIM(J940)="","",H940)</f>
        <v>Shutter count</v>
      </c>
      <c r="C940" s="5" t="str">
        <f>LEFT(F940,FIND(".",F940,6))</f>
        <v>Exif.NikonSi02xx.</v>
      </c>
      <c r="D940" s="5" t="str">
        <f>VLOOKUP(C940,PrefixUebersetzung,2,FALSE)</f>
        <v>Exif.NikonSi02xx.</v>
      </c>
      <c r="E940" s="5" t="str">
        <f>MID(F940,FIND(".",F940,6)+1,99)</f>
        <v>ShutterCount</v>
      </c>
      <c r="F940" s="5" t="s">
        <v>793</v>
      </c>
      <c r="G940" s="5" t="s">
        <v>9667</v>
      </c>
      <c r="H940" s="6" t="s">
        <v>2732</v>
      </c>
      <c r="I940" s="7"/>
      <c r="J940" s="14" t="s">
        <v>4344</v>
      </c>
      <c r="K940" s="26"/>
      <c r="L940" s="6" t="str">
        <f>IFERROR(VLOOKUP(E940,A:I,9, FALSE),"")</f>
        <v>Verschlusszähler</v>
      </c>
      <c r="M940" s="6" t="str">
        <f>IFERROR(VLOOKUP(H940,B:J,9,FALSE),"")</f>
        <v>Verschlusszähler</v>
      </c>
      <c r="N940" s="6" t="str">
        <f>IF(AND(TRIM(I940)="",L940=""),"Suffix not translated ",
   IF(AND(TRIM(I940)&lt;&gt;"",TRIM(L940)&lt;&gt;"",TRIM(I940)&lt;&gt;TRIM(L940)),"Suffix translation &lt;&gt; lookup ", "" ))
&amp;IF(AND(TRIM(J940)="",M940=""),"Description not translated ",
   IF(AND(TRIM(J940)&lt;&gt;"",TRIM(M940)&lt;&gt;"",TRIM(J940)&lt;&gt;TRIM(M940)),"Description translation&lt;&gt; lookup ", "" ))</f>
        <v/>
      </c>
      <c r="P940" s="6" t="s">
        <v>8574</v>
      </c>
      <c r="Q940" s="6" t="s">
        <v>9193</v>
      </c>
    </row>
    <row r="941" spans="1:17" x14ac:dyDescent="0.25">
      <c r="A941" s="5" t="str">
        <f>IF(TRIM(I941)="","",E941)</f>
        <v>ShutterCount1</v>
      </c>
      <c r="B941" s="5" t="str">
        <f>IF(TRIM(J941)="","",H941)</f>
        <v>Shutter count 1</v>
      </c>
      <c r="C941" s="5" t="str">
        <f>LEFT(F941,FIND(".",F941,6))</f>
        <v>Exif.NikonSi02xx.</v>
      </c>
      <c r="D941" s="5" t="str">
        <f>VLOOKUP(C941,PrefixUebersetzung,2,FALSE)</f>
        <v>Exif.NikonSi02xx.</v>
      </c>
      <c r="E941" s="5" t="str">
        <f>MID(F941,FIND(".",F941,6)+1,99)</f>
        <v>ShutterCount1</v>
      </c>
      <c r="F941" s="5" t="s">
        <v>794</v>
      </c>
      <c r="G941" s="5" t="s">
        <v>9667</v>
      </c>
      <c r="H941" s="6" t="s">
        <v>2733</v>
      </c>
      <c r="I941" s="7" t="s">
        <v>4361</v>
      </c>
      <c r="J941" s="14" t="s">
        <v>4361</v>
      </c>
      <c r="K941" s="26"/>
      <c r="N941" s="6" t="str">
        <f>IF(AND(TRIM(I941)="",L941=""),"Suffix not translated ",
   IF(AND(TRIM(I941)&lt;&gt;"",TRIM(L941)&lt;&gt;"",TRIM(I941)&lt;&gt;TRIM(L941)),"Suffix translation &lt;&gt; lookup ", "" ))
&amp;IF(AND(TRIM(J941)="",M941=""),"Description not translated ",
   IF(AND(TRIM(J941)&lt;&gt;"",TRIM(M941)&lt;&gt;"",TRIM(J941)&lt;&gt;TRIM(M941)),"Description translation&lt;&gt; lookup ", "" ))</f>
        <v/>
      </c>
      <c r="O941" s="6" t="s">
        <v>8574</v>
      </c>
      <c r="P941" s="6" t="s">
        <v>8574</v>
      </c>
      <c r="Q941" s="6" t="s">
        <v>9193</v>
      </c>
    </row>
    <row r="942" spans="1:17" x14ac:dyDescent="0.25">
      <c r="A942" s="5" t="str">
        <f>IF(TRIM(I942)="","",E942)</f>
        <v>ShutterCount2</v>
      </c>
      <c r="B942" s="5" t="str">
        <f>IF(TRIM(J942)="","",H942)</f>
        <v>Shutter count 2</v>
      </c>
      <c r="C942" s="5" t="str">
        <f>LEFT(F942,FIND(".",F942,6))</f>
        <v>Exif.NikonSi02xx.</v>
      </c>
      <c r="D942" s="5" t="str">
        <f>VLOOKUP(C942,PrefixUebersetzung,2,FALSE)</f>
        <v>Exif.NikonSi02xx.</v>
      </c>
      <c r="E942" s="5" t="str">
        <f>MID(F942,FIND(".",F942,6)+1,99)</f>
        <v>ShutterCount2</v>
      </c>
      <c r="F942" s="5" t="s">
        <v>795</v>
      </c>
      <c r="G942" s="5" t="s">
        <v>9669</v>
      </c>
      <c r="H942" s="6" t="s">
        <v>2734</v>
      </c>
      <c r="I942" s="7" t="s">
        <v>4360</v>
      </c>
      <c r="J942" s="14" t="s">
        <v>4360</v>
      </c>
      <c r="K942" s="26"/>
      <c r="N942" s="6" t="str">
        <f>IF(AND(TRIM(I942)="",L942=""),"Suffix not translated ",
   IF(AND(TRIM(I942)&lt;&gt;"",TRIM(L942)&lt;&gt;"",TRIM(I942)&lt;&gt;TRIM(L942)),"Suffix translation &lt;&gt; lookup ", "" ))
&amp;IF(AND(TRIM(J942)="",M942=""),"Description not translated ",
   IF(AND(TRIM(J942)&lt;&gt;"",TRIM(M942)&lt;&gt;"",TRIM(J942)&lt;&gt;TRIM(M942)),"Description translation&lt;&gt; lookup ", "" ))</f>
        <v/>
      </c>
      <c r="O942" s="6" t="s">
        <v>8574</v>
      </c>
      <c r="P942" s="6" t="s">
        <v>8574</v>
      </c>
      <c r="Q942" s="6" t="s">
        <v>9193</v>
      </c>
    </row>
    <row r="943" spans="1:17" x14ac:dyDescent="0.25">
      <c r="A943" s="5" t="str">
        <f>IF(TRIM(I943)="","",E943)</f>
        <v/>
      </c>
      <c r="B943" s="5" t="str">
        <f>IF(TRIM(J943)="","",H943)</f>
        <v/>
      </c>
      <c r="C943" s="5" t="str">
        <f>LEFT(F943,FIND(".",F943,6))</f>
        <v>Exif.NikonSi02xx.</v>
      </c>
      <c r="D943" s="5" t="str">
        <f>VLOOKUP(C943,PrefixUebersetzung,2,FALSE)</f>
        <v>Exif.NikonSi02xx.</v>
      </c>
      <c r="E943" s="5" t="str">
        <f>MID(F943,FIND(".",F943,6)+1,99)</f>
        <v>Version</v>
      </c>
      <c r="F943" s="5" t="s">
        <v>796</v>
      </c>
      <c r="G943" s="5" t="s">
        <v>9670</v>
      </c>
      <c r="H943" s="6" t="s">
        <v>2688</v>
      </c>
      <c r="I943" s="7"/>
      <c r="K943" s="26"/>
      <c r="L943" s="6" t="str">
        <f>IFERROR(VLOOKUP(E943,A:I,9, FALSE),"")</f>
        <v>Version</v>
      </c>
      <c r="M943" s="6" t="str">
        <f>IFERROR(VLOOKUP(H943,B:J,9,FALSE),"")</f>
        <v>Version</v>
      </c>
      <c r="N943" s="6" t="str">
        <f>IF(AND(TRIM(I943)="",L943=""),"Suffix not translated ",
   IF(AND(TRIM(I943)&lt;&gt;"",TRIM(L943)&lt;&gt;"",TRIM(I943)&lt;&gt;TRIM(L943)),"Suffix translation &lt;&gt; lookup ", "" ))
&amp;IF(AND(TRIM(J943)="",M943=""),"Description not translated ",
   IF(AND(TRIM(J943)&lt;&gt;"",TRIM(M943)&lt;&gt;"",TRIM(J943)&lt;&gt;TRIM(M943)),"Description translation&lt;&gt; lookup ", "" ))</f>
        <v/>
      </c>
    </row>
    <row r="944" spans="1:17" x14ac:dyDescent="0.25">
      <c r="A944" s="5" t="str">
        <f>IF(TRIM(I944)="","",E944)</f>
        <v>VibrationReduction</v>
      </c>
      <c r="B944" s="5" t="str">
        <f>IF(TRIM(J944)="","",H944)</f>
        <v>Vibration reduction</v>
      </c>
      <c r="C944" s="5" t="str">
        <f>LEFT(F944,FIND(".",F944,6))</f>
        <v>Exif.NikonSi02xx.</v>
      </c>
      <c r="D944" s="5" t="str">
        <f>VLOOKUP(C944,PrefixUebersetzung,2,FALSE)</f>
        <v>Exif.NikonSi02xx.</v>
      </c>
      <c r="E944" s="5" t="str">
        <f>MID(F944,FIND(".",F944,6)+1,99)</f>
        <v>VibrationReduction</v>
      </c>
      <c r="F944" s="5" t="s">
        <v>797</v>
      </c>
      <c r="G944" s="5" t="s">
        <v>9670</v>
      </c>
      <c r="H944" s="6" t="s">
        <v>2735</v>
      </c>
      <c r="I944" s="31" t="s">
        <v>3977</v>
      </c>
      <c r="J944" s="14" t="s">
        <v>3977</v>
      </c>
      <c r="K944" s="26"/>
      <c r="L944" s="6" t="str">
        <f>IFERROR(VLOOKUP(E944,A:I,9, FALSE),"")</f>
        <v>Bildstabilisator</v>
      </c>
      <c r="M944" s="6" t="str">
        <f>IFERROR(VLOOKUP(H944,B:J,9,FALSE),"")</f>
        <v>Bildstabilisator</v>
      </c>
      <c r="N944" s="6" t="str">
        <f>IF(AND(TRIM(I944)="",L944=""),"Suffix not translated ",
   IF(AND(TRIM(I944)&lt;&gt;"",TRIM(L944)&lt;&gt;"",TRIM(I944)&lt;&gt;TRIM(L944)),"Suffix translation &lt;&gt; lookup ", "" ))
&amp;IF(AND(TRIM(J944)="",M944=""),"Description not translated ",
   IF(AND(TRIM(J944)&lt;&gt;"",TRIM(M944)&lt;&gt;"",TRIM(J944)&lt;&gt;TRIM(M944)),"Description translation&lt;&gt; lookup ", "" ))</f>
        <v/>
      </c>
      <c r="O944" s="6" t="s">
        <v>8574</v>
      </c>
      <c r="P944" s="6" t="s">
        <v>8574</v>
      </c>
      <c r="Q944" s="6" t="s">
        <v>4377</v>
      </c>
    </row>
    <row r="945" spans="1:17" x14ac:dyDescent="0.25">
      <c r="A945" s="5" t="str">
        <f>IF(TRIM(I945)="","",E945)</f>
        <v>VibrationReduction1</v>
      </c>
      <c r="B945" s="5" t="str">
        <f>IF(TRIM(J945)="","",H945)</f>
        <v>Vibration reduction 1</v>
      </c>
      <c r="C945" s="5" t="str">
        <f>LEFT(F945,FIND(".",F945,6))</f>
        <v>Exif.NikonSi02xx.</v>
      </c>
      <c r="D945" s="5" t="str">
        <f>VLOOKUP(C945,PrefixUebersetzung,2,FALSE)</f>
        <v>Exif.NikonSi02xx.</v>
      </c>
      <c r="E945" s="5" t="str">
        <f>MID(F945,FIND(".",F945,6)+1,99)</f>
        <v>VibrationReduction1</v>
      </c>
      <c r="F945" s="5" t="s">
        <v>798</v>
      </c>
      <c r="G945" s="5" t="s">
        <v>9670</v>
      </c>
      <c r="H945" s="6" t="s">
        <v>2736</v>
      </c>
      <c r="I945" s="31" t="s">
        <v>3978</v>
      </c>
      <c r="J945" s="14" t="s">
        <v>3978</v>
      </c>
      <c r="K945" s="26"/>
      <c r="N945" s="6" t="str">
        <f>IF(AND(TRIM(I945)="",L945=""),"Suffix not translated ",
   IF(AND(TRIM(I945)&lt;&gt;"",TRIM(L945)&lt;&gt;"",TRIM(I945)&lt;&gt;TRIM(L945)),"Suffix translation &lt;&gt; lookup ", "" ))
&amp;IF(AND(TRIM(J945)="",M945=""),"Description not translated ",
   IF(AND(TRIM(J945)&lt;&gt;"",TRIM(M945)&lt;&gt;"",TRIM(J945)&lt;&gt;TRIM(M945)),"Description translation&lt;&gt; lookup ", "" ))</f>
        <v/>
      </c>
      <c r="O945" s="6" t="s">
        <v>8574</v>
      </c>
      <c r="P945" s="6" t="s">
        <v>8574</v>
      </c>
      <c r="Q945" s="6" t="s">
        <v>4377</v>
      </c>
    </row>
    <row r="946" spans="1:17" x14ac:dyDescent="0.25">
      <c r="A946" s="5" t="str">
        <f>IF(TRIM(I946)="","",E946)</f>
        <v>VibrationReduction2</v>
      </c>
      <c r="B946" s="5" t="str">
        <f>IF(TRIM(J946)="","",H946)</f>
        <v>Vibration reduction 2</v>
      </c>
      <c r="C946" s="5" t="str">
        <f>LEFT(F946,FIND(".",F946,6))</f>
        <v>Exif.NikonSi02xx.</v>
      </c>
      <c r="D946" s="5" t="str">
        <f>VLOOKUP(C946,PrefixUebersetzung,2,FALSE)</f>
        <v>Exif.NikonSi02xx.</v>
      </c>
      <c r="E946" s="5" t="str">
        <f>MID(F946,FIND(".",F946,6)+1,99)</f>
        <v>VibrationReduction2</v>
      </c>
      <c r="F946" s="5" t="s">
        <v>799</v>
      </c>
      <c r="G946" s="5" t="s">
        <v>9670</v>
      </c>
      <c r="H946" s="6" t="s">
        <v>2737</v>
      </c>
      <c r="I946" s="31" t="s">
        <v>3979</v>
      </c>
      <c r="J946" s="14" t="s">
        <v>3979</v>
      </c>
      <c r="K946" s="26"/>
      <c r="N946" s="6" t="str">
        <f>IF(AND(TRIM(I946)="",L946=""),"Suffix not translated ",
   IF(AND(TRIM(I946)&lt;&gt;"",TRIM(L946)&lt;&gt;"",TRIM(I946)&lt;&gt;TRIM(L946)),"Suffix translation &lt;&gt; lookup ", "" ))
&amp;IF(AND(TRIM(J946)="",M946=""),"Description not translated ",
   IF(AND(TRIM(J946)&lt;&gt;"",TRIM(M946)&lt;&gt;"",TRIM(J946)&lt;&gt;TRIM(M946)),"Description translation&lt;&gt; lookup ", "" ))</f>
        <v/>
      </c>
      <c r="O946" s="6" t="s">
        <v>8574</v>
      </c>
      <c r="P946" s="6" t="s">
        <v>8574</v>
      </c>
      <c r="Q946" s="6" t="s">
        <v>4377</v>
      </c>
    </row>
    <row r="947" spans="1:17" ht="30" x14ac:dyDescent="0.25">
      <c r="A947" s="5" t="str">
        <f>IF(TRIM(I947)="","",E947)</f>
        <v/>
      </c>
      <c r="B947" s="5" t="str">
        <f>IF(TRIM(J947)="","",H947)</f>
        <v>AF fine tune adj</v>
      </c>
      <c r="C947" s="5" t="str">
        <f>LEFT(F947,FIND(".",F947,6))</f>
        <v>Exif.NikonSiD300a.</v>
      </c>
      <c r="D947" s="5" t="str">
        <f>VLOOKUP(C947,PrefixUebersetzung,2,FALSE)</f>
        <v>Exif.NikonSiD300a.</v>
      </c>
      <c r="E947" s="5" t="str">
        <f>MID(F947,FIND(".",F947,6)+1,99)</f>
        <v>AFFineTuneAdj</v>
      </c>
      <c r="F947" s="5" t="s">
        <v>800</v>
      </c>
      <c r="G947" s="5" t="s">
        <v>9664</v>
      </c>
      <c r="H947" s="6" t="s">
        <v>2738</v>
      </c>
      <c r="I947" s="7"/>
      <c r="J947" s="14" t="s">
        <v>3966</v>
      </c>
      <c r="K947" s="26"/>
      <c r="L947" s="6" t="str">
        <f>IFERROR(VLOOKUP(E947,A:I,9, FALSE),"")</f>
        <v>AF Feinabstimmung Anpassung</v>
      </c>
      <c r="M947" s="6" t="str">
        <f>IFERROR(VLOOKUP(H947,B:J,9,FALSE),"")</f>
        <v>AF Feinabstimmung Anpassung</v>
      </c>
      <c r="N947" s="6" t="str">
        <f>IF(AND(TRIM(I947)="",L947=""),"Suffix not translated ",
   IF(AND(TRIM(I947)&lt;&gt;"",TRIM(L947)&lt;&gt;"",TRIM(I947)&lt;&gt;TRIM(L947)),"Suffix translation &lt;&gt; lookup ", "" ))
&amp;IF(AND(TRIM(J947)="",M947=""),"Description not translated ",
   IF(AND(TRIM(J947)&lt;&gt;"",TRIM(M947)&lt;&gt;"",TRIM(J947)&lt;&gt;TRIM(M947)),"Description translation&lt;&gt; lookup ", "" ))</f>
        <v/>
      </c>
      <c r="P947" s="6" t="s">
        <v>8574</v>
      </c>
      <c r="Q947" s="6" t="s">
        <v>9109</v>
      </c>
    </row>
    <row r="948" spans="1:17" x14ac:dyDescent="0.25">
      <c r="A948" s="5" t="str">
        <f>IF(TRIM(I948)="","",E948)</f>
        <v/>
      </c>
      <c r="B948" s="5" t="str">
        <f>IF(TRIM(J948)="","",H948)</f>
        <v/>
      </c>
      <c r="C948" s="5" t="str">
        <f>LEFT(F948,FIND(".",F948,6))</f>
        <v>Exif.NikonSiD300a.</v>
      </c>
      <c r="D948" s="5" t="str">
        <f>VLOOKUP(C948,PrefixUebersetzung,2,FALSE)</f>
        <v>Exif.NikonSiD300a.</v>
      </c>
      <c r="E948" s="5" t="str">
        <f>MID(F948,FIND(".",F948,6)+1,99)</f>
        <v>ISO</v>
      </c>
      <c r="F948" s="5" t="s">
        <v>801</v>
      </c>
      <c r="G948" s="5" t="s">
        <v>9670</v>
      </c>
      <c r="H948" s="6" t="s">
        <v>2707</v>
      </c>
      <c r="I948" s="7"/>
      <c r="K948" s="26"/>
      <c r="L948" s="6" t="str">
        <f>IFERROR(VLOOKUP(E948,A:I,9, FALSE),"")</f>
        <v>ISO</v>
      </c>
      <c r="M948" s="6" t="str">
        <f>IFERROR(VLOOKUP(H948,B:J,9,FALSE),"")</f>
        <v>ISO</v>
      </c>
      <c r="N948" s="6" t="str">
        <f>IF(AND(TRIM(I948)="",L948=""),"Suffix not translated ",
   IF(AND(TRIM(I948)&lt;&gt;"",TRIM(L948)&lt;&gt;"",TRIM(I948)&lt;&gt;TRIM(L948)),"Suffix translation &lt;&gt; lookup ", "" ))
&amp;IF(AND(TRIM(J948)="",M948=""),"Description not translated ",
   IF(AND(TRIM(J948)&lt;&gt;"",TRIM(M948)&lt;&gt;"",TRIM(J948)&lt;&gt;TRIM(M948)),"Description translation&lt;&gt; lookup ", "" ))</f>
        <v/>
      </c>
    </row>
    <row r="949" spans="1:17" x14ac:dyDescent="0.25">
      <c r="A949" s="5" t="str">
        <f>IF(TRIM(I949)="","",E949)</f>
        <v/>
      </c>
      <c r="B949" s="5" t="str">
        <f>IF(TRIM(J949)="","",H949)</f>
        <v/>
      </c>
      <c r="C949" s="5" t="str">
        <f>LEFT(F949,FIND(".",F949,6))</f>
        <v>Exif.NikonSiD300a.</v>
      </c>
      <c r="D949" s="5" t="str">
        <f>VLOOKUP(C949,PrefixUebersetzung,2,FALSE)</f>
        <v>Exif.NikonSiD300a.</v>
      </c>
      <c r="E949" s="5" t="str">
        <f>MID(F949,FIND(".",F949,6)+1,99)</f>
        <v>ShutterCount</v>
      </c>
      <c r="F949" s="5" t="s">
        <v>802</v>
      </c>
      <c r="G949" s="5" t="s">
        <v>9667</v>
      </c>
      <c r="H949" s="6" t="s">
        <v>2732</v>
      </c>
      <c r="I949" s="7"/>
      <c r="K949" s="26"/>
      <c r="L949" s="6" t="str">
        <f>IFERROR(VLOOKUP(E949,A:I,9, FALSE),"")</f>
        <v>Verschlusszähler</v>
      </c>
      <c r="M949" s="6" t="str">
        <f>IFERROR(VLOOKUP(H949,B:J,9,FALSE),"")</f>
        <v>Verschlusszähler</v>
      </c>
      <c r="N949" s="6" t="str">
        <f>IF(AND(TRIM(I949)="",L949=""),"Suffix not translated ",
   IF(AND(TRIM(I949)&lt;&gt;"",TRIM(L949)&lt;&gt;"",TRIM(I949)&lt;&gt;TRIM(L949)),"Suffix translation &lt;&gt; lookup ", "" ))
&amp;IF(AND(TRIM(J949)="",M949=""),"Description not translated ",
   IF(AND(TRIM(J949)&lt;&gt;"",TRIM(M949)&lt;&gt;"",TRIM(J949)&lt;&gt;TRIM(M949)),"Description translation&lt;&gt; lookup ", "" ))</f>
        <v/>
      </c>
    </row>
    <row r="950" spans="1:17" x14ac:dyDescent="0.25">
      <c r="A950" s="5" t="str">
        <f>IF(TRIM(I950)="","",E950)</f>
        <v/>
      </c>
      <c r="B950" s="5" t="str">
        <f>IF(TRIM(J950)="","",H950)</f>
        <v/>
      </c>
      <c r="C950" s="5" t="str">
        <f>LEFT(F950,FIND(".",F950,6))</f>
        <v>Exif.NikonSiD300a.</v>
      </c>
      <c r="D950" s="5" t="str">
        <f>VLOOKUP(C950,PrefixUebersetzung,2,FALSE)</f>
        <v>Exif.NikonSiD300a.</v>
      </c>
      <c r="E950" s="5" t="str">
        <f>MID(F950,FIND(".",F950,6)+1,99)</f>
        <v>Version</v>
      </c>
      <c r="F950" s="5" t="s">
        <v>803</v>
      </c>
      <c r="G950" s="5" t="s">
        <v>9670</v>
      </c>
      <c r="H950" s="6" t="s">
        <v>2688</v>
      </c>
      <c r="I950" s="7"/>
      <c r="K950" s="26"/>
      <c r="L950" s="6" t="str">
        <f>IFERROR(VLOOKUP(E950,A:I,9, FALSE),"")</f>
        <v>Version</v>
      </c>
      <c r="M950" s="6" t="str">
        <f>IFERROR(VLOOKUP(H950,B:J,9,FALSE),"")</f>
        <v>Version</v>
      </c>
      <c r="N950" s="6" t="str">
        <f>IF(AND(TRIM(I950)="",L950=""),"Suffix not translated ",
   IF(AND(TRIM(I950)&lt;&gt;"",TRIM(L950)&lt;&gt;"",TRIM(I950)&lt;&gt;TRIM(L950)),"Suffix translation &lt;&gt; lookup ", "" ))
&amp;IF(AND(TRIM(J950)="",M950=""),"Description not translated ",
   IF(AND(TRIM(J950)&lt;&gt;"",TRIM(M950)&lt;&gt;"",TRIM(J950)&lt;&gt;TRIM(M950)),"Description translation&lt;&gt; lookup ", "" ))</f>
        <v/>
      </c>
    </row>
    <row r="951" spans="1:17" ht="30" x14ac:dyDescent="0.25">
      <c r="A951" s="5" t="str">
        <f>IF(TRIM(I951)="","",E951)</f>
        <v/>
      </c>
      <c r="B951" s="5" t="str">
        <f>IF(TRIM(J951)="","",H951)</f>
        <v/>
      </c>
      <c r="C951" s="5" t="str">
        <f>LEFT(F951,FIND(".",F951,6))</f>
        <v>Exif.NikonSiD300b.</v>
      </c>
      <c r="D951" s="5" t="str">
        <f>VLOOKUP(C951,PrefixUebersetzung,2,FALSE)</f>
        <v>Exif.NikonSiD300b.</v>
      </c>
      <c r="E951" s="5" t="str">
        <f>MID(F951,FIND(".",F951,6)+1,99)</f>
        <v>AFFineTuneAdj</v>
      </c>
      <c r="F951" s="5" t="s">
        <v>804</v>
      </c>
      <c r="G951" s="5" t="s">
        <v>9664</v>
      </c>
      <c r="H951" s="6" t="s">
        <v>2738</v>
      </c>
      <c r="I951" s="7"/>
      <c r="K951" s="26"/>
      <c r="L951" s="6" t="str">
        <f>IFERROR(VLOOKUP(E951,A:I,9, FALSE),"")</f>
        <v>AF Feinabstimmung Anpassung</v>
      </c>
      <c r="M951" s="6" t="str">
        <f>IFERROR(VLOOKUP(H951,B:J,9,FALSE),"")</f>
        <v>AF Feinabstimmung Anpassung</v>
      </c>
      <c r="N951" s="6" t="str">
        <f>IF(AND(TRIM(I951)="",L951=""),"Suffix not translated ",
   IF(AND(TRIM(I951)&lt;&gt;"",TRIM(L951)&lt;&gt;"",TRIM(I951)&lt;&gt;TRIM(L951)),"Suffix translation &lt;&gt; lookup ", "" ))
&amp;IF(AND(TRIM(J951)="",M951=""),"Description not translated ",
   IF(AND(TRIM(J951)&lt;&gt;"",TRIM(M951)&lt;&gt;"",TRIM(J951)&lt;&gt;TRIM(M951)),"Description translation&lt;&gt; lookup ", "" ))</f>
        <v/>
      </c>
    </row>
    <row r="952" spans="1:17" x14ac:dyDescent="0.25">
      <c r="A952" s="5" t="str">
        <f>IF(TRIM(I952)="","",E952)</f>
        <v/>
      </c>
      <c r="B952" s="5" t="str">
        <f>IF(TRIM(J952)="","",H952)</f>
        <v/>
      </c>
      <c r="C952" s="5" t="str">
        <f>LEFT(F952,FIND(".",F952,6))</f>
        <v>Exif.NikonSiD300b.</v>
      </c>
      <c r="D952" s="5" t="str">
        <f>VLOOKUP(C952,PrefixUebersetzung,2,FALSE)</f>
        <v>Exif.NikonSiD300b.</v>
      </c>
      <c r="E952" s="5" t="str">
        <f>MID(F952,FIND(".",F952,6)+1,99)</f>
        <v>ISO</v>
      </c>
      <c r="F952" s="5" t="s">
        <v>805</v>
      </c>
      <c r="G952" s="5" t="s">
        <v>9670</v>
      </c>
      <c r="H952" s="6" t="s">
        <v>2707</v>
      </c>
      <c r="I952" s="7"/>
      <c r="K952" s="26"/>
      <c r="L952" s="6" t="str">
        <f>IFERROR(VLOOKUP(E952,A:I,9, FALSE),"")</f>
        <v>ISO</v>
      </c>
      <c r="M952" s="6" t="str">
        <f>IFERROR(VLOOKUP(H952,B:J,9,FALSE),"")</f>
        <v>ISO</v>
      </c>
      <c r="N952" s="6" t="str">
        <f>IF(AND(TRIM(I952)="",L952=""),"Suffix not translated ",
   IF(AND(TRIM(I952)&lt;&gt;"",TRIM(L952)&lt;&gt;"",TRIM(I952)&lt;&gt;TRIM(L952)),"Suffix translation &lt;&gt; lookup ", "" ))
&amp;IF(AND(TRIM(J952)="",M952=""),"Description not translated ",
   IF(AND(TRIM(J952)&lt;&gt;"",TRIM(M952)&lt;&gt;"",TRIM(J952)&lt;&gt;TRIM(M952)),"Description translation&lt;&gt; lookup ", "" ))</f>
        <v/>
      </c>
    </row>
    <row r="953" spans="1:17" x14ac:dyDescent="0.25">
      <c r="A953" s="5" t="str">
        <f>IF(TRIM(I953)="","",E953)</f>
        <v/>
      </c>
      <c r="B953" s="5" t="str">
        <f>IF(TRIM(J953)="","",H953)</f>
        <v/>
      </c>
      <c r="C953" s="5" t="str">
        <f>LEFT(F953,FIND(".",F953,6))</f>
        <v>Exif.NikonSiD300b.</v>
      </c>
      <c r="D953" s="5" t="str">
        <f>VLOOKUP(C953,PrefixUebersetzung,2,FALSE)</f>
        <v>Exif.NikonSiD300b.</v>
      </c>
      <c r="E953" s="5" t="str">
        <f>MID(F953,FIND(".",F953,6)+1,99)</f>
        <v>ShutterCount</v>
      </c>
      <c r="F953" s="5" t="s">
        <v>806</v>
      </c>
      <c r="G953" s="5" t="s">
        <v>9667</v>
      </c>
      <c r="H953" s="6" t="s">
        <v>2732</v>
      </c>
      <c r="I953" s="7"/>
      <c r="K953" s="26"/>
      <c r="L953" s="6" t="str">
        <f>IFERROR(VLOOKUP(E953,A:I,9, FALSE),"")</f>
        <v>Verschlusszähler</v>
      </c>
      <c r="M953" s="6" t="str">
        <f>IFERROR(VLOOKUP(H953,B:J,9,FALSE),"")</f>
        <v>Verschlusszähler</v>
      </c>
      <c r="N953" s="6"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5" t="str">
        <f>IF(TRIM(I954)="","",E954)</f>
        <v/>
      </c>
      <c r="B954" s="5" t="str">
        <f>IF(TRIM(J954)="","",H954)</f>
        <v/>
      </c>
      <c r="C954" s="5" t="str">
        <f>LEFT(F954,FIND(".",F954,6))</f>
        <v>Exif.NikonSiD300b.</v>
      </c>
      <c r="D954" s="5" t="str">
        <f>VLOOKUP(C954,PrefixUebersetzung,2,FALSE)</f>
        <v>Exif.NikonSiD300b.</v>
      </c>
      <c r="E954" s="5" t="str">
        <f>MID(F954,FIND(".",F954,6)+1,99)</f>
        <v>Version</v>
      </c>
      <c r="F954" s="5" t="s">
        <v>807</v>
      </c>
      <c r="G954" s="5" t="s">
        <v>9670</v>
      </c>
      <c r="H954" s="6" t="s">
        <v>2688</v>
      </c>
      <c r="I954" s="7"/>
      <c r="K954" s="26"/>
      <c r="L954" s="6" t="str">
        <f>IFERROR(VLOOKUP(E954,A:I,9, FALSE),"")</f>
        <v>Version</v>
      </c>
      <c r="M954" s="6" t="str">
        <f>IFERROR(VLOOKUP(H954,B:J,9,FALSE),"")</f>
        <v>Version</v>
      </c>
      <c r="N954" s="6" t="str">
        <f>IF(AND(TRIM(I954)="",L954=""),"Suffix not translated ",
   IF(AND(TRIM(I954)&lt;&gt;"",TRIM(L954)&lt;&gt;"",TRIM(I954)&lt;&gt;TRIM(L954)),"Suffix translation &lt;&gt; lookup ", "" ))
&amp;IF(AND(TRIM(J954)="",M954=""),"Description not translated ",
   IF(AND(TRIM(J954)&lt;&gt;"",TRIM(M954)&lt;&gt;"",TRIM(J954)&lt;&gt;TRIM(M954)),"Description translation&lt;&gt; lookup ", "" ))</f>
        <v/>
      </c>
    </row>
    <row r="955" spans="1:17" x14ac:dyDescent="0.25">
      <c r="A955" s="5" t="str">
        <f>IF(TRIM(I955)="","",E955)</f>
        <v>FlashLevel</v>
      </c>
      <c r="B955" s="5" t="str">
        <f>IF(TRIM(J955)="","",H955)</f>
        <v>Flash level</v>
      </c>
      <c r="C955" s="5" t="str">
        <f>LEFT(F955,FIND(".",F955,6))</f>
        <v>Exif.NikonSiD40.</v>
      </c>
      <c r="D955" s="5" t="str">
        <f>VLOOKUP(C955,PrefixUebersetzung,2,FALSE)</f>
        <v>Exif.NikonSiD40.</v>
      </c>
      <c r="E955" s="5" t="str">
        <f>MID(F955,FIND(".",F955,6)+1,99)</f>
        <v>FlashLevel</v>
      </c>
      <c r="F955" s="5" t="s">
        <v>808</v>
      </c>
      <c r="G955" s="5" t="s">
        <v>9670</v>
      </c>
      <c r="H955" s="6" t="s">
        <v>2739</v>
      </c>
      <c r="I955" s="7" t="s">
        <v>4362</v>
      </c>
      <c r="J955" s="14" t="s">
        <v>4362</v>
      </c>
      <c r="K955" s="26"/>
      <c r="L955" s="6" t="str">
        <f>IFERROR(VLOOKUP(E955,A:I,9, FALSE),"")</f>
        <v>Blitzleitzahl</v>
      </c>
      <c r="M955" s="6" t="str">
        <f>IFERROR(VLOOKUP(H955,B:J,9,FALSE),"")</f>
        <v>Blitzleitzahl</v>
      </c>
      <c r="N955" s="6" t="str">
        <f>IF(AND(TRIM(I955)="",L955=""),"Suffix not translated ",
   IF(AND(TRIM(I955)&lt;&gt;"",TRIM(L955)&lt;&gt;"",TRIM(I955)&lt;&gt;TRIM(L955)),"Suffix translation &lt;&gt; lookup ", "" ))
&amp;IF(AND(TRIM(J955)="",M955=""),"Description not translated ",
   IF(AND(TRIM(J955)&lt;&gt;"",TRIM(M955)&lt;&gt;"",TRIM(J955)&lt;&gt;TRIM(M955)),"Description translation&lt;&gt; lookup ", "" ))</f>
        <v/>
      </c>
      <c r="O955" s="6" t="s">
        <v>8574</v>
      </c>
      <c r="P955" s="6" t="s">
        <v>8574</v>
      </c>
      <c r="Q955" s="6" t="s">
        <v>9307</v>
      </c>
    </row>
    <row r="956" spans="1:17" x14ac:dyDescent="0.25">
      <c r="A956" s="5" t="str">
        <f>IF(TRIM(I956)="","",E956)</f>
        <v/>
      </c>
      <c r="B956" s="5" t="str">
        <f>IF(TRIM(J956)="","",H956)</f>
        <v/>
      </c>
      <c r="C956" s="5" t="str">
        <f>LEFT(F956,FIND(".",F956,6))</f>
        <v>Exif.NikonSiD40.</v>
      </c>
      <c r="D956" s="5" t="str">
        <f>VLOOKUP(C956,PrefixUebersetzung,2,FALSE)</f>
        <v>Exif.NikonSiD40.</v>
      </c>
      <c r="E956" s="5" t="str">
        <f>MID(F956,FIND(".",F956,6)+1,99)</f>
        <v>ShutterCount</v>
      </c>
      <c r="F956" s="5" t="s">
        <v>809</v>
      </c>
      <c r="G956" s="5" t="s">
        <v>9667</v>
      </c>
      <c r="H956" s="6" t="s">
        <v>2732</v>
      </c>
      <c r="I956" s="7"/>
      <c r="K956" s="26"/>
      <c r="L956" s="6" t="str">
        <f>IFERROR(VLOOKUP(E956,A:I,9, FALSE),"")</f>
        <v>Verschlusszähler</v>
      </c>
      <c r="M956" s="6" t="str">
        <f>IFERROR(VLOOKUP(H956,B:J,9,FALSE),"")</f>
        <v>Verschlusszähler</v>
      </c>
      <c r="N956" s="6" t="str">
        <f>IF(AND(TRIM(I956)="",L956=""),"Suffix not translated ",
   IF(AND(TRIM(I956)&lt;&gt;"",TRIM(L956)&lt;&gt;"",TRIM(I956)&lt;&gt;TRIM(L956)),"Suffix translation &lt;&gt; lookup ", "" ))
&amp;IF(AND(TRIM(J956)="",M956=""),"Description not translated ",
   IF(AND(TRIM(J956)&lt;&gt;"",TRIM(M956)&lt;&gt;"",TRIM(J956)&lt;&gt;TRIM(M956)),"Description translation&lt;&gt; lookup ", "" ))</f>
        <v/>
      </c>
    </row>
    <row r="957" spans="1:17" x14ac:dyDescent="0.25">
      <c r="A957" s="5" t="str">
        <f>IF(TRIM(I957)="","",E957)</f>
        <v/>
      </c>
      <c r="B957" s="5" t="str">
        <f>IF(TRIM(J957)="","",H957)</f>
        <v/>
      </c>
      <c r="C957" s="5" t="str">
        <f>LEFT(F957,FIND(".",F957,6))</f>
        <v>Exif.NikonSiD40.</v>
      </c>
      <c r="D957" s="5" t="str">
        <f>VLOOKUP(C957,PrefixUebersetzung,2,FALSE)</f>
        <v>Exif.NikonSiD40.</v>
      </c>
      <c r="E957" s="5" t="str">
        <f>MID(F957,FIND(".",F957,6)+1,99)</f>
        <v>Version</v>
      </c>
      <c r="F957" s="5" t="s">
        <v>810</v>
      </c>
      <c r="G957" s="5" t="s">
        <v>9670</v>
      </c>
      <c r="H957" s="6" t="s">
        <v>2688</v>
      </c>
      <c r="I957" s="7"/>
      <c r="K957" s="26"/>
      <c r="L957" s="6" t="str">
        <f>IFERROR(VLOOKUP(E957,A:I,9, FALSE),"")</f>
        <v>Version</v>
      </c>
      <c r="M957" s="6" t="str">
        <f>IFERROR(VLOOKUP(H957,B:J,9,FALSE),"")</f>
        <v>Version</v>
      </c>
      <c r="N957" s="6" t="str">
        <f>IF(AND(TRIM(I957)="",L957=""),"Suffix not translated ",
   IF(AND(TRIM(I957)&lt;&gt;"",TRIM(L957)&lt;&gt;"",TRIM(I957)&lt;&gt;TRIM(L957)),"Suffix translation &lt;&gt; lookup ", "" ))
&amp;IF(AND(TRIM(J957)="",M957=""),"Description not translated ",
   IF(AND(TRIM(J957)&lt;&gt;"",TRIM(M957)&lt;&gt;"",TRIM(J957)&lt;&gt;TRIM(M957)),"Description translation&lt;&gt; lookup ", "" ))</f>
        <v/>
      </c>
    </row>
    <row r="958" spans="1:17" x14ac:dyDescent="0.25">
      <c r="A958" s="5" t="str">
        <f>IF(TRIM(I958)="","",E958)</f>
        <v/>
      </c>
      <c r="B958" s="5" t="str">
        <f>IF(TRIM(J958)="","",H958)</f>
        <v/>
      </c>
      <c r="C958" s="5" t="str">
        <f>LEFT(F958,FIND(".",F958,6))</f>
        <v>Exif.NikonSiD80.</v>
      </c>
      <c r="D958" s="5" t="str">
        <f>VLOOKUP(C958,PrefixUebersetzung,2,FALSE)</f>
        <v>Exif.NikonSiD80.</v>
      </c>
      <c r="E958" s="5" t="str">
        <f>MID(F958,FIND(".",F958,6)+1,99)</f>
        <v>ShutterCount</v>
      </c>
      <c r="F958" s="5" t="s">
        <v>811</v>
      </c>
      <c r="G958" s="5" t="s">
        <v>9667</v>
      </c>
      <c r="H958" s="6" t="s">
        <v>2732</v>
      </c>
      <c r="I958" s="7"/>
      <c r="K958" s="26"/>
      <c r="L958" s="6" t="str">
        <f>IFERROR(VLOOKUP(E958,A:I,9, FALSE),"")</f>
        <v>Verschlusszähler</v>
      </c>
      <c r="M958" s="6" t="str">
        <f>IFERROR(VLOOKUP(H958,B:J,9,FALSE),"")</f>
        <v>Verschlusszähler</v>
      </c>
      <c r="N958" s="6" t="str">
        <f>IF(AND(TRIM(I958)="",L958=""),"Suffix not translated ",
   IF(AND(TRIM(I958)&lt;&gt;"",TRIM(L958)&lt;&gt;"",TRIM(I958)&lt;&gt;TRIM(L958)),"Suffix translation &lt;&gt; lookup ", "" ))
&amp;IF(AND(TRIM(J958)="",M958=""),"Description not translated ",
   IF(AND(TRIM(J958)&lt;&gt;"",TRIM(M958)&lt;&gt;"",TRIM(J958)&lt;&gt;TRIM(M958)),"Description translation&lt;&gt; lookup ", "" ))</f>
        <v/>
      </c>
    </row>
    <row r="959" spans="1:17" x14ac:dyDescent="0.25">
      <c r="A959" s="5" t="str">
        <f>IF(TRIM(I959)="","",E959)</f>
        <v/>
      </c>
      <c r="B959" s="5" t="str">
        <f>IF(TRIM(J959)="","",H959)</f>
        <v/>
      </c>
      <c r="C959" s="5" t="str">
        <f>LEFT(F959,FIND(".",F959,6))</f>
        <v>Exif.NikonSiD80.</v>
      </c>
      <c r="D959" s="5" t="str">
        <f>VLOOKUP(C959,PrefixUebersetzung,2,FALSE)</f>
        <v>Exif.NikonSiD80.</v>
      </c>
      <c r="E959" s="5" t="str">
        <f>MID(F959,FIND(".",F959,6)+1,99)</f>
        <v>Version</v>
      </c>
      <c r="F959" s="5" t="s">
        <v>812</v>
      </c>
      <c r="G959" s="5" t="s">
        <v>9670</v>
      </c>
      <c r="H959" s="6" t="s">
        <v>2688</v>
      </c>
      <c r="I959" s="7"/>
      <c r="K959" s="26"/>
      <c r="L959" s="6" t="str">
        <f>IFERROR(VLOOKUP(E959,A:I,9, FALSE),"")</f>
        <v>Version</v>
      </c>
      <c r="M959" s="6" t="str">
        <f>IFERROR(VLOOKUP(H959,B:J,9,FALSE),"")</f>
        <v>Version</v>
      </c>
      <c r="N959" s="6" t="str">
        <f>IF(AND(TRIM(I959)="",L959=""),"Suffix not translated ",
   IF(AND(TRIM(I959)&lt;&gt;"",TRIM(L959)&lt;&gt;"",TRIM(I959)&lt;&gt;TRIM(L959)),"Suffix translation &lt;&gt; lookup ", "" ))
&amp;IF(AND(TRIM(J959)="",M959=""),"Description not translated ",
   IF(AND(TRIM(J959)&lt;&gt;"",TRIM(M959)&lt;&gt;"",TRIM(J959)&lt;&gt;TRIM(M959)),"Description translation&lt;&gt; lookup ", "" ))</f>
        <v/>
      </c>
    </row>
    <row r="960" spans="1:17" x14ac:dyDescent="0.25">
      <c r="A960" s="5" t="str">
        <f>IF(TRIM(I960)="","",E960)</f>
        <v/>
      </c>
      <c r="B960" s="5" t="str">
        <f>IF(TRIM(J960)="","",H960)</f>
        <v/>
      </c>
      <c r="C960" s="5" t="str">
        <f>LEFT(F960,FIND(".",F960,6))</f>
        <v>Exif.NikonVr.</v>
      </c>
      <c r="D960" s="5" t="str">
        <f>VLOOKUP(C960,PrefixUebersetzung,2,FALSE)</f>
        <v>Exif.NikonVr.</v>
      </c>
      <c r="E960" s="5" t="str">
        <f>MID(F960,FIND(".",F960,6)+1,99)</f>
        <v>Version</v>
      </c>
      <c r="F960" s="5" t="s">
        <v>813</v>
      </c>
      <c r="G960" s="5" t="s">
        <v>9669</v>
      </c>
      <c r="H960" s="6" t="s">
        <v>2688</v>
      </c>
      <c r="I960" s="7"/>
      <c r="K960" s="26"/>
      <c r="L960" s="6" t="str">
        <f>IFERROR(VLOOKUP(E960,A:I,9, FALSE),"")</f>
        <v>Version</v>
      </c>
      <c r="M960" s="6" t="str">
        <f>IFERROR(VLOOKUP(H960,B:J,9,FALSE),"")</f>
        <v>Version</v>
      </c>
      <c r="N960" s="6" t="str">
        <f>IF(AND(TRIM(I960)="",L960=""),"Suffix not translated ",
   IF(AND(TRIM(I960)&lt;&gt;"",TRIM(L960)&lt;&gt;"",TRIM(I960)&lt;&gt;TRIM(L960)),"Suffix translation &lt;&gt; lookup ", "" ))
&amp;IF(AND(TRIM(J960)="",M960=""),"Description not translated ",
   IF(AND(TRIM(J960)&lt;&gt;"",TRIM(M960)&lt;&gt;"",TRIM(J960)&lt;&gt;TRIM(M960)),"Description translation&lt;&gt; lookup ", "" ))</f>
        <v/>
      </c>
    </row>
    <row r="961" spans="1:17" x14ac:dyDescent="0.25">
      <c r="A961" s="5" t="str">
        <f>IF(TRIM(I961)="","",E961)</f>
        <v/>
      </c>
      <c r="B961" s="5" t="str">
        <f>IF(TRIM(J961)="","",H961)</f>
        <v/>
      </c>
      <c r="C961" s="5" t="str">
        <f>LEFT(F961,FIND(".",F961,6))</f>
        <v>Exif.NikonVr.</v>
      </c>
      <c r="D961" s="5" t="str">
        <f>VLOOKUP(C961,PrefixUebersetzung,2,FALSE)</f>
        <v>Exif.NikonVr.</v>
      </c>
      <c r="E961" s="5" t="str">
        <f>MID(F961,FIND(".",F961,6)+1,99)</f>
        <v>VibrationReduction</v>
      </c>
      <c r="F961" s="5" t="s">
        <v>814</v>
      </c>
      <c r="G961" s="5" t="s">
        <v>9670</v>
      </c>
      <c r="H961" s="6" t="s">
        <v>2735</v>
      </c>
      <c r="I961" s="7"/>
      <c r="K961" s="26"/>
      <c r="L961" s="6" t="str">
        <f>IFERROR(VLOOKUP(E961,A:I,9, FALSE),"")</f>
        <v>Bildstabilisator</v>
      </c>
      <c r="M961" s="6" t="str">
        <f>IFERROR(VLOOKUP(H961,B:J,9,FALSE),"")</f>
        <v>Bildstabilisator</v>
      </c>
      <c r="N961" s="6"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5" t="str">
        <f>IF(TRIM(I962)="","",E962)</f>
        <v>DateDisplayFormat</v>
      </c>
      <c r="B962" s="5" t="str">
        <f>IF(TRIM(J962)="","",H962)</f>
        <v>Date display format</v>
      </c>
      <c r="C962" s="5" t="str">
        <f>LEFT(F962,FIND(".",F962,6))</f>
        <v>Exif.NikonWt.</v>
      </c>
      <c r="D962" s="5" t="str">
        <f>VLOOKUP(C962,PrefixUebersetzung,2,FALSE)</f>
        <v>Exif.NikonWt.</v>
      </c>
      <c r="E962" s="5" t="str">
        <f>MID(F962,FIND(".",F962,6)+1,99)</f>
        <v>DateDisplayFormat</v>
      </c>
      <c r="F962" s="5" t="s">
        <v>815</v>
      </c>
      <c r="G962" s="5" t="s">
        <v>9670</v>
      </c>
      <c r="H962" s="6" t="s">
        <v>2740</v>
      </c>
      <c r="I962" s="31" t="s">
        <v>4905</v>
      </c>
      <c r="J962" s="14" t="s">
        <v>4905</v>
      </c>
      <c r="K962" s="26"/>
      <c r="N962" s="6" t="str">
        <f>IF(AND(TRIM(I962)="",L962=""),"Suffix not translated ",
   IF(AND(TRIM(I962)&lt;&gt;"",TRIM(L962)&lt;&gt;"",TRIM(I962)&lt;&gt;TRIM(L962)),"Suffix translation &lt;&gt; lookup ", "" ))
&amp;IF(AND(TRIM(J962)="",M962=""),"Description not translated ",
   IF(AND(TRIM(J962)&lt;&gt;"",TRIM(M962)&lt;&gt;"",TRIM(J962)&lt;&gt;TRIM(M962)),"Description translation&lt;&gt; lookup ", "" ))</f>
        <v/>
      </c>
      <c r="O962" s="6" t="s">
        <v>8574</v>
      </c>
      <c r="P962" s="6" t="s">
        <v>8574</v>
      </c>
      <c r="Q962" s="6" t="s">
        <v>9237</v>
      </c>
    </row>
    <row r="963" spans="1:17" x14ac:dyDescent="0.25">
      <c r="A963" s="5" t="str">
        <f>IF(TRIM(I963)="","",E963)</f>
        <v/>
      </c>
      <c r="B963" s="5" t="str">
        <f>IF(TRIM(J963)="","",H963)</f>
        <v>Daylight savings</v>
      </c>
      <c r="C963" s="5" t="str">
        <f>LEFT(F963,FIND(".",F963,6))</f>
        <v>Exif.NikonWt.</v>
      </c>
      <c r="D963" s="5" t="str">
        <f>VLOOKUP(C963,PrefixUebersetzung,2,FALSE)</f>
        <v>Exif.NikonWt.</v>
      </c>
      <c r="E963" s="5" t="str">
        <f>MID(F963,FIND(".",F963,6)+1,99)</f>
        <v>DaylightSavings</v>
      </c>
      <c r="F963" s="5" t="s">
        <v>816</v>
      </c>
      <c r="G963" s="5" t="s">
        <v>9670</v>
      </c>
      <c r="H963" s="6" t="s">
        <v>2741</v>
      </c>
      <c r="J963" s="14" t="s">
        <v>3980</v>
      </c>
      <c r="K963" s="26"/>
      <c r="L963" s="6" t="str">
        <f>IFERROR(VLOOKUP(E963,A:I,9, FALSE),"")</f>
        <v>Sommerzeit</v>
      </c>
      <c r="N963" s="6" t="str">
        <f>IF(AND(TRIM(I963)="",L963=""),"Suffix not translated ",
   IF(AND(TRIM(I963)&lt;&gt;"",TRIM(L963)&lt;&gt;"",TRIM(I963)&lt;&gt;TRIM(L963)),"Suffix translation &lt;&gt; lookup ", "" ))
&amp;IF(AND(TRIM(J963)="",M963=""),"Description not translated ",
   IF(AND(TRIM(J963)&lt;&gt;"",TRIM(M963)&lt;&gt;"",TRIM(J963)&lt;&gt;TRIM(M963)),"Description translation&lt;&gt; lookup ", "" ))</f>
        <v/>
      </c>
      <c r="P963" s="6" t="s">
        <v>8574</v>
      </c>
      <c r="Q963" s="6" t="s">
        <v>9234</v>
      </c>
    </row>
    <row r="964" spans="1:17" x14ac:dyDescent="0.25">
      <c r="A964" s="5" t="str">
        <f>IF(TRIM(I964)="","",E964)</f>
        <v/>
      </c>
      <c r="B964" s="5" t="str">
        <f>IF(TRIM(J964)="","",H964)</f>
        <v>Timezone</v>
      </c>
      <c r="C964" s="5" t="str">
        <f>LEFT(F964,FIND(".",F964,6))</f>
        <v>Exif.NikonWt.</v>
      </c>
      <c r="D964" s="5" t="str">
        <f>VLOOKUP(C964,PrefixUebersetzung,2,FALSE)</f>
        <v>Exif.NikonWt.</v>
      </c>
      <c r="E964" s="5" t="str">
        <f>MID(F964,FIND(".",F964,6)+1,99)</f>
        <v>Timezone</v>
      </c>
      <c r="F964" s="5" t="s">
        <v>817</v>
      </c>
      <c r="G964" s="5" t="s">
        <v>9665</v>
      </c>
      <c r="H964" s="6" t="s">
        <v>2742</v>
      </c>
      <c r="J964" s="14" t="s">
        <v>3981</v>
      </c>
      <c r="K964" s="26"/>
      <c r="L964" s="6" t="str">
        <f>IFERROR(VLOOKUP(E964,A:I,9, FALSE),"")</f>
        <v>Zeitzone</v>
      </c>
      <c r="N964" s="6" t="str">
        <f>IF(AND(TRIM(I964)="",L964=""),"Suffix not translated ",
   IF(AND(TRIM(I964)&lt;&gt;"",TRIM(L964)&lt;&gt;"",TRIM(I964)&lt;&gt;TRIM(L964)),"Suffix translation &lt;&gt; lookup ", "" ))
&amp;IF(AND(TRIM(J964)="",M964=""),"Description not translated ",
   IF(AND(TRIM(J964)&lt;&gt;"",TRIM(M964)&lt;&gt;"",TRIM(J964)&lt;&gt;TRIM(M964)),"Description translation&lt;&gt; lookup ", "" ))</f>
        <v/>
      </c>
      <c r="P964" s="6" t="s">
        <v>8574</v>
      </c>
      <c r="Q964" s="6" t="s">
        <v>9543</v>
      </c>
    </row>
    <row r="965" spans="1:17" x14ac:dyDescent="0.25">
      <c r="A965" s="5" t="str">
        <f>IF(TRIM(I965)="","",E965)</f>
        <v/>
      </c>
      <c r="B965" s="5" t="str">
        <f>IF(TRIM(J965)="","",H965)</f>
        <v/>
      </c>
      <c r="C965" s="5" t="str">
        <f>LEFT(F965,FIND(".",F965,6))</f>
        <v>Exif.Olympus.</v>
      </c>
      <c r="D965" s="5" t="str">
        <f>VLOOKUP(C965,PrefixUebersetzung,2,FALSE)</f>
        <v>Exif.Olympus.</v>
      </c>
      <c r="E965" s="5" t="str">
        <f>MID(F965,FIND(".",F965,6)+1,99)</f>
        <v>0x0000</v>
      </c>
      <c r="F965" s="5" t="s">
        <v>818</v>
      </c>
      <c r="G965" s="5" t="s">
        <v>9664</v>
      </c>
      <c r="H965" s="6" t="s">
        <v>2138</v>
      </c>
      <c r="I965" s="7"/>
      <c r="K965" s="26"/>
      <c r="L965" s="6" t="str">
        <f>IFERROR(VLOOKUP(E965,A:I,9, FALSE),"")</f>
        <v/>
      </c>
      <c r="M965" s="6" t="str">
        <f>IFERROR(VLOOKUP(H965,B:J,9,FALSE),"")</f>
        <v>Unbekannt</v>
      </c>
      <c r="N965" s="6" t="str">
        <f>IF(AND(TRIM(I965)="",L965=""),"Suffix not translated ",
   IF(AND(TRIM(I965)&lt;&gt;"",TRIM(L965)&lt;&gt;"",TRIM(I965)&lt;&gt;TRIM(L965)),"Suffix translation &lt;&gt; lookup ", "" ))
&amp;IF(AND(TRIM(J965)="",M965=""),"Description not translated ",
   IF(AND(TRIM(J965)&lt;&gt;"",TRIM(M965)&lt;&gt;"",TRIM(J965)&lt;&gt;TRIM(M965)),"Description translation&lt;&gt; lookup ", "" ))</f>
        <v xml:space="preserve">Suffix not translated </v>
      </c>
    </row>
    <row r="966" spans="1:17" x14ac:dyDescent="0.25">
      <c r="A966" s="5" t="str">
        <f>IF(TRIM(I966)="","",E966)</f>
        <v/>
      </c>
      <c r="B966" s="5" t="str">
        <f>IF(TRIM(J966)="","",H966)</f>
        <v/>
      </c>
      <c r="C966" s="5" t="str">
        <f>LEFT(F966,FIND(".",F966,6))</f>
        <v>Exif.Olympus.</v>
      </c>
      <c r="D966" s="5" t="str">
        <f>VLOOKUP(C966,PrefixUebersetzung,2,FALSE)</f>
        <v>Exif.Olympus.</v>
      </c>
      <c r="E966" s="5" t="str">
        <f>MID(F966,FIND(".",F966,6)+1,99)</f>
        <v>0x1013</v>
      </c>
      <c r="F966" s="5" t="s">
        <v>819</v>
      </c>
      <c r="G966" s="5" t="s">
        <v>9664</v>
      </c>
      <c r="H966" s="6" t="s">
        <v>2138</v>
      </c>
      <c r="I966" s="7"/>
      <c r="K966" s="26"/>
      <c r="M966" s="6" t="str">
        <f>IFERROR(VLOOKUP(H966,B:J,9,FALSE),"")</f>
        <v>Unbekannt</v>
      </c>
      <c r="N966" s="6" t="str">
        <f>IF(AND(TRIM(I966)="",L966=""),"Suffix not translated ",
   IF(AND(TRIM(I966)&lt;&gt;"",TRIM(L966)&lt;&gt;"",TRIM(I966)&lt;&gt;TRIM(L966)),"Suffix translation &lt;&gt; lookup ", "" ))
&amp;IF(AND(TRIM(J966)="",M966=""),"Description not translated ",
   IF(AND(TRIM(J966)&lt;&gt;"",TRIM(M966)&lt;&gt;"",TRIM(J966)&lt;&gt;TRIM(M966)),"Description translation&lt;&gt; lookup ", "" ))</f>
        <v xml:space="preserve">Suffix not translated </v>
      </c>
      <c r="O966" s="6" t="s">
        <v>8574</v>
      </c>
    </row>
    <row r="967" spans="1:17" x14ac:dyDescent="0.25">
      <c r="A967" s="5" t="str">
        <f>IF(TRIM(I967)="","",E967)</f>
        <v/>
      </c>
      <c r="B967" s="5" t="str">
        <f>IF(TRIM(J967)="","",H967)</f>
        <v/>
      </c>
      <c r="C967" s="5" t="str">
        <f>LEFT(F967,FIND(".",F967,6))</f>
        <v>Exif.Olympus.</v>
      </c>
      <c r="D967" s="5" t="str">
        <f>VLOOKUP(C967,PrefixUebersetzung,2,FALSE)</f>
        <v>Exif.Olympus.</v>
      </c>
      <c r="E967" s="5" t="str">
        <f>MID(F967,FIND(".",F967,6)+1,99)</f>
        <v>0x1014</v>
      </c>
      <c r="F967" s="5" t="s">
        <v>820</v>
      </c>
      <c r="G967" s="5" t="s">
        <v>9664</v>
      </c>
      <c r="H967" s="6" t="s">
        <v>2138</v>
      </c>
      <c r="I967" s="7"/>
      <c r="K967" s="26"/>
      <c r="M967" s="6" t="str">
        <f>IFERROR(VLOOKUP(H967,B:J,9,FALSE),"")</f>
        <v>Unbekannt</v>
      </c>
      <c r="N967" s="6" t="str">
        <f>IF(AND(TRIM(I967)="",L967=""),"Suffix not translated ",
   IF(AND(TRIM(I967)&lt;&gt;"",TRIM(L967)&lt;&gt;"",TRIM(I967)&lt;&gt;TRIM(L967)),"Suffix translation &lt;&gt; lookup ", "" ))
&amp;IF(AND(TRIM(J967)="",M967=""),"Description not translated ",
   IF(AND(TRIM(J967)&lt;&gt;"",TRIM(M967)&lt;&gt;"",TRIM(J967)&lt;&gt;TRIM(M967)),"Description translation&lt;&gt; lookup ", "" ))</f>
        <v xml:space="preserve">Suffix not translated </v>
      </c>
      <c r="O967" s="6" t="s">
        <v>8574</v>
      </c>
    </row>
    <row r="968" spans="1:17" x14ac:dyDescent="0.25">
      <c r="A968" s="5" t="str">
        <f>IF(TRIM(I968)="","",E968)</f>
        <v/>
      </c>
      <c r="B968" s="5" t="str">
        <f>IF(TRIM(J968)="","",H968)</f>
        <v/>
      </c>
      <c r="C968" s="5" t="str">
        <f>LEFT(F968,FIND(".",F968,6))</f>
        <v>Exif.Olympus.</v>
      </c>
      <c r="D968" s="5" t="str">
        <f>VLOOKUP(C968,PrefixUebersetzung,2,FALSE)</f>
        <v>Exif.Olympus.</v>
      </c>
      <c r="E968" s="5" t="str">
        <f>MID(F968,FIND(".",F968,6)+1,99)</f>
        <v>0x1016</v>
      </c>
      <c r="F968" s="5" t="s">
        <v>821</v>
      </c>
      <c r="G968" s="5" t="s">
        <v>9664</v>
      </c>
      <c r="H968" s="6" t="s">
        <v>2138</v>
      </c>
      <c r="I968" s="7"/>
      <c r="K968" s="26"/>
      <c r="M968" s="6" t="str">
        <f>IFERROR(VLOOKUP(H968,B:J,9,FALSE),"")</f>
        <v>Unbekannt</v>
      </c>
      <c r="N968" s="6" t="str">
        <f>IF(AND(TRIM(I968)="",L968=""),"Suffix not translated ",
   IF(AND(TRIM(I968)&lt;&gt;"",TRIM(L968)&lt;&gt;"",TRIM(I968)&lt;&gt;TRIM(L968)),"Suffix translation &lt;&gt; lookup ", "" ))
&amp;IF(AND(TRIM(J968)="",M968=""),"Description not translated ",
   IF(AND(TRIM(J968)&lt;&gt;"",TRIM(M968)&lt;&gt;"",TRIM(J968)&lt;&gt;TRIM(M968)),"Description translation&lt;&gt; lookup ", "" ))</f>
        <v xml:space="preserve">Suffix not translated </v>
      </c>
      <c r="O968" s="6" t="s">
        <v>8574</v>
      </c>
    </row>
    <row r="969" spans="1:17" x14ac:dyDescent="0.25">
      <c r="A969" s="5" t="str">
        <f>IF(TRIM(I969)="","",E969)</f>
        <v/>
      </c>
      <c r="B969" s="5" t="str">
        <f>IF(TRIM(J969)="","",H969)</f>
        <v/>
      </c>
      <c r="C969" s="5" t="str">
        <f>LEFT(F969,FIND(".",F969,6))</f>
        <v>Exif.Olympus.</v>
      </c>
      <c r="D969" s="5" t="str">
        <f>VLOOKUP(C969,PrefixUebersetzung,2,FALSE)</f>
        <v>Exif.Olympus.</v>
      </c>
      <c r="E969" s="5" t="str">
        <f>MID(F969,FIND(".",F969,6)+1,99)</f>
        <v>0x101b</v>
      </c>
      <c r="F969" s="5" t="s">
        <v>822</v>
      </c>
      <c r="G969" s="5" t="s">
        <v>9667</v>
      </c>
      <c r="H969" s="6" t="s">
        <v>2138</v>
      </c>
      <c r="I969" s="7"/>
      <c r="K969" s="26"/>
      <c r="M969" s="6" t="str">
        <f>IFERROR(VLOOKUP(H969,B:J,9,FALSE),"")</f>
        <v>Unbekannt</v>
      </c>
      <c r="N969" s="6"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v>
      </c>
      <c r="O969" s="6" t="s">
        <v>8574</v>
      </c>
    </row>
    <row r="970" spans="1:17" x14ac:dyDescent="0.25">
      <c r="A970" s="5" t="str">
        <f>IF(TRIM(I970)="","",E970)</f>
        <v/>
      </c>
      <c r="B970" s="5" t="str">
        <f>IF(TRIM(J970)="","",H970)</f>
        <v/>
      </c>
      <c r="C970" s="5" t="str">
        <f>LEFT(F970,FIND(".",F970,6))</f>
        <v>Exif.Olympus.</v>
      </c>
      <c r="D970" s="5" t="str">
        <f>VLOOKUP(C970,PrefixUebersetzung,2,FALSE)</f>
        <v>Exif.Olympus.</v>
      </c>
      <c r="E970" s="5" t="str">
        <f>MID(F970,FIND(".",F970,6)+1,99)</f>
        <v>0x101c</v>
      </c>
      <c r="F970" s="5" t="s">
        <v>823</v>
      </c>
      <c r="G970" s="5" t="s">
        <v>9667</v>
      </c>
      <c r="H970" s="6" t="s">
        <v>2138</v>
      </c>
      <c r="I970" s="7"/>
      <c r="K970" s="26"/>
      <c r="M970" s="6" t="str">
        <f>IFERROR(VLOOKUP(H970,B:J,9,FALSE),"")</f>
        <v>Unbekannt</v>
      </c>
      <c r="N970" s="6"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v>
      </c>
      <c r="O970" s="6" t="s">
        <v>8574</v>
      </c>
    </row>
    <row r="971" spans="1:17" x14ac:dyDescent="0.25">
      <c r="A971" s="5" t="str">
        <f>IF(TRIM(I971)="","",E971)</f>
        <v/>
      </c>
      <c r="B971" s="5" t="str">
        <f>IF(TRIM(J971)="","",H971)</f>
        <v/>
      </c>
      <c r="C971" s="5" t="str">
        <f>LEFT(F971,FIND(".",F971,6))</f>
        <v>Exif.Olympus.</v>
      </c>
      <c r="D971" s="5" t="str">
        <f>VLOOKUP(C971,PrefixUebersetzung,2,FALSE)</f>
        <v>Exif.Olympus.</v>
      </c>
      <c r="E971" s="5" t="str">
        <f>MID(F971,FIND(".",F971,6)+1,99)</f>
        <v>0x101d</v>
      </c>
      <c r="F971" s="5" t="s">
        <v>824</v>
      </c>
      <c r="G971" s="5" t="s">
        <v>9667</v>
      </c>
      <c r="H971" s="6" t="s">
        <v>2138</v>
      </c>
      <c r="I971" s="7"/>
      <c r="K971" s="26"/>
      <c r="M971" s="6" t="str">
        <f>IFERROR(VLOOKUP(H971,B:J,9,FALSE),"")</f>
        <v>Unbekannt</v>
      </c>
      <c r="N971" s="6"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v>
      </c>
      <c r="O971" s="6" t="s">
        <v>8574</v>
      </c>
    </row>
    <row r="972" spans="1:17" x14ac:dyDescent="0.25">
      <c r="A972" s="5" t="str">
        <f>IF(TRIM(I972)="","",E972)</f>
        <v/>
      </c>
      <c r="B972" s="5" t="str">
        <f>IF(TRIM(J972)="","",H972)</f>
        <v/>
      </c>
      <c r="C972" s="5" t="str">
        <f>LEFT(F972,FIND(".",F972,6))</f>
        <v>Exif.Olympus.</v>
      </c>
      <c r="D972" s="5" t="str">
        <f>VLOOKUP(C972,PrefixUebersetzung,2,FALSE)</f>
        <v>Exif.Olympus.</v>
      </c>
      <c r="E972" s="5" t="str">
        <f>MID(F972,FIND(".",F972,6)+1,99)</f>
        <v>0x101e</v>
      </c>
      <c r="F972" s="5" t="s">
        <v>825</v>
      </c>
      <c r="G972" s="5" t="s">
        <v>9667</v>
      </c>
      <c r="H972" s="6" t="s">
        <v>2138</v>
      </c>
      <c r="I972" s="7"/>
      <c r="K972" s="26"/>
      <c r="M972" s="6" t="str">
        <f>IFERROR(VLOOKUP(H972,B:J,9,FALSE),"")</f>
        <v>Unbekannt</v>
      </c>
      <c r="N972" s="6"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v>
      </c>
      <c r="O972" s="6" t="s">
        <v>8574</v>
      </c>
    </row>
    <row r="973" spans="1:17" x14ac:dyDescent="0.25">
      <c r="A973" s="5" t="str">
        <f>IF(TRIM(I973)="","",E973)</f>
        <v/>
      </c>
      <c r="B973" s="5" t="str">
        <f>IF(TRIM(J973)="","",H973)</f>
        <v/>
      </c>
      <c r="C973" s="5" t="str">
        <f>LEFT(F973,FIND(".",F973,6))</f>
        <v>Exif.Olympus.</v>
      </c>
      <c r="D973" s="5" t="str">
        <f>VLOOKUP(C973,PrefixUebersetzung,2,FALSE)</f>
        <v>Exif.Olympus.</v>
      </c>
      <c r="E973" s="5" t="str">
        <f>MID(F973,FIND(".",F973,6)+1,99)</f>
        <v>0x101f</v>
      </c>
      <c r="F973" s="5" t="s">
        <v>826</v>
      </c>
      <c r="G973" s="5" t="s">
        <v>9667</v>
      </c>
      <c r="H973" s="6" t="s">
        <v>2138</v>
      </c>
      <c r="I973" s="7"/>
      <c r="K973" s="26"/>
      <c r="M973" s="6" t="str">
        <f>IFERROR(VLOOKUP(H973,B:J,9,FALSE),"")</f>
        <v>Unbekannt</v>
      </c>
      <c r="N973" s="6" t="str">
        <f>IF(AND(TRIM(I973)="",L973=""),"Suffix not translated ",
   IF(AND(TRIM(I973)&lt;&gt;"",TRIM(L973)&lt;&gt;"",TRIM(I973)&lt;&gt;TRIM(L973)),"Suffix translation &lt;&gt; lookup ", "" ))
&amp;IF(AND(TRIM(J973)="",M973=""),"Description not translated ",
   IF(AND(TRIM(J973)&lt;&gt;"",TRIM(M973)&lt;&gt;"",TRIM(J973)&lt;&gt;TRIM(M973)),"Description translation&lt;&gt; lookup ", "" ))</f>
        <v xml:space="preserve">Suffix not translated </v>
      </c>
      <c r="O973" s="6" t="s">
        <v>8574</v>
      </c>
    </row>
    <row r="974" spans="1:17" x14ac:dyDescent="0.25">
      <c r="A974" s="5" t="str">
        <f>IF(TRIM(I974)="","",E974)</f>
        <v/>
      </c>
      <c r="B974" s="5" t="str">
        <f>IF(TRIM(J974)="","",H974)</f>
        <v/>
      </c>
      <c r="C974" s="5" t="str">
        <f>LEFT(F974,FIND(".",F974,6))</f>
        <v>Exif.Olympus.</v>
      </c>
      <c r="D974" s="5" t="str">
        <f>VLOOKUP(C974,PrefixUebersetzung,2,FALSE)</f>
        <v>Exif.Olympus.</v>
      </c>
      <c r="E974" s="5" t="str">
        <f>MID(F974,FIND(".",F974,6)+1,99)</f>
        <v>0x1020</v>
      </c>
      <c r="F974" s="5" t="s">
        <v>827</v>
      </c>
      <c r="G974" s="5" t="s">
        <v>9667</v>
      </c>
      <c r="H974" s="6" t="s">
        <v>2138</v>
      </c>
      <c r="I974" s="7"/>
      <c r="K974" s="26"/>
      <c r="M974" s="6" t="str">
        <f>IFERROR(VLOOKUP(H974,B:J,9,FALSE),"")</f>
        <v>Unbekannt</v>
      </c>
      <c r="N974" s="6" t="str">
        <f>IF(AND(TRIM(I974)="",L974=""),"Suffix not translated ",
   IF(AND(TRIM(I974)&lt;&gt;"",TRIM(L974)&lt;&gt;"",TRIM(I974)&lt;&gt;TRIM(L974)),"Suffix translation &lt;&gt; lookup ", "" ))
&amp;IF(AND(TRIM(J974)="",M974=""),"Description not translated ",
   IF(AND(TRIM(J974)&lt;&gt;"",TRIM(M974)&lt;&gt;"",TRIM(J974)&lt;&gt;TRIM(M974)),"Description translation&lt;&gt; lookup ", "" ))</f>
        <v xml:space="preserve">Suffix not translated </v>
      </c>
      <c r="O974" s="6" t="s">
        <v>8574</v>
      </c>
    </row>
    <row r="975" spans="1:17" x14ac:dyDescent="0.25">
      <c r="A975" s="5" t="str">
        <f>IF(TRIM(I975)="","",E975)</f>
        <v/>
      </c>
      <c r="B975" s="5" t="str">
        <f>IF(TRIM(J975)="","",H975)</f>
        <v/>
      </c>
      <c r="C975" s="5" t="str">
        <f>LEFT(F975,FIND(".",F975,6))</f>
        <v>Exif.Olympus.</v>
      </c>
      <c r="D975" s="5" t="str">
        <f>VLOOKUP(C975,PrefixUebersetzung,2,FALSE)</f>
        <v>Exif.Olympus.</v>
      </c>
      <c r="E975" s="5" t="str">
        <f>MID(F975,FIND(".",F975,6)+1,99)</f>
        <v>0x1021</v>
      </c>
      <c r="F975" s="5" t="s">
        <v>828</v>
      </c>
      <c r="G975" s="5" t="s">
        <v>9667</v>
      </c>
      <c r="H975" s="6" t="s">
        <v>2138</v>
      </c>
      <c r="I975" s="7"/>
      <c r="K975" s="26"/>
      <c r="M975" s="6" t="str">
        <f>IFERROR(VLOOKUP(H975,B:J,9,FALSE),"")</f>
        <v>Unbekannt</v>
      </c>
      <c r="N975" s="6" t="str">
        <f>IF(AND(TRIM(I975)="",L975=""),"Suffix not translated ",
   IF(AND(TRIM(I975)&lt;&gt;"",TRIM(L975)&lt;&gt;"",TRIM(I975)&lt;&gt;TRIM(L975)),"Suffix translation &lt;&gt; lookup ", "" ))
&amp;IF(AND(TRIM(J975)="",M975=""),"Description not translated ",
   IF(AND(TRIM(J975)&lt;&gt;"",TRIM(M975)&lt;&gt;"",TRIM(J975)&lt;&gt;TRIM(M975)),"Description translation&lt;&gt; lookup ", "" ))</f>
        <v xml:space="preserve">Suffix not translated </v>
      </c>
      <c r="O975" s="6" t="s">
        <v>8574</v>
      </c>
    </row>
    <row r="976" spans="1:17" x14ac:dyDescent="0.25">
      <c r="A976" s="5" t="str">
        <f>IF(TRIM(I976)="","",E976)</f>
        <v/>
      </c>
      <c r="B976" s="5" t="str">
        <f>IF(TRIM(J976)="","",H976)</f>
        <v/>
      </c>
      <c r="C976" s="5" t="str">
        <f>LEFT(F976,FIND(".",F976,6))</f>
        <v>Exif.Olympus.</v>
      </c>
      <c r="D976" s="5" t="str">
        <f>VLOOKUP(C976,PrefixUebersetzung,2,FALSE)</f>
        <v>Exif.Olympus.</v>
      </c>
      <c r="E976" s="5" t="str">
        <f>MID(F976,FIND(".",F976,6)+1,99)</f>
        <v>0x1022</v>
      </c>
      <c r="F976" s="5" t="s">
        <v>829</v>
      </c>
      <c r="G976" s="5" t="s">
        <v>9667</v>
      </c>
      <c r="H976" s="6" t="s">
        <v>2138</v>
      </c>
      <c r="I976" s="7"/>
      <c r="K976" s="26"/>
      <c r="L976" s="6" t="str">
        <f>IFERROR(VLOOKUP(E976,A:I,9, FALSE),"")</f>
        <v/>
      </c>
      <c r="M976" s="6" t="str">
        <f>IFERROR(VLOOKUP(H976,B:J,9,FALSE),"")</f>
        <v>Unbekannt</v>
      </c>
      <c r="N976" s="6" t="str">
        <f>IF(AND(TRIM(I976)="",L976=""),"Suffix not translated ",
   IF(AND(TRIM(I976)&lt;&gt;"",TRIM(L976)&lt;&gt;"",TRIM(I976)&lt;&gt;TRIM(L976)),"Suffix translation &lt;&gt; lookup ", "" ))
&amp;IF(AND(TRIM(J976)="",M976=""),"Description not translated ",
   IF(AND(TRIM(J976)&lt;&gt;"",TRIM(M976)&lt;&gt;"",TRIM(J976)&lt;&gt;TRIM(M976)),"Description translation&lt;&gt; lookup ", "" ))</f>
        <v xml:space="preserve">Suffix not translated </v>
      </c>
    </row>
    <row r="977" spans="1:17" x14ac:dyDescent="0.25">
      <c r="A977" s="5" t="str">
        <f>IF(TRIM(I977)="","",E977)</f>
        <v/>
      </c>
      <c r="B977" s="5" t="str">
        <f>IF(TRIM(J977)="","",H977)</f>
        <v/>
      </c>
      <c r="C977" s="5" t="str">
        <f>LEFT(F977,FIND(".",F977,6))</f>
        <v>Exif.Olympus.</v>
      </c>
      <c r="D977" s="5" t="str">
        <f>VLOOKUP(C977,PrefixUebersetzung,2,FALSE)</f>
        <v>Exif.Olympus.</v>
      </c>
      <c r="E977" s="5" t="str">
        <f>MID(F977,FIND(".",F977,6)+1,99)</f>
        <v>0x1024</v>
      </c>
      <c r="F977" s="5" t="s">
        <v>830</v>
      </c>
      <c r="G977" s="5" t="s">
        <v>9664</v>
      </c>
      <c r="H977" s="6" t="s">
        <v>2138</v>
      </c>
      <c r="I977" s="7"/>
      <c r="K977" s="26"/>
      <c r="M977" s="6" t="str">
        <f>IFERROR(VLOOKUP(H977,B:J,9,FALSE),"")</f>
        <v>Unbekannt</v>
      </c>
      <c r="N977" s="6" t="str">
        <f>IF(AND(TRIM(I977)="",L977=""),"Suffix not translated ",
   IF(AND(TRIM(I977)&lt;&gt;"",TRIM(L977)&lt;&gt;"",TRIM(I977)&lt;&gt;TRIM(L977)),"Suffix translation &lt;&gt; lookup ", "" ))
&amp;IF(AND(TRIM(J977)="",M977=""),"Description not translated ",
   IF(AND(TRIM(J977)&lt;&gt;"",TRIM(M977)&lt;&gt;"",TRIM(J977)&lt;&gt;TRIM(M977)),"Description translation&lt;&gt; lookup ", "" ))</f>
        <v xml:space="preserve">Suffix not translated </v>
      </c>
      <c r="O977" s="6" t="s">
        <v>8574</v>
      </c>
    </row>
    <row r="978" spans="1:17" x14ac:dyDescent="0.25">
      <c r="A978" s="5" t="str">
        <f>IF(TRIM(I978)="","",E978)</f>
        <v/>
      </c>
      <c r="B978" s="5" t="str">
        <f>IF(TRIM(J978)="","",H978)</f>
        <v/>
      </c>
      <c r="C978" s="5" t="str">
        <f>LEFT(F978,FIND(".",F978,6))</f>
        <v>Exif.Olympus.</v>
      </c>
      <c r="D978" s="5" t="str">
        <f>VLOOKUP(C978,PrefixUebersetzung,2,FALSE)</f>
        <v>Exif.Olympus.</v>
      </c>
      <c r="E978" s="5" t="str">
        <f>MID(F978,FIND(".",F978,6)+1,99)</f>
        <v>0x1025</v>
      </c>
      <c r="F978" s="5" t="s">
        <v>831</v>
      </c>
      <c r="G978" s="5" t="s">
        <v>9672</v>
      </c>
      <c r="H978" s="6" t="s">
        <v>2138</v>
      </c>
      <c r="I978" s="7"/>
      <c r="K978" s="26"/>
      <c r="M978" s="6" t="str">
        <f>IFERROR(VLOOKUP(H978,B:J,9,FALSE),"")</f>
        <v>Unbekannt</v>
      </c>
      <c r="N978" s="6" t="str">
        <f>IF(AND(TRIM(I978)="",L978=""),"Suffix not translated ",
   IF(AND(TRIM(I978)&lt;&gt;"",TRIM(L978)&lt;&gt;"",TRIM(I978)&lt;&gt;TRIM(L978)),"Suffix translation &lt;&gt; lookup ", "" ))
&amp;IF(AND(TRIM(J978)="",M978=""),"Description not translated ",
   IF(AND(TRIM(J978)&lt;&gt;"",TRIM(M978)&lt;&gt;"",TRIM(J978)&lt;&gt;TRIM(M978)),"Description translation&lt;&gt; lookup ", "" ))</f>
        <v xml:space="preserve">Suffix not translated </v>
      </c>
      <c r="O978" s="6" t="s">
        <v>8574</v>
      </c>
    </row>
    <row r="979" spans="1:17" x14ac:dyDescent="0.25">
      <c r="A979" s="5" t="str">
        <f>IF(TRIM(I979)="","",E979)</f>
        <v/>
      </c>
      <c r="B979" s="5" t="str">
        <f>IF(TRIM(J979)="","",H979)</f>
        <v/>
      </c>
      <c r="C979" s="5" t="str">
        <f>LEFT(F979,FIND(".",F979,6))</f>
        <v>Exif.Olympus.</v>
      </c>
      <c r="D979" s="5" t="str">
        <f>VLOOKUP(C979,PrefixUebersetzung,2,FALSE)</f>
        <v>Exif.Olympus.</v>
      </c>
      <c r="E979" s="5" t="str">
        <f>MID(F979,FIND(".",F979,6)+1,99)</f>
        <v>0x1030</v>
      </c>
      <c r="F979" s="5" t="s">
        <v>832</v>
      </c>
      <c r="G979" s="5" t="s">
        <v>9664</v>
      </c>
      <c r="H979" s="6" t="s">
        <v>2138</v>
      </c>
      <c r="I979" s="7"/>
      <c r="K979" s="26"/>
      <c r="M979" s="6" t="str">
        <f>IFERROR(VLOOKUP(H979,B:J,9,FALSE),"")</f>
        <v>Unbekannt</v>
      </c>
      <c r="N979" s="6" t="str">
        <f>IF(AND(TRIM(I979)="",L979=""),"Suffix not translated ",
   IF(AND(TRIM(I979)&lt;&gt;"",TRIM(L979)&lt;&gt;"",TRIM(I979)&lt;&gt;TRIM(L979)),"Suffix translation &lt;&gt; lookup ", "" ))
&amp;IF(AND(TRIM(J979)="",M979=""),"Description not translated ",
   IF(AND(TRIM(J979)&lt;&gt;"",TRIM(M979)&lt;&gt;"",TRIM(J979)&lt;&gt;TRIM(M979)),"Description translation&lt;&gt; lookup ", "" ))</f>
        <v xml:space="preserve">Suffix not translated </v>
      </c>
      <c r="O979" s="6" t="s">
        <v>8574</v>
      </c>
    </row>
    <row r="980" spans="1:17" x14ac:dyDescent="0.25">
      <c r="A980" s="5" t="str">
        <f>IF(TRIM(I980)="","",E980)</f>
        <v/>
      </c>
      <c r="B980" s="5" t="str">
        <f>IF(TRIM(J980)="","",H980)</f>
        <v/>
      </c>
      <c r="C980" s="5" t="str">
        <f>LEFT(F980,FIND(".",F980,6))</f>
        <v>Exif.Olympus.</v>
      </c>
      <c r="D980" s="5" t="str">
        <f>VLOOKUP(C980,PrefixUebersetzung,2,FALSE)</f>
        <v>Exif.Olympus.</v>
      </c>
      <c r="E980" s="5" t="str">
        <f>MID(F980,FIND(".",F980,6)+1,99)</f>
        <v>0x1031</v>
      </c>
      <c r="F980" s="5" t="s">
        <v>833</v>
      </c>
      <c r="G980" s="5" t="s">
        <v>9667</v>
      </c>
      <c r="H980" s="6" t="s">
        <v>2138</v>
      </c>
      <c r="I980" s="7"/>
      <c r="K980" s="26"/>
      <c r="M980" s="6" t="str">
        <f>IFERROR(VLOOKUP(H980,B:J,9,FALSE),"")</f>
        <v>Unbekannt</v>
      </c>
      <c r="N980" s="6" t="str">
        <f>IF(AND(TRIM(I980)="",L980=""),"Suffix not translated ",
   IF(AND(TRIM(I980)&lt;&gt;"",TRIM(L980)&lt;&gt;"",TRIM(I980)&lt;&gt;TRIM(L980)),"Suffix translation &lt;&gt; lookup ", "" ))
&amp;IF(AND(TRIM(J980)="",M980=""),"Description not translated ",
   IF(AND(TRIM(J980)&lt;&gt;"",TRIM(M980)&lt;&gt;"",TRIM(J980)&lt;&gt;TRIM(M980)),"Description translation&lt;&gt; lookup ", "" ))</f>
        <v xml:space="preserve">Suffix not translated </v>
      </c>
      <c r="O980" s="6" t="s">
        <v>8574</v>
      </c>
    </row>
    <row r="981" spans="1:17" x14ac:dyDescent="0.25">
      <c r="A981" s="5" t="str">
        <f>IF(TRIM(I981)="","",E981)</f>
        <v/>
      </c>
      <c r="B981" s="5" t="str">
        <f>IF(TRIM(J981)="","",H981)</f>
        <v/>
      </c>
      <c r="C981" s="5" t="str">
        <f>LEFT(F981,FIND(".",F981,6))</f>
        <v>Exif.Olympus.</v>
      </c>
      <c r="D981" s="5" t="str">
        <f>VLOOKUP(C981,PrefixUebersetzung,2,FALSE)</f>
        <v>Exif.Olympus.</v>
      </c>
      <c r="E981" s="5" t="str">
        <f>MID(F981,FIND(".",F981,6)+1,99)</f>
        <v>0x1032</v>
      </c>
      <c r="F981" s="5" t="s">
        <v>834</v>
      </c>
      <c r="G981" s="5" t="s">
        <v>9664</v>
      </c>
      <c r="H981" s="6" t="s">
        <v>2138</v>
      </c>
      <c r="I981" s="7"/>
      <c r="K981" s="26"/>
      <c r="L981" s="6" t="str">
        <f>IFERROR(VLOOKUP(E981,A:I,9, FALSE),"")</f>
        <v/>
      </c>
      <c r="M981" s="6" t="str">
        <f>IFERROR(VLOOKUP(H981,B:J,9,FALSE),"")</f>
        <v>Unbekannt</v>
      </c>
      <c r="N981" s="6"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v>
      </c>
    </row>
    <row r="982" spans="1:17" x14ac:dyDescent="0.25">
      <c r="A982" s="5" t="str">
        <f>IF(TRIM(I982)="","",E982)</f>
        <v/>
      </c>
      <c r="B982" s="5" t="str">
        <f>IF(TRIM(J982)="","",H982)</f>
        <v/>
      </c>
      <c r="C982" s="5" t="str">
        <f>LEFT(F982,FIND(".",F982,6))</f>
        <v>Exif.Olympus.</v>
      </c>
      <c r="D982" s="5" t="str">
        <f>VLOOKUP(C982,PrefixUebersetzung,2,FALSE)</f>
        <v>Exif.Olympus.</v>
      </c>
      <c r="E982" s="5" t="str">
        <f>MID(F982,FIND(".",F982,6)+1,99)</f>
        <v>0x1033</v>
      </c>
      <c r="F982" s="5" t="s">
        <v>835</v>
      </c>
      <c r="G982" s="5" t="s">
        <v>9667</v>
      </c>
      <c r="H982" s="6" t="s">
        <v>2138</v>
      </c>
      <c r="I982" s="7"/>
      <c r="K982" s="26"/>
      <c r="M982" s="6" t="str">
        <f>IFERROR(VLOOKUP(H982,B:J,9,FALSE),"")</f>
        <v>Unbekannt</v>
      </c>
      <c r="N982" s="6"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v>
      </c>
      <c r="O982" s="6" t="s">
        <v>8574</v>
      </c>
    </row>
    <row r="983" spans="1:17" x14ac:dyDescent="0.25">
      <c r="A983" s="5" t="str">
        <f>IF(TRIM(I983)="","",E983)</f>
        <v/>
      </c>
      <c r="B983" s="5" t="str">
        <f>IF(TRIM(J983)="","",H983)</f>
        <v>Aperture value</v>
      </c>
      <c r="C983" s="5" t="str">
        <f>LEFT(F983,FIND(".",F983,6))</f>
        <v>Exif.Olympus.</v>
      </c>
      <c r="D983" s="5" t="str">
        <f>VLOOKUP(C983,PrefixUebersetzung,2,FALSE)</f>
        <v>Exif.Olympus.</v>
      </c>
      <c r="E983" s="5" t="str">
        <f>MID(F983,FIND(".",F983,6)+1,99)</f>
        <v>ApertureValue</v>
      </c>
      <c r="F983" s="5" t="s">
        <v>836</v>
      </c>
      <c r="G983" s="5" t="s">
        <v>9672</v>
      </c>
      <c r="H983" s="6" t="s">
        <v>2743</v>
      </c>
      <c r="I983" s="7"/>
      <c r="J983" s="14" t="s">
        <v>3813</v>
      </c>
      <c r="K983" s="26"/>
      <c r="L983" s="6" t="str">
        <f>IFERROR(VLOOKUP(E983,A:I,9, FALSE),"")</f>
        <v>Blende</v>
      </c>
      <c r="N983" s="6" t="str">
        <f>IF(AND(TRIM(I983)="",L983=""),"Suffix not translated ",
   IF(AND(TRIM(I983)&lt;&gt;"",TRIM(L983)&lt;&gt;"",TRIM(I983)&lt;&gt;TRIM(L983)),"Suffix translation &lt;&gt; lookup ", "" ))
&amp;IF(AND(TRIM(J983)="",M983=""),"Description not translated ",
   IF(AND(TRIM(J983)&lt;&gt;"",TRIM(M983)&lt;&gt;"",TRIM(J983)&lt;&gt;TRIM(M983)),"Description translation&lt;&gt; lookup ", "" ))</f>
        <v/>
      </c>
      <c r="P983" s="6" t="s">
        <v>8574</v>
      </c>
      <c r="Q983" s="6" t="s">
        <v>9133</v>
      </c>
    </row>
    <row r="984" spans="1:17" x14ac:dyDescent="0.25">
      <c r="A984" s="5" t="str">
        <f>IF(TRIM(I984)="","",E984)</f>
        <v/>
      </c>
      <c r="B984" s="5" t="str">
        <f>IF(TRIM(J984)="","",H984)</f>
        <v>Black level</v>
      </c>
      <c r="C984" s="5" t="str">
        <f>LEFT(F984,FIND(".",F984,6))</f>
        <v>Exif.Olympus.</v>
      </c>
      <c r="D984" s="5" t="str">
        <f>VLOOKUP(C984,PrefixUebersetzung,2,FALSE)</f>
        <v>Exif.Olympus.</v>
      </c>
      <c r="E984" s="5" t="str">
        <f>MID(F984,FIND(".",F984,6)+1,99)</f>
        <v>BlackLevel</v>
      </c>
      <c r="F984" s="5" t="s">
        <v>837</v>
      </c>
      <c r="G984" s="5" t="s">
        <v>9664</v>
      </c>
      <c r="H984" s="6" t="s">
        <v>2744</v>
      </c>
      <c r="I984" s="7"/>
      <c r="J984" s="14" t="s">
        <v>5146</v>
      </c>
      <c r="K984" s="26"/>
      <c r="L984" s="6" t="str">
        <f>IFERROR(VLOOKUP(E984,A:I,9, FALSE),"")</f>
        <v>Schwarzwert</v>
      </c>
      <c r="M984" s="6" t="str">
        <f>IFERROR(VLOOKUP(H984,B:J,9,FALSE),"")</f>
        <v>Schwarzwert</v>
      </c>
      <c r="N984" s="6" t="str">
        <f>IF(AND(TRIM(I984)="",L984=""),"Suffix not translated ",
   IF(AND(TRIM(I984)&lt;&gt;"",TRIM(L984)&lt;&gt;"",TRIM(I984)&lt;&gt;TRIM(L984)),"Suffix translation &lt;&gt; lookup ", "" ))
&amp;IF(AND(TRIM(J984)="",M984=""),"Description not translated ",
   IF(AND(TRIM(J984)&lt;&gt;"",TRIM(M984)&lt;&gt;"",TRIM(J984)&lt;&gt;TRIM(M984)),"Description translation&lt;&gt; lookup ", "" ))</f>
        <v/>
      </c>
      <c r="P984" s="6" t="s">
        <v>8574</v>
      </c>
      <c r="Q984" s="6" t="s">
        <v>9163</v>
      </c>
    </row>
    <row r="985" spans="1:17" x14ac:dyDescent="0.25">
      <c r="A985" s="5" t="str">
        <f>IF(TRIM(I985)="","",E985)</f>
        <v>BlueBalance</v>
      </c>
      <c r="B985" s="5" t="str">
        <f>IF(TRIM(J985)="","",H985)</f>
        <v>Blue balance</v>
      </c>
      <c r="C985" s="5" t="str">
        <f>LEFT(F985,FIND(".",F985,6))</f>
        <v>Exif.Olympus.</v>
      </c>
      <c r="D985" s="5" t="str">
        <f>VLOOKUP(C985,PrefixUebersetzung,2,FALSE)</f>
        <v>Exif.Olympus.</v>
      </c>
      <c r="E985" s="5" t="str">
        <f>MID(F985,FIND(".",F985,6)+1,99)</f>
        <v>BlueBalance</v>
      </c>
      <c r="F985" s="5" t="s">
        <v>838</v>
      </c>
      <c r="G985" s="5" t="s">
        <v>9664</v>
      </c>
      <c r="H985" s="6" t="s">
        <v>2745</v>
      </c>
      <c r="I985" s="31" t="s">
        <v>3982</v>
      </c>
      <c r="J985" s="14" t="s">
        <v>3982</v>
      </c>
      <c r="K985" s="26"/>
      <c r="L985" s="6" t="str">
        <f>IFERROR(VLOOKUP(E985,A:I,9, FALSE),"")</f>
        <v>Blauabgleich</v>
      </c>
      <c r="N985" s="6" t="str">
        <f>IF(AND(TRIM(I985)="",L985=""),"Suffix not translated ",
   IF(AND(TRIM(I985)&lt;&gt;"",TRIM(L985)&lt;&gt;"",TRIM(I985)&lt;&gt;TRIM(L985)),"Suffix translation &lt;&gt; lookup ", "" ))
&amp;IF(AND(TRIM(J985)="",M985=""),"Description not translated ",
   IF(AND(TRIM(J985)&lt;&gt;"",TRIM(M985)&lt;&gt;"",TRIM(J985)&lt;&gt;TRIM(M985)),"Description translation&lt;&gt; lookup ", "" ))</f>
        <v/>
      </c>
      <c r="O985" s="6" t="s">
        <v>8574</v>
      </c>
      <c r="P985" s="6" t="s">
        <v>8574</v>
      </c>
      <c r="Q985" s="6" t="s">
        <v>3982</v>
      </c>
    </row>
    <row r="986" spans="1:17" ht="30" x14ac:dyDescent="0.25">
      <c r="A986" s="5" t="str">
        <f>IF(TRIM(I986)="","",E986)</f>
        <v>BodyFirmwareVersion</v>
      </c>
      <c r="B986" s="5" t="str">
        <f>IF(TRIM(J986)="","",H986)</f>
        <v>Body firmware version</v>
      </c>
      <c r="C986" s="5" t="str">
        <f>LEFT(F986,FIND(".",F986,6))</f>
        <v>Exif.Olympus.</v>
      </c>
      <c r="D986" s="5" t="str">
        <f>VLOOKUP(C986,PrefixUebersetzung,2,FALSE)</f>
        <v>Exif.Olympus.</v>
      </c>
      <c r="E986" s="5" t="str">
        <f>MID(F986,FIND(".",F986,6)+1,99)</f>
        <v>BodyFirmwareVersion</v>
      </c>
      <c r="F986" s="5" t="s">
        <v>839</v>
      </c>
      <c r="G986" s="5" t="s">
        <v>9666</v>
      </c>
      <c r="H986" s="6" t="s">
        <v>2746</v>
      </c>
      <c r="I986" s="31" t="s">
        <v>5074</v>
      </c>
      <c r="J986" s="14" t="s">
        <v>5074</v>
      </c>
      <c r="K986" s="26"/>
      <c r="L986" s="6" t="str">
        <f>IFERROR(VLOOKUP(E986,A:I,9, FALSE),"")</f>
        <v>Gehäuse Firmwareversion</v>
      </c>
      <c r="M986" s="6" t="str">
        <f>IFERROR(VLOOKUP(H986,B:J,9,FALSE),"")</f>
        <v>Gehäuse Firmwareversion</v>
      </c>
      <c r="N986" s="6" t="str">
        <f>IF(AND(TRIM(I986)="",L986=""),"Suffix not translated ",
   IF(AND(TRIM(I986)&lt;&gt;"",TRIM(L986)&lt;&gt;"",TRIM(I986)&lt;&gt;TRIM(L986)),"Suffix translation &lt;&gt; lookup ", "" ))
&amp;IF(AND(TRIM(J986)="",M986=""),"Description not translated ",
   IF(AND(TRIM(J986)&lt;&gt;"",TRIM(M986)&lt;&gt;"",TRIM(J986)&lt;&gt;TRIM(M986)),"Description translation&lt;&gt; lookup ", "" ))</f>
        <v/>
      </c>
      <c r="O986" s="6" t="s">
        <v>8574</v>
      </c>
      <c r="P986" s="6" t="s">
        <v>8574</v>
      </c>
      <c r="Q986" s="6" t="s">
        <v>5073</v>
      </c>
    </row>
    <row r="987" spans="1:17" x14ac:dyDescent="0.25">
      <c r="A987" s="5" t="str">
        <f>IF(TRIM(I987)="","",E987)</f>
        <v>Bracket</v>
      </c>
      <c r="B987" s="5" t="str">
        <f>IF(TRIM(J987)="","",H987)</f>
        <v>Exposure compensation value</v>
      </c>
      <c r="C987" s="5" t="str">
        <f>LEFT(F987,FIND(".",F987,6))</f>
        <v>Exif.Olympus.</v>
      </c>
      <c r="D987" s="5" t="str">
        <f>VLOOKUP(C987,PrefixUebersetzung,2,FALSE)</f>
        <v>Exif.Olympus.</v>
      </c>
      <c r="E987" s="5" t="str">
        <f>MID(F987,FIND(".",F987,6)+1,99)</f>
        <v>Bracket</v>
      </c>
      <c r="F987" s="5" t="s">
        <v>840</v>
      </c>
      <c r="G987" s="5" t="s">
        <v>9672</v>
      </c>
      <c r="H987" s="6" t="s">
        <v>2747</v>
      </c>
      <c r="I987" s="31" t="s">
        <v>3983</v>
      </c>
      <c r="J987" s="14" t="s">
        <v>3983</v>
      </c>
      <c r="K987" s="26"/>
      <c r="N987" s="6" t="str">
        <f>IF(AND(TRIM(I987)="",L987=""),"Suffix not translated ",
   IF(AND(TRIM(I987)&lt;&gt;"",TRIM(L987)&lt;&gt;"",TRIM(I987)&lt;&gt;TRIM(L987)),"Suffix translation &lt;&gt; lookup ", "" ))
&amp;IF(AND(TRIM(J987)="",M987=""),"Description not translated ",
   IF(AND(TRIM(J987)&lt;&gt;"",TRIM(M987)&lt;&gt;"",TRIM(J987)&lt;&gt;TRIM(M987)),"Description translation&lt;&gt; lookup ", "" ))</f>
        <v/>
      </c>
      <c r="O987" s="6" t="s">
        <v>8574</v>
      </c>
      <c r="P987" s="6" t="s">
        <v>8574</v>
      </c>
      <c r="Q987" s="6" t="s">
        <v>9101</v>
      </c>
    </row>
    <row r="988" spans="1:17" x14ac:dyDescent="0.25">
      <c r="A988" s="5" t="str">
        <f>IF(TRIM(I988)="","",E988)</f>
        <v/>
      </c>
      <c r="B988" s="5" t="str">
        <f>IF(TRIM(J988)="","",H988)</f>
        <v>Brightness value</v>
      </c>
      <c r="C988" s="5" t="str">
        <f>LEFT(F988,FIND(".",F988,6))</f>
        <v>Exif.Olympus.</v>
      </c>
      <c r="D988" s="5" t="str">
        <f>VLOOKUP(C988,PrefixUebersetzung,2,FALSE)</f>
        <v>Exif.Olympus.</v>
      </c>
      <c r="E988" s="5" t="str">
        <f>MID(F988,FIND(".",F988,6)+1,99)</f>
        <v>Brightness</v>
      </c>
      <c r="F988" s="5" t="s">
        <v>841</v>
      </c>
      <c r="G988" s="5" t="s">
        <v>9672</v>
      </c>
      <c r="H988" s="6" t="s">
        <v>2748</v>
      </c>
      <c r="J988" s="14" t="s">
        <v>3923</v>
      </c>
      <c r="K988" s="26"/>
      <c r="L988" s="6" t="str">
        <f>IFERROR(VLOOKUP(E988,A:I,9, FALSE),"")</f>
        <v>Bildhelligkeit</v>
      </c>
      <c r="N988" s="6" t="str">
        <f>IF(AND(TRIM(I988)="",L988=""),"Suffix not translated ",
   IF(AND(TRIM(I988)&lt;&gt;"",TRIM(L988)&lt;&gt;"",TRIM(I988)&lt;&gt;TRIM(L988)),"Suffix translation &lt;&gt; lookup ", "" ))
&amp;IF(AND(TRIM(J988)="",M988=""),"Description not translated ",
   IF(AND(TRIM(J988)&lt;&gt;"",TRIM(M988)&lt;&gt;"",TRIM(J988)&lt;&gt;TRIM(M988)),"Description translation&lt;&gt; lookup ", "" ))</f>
        <v/>
      </c>
      <c r="P988" s="6" t="s">
        <v>8574</v>
      </c>
      <c r="Q988" s="6" t="s">
        <v>3984</v>
      </c>
    </row>
    <row r="989" spans="1:17" x14ac:dyDescent="0.25">
      <c r="A989" s="5" t="str">
        <f>IF(TRIM(I989)="","",E989)</f>
        <v>BWMode</v>
      </c>
      <c r="B989" s="5" t="str">
        <f>IF(TRIM(J989)="","",H989)</f>
        <v>Black and white mode</v>
      </c>
      <c r="C989" s="5" t="str">
        <f>LEFT(F989,FIND(".",F989,6))</f>
        <v>Exif.Olympus.</v>
      </c>
      <c r="D989" s="5" t="str">
        <f>VLOOKUP(C989,PrefixUebersetzung,2,FALSE)</f>
        <v>Exif.Olympus.</v>
      </c>
      <c r="E989" s="5" t="str">
        <f>MID(F989,FIND(".",F989,6)+1,99)</f>
        <v>BWMode</v>
      </c>
      <c r="F989" s="5" t="s">
        <v>842</v>
      </c>
      <c r="G989" s="5" t="s">
        <v>9664</v>
      </c>
      <c r="H989" s="6" t="s">
        <v>2749</v>
      </c>
      <c r="I989" s="7" t="s">
        <v>3985</v>
      </c>
      <c r="J989" s="14" t="s">
        <v>3985</v>
      </c>
      <c r="K989" s="26"/>
      <c r="N989" s="6" t="str">
        <f>IF(AND(TRIM(I989)="",L989=""),"Suffix not translated ",
   IF(AND(TRIM(I989)&lt;&gt;"",TRIM(L989)&lt;&gt;"",TRIM(I989)&lt;&gt;TRIM(L989)),"Suffix translation &lt;&gt; lookup ", "" ))
&amp;IF(AND(TRIM(J989)="",M989=""),"Description not translated ",
   IF(AND(TRIM(J989)&lt;&gt;"",TRIM(M989)&lt;&gt;"",TRIM(J989)&lt;&gt;TRIM(M989)),"Description translation&lt;&gt; lookup ", "" ))</f>
        <v/>
      </c>
      <c r="O989" s="6" t="s">
        <v>8574</v>
      </c>
      <c r="P989" s="6" t="s">
        <v>8574</v>
      </c>
      <c r="Q989" s="6" t="s">
        <v>9162</v>
      </c>
    </row>
    <row r="990" spans="1:17" x14ac:dyDescent="0.25">
      <c r="A990" s="5" t="str">
        <f>IF(TRIM(I990)="","",E990)</f>
        <v>CameraID</v>
      </c>
      <c r="B990" s="5" t="str">
        <f>IF(TRIM(J990)="","",H990)</f>
        <v>Camera ID data</v>
      </c>
      <c r="C990" s="5" t="str">
        <f>LEFT(F990,FIND(".",F990,6))</f>
        <v>Exif.Olympus.</v>
      </c>
      <c r="D990" s="5" t="str">
        <f>VLOOKUP(C990,PrefixUebersetzung,2,FALSE)</f>
        <v>Exif.Olympus.</v>
      </c>
      <c r="E990" s="5" t="str">
        <f>MID(F990,FIND(".",F990,6)+1,99)</f>
        <v>CameraID</v>
      </c>
      <c r="F990" s="5" t="s">
        <v>843</v>
      </c>
      <c r="G990" s="5" t="s">
        <v>9666</v>
      </c>
      <c r="H990" s="6" t="s">
        <v>2750</v>
      </c>
      <c r="I990" s="31" t="s">
        <v>4363</v>
      </c>
      <c r="J990" s="14" t="s">
        <v>4363</v>
      </c>
      <c r="K990" s="26"/>
      <c r="N990" s="6" t="str">
        <f>IF(AND(TRIM(I990)="",L990=""),"Suffix not translated ",
   IF(AND(TRIM(I990)&lt;&gt;"",TRIM(L990)&lt;&gt;"",TRIM(I990)&lt;&gt;TRIM(L990)),"Suffix translation &lt;&gt; lookup ", "" ))
&amp;IF(AND(TRIM(J990)="",M990=""),"Description not translated ",
   IF(AND(TRIM(J990)&lt;&gt;"",TRIM(M990)&lt;&gt;"",TRIM(J990)&lt;&gt;TRIM(M990)),"Description translation&lt;&gt; lookup ", "" ))</f>
        <v/>
      </c>
      <c r="O990" s="6" t="s">
        <v>8574</v>
      </c>
      <c r="P990" s="6" t="s">
        <v>8574</v>
      </c>
      <c r="Q990" s="6" t="s">
        <v>9179</v>
      </c>
    </row>
    <row r="991" spans="1:17" x14ac:dyDescent="0.25">
      <c r="A991" s="5" t="str">
        <f>IF(TRIM(I991)="","",E991)</f>
        <v/>
      </c>
      <c r="B991" s="5" t="str">
        <f>IF(TRIM(J991)="","",H991)</f>
        <v>Camera Settings sub-IFD</v>
      </c>
      <c r="C991" s="5" t="str">
        <f>LEFT(F991,FIND(".",F991,6))</f>
        <v>Exif.Olympus.</v>
      </c>
      <c r="D991" s="5" t="str">
        <f>VLOOKUP(C991,PrefixUebersetzung,2,FALSE)</f>
        <v>Exif.Olympus.</v>
      </c>
      <c r="E991" s="5" t="str">
        <f>MID(F991,FIND(".",F991,6)+1,99)</f>
        <v>CameraSettings</v>
      </c>
      <c r="F991" s="5" t="s">
        <v>844</v>
      </c>
      <c r="G991" s="5" t="s">
        <v>9667</v>
      </c>
      <c r="H991" s="6" t="s">
        <v>2751</v>
      </c>
      <c r="I991" s="24"/>
      <c r="J991" s="8" t="s">
        <v>4838</v>
      </c>
      <c r="K991" s="26"/>
      <c r="L991" s="6" t="str">
        <f>IFERROR(VLOOKUP(E991,A:I,9, FALSE),"")</f>
        <v>Kameraeinstellungen</v>
      </c>
      <c r="N991" s="6" t="str">
        <f>IF(AND(TRIM(I991)="",L991=""),"Suffix not translated ",
   IF(AND(TRIM(I991)&lt;&gt;"",TRIM(L991)&lt;&gt;"",TRIM(I991)&lt;&gt;TRIM(L991)),"Suffix translation &lt;&gt; lookup ", "" ))
&amp;IF(AND(TRIM(J991)="",M991=""),"Description not translated ",
   IF(AND(TRIM(J991)&lt;&gt;"",TRIM(M991)&lt;&gt;"",TRIM(J991)&lt;&gt;TRIM(M991)),"Description translation&lt;&gt; lookup ", "" ))</f>
        <v/>
      </c>
      <c r="P991" s="6" t="s">
        <v>8574</v>
      </c>
      <c r="Q991" s="6" t="s">
        <v>9189</v>
      </c>
    </row>
    <row r="992" spans="1:17" x14ac:dyDescent="0.25">
      <c r="A992" s="5" t="str">
        <f>IF(TRIM(I992)="","",E992)</f>
        <v/>
      </c>
      <c r="B992" s="5" t="str">
        <f>IF(TRIM(J992)="","",H992)</f>
        <v/>
      </c>
      <c r="C992" s="5" t="str">
        <f>LEFT(F992,FIND(".",F992,6))</f>
        <v>Exif.Olympus.</v>
      </c>
      <c r="D992" s="5" t="str">
        <f>VLOOKUP(C992,PrefixUebersetzung,2,FALSE)</f>
        <v>Exif.Olympus.</v>
      </c>
      <c r="E992" s="5" t="str">
        <f>MID(F992,FIND(".",F992,6)+1,99)</f>
        <v>CameraType</v>
      </c>
      <c r="F992" s="5" t="s">
        <v>845</v>
      </c>
      <c r="G992" s="5" t="s">
        <v>9666</v>
      </c>
      <c r="H992" s="6" t="s">
        <v>2752</v>
      </c>
      <c r="I992" s="7"/>
      <c r="K992" s="26"/>
      <c r="L992" s="6" t="str">
        <f>IFERROR(VLOOKUP(E992,A:I,9, FALSE),"")</f>
        <v>Kameratyp</v>
      </c>
      <c r="M992" s="6" t="str">
        <f>IFERROR(VLOOKUP(H992,B:J,9,FALSE),"")</f>
        <v>Kameratyp</v>
      </c>
      <c r="N992" s="6" t="str">
        <f>IF(AND(TRIM(I992)="",L992=""),"Suffix not translated ",
   IF(AND(TRIM(I992)&lt;&gt;"",TRIM(L992)&lt;&gt;"",TRIM(I992)&lt;&gt;TRIM(L992)),"Suffix translation &lt;&gt; lookup ", "" ))
&amp;IF(AND(TRIM(J992)="",M992=""),"Description not translated ",
   IF(AND(TRIM(J992)&lt;&gt;"",TRIM(M992)&lt;&gt;"",TRIM(J992)&lt;&gt;TRIM(M992)),"Description translation&lt;&gt; lookup ", "" ))</f>
        <v/>
      </c>
    </row>
    <row r="993" spans="1:17" x14ac:dyDescent="0.25">
      <c r="A993" s="5" t="str">
        <f>IF(TRIM(I993)="","",E993)</f>
        <v>CCDScanMode</v>
      </c>
      <c r="B993" s="5" t="str">
        <f>IF(TRIM(J993)="","",H993)</f>
        <v>CCD scan mode</v>
      </c>
      <c r="C993" s="5" t="str">
        <f>LEFT(F993,FIND(".",F993,6))</f>
        <v>Exif.Olympus.</v>
      </c>
      <c r="D993" s="5" t="str">
        <f>VLOOKUP(C993,PrefixUebersetzung,2,FALSE)</f>
        <v>Exif.Olympus.</v>
      </c>
      <c r="E993" s="5" t="str">
        <f>MID(F993,FIND(".",F993,6)+1,99)</f>
        <v>CCDScanMode</v>
      </c>
      <c r="F993" s="5" t="s">
        <v>846</v>
      </c>
      <c r="G993" s="5" t="s">
        <v>9664</v>
      </c>
      <c r="H993" s="6" t="s">
        <v>2753</v>
      </c>
      <c r="I993" s="31" t="s">
        <v>3986</v>
      </c>
      <c r="J993" s="14" t="s">
        <v>3986</v>
      </c>
      <c r="K993" s="26"/>
      <c r="N993" s="6" t="str">
        <f>IF(AND(TRIM(I993)="",L993=""),"Suffix not translated ",
   IF(AND(TRIM(I993)&lt;&gt;"",TRIM(L993)&lt;&gt;"",TRIM(I993)&lt;&gt;TRIM(L993)),"Suffix translation &lt;&gt; lookup ", "" ))
&amp;IF(AND(TRIM(J993)="",M993=""),"Description not translated ",
   IF(AND(TRIM(J993)&lt;&gt;"",TRIM(M993)&lt;&gt;"",TRIM(J993)&lt;&gt;TRIM(M993)),"Description translation&lt;&gt; lookup ", "" ))</f>
        <v/>
      </c>
      <c r="O993" s="6" t="s">
        <v>8574</v>
      </c>
      <c r="P993" s="6" t="s">
        <v>8574</v>
      </c>
      <c r="Q993" s="6" t="s">
        <v>9170</v>
      </c>
    </row>
    <row r="994" spans="1:17" x14ac:dyDescent="0.25">
      <c r="A994" s="5" t="str">
        <f>IF(TRIM(I994)="","",E994)</f>
        <v>ColorControl</v>
      </c>
      <c r="B994" s="5" t="str">
        <f>IF(TRIM(J994)="","",H994)</f>
        <v>Color control</v>
      </c>
      <c r="C994" s="5" t="str">
        <f>LEFT(F994,FIND(".",F994,6))</f>
        <v>Exif.Olympus.</v>
      </c>
      <c r="D994" s="5" t="str">
        <f>VLOOKUP(C994,PrefixUebersetzung,2,FALSE)</f>
        <v>Exif.Olympus.</v>
      </c>
      <c r="E994" s="5" t="str">
        <f>MID(F994,FIND(".",F994,6)+1,99)</f>
        <v>ColorControl</v>
      </c>
      <c r="F994" s="5" t="s">
        <v>847</v>
      </c>
      <c r="G994" s="5" t="s">
        <v>9664</v>
      </c>
      <c r="H994" s="6" t="s">
        <v>2754</v>
      </c>
      <c r="I994" s="31" t="s">
        <v>3987</v>
      </c>
      <c r="J994" s="14" t="s">
        <v>3987</v>
      </c>
      <c r="K994" s="26"/>
      <c r="N994" s="6" t="str">
        <f>IF(AND(TRIM(I994)="",L994=""),"Suffix not translated ",
   IF(AND(TRIM(I994)&lt;&gt;"",TRIM(L994)&lt;&gt;"",TRIM(I994)&lt;&gt;TRIM(L994)),"Suffix translation &lt;&gt; lookup ", "" ))
&amp;IF(AND(TRIM(J994)="",M994=""),"Description not translated ",
   IF(AND(TRIM(J994)&lt;&gt;"",TRIM(M994)&lt;&gt;"",TRIM(J994)&lt;&gt;TRIM(M994)),"Description translation&lt;&gt; lookup ", "" ))</f>
        <v/>
      </c>
      <c r="O994" s="6" t="s">
        <v>8574</v>
      </c>
      <c r="P994" s="6" t="s">
        <v>8574</v>
      </c>
      <c r="Q994" s="6" t="s">
        <v>9166</v>
      </c>
    </row>
    <row r="995" spans="1:17" x14ac:dyDescent="0.25">
      <c r="A995" s="5" t="str">
        <f>IF(TRIM(I995)="","",E995)</f>
        <v>ColorMatrix</v>
      </c>
      <c r="B995" s="5" t="str">
        <f>IF(TRIM(J995)="","",H995)</f>
        <v>Color matrix</v>
      </c>
      <c r="C995" s="5" t="str">
        <f>LEFT(F995,FIND(".",F995,6))</f>
        <v>Exif.Olympus.</v>
      </c>
      <c r="D995" s="5" t="str">
        <f>VLOOKUP(C995,PrefixUebersetzung,2,FALSE)</f>
        <v>Exif.Olympus.</v>
      </c>
      <c r="E995" s="5" t="str">
        <f>MID(F995,FIND(".",F995,6)+1,99)</f>
        <v>ColorMatrix</v>
      </c>
      <c r="F995" s="5" t="s">
        <v>848</v>
      </c>
      <c r="G995" s="5" t="s">
        <v>9664</v>
      </c>
      <c r="H995" s="6" t="s">
        <v>2755</v>
      </c>
      <c r="I995" s="31" t="s">
        <v>4365</v>
      </c>
      <c r="J995" s="14" t="s">
        <v>4365</v>
      </c>
      <c r="K995" s="26"/>
      <c r="L995" s="6" t="str">
        <f>IFERROR(VLOOKUP(E995,A:I,9, FALSE),"")</f>
        <v>Farbmatrix</v>
      </c>
      <c r="M995" s="6" t="str">
        <f>IFERROR(VLOOKUP(H995,B:J,9,FALSE),"")</f>
        <v>Farbmatrix</v>
      </c>
      <c r="N995" s="6" t="str">
        <f>IF(AND(TRIM(I995)="",L995=""),"Suffix not translated ",
   IF(AND(TRIM(I995)&lt;&gt;"",TRIM(L995)&lt;&gt;"",TRIM(I995)&lt;&gt;TRIM(L995)),"Suffix translation &lt;&gt; lookup ", "" ))
&amp;IF(AND(TRIM(J995)="",M995=""),"Description not translated ",
   IF(AND(TRIM(J995)&lt;&gt;"",TRIM(M995)&lt;&gt;"",TRIM(J995)&lt;&gt;TRIM(M995)),"Description translation&lt;&gt; lookup ", "" ))</f>
        <v/>
      </c>
      <c r="O995" s="6" t="s">
        <v>8574</v>
      </c>
      <c r="P995" s="6" t="s">
        <v>8574</v>
      </c>
      <c r="Q995" s="6" t="s">
        <v>4365</v>
      </c>
    </row>
    <row r="996" spans="1:17" x14ac:dyDescent="0.25">
      <c r="A996" s="5" t="str">
        <f>IF(TRIM(I996)="","",E996)</f>
        <v>ColorMatrixNumber</v>
      </c>
      <c r="B996" s="5" t="str">
        <f>IF(TRIM(J996)="","",H996)</f>
        <v>Color matrix number</v>
      </c>
      <c r="C996" s="5" t="str">
        <f>LEFT(F996,FIND(".",F996,6))</f>
        <v>Exif.Olympus.</v>
      </c>
      <c r="D996" s="5" t="str">
        <f>VLOOKUP(C996,PrefixUebersetzung,2,FALSE)</f>
        <v>Exif.Olympus.</v>
      </c>
      <c r="E996" s="5" t="str">
        <f>MID(F996,FIND(".",F996,6)+1,99)</f>
        <v>ColorMatrixNumber</v>
      </c>
      <c r="F996" s="5" t="s">
        <v>849</v>
      </c>
      <c r="G996" s="5" t="s">
        <v>9664</v>
      </c>
      <c r="H996" s="6" t="s">
        <v>9618</v>
      </c>
      <c r="I996" s="31" t="s">
        <v>5072</v>
      </c>
      <c r="J996" s="14" t="s">
        <v>5072</v>
      </c>
      <c r="K996" s="26"/>
      <c r="N996" s="6" t="str">
        <f>IF(AND(TRIM(I996)="",L996=""),"Suffix not translated ",
   IF(AND(TRIM(I996)&lt;&gt;"",TRIM(L996)&lt;&gt;"",TRIM(I996)&lt;&gt;TRIM(L996)),"Suffix translation &lt;&gt; lookup ", "" ))
&amp;IF(AND(TRIM(J996)="",M996=""),"Description not translated ",
   IF(AND(TRIM(J996)&lt;&gt;"",TRIM(M996)&lt;&gt;"",TRIM(J996)&lt;&gt;TRIM(M996)),"Description translation&lt;&gt; lookup ", "" ))</f>
        <v/>
      </c>
      <c r="O996" s="6" t="s">
        <v>8574</v>
      </c>
      <c r="P996" s="6" t="s">
        <v>8574</v>
      </c>
    </row>
    <row r="997" spans="1:17" x14ac:dyDescent="0.25">
      <c r="A997" s="5" t="str">
        <f>IF(TRIM(I997)="","",E997)</f>
        <v>CompressionRatio</v>
      </c>
      <c r="B997" s="5" t="str">
        <f>IF(TRIM(J997)="","",H997)</f>
        <v>Compression ratio</v>
      </c>
      <c r="C997" s="5" t="str">
        <f>LEFT(F997,FIND(".",F997,6))</f>
        <v>Exif.Olympus.</v>
      </c>
      <c r="D997" s="5" t="str">
        <f>VLOOKUP(C997,PrefixUebersetzung,2,FALSE)</f>
        <v>Exif.Olympus.</v>
      </c>
      <c r="E997" s="5" t="str">
        <f>MID(F997,FIND(".",F997,6)+1,99)</f>
        <v>CompressionRatio</v>
      </c>
      <c r="F997" s="5" t="s">
        <v>850</v>
      </c>
      <c r="G997" s="5" t="s">
        <v>9671</v>
      </c>
      <c r="H997" s="6" t="s">
        <v>2756</v>
      </c>
      <c r="I997" s="7" t="s">
        <v>4366</v>
      </c>
      <c r="J997" s="14" t="s">
        <v>4366</v>
      </c>
      <c r="K997" s="26"/>
      <c r="N997" s="6" t="str">
        <f>IF(AND(TRIM(I997)="",L997=""),"Suffix not translated ",
   IF(AND(TRIM(I997)&lt;&gt;"",TRIM(L997)&lt;&gt;"",TRIM(I997)&lt;&gt;TRIM(L997)),"Suffix translation &lt;&gt; lookup ", "" ))
&amp;IF(AND(TRIM(J997)="",M997=""),"Description not translated ",
   IF(AND(TRIM(J997)&lt;&gt;"",TRIM(M997)&lt;&gt;"",TRIM(J997)&lt;&gt;TRIM(M997)),"Description translation&lt;&gt; lookup ", "" ))</f>
        <v/>
      </c>
      <c r="O997" s="6" t="s">
        <v>8574</v>
      </c>
      <c r="P997" s="6" t="s">
        <v>8574</v>
      </c>
      <c r="Q997" s="6" t="s">
        <v>9213</v>
      </c>
    </row>
    <row r="998" spans="1:17" x14ac:dyDescent="0.25">
      <c r="A998" s="5" t="str">
        <f>IF(TRIM(I998)="","",E998)</f>
        <v/>
      </c>
      <c r="B998" s="5" t="str">
        <f>IF(TRIM(J998)="","",H998)</f>
        <v/>
      </c>
      <c r="C998" s="5" t="str">
        <f>LEFT(F998,FIND(".",F998,6))</f>
        <v>Exif.Olympus.</v>
      </c>
      <c r="D998" s="5" t="str">
        <f>VLOOKUP(C998,PrefixUebersetzung,2,FALSE)</f>
        <v>Exif.Olympus.</v>
      </c>
      <c r="E998" s="5" t="str">
        <f>MID(F998,FIND(".",F998,6)+1,99)</f>
        <v>Contrast</v>
      </c>
      <c r="F998" s="5" t="s">
        <v>851</v>
      </c>
      <c r="G998" s="5" t="s">
        <v>9664</v>
      </c>
      <c r="H998" s="6" t="s">
        <v>2184</v>
      </c>
      <c r="J998" s="8"/>
      <c r="K998" s="26"/>
      <c r="L998" s="6" t="str">
        <f>IFERROR(VLOOKUP(E998,A:I,9, FALSE),"")</f>
        <v>Kontrast</v>
      </c>
      <c r="M998" s="6" t="str">
        <f>IFERROR(VLOOKUP(H998,B:J,9,FALSE),"")</f>
        <v>Kontrasteinstellung</v>
      </c>
      <c r="N998" s="6" t="str">
        <f>IF(AND(TRIM(I998)="",L998=""),"Suffix not translated ",
   IF(AND(TRIM(I998)&lt;&gt;"",TRIM(L998)&lt;&gt;"",TRIM(I998)&lt;&gt;TRIM(L998)),"Suffix translation &lt;&gt; lookup ", "" ))
&amp;IF(AND(TRIM(J998)="",M998=""),"Description not translated ",
   IF(AND(TRIM(J998)&lt;&gt;"",TRIM(M998)&lt;&gt;"",TRIM(J998)&lt;&gt;TRIM(M998)),"Description translation&lt;&gt; lookup ", "" ))</f>
        <v/>
      </c>
    </row>
    <row r="999" spans="1:17" x14ac:dyDescent="0.25">
      <c r="A999" s="5" t="str">
        <f>IF(TRIM(I999)="","",E999)</f>
        <v/>
      </c>
      <c r="B999" s="5" t="str">
        <f>IF(TRIM(J999)="","",H999)</f>
        <v/>
      </c>
      <c r="C999" s="5" t="str">
        <f>LEFT(F999,FIND(".",F999,6))</f>
        <v>Exif.Olympus.</v>
      </c>
      <c r="D999" s="5" t="str">
        <f>VLOOKUP(C999,PrefixUebersetzung,2,FALSE)</f>
        <v>Exif.Olympus.</v>
      </c>
      <c r="E999" s="5" t="str">
        <f>MID(F999,FIND(".",F999,6)+1,99)</f>
        <v>CoringFilter</v>
      </c>
      <c r="F999" s="5" t="s">
        <v>852</v>
      </c>
      <c r="G999" s="5" t="s">
        <v>9664</v>
      </c>
      <c r="H999" s="6" t="s">
        <v>2757</v>
      </c>
      <c r="I999" s="7"/>
      <c r="K999" s="26"/>
      <c r="L999" s="6" t="str">
        <f>IFERROR(VLOOKUP(E999,A:I,9, FALSE),"")</f>
        <v/>
      </c>
      <c r="M999" s="6" t="str">
        <f>IFERROR(VLOOKUP(H999,B:J,9,FALSE),"")</f>
        <v/>
      </c>
      <c r="N999" s="6" t="str">
        <f>IF(AND(TRIM(I999)="",L999=""),"Suffix not translated ",
   IF(AND(TRIM(I999)&lt;&gt;"",TRIM(L999)&lt;&gt;"",TRIM(I999)&lt;&gt;TRIM(L999)),"Suffix translation &lt;&gt; lookup ", "" ))
&amp;IF(AND(TRIM(J999)="",M999=""),"Description not translated ",
   IF(AND(TRIM(J999)&lt;&gt;"",TRIM(M999)&lt;&gt;"",TRIM(J999)&lt;&gt;TRIM(M999)),"Description translation&lt;&gt; lookup ", "" ))</f>
        <v xml:space="preserve">Suffix not translated Description not translated </v>
      </c>
      <c r="O999" s="6" t="s">
        <v>8574</v>
      </c>
      <c r="P999" s="6" t="s">
        <v>8574</v>
      </c>
    </row>
    <row r="1000" spans="1:17" ht="30" x14ac:dyDescent="0.25">
      <c r="A1000" s="5" t="str">
        <f>IF(TRIM(I1000)="","",E1000)</f>
        <v>DataDump1</v>
      </c>
      <c r="B1000" s="5" t="str">
        <f>IF(TRIM(J1000)="","",H1000)</f>
        <v>Various camera settings 1</v>
      </c>
      <c r="C1000" s="5" t="str">
        <f>LEFT(F1000,FIND(".",F1000,6))</f>
        <v>Exif.Olympus.</v>
      </c>
      <c r="D1000" s="5" t="str">
        <f>VLOOKUP(C1000,PrefixUebersetzung,2,FALSE)</f>
        <v>Exif.Olympus.</v>
      </c>
      <c r="E1000" s="5" t="str">
        <f>MID(F1000,FIND(".",F1000,6)+1,99)</f>
        <v>DataDump1</v>
      </c>
      <c r="F1000" s="5" t="s">
        <v>853</v>
      </c>
      <c r="G1000" s="5" t="s">
        <v>9669</v>
      </c>
      <c r="H1000" s="6" t="s">
        <v>2758</v>
      </c>
      <c r="I1000" s="31" t="s">
        <v>5070</v>
      </c>
      <c r="J1000" s="14" t="s">
        <v>3988</v>
      </c>
      <c r="K1000" s="26"/>
      <c r="N1000" s="6"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6" t="s">
        <v>8574</v>
      </c>
      <c r="P1000" s="6" t="s">
        <v>8574</v>
      </c>
      <c r="Q1000" s="6" t="s">
        <v>3988</v>
      </c>
    </row>
    <row r="1001" spans="1:17" ht="30" x14ac:dyDescent="0.25">
      <c r="A1001" s="5" t="str">
        <f>IF(TRIM(I1001)="","",E1001)</f>
        <v>DataDump2</v>
      </c>
      <c r="B1001" s="5" t="str">
        <f>IF(TRIM(J1001)="","",H1001)</f>
        <v>Various camera settings 2</v>
      </c>
      <c r="C1001" s="5" t="str">
        <f>LEFT(F1001,FIND(".",F1001,6))</f>
        <v>Exif.Olympus.</v>
      </c>
      <c r="D1001" s="5" t="str">
        <f>VLOOKUP(C1001,PrefixUebersetzung,2,FALSE)</f>
        <v>Exif.Olympus.</v>
      </c>
      <c r="E1001" s="5" t="str">
        <f>MID(F1001,FIND(".",F1001,6)+1,99)</f>
        <v>DataDump2</v>
      </c>
      <c r="F1001" s="5" t="s">
        <v>854</v>
      </c>
      <c r="G1001" s="5" t="s">
        <v>9669</v>
      </c>
      <c r="H1001" s="6" t="s">
        <v>2759</v>
      </c>
      <c r="I1001" s="31" t="s">
        <v>5071</v>
      </c>
      <c r="J1001" s="14" t="s">
        <v>3989</v>
      </c>
      <c r="K1001" s="26"/>
      <c r="N1001" s="6"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O1001" s="6" t="s">
        <v>8574</v>
      </c>
      <c r="P1001" s="6" t="s">
        <v>8574</v>
      </c>
      <c r="Q1001" s="6" t="s">
        <v>3989</v>
      </c>
    </row>
    <row r="1002" spans="1:17" x14ac:dyDescent="0.25">
      <c r="A1002" s="5" t="str">
        <f>IF(TRIM(I1002)="","",E1002)</f>
        <v/>
      </c>
      <c r="B1002" s="5" t="str">
        <f>IF(TRIM(J1002)="","",H1002)</f>
        <v>Digital zoom ratio</v>
      </c>
      <c r="C1002" s="5" t="str">
        <f>LEFT(F1002,FIND(".",F1002,6))</f>
        <v>Exif.Olympus.</v>
      </c>
      <c r="D1002" s="5" t="str">
        <f>VLOOKUP(C1002,PrefixUebersetzung,2,FALSE)</f>
        <v>Exif.Olympus.</v>
      </c>
      <c r="E1002" s="5" t="str">
        <f>MID(F1002,FIND(".",F1002,6)+1,99)</f>
        <v>DigitalZoom</v>
      </c>
      <c r="F1002" s="5" t="s">
        <v>855</v>
      </c>
      <c r="G1002" s="5" t="s">
        <v>9671</v>
      </c>
      <c r="H1002" s="6" t="s">
        <v>2760</v>
      </c>
      <c r="I1002" s="7"/>
      <c r="J1002" s="14" t="s">
        <v>3754</v>
      </c>
      <c r="K1002" s="26"/>
      <c r="L1002" s="6" t="str">
        <f>IFERROR(VLOOKUP(E1002,A:I,9, FALSE),"")</f>
        <v>Digitaler Zoom</v>
      </c>
      <c r="N1002" s="6"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P1002" s="6" t="s">
        <v>8574</v>
      </c>
      <c r="Q1002" s="6" t="s">
        <v>9249</v>
      </c>
    </row>
    <row r="1003" spans="1:17" x14ac:dyDescent="0.25">
      <c r="A1003" s="5" t="str">
        <f>IF(TRIM(I1003)="","",E1003)</f>
        <v>Equipment</v>
      </c>
      <c r="B1003" s="5" t="str">
        <f>IF(TRIM(J1003)="","",H1003)</f>
        <v>Camera equipment sub-IFD</v>
      </c>
      <c r="C1003" s="5" t="str">
        <f>LEFT(F1003,FIND(".",F1003,6))</f>
        <v>Exif.Olympus.</v>
      </c>
      <c r="D1003" s="5" t="str">
        <f>VLOOKUP(C1003,PrefixUebersetzung,2,FALSE)</f>
        <v>Exif.Olympus.</v>
      </c>
      <c r="E1003" s="5" t="str">
        <f>MID(F1003,FIND(".",F1003,6)+1,99)</f>
        <v>Equipment</v>
      </c>
      <c r="F1003" s="5" t="s">
        <v>856</v>
      </c>
      <c r="G1003" s="5" t="s">
        <v>9667</v>
      </c>
      <c r="H1003" s="6" t="s">
        <v>2761</v>
      </c>
      <c r="I1003" s="7" t="s">
        <v>4367</v>
      </c>
      <c r="J1003" s="14" t="s">
        <v>3990</v>
      </c>
      <c r="K1003" s="26"/>
      <c r="L1003" s="6" t="str">
        <f>IFERROR(VLOOKUP(E1003,A:I,9, FALSE),"")</f>
        <v>Ausrüstung</v>
      </c>
      <c r="N1003" s="6"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O1003" s="6" t="s">
        <v>8574</v>
      </c>
      <c r="P1003" s="6" t="s">
        <v>8574</v>
      </c>
      <c r="Q1003" s="6" t="s">
        <v>9190</v>
      </c>
    </row>
    <row r="1004" spans="1:17" x14ac:dyDescent="0.25">
      <c r="A1004" s="5" t="str">
        <f>IF(TRIM(I1004)="","",E1004)</f>
        <v>ExternalFlashBounce</v>
      </c>
      <c r="B1004" s="5" t="str">
        <f>IF(TRIM(J1004)="","",H1004)</f>
        <v>External flash bounce</v>
      </c>
      <c r="C1004" s="5" t="str">
        <f>LEFT(F1004,FIND(".",F1004,6))</f>
        <v>Exif.Olympus.</v>
      </c>
      <c r="D1004" s="5" t="str">
        <f>VLOOKUP(C1004,PrefixUebersetzung,2,FALSE)</f>
        <v>Exif.Olympus.</v>
      </c>
      <c r="E1004" s="5" t="str">
        <f>MID(F1004,FIND(".",F1004,6)+1,99)</f>
        <v>ExternalFlashBounce</v>
      </c>
      <c r="F1004" s="5" t="s">
        <v>857</v>
      </c>
      <c r="G1004" s="5" t="s">
        <v>9664</v>
      </c>
      <c r="H1004" s="6" t="s">
        <v>2762</v>
      </c>
      <c r="I1004" s="7" t="s">
        <v>4368</v>
      </c>
      <c r="J1004" s="14" t="s">
        <v>4368</v>
      </c>
      <c r="K1004" s="26"/>
      <c r="L1004" s="6" t="str">
        <f>IFERROR(VLOOKUP(E1004,A:I,9, FALSE),"")</f>
        <v>Externer Blitz Diffusor</v>
      </c>
      <c r="M1004" s="6" t="str">
        <f>IFERROR(VLOOKUP(H1004,B:J,9,FALSE),"")</f>
        <v>Externer Blitz Diffusor</v>
      </c>
      <c r="N1004" s="6"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c r="O1004" s="6" t="s">
        <v>8574</v>
      </c>
      <c r="P1004" s="6" t="s">
        <v>8574</v>
      </c>
      <c r="Q1004" s="6" t="s">
        <v>9290</v>
      </c>
    </row>
    <row r="1005" spans="1:17" x14ac:dyDescent="0.25">
      <c r="A1005" s="5" t="str">
        <f>IF(TRIM(I1005)="","",E1005)</f>
        <v>ExternalFlashMode</v>
      </c>
      <c r="B1005" s="5" t="str">
        <f>IF(TRIM(J1005)="","",H1005)</f>
        <v>External flash mode</v>
      </c>
      <c r="C1005" s="5" t="str">
        <f>LEFT(F1005,FIND(".",F1005,6))</f>
        <v>Exif.Olympus.</v>
      </c>
      <c r="D1005" s="5" t="str">
        <f>VLOOKUP(C1005,PrefixUebersetzung,2,FALSE)</f>
        <v>Exif.Olympus.</v>
      </c>
      <c r="E1005" s="5" t="str">
        <f>MID(F1005,FIND(".",F1005,6)+1,99)</f>
        <v>ExternalFlashMode</v>
      </c>
      <c r="F1005" s="5" t="s">
        <v>858</v>
      </c>
      <c r="G1005" s="5" t="s">
        <v>9664</v>
      </c>
      <c r="H1005" s="6" t="s">
        <v>2763</v>
      </c>
      <c r="I1005" s="7" t="s">
        <v>3991</v>
      </c>
      <c r="J1005" s="14" t="s">
        <v>3991</v>
      </c>
      <c r="K1005" s="26"/>
      <c r="N1005" s="6"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c r="O1005" s="6" t="s">
        <v>8574</v>
      </c>
      <c r="P1005" s="6" t="s">
        <v>8574</v>
      </c>
      <c r="Q1005" s="6" t="s">
        <v>9290</v>
      </c>
    </row>
    <row r="1006" spans="1:17" x14ac:dyDescent="0.25">
      <c r="A1006" s="5" t="str">
        <f>IF(TRIM(I1006)="","",E1006)</f>
        <v>ExternalFlashZoom</v>
      </c>
      <c r="B1006" s="5" t="str">
        <f>IF(TRIM(J1006)="","",H1006)</f>
        <v>External flash zoom</v>
      </c>
      <c r="C1006" s="5" t="str">
        <f>LEFT(F1006,FIND(".",F1006,6))</f>
        <v>Exif.Olympus.</v>
      </c>
      <c r="D1006" s="5" t="str">
        <f>VLOOKUP(C1006,PrefixUebersetzung,2,FALSE)</f>
        <v>Exif.Olympus.</v>
      </c>
      <c r="E1006" s="5" t="str">
        <f>MID(F1006,FIND(".",F1006,6)+1,99)</f>
        <v>ExternalFlashZoom</v>
      </c>
      <c r="F1006" s="5" t="s">
        <v>859</v>
      </c>
      <c r="G1006" s="5" t="s">
        <v>9664</v>
      </c>
      <c r="H1006" s="6" t="s">
        <v>2764</v>
      </c>
      <c r="I1006" s="7" t="s">
        <v>4369</v>
      </c>
      <c r="J1006" s="14" t="s">
        <v>4369</v>
      </c>
      <c r="K1006" s="26"/>
      <c r="L1006" s="6" t="str">
        <f>IFERROR(VLOOKUP(E1006,A:I,9, FALSE),"")</f>
        <v>Externer Blitz Zoom</v>
      </c>
      <c r="M1006" s="6" t="str">
        <f>IFERROR(VLOOKUP(H1006,B:J,9,FALSE),"")</f>
        <v>Externer Blitz Zoom</v>
      </c>
      <c r="N1006" s="6"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c r="O1006" s="6" t="s">
        <v>8574</v>
      </c>
      <c r="P1006" s="6" t="s">
        <v>8574</v>
      </c>
      <c r="Q1006" s="6" t="s">
        <v>9291</v>
      </c>
    </row>
    <row r="1007" spans="1:17" x14ac:dyDescent="0.25">
      <c r="A1007" s="5" t="str">
        <f>IF(TRIM(I1007)="","",E1007)</f>
        <v>Firmware</v>
      </c>
      <c r="B1007" s="5" t="str">
        <f>IF(TRIM(J1007)="","",H1007)</f>
        <v>Firmware</v>
      </c>
      <c r="C1007" s="5" t="str">
        <f>LEFT(F1007,FIND(".",F1007,6))</f>
        <v>Exif.Olympus.</v>
      </c>
      <c r="D1007" s="5" t="str">
        <f>VLOOKUP(C1007,PrefixUebersetzung,2,FALSE)</f>
        <v>Exif.Olympus.</v>
      </c>
      <c r="E1007" s="5" t="str">
        <f>MID(F1007,FIND(".",F1007,6)+1,99)</f>
        <v>Firmware</v>
      </c>
      <c r="F1007" s="5" t="s">
        <v>860</v>
      </c>
      <c r="G1007" s="5" t="s">
        <v>9666</v>
      </c>
      <c r="H1007" s="6" t="s">
        <v>3125</v>
      </c>
      <c r="I1007" s="7" t="s">
        <v>3125</v>
      </c>
      <c r="J1007" s="14" t="s">
        <v>3125</v>
      </c>
      <c r="K1007" s="26"/>
      <c r="L1007" s="6" t="str">
        <f>IFERROR(VLOOKUP(E1007,A:I,9, FALSE),"")</f>
        <v>Firmware</v>
      </c>
      <c r="M1007" s="6" t="str">
        <f>IFERROR(VLOOKUP(H1007,B:J,9,FALSE),"")</f>
        <v>Firmware</v>
      </c>
      <c r="N1007" s="6"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c r="O1007" s="6" t="s">
        <v>8574</v>
      </c>
      <c r="P1007" s="6" t="s">
        <v>8574</v>
      </c>
    </row>
    <row r="1008" spans="1:17" x14ac:dyDescent="0.25">
      <c r="A1008" s="5" t="str">
        <f>IF(TRIM(I1008)="","",E1008)</f>
        <v/>
      </c>
      <c r="B1008" s="5" t="str">
        <f>IF(TRIM(J1008)="","",H1008)</f>
        <v>Flash exposure compensation</v>
      </c>
      <c r="C1008" s="5" t="str">
        <f>LEFT(F1008,FIND(".",F1008,6))</f>
        <v>Exif.Olympus.</v>
      </c>
      <c r="D1008" s="5" t="str">
        <f>VLOOKUP(C1008,PrefixUebersetzung,2,FALSE)</f>
        <v>Exif.Olympus.</v>
      </c>
      <c r="E1008" s="5" t="str">
        <f>MID(F1008,FIND(".",F1008,6)+1,99)</f>
        <v>FlashBias</v>
      </c>
      <c r="F1008" s="5" t="s">
        <v>861</v>
      </c>
      <c r="G1008" s="5" t="s">
        <v>9672</v>
      </c>
      <c r="H1008" s="6" t="s">
        <v>2765</v>
      </c>
      <c r="I1008" s="7"/>
      <c r="J1008" s="8" t="s">
        <v>3992</v>
      </c>
      <c r="K1008" s="26"/>
      <c r="L1008" s="6" t="str">
        <f>IFERROR(VLOOKUP(E1008,A:I,9, FALSE),"")</f>
        <v>Blitzkorrektur</v>
      </c>
      <c r="M1008" s="6" t="str">
        <f>IFERROR(VLOOKUP(H1008,B:J,9,FALSE),"")</f>
        <v>Blitzbelichtungskorrektur</v>
      </c>
      <c r="N1008" s="6"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c r="P1008" s="6" t="s">
        <v>8574</v>
      </c>
      <c r="Q1008" s="6" t="s">
        <v>9308</v>
      </c>
    </row>
    <row r="1009" spans="1:17" x14ac:dyDescent="0.25">
      <c r="A1009" s="5" t="str">
        <f>IF(TRIM(I1009)="","",E1009)</f>
        <v>FlashChargeLevel</v>
      </c>
      <c r="B1009" s="5" t="str">
        <f>IF(TRIM(J1009)="","",H1009)</f>
        <v>Flash charge level</v>
      </c>
      <c r="C1009" s="5" t="str">
        <f>LEFT(F1009,FIND(".",F1009,6))</f>
        <v>Exif.Olympus.</v>
      </c>
      <c r="D1009" s="5" t="str">
        <f>VLOOKUP(C1009,PrefixUebersetzung,2,FALSE)</f>
        <v>Exif.Olympus.</v>
      </c>
      <c r="E1009" s="5" t="str">
        <f>MID(F1009,FIND(".",F1009,6)+1,99)</f>
        <v>FlashChargeLevel</v>
      </c>
      <c r="F1009" s="5" t="s">
        <v>862</v>
      </c>
      <c r="G1009" s="5" t="s">
        <v>9664</v>
      </c>
      <c r="H1009" s="6" t="s">
        <v>2766</v>
      </c>
      <c r="I1009" s="31" t="s">
        <v>5117</v>
      </c>
      <c r="J1009" s="14" t="s">
        <v>5117</v>
      </c>
      <c r="K1009" s="26"/>
      <c r="N1009" s="6"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O1009" s="6" t="s">
        <v>8574</v>
      </c>
      <c r="P1009" s="6" t="s">
        <v>8574</v>
      </c>
      <c r="Q1009" s="6" t="s">
        <v>9306</v>
      </c>
    </row>
    <row r="1010" spans="1:17" x14ac:dyDescent="0.25">
      <c r="A1010" s="5" t="str">
        <f>IF(TRIM(I1010)="","",E1010)</f>
        <v/>
      </c>
      <c r="B1010" s="5" t="str">
        <f>IF(TRIM(J1010)="","",H1010)</f>
        <v/>
      </c>
      <c r="C1010" s="5" t="str">
        <f>LEFT(F1010,FIND(".",F1010,6))</f>
        <v>Exif.Olympus.</v>
      </c>
      <c r="D1010" s="5" t="str">
        <f>VLOOKUP(C1010,PrefixUebersetzung,2,FALSE)</f>
        <v>Exif.Olympus.</v>
      </c>
      <c r="E1010" s="5" t="str">
        <f>MID(F1010,FIND(".",F1010,6)+1,99)</f>
        <v>FlashDevice</v>
      </c>
      <c r="F1010" s="5" t="s">
        <v>863</v>
      </c>
      <c r="G1010" s="5" t="s">
        <v>9664</v>
      </c>
      <c r="H1010" s="6" t="s">
        <v>2632</v>
      </c>
      <c r="I1010" s="7"/>
      <c r="K1010" s="26"/>
      <c r="L1010" s="6" t="str">
        <f>IFERROR(VLOOKUP(E1010,A:I,9, FALSE),"")</f>
        <v>Blitzgerät</v>
      </c>
      <c r="M1010" s="6" t="str">
        <f>IFERROR(VLOOKUP(H1010,B:J,9,FALSE),"")</f>
        <v>Blitzgerät</v>
      </c>
      <c r="N1010" s="6"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5" t="str">
        <f>IF(TRIM(I1011)="","",E1011)</f>
        <v/>
      </c>
      <c r="B1011" s="5" t="str">
        <f>IF(TRIM(J1011)="","",H1011)</f>
        <v/>
      </c>
      <c r="C1011" s="5" t="str">
        <f>LEFT(F1011,FIND(".",F1011,6))</f>
        <v>Exif.Olympus.</v>
      </c>
      <c r="D1011" s="5" t="str">
        <f>VLOOKUP(C1011,PrefixUebersetzung,2,FALSE)</f>
        <v>Exif.Olympus.</v>
      </c>
      <c r="E1011" s="5" t="str">
        <f>MID(F1011,FIND(".",F1011,6)+1,99)</f>
        <v>FlashMode</v>
      </c>
      <c r="F1011" s="5" t="s">
        <v>864</v>
      </c>
      <c r="G1011" s="5" t="s">
        <v>9664</v>
      </c>
      <c r="H1011" s="6" t="s">
        <v>2569</v>
      </c>
      <c r="I1011" s="7"/>
      <c r="K1011" s="26"/>
      <c r="L1011" s="6" t="str">
        <f>IFERROR(VLOOKUP(E1011,A:I,9, FALSE),"")</f>
        <v>Blitzmodus</v>
      </c>
      <c r="M1011" s="6" t="str">
        <f>IFERROR(VLOOKUP(H1011,B:J,9,FALSE),"")</f>
        <v>Blitzmodus</v>
      </c>
      <c r="N1011" s="6"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row>
    <row r="1012" spans="1:17" x14ac:dyDescent="0.25">
      <c r="A1012" s="5" t="str">
        <f>IF(TRIM(I1012)="","",E1012)</f>
        <v/>
      </c>
      <c r="B1012" s="5" t="str">
        <f>IF(TRIM(J1012)="","",H1012)</f>
        <v/>
      </c>
      <c r="C1012" s="5" t="str">
        <f>LEFT(F1012,FIND(".",F1012,6))</f>
        <v>Exif.Olympus.</v>
      </c>
      <c r="D1012" s="5" t="str">
        <f>VLOOKUP(C1012,PrefixUebersetzung,2,FALSE)</f>
        <v>Exif.Olympus.</v>
      </c>
      <c r="E1012" s="5" t="str">
        <f>MID(F1012,FIND(".",F1012,6)+1,99)</f>
        <v>FocalPlaneDiagonal</v>
      </c>
      <c r="F1012" s="5" t="s">
        <v>865</v>
      </c>
      <c r="G1012" s="5" t="s">
        <v>9671</v>
      </c>
      <c r="H1012" s="6" t="s">
        <v>2767</v>
      </c>
      <c r="I1012" s="7"/>
      <c r="K1012" s="26"/>
      <c r="L1012" s="6" t="str">
        <f>IFERROR(VLOOKUP(E1012,A:I,9, FALSE),"")</f>
        <v/>
      </c>
      <c r="M1012" s="6" t="str">
        <f>IFERROR(VLOOKUP(H1012,B:J,9,FALSE),"")</f>
        <v/>
      </c>
      <c r="N1012" s="6"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xml:space="preserve">Suffix not translated Description not translated </v>
      </c>
      <c r="O1012" s="6" t="s">
        <v>8574</v>
      </c>
      <c r="P1012" s="6" t="s">
        <v>8574</v>
      </c>
    </row>
    <row r="1013" spans="1:17" x14ac:dyDescent="0.25">
      <c r="A1013" s="5" t="str">
        <f>IF(TRIM(I1013)="","",E1013)</f>
        <v/>
      </c>
      <c r="B1013" s="5" t="str">
        <f>IF(TRIM(J1013)="","",H1013)</f>
        <v/>
      </c>
      <c r="C1013" s="5" t="str">
        <f>LEFT(F1013,FIND(".",F1013,6))</f>
        <v>Exif.Olympus.</v>
      </c>
      <c r="D1013" s="5" t="str">
        <f>VLOOKUP(C1013,PrefixUebersetzung,2,FALSE)</f>
        <v>Exif.Olympus.</v>
      </c>
      <c r="E1013" s="5" t="str">
        <f>MID(F1013,FIND(".",F1013,6)+1,99)</f>
        <v>FocusDistance</v>
      </c>
      <c r="F1013" s="5" t="s">
        <v>866</v>
      </c>
      <c r="G1013" s="5" t="s">
        <v>9671</v>
      </c>
      <c r="H1013" s="6" t="s">
        <v>2607</v>
      </c>
      <c r="I1013" s="7"/>
      <c r="K1013" s="26"/>
      <c r="L1013" s="6" t="str">
        <f>IFERROR(VLOOKUP(E1013,A:I,9, FALSE),"")</f>
        <v>Aufnahmeabstand</v>
      </c>
      <c r="M1013" s="6" t="str">
        <f>IFERROR(VLOOKUP(H1013,B:J,9,FALSE),"")</f>
        <v>Manuelle Fokus-Entfernung</v>
      </c>
      <c r="N1013" s="6"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row>
    <row r="1014" spans="1:17" x14ac:dyDescent="0.25">
      <c r="A1014" s="5" t="str">
        <f>IF(TRIM(I1014)="","",E1014)</f>
        <v>FocusInfo</v>
      </c>
      <c r="B1014" s="5" t="str">
        <f>IF(TRIM(J1014)="","",H1014)</f>
        <v>Focus sub-IFD</v>
      </c>
      <c r="C1014" s="5" t="str">
        <f>LEFT(F1014,FIND(".",F1014,6))</f>
        <v>Exif.Olympus.</v>
      </c>
      <c r="D1014" s="5" t="str">
        <f>VLOOKUP(C1014,PrefixUebersetzung,2,FALSE)</f>
        <v>Exif.Olympus.</v>
      </c>
      <c r="E1014" s="5" t="str">
        <f>MID(F1014,FIND(".",F1014,6)+1,99)</f>
        <v>FocusInfo</v>
      </c>
      <c r="F1014" s="5" t="s">
        <v>867</v>
      </c>
      <c r="G1014" s="5" t="s">
        <v>9667</v>
      </c>
      <c r="H1014" s="6" t="s">
        <v>2768</v>
      </c>
      <c r="I1014" s="7" t="s">
        <v>4370</v>
      </c>
      <c r="J1014" s="14" t="s">
        <v>3993</v>
      </c>
      <c r="K1014" s="26"/>
      <c r="N1014" s="6"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c r="O1014" s="6" t="s">
        <v>8574</v>
      </c>
      <c r="P1014" s="6" t="s">
        <v>8574</v>
      </c>
      <c r="Q1014" s="6" t="s">
        <v>9324</v>
      </c>
    </row>
    <row r="1015" spans="1:17" x14ac:dyDescent="0.25">
      <c r="A1015" s="5" t="str">
        <f>IF(TRIM(I1015)="","",E1015)</f>
        <v/>
      </c>
      <c r="B1015" s="5" t="str">
        <f>IF(TRIM(J1015)="","",H1015)</f>
        <v/>
      </c>
      <c r="C1015" s="5" t="str">
        <f>LEFT(F1015,FIND(".",F1015,6))</f>
        <v>Exif.Olympus.</v>
      </c>
      <c r="D1015" s="5" t="str">
        <f>VLOOKUP(C1015,PrefixUebersetzung,2,FALSE)</f>
        <v>Exif.Olympus.</v>
      </c>
      <c r="E1015" s="5" t="str">
        <f>MID(F1015,FIND(".",F1015,6)+1,99)</f>
        <v>FocusMode</v>
      </c>
      <c r="F1015" s="5" t="s">
        <v>868</v>
      </c>
      <c r="G1015" s="5" t="s">
        <v>9664</v>
      </c>
      <c r="H1015" s="6" t="s">
        <v>2558</v>
      </c>
      <c r="I1015" s="7"/>
      <c r="K1015" s="26"/>
      <c r="L1015" s="6" t="str">
        <f>IFERROR(VLOOKUP(E1015,A:I,9, FALSE),"")</f>
        <v>Fokusmodus</v>
      </c>
      <c r="M1015" s="6" t="str">
        <f>IFERROR(VLOOKUP(H1015,B:J,9,FALSE),"")</f>
        <v>Fokusmodus</v>
      </c>
      <c r="N1015" s="6"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row>
    <row r="1016" spans="1:17" x14ac:dyDescent="0.25">
      <c r="A1016" s="5" t="str">
        <f>IF(TRIM(I1016)="","",E1016)</f>
        <v>FocusRange</v>
      </c>
      <c r="B1016" s="5" t="str">
        <f>IF(TRIM(J1016)="","",H1016)</f>
        <v>Focus range</v>
      </c>
      <c r="C1016" s="5" t="str">
        <f>LEFT(F1016,FIND(".",F1016,6))</f>
        <v>Exif.Olympus.</v>
      </c>
      <c r="D1016" s="5" t="str">
        <f>VLOOKUP(C1016,PrefixUebersetzung,2,FALSE)</f>
        <v>Exif.Olympus.</v>
      </c>
      <c r="E1016" s="5" t="str">
        <f>MID(F1016,FIND(".",F1016,6)+1,99)</f>
        <v>FocusRange</v>
      </c>
      <c r="F1016" s="5" t="s">
        <v>869</v>
      </c>
      <c r="G1016" s="5" t="s">
        <v>9664</v>
      </c>
      <c r="H1016" s="6" t="s">
        <v>2769</v>
      </c>
      <c r="I1016" s="31" t="s">
        <v>5085</v>
      </c>
      <c r="J1016" s="14" t="s">
        <v>5085</v>
      </c>
      <c r="K1016" s="26"/>
      <c r="N1016" s="6"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c r="O1016" s="6" t="s">
        <v>8574</v>
      </c>
      <c r="P1016" s="6" t="s">
        <v>8574</v>
      </c>
      <c r="Q1016" s="6" t="s">
        <v>4882</v>
      </c>
    </row>
    <row r="1017" spans="1:17" x14ac:dyDescent="0.25">
      <c r="A1017" s="5" t="str">
        <f>IF(TRIM(I1017)="","",E1017)</f>
        <v/>
      </c>
      <c r="B1017" s="5" t="str">
        <f>IF(TRIM(J1017)="","",H1017)</f>
        <v/>
      </c>
      <c r="C1017" s="5" t="str">
        <f>LEFT(F1017,FIND(".",F1017,6))</f>
        <v>Exif.Olympus.</v>
      </c>
      <c r="D1017" s="5" t="str">
        <f>VLOOKUP(C1017,PrefixUebersetzung,2,FALSE)</f>
        <v>Exif.Olympus.</v>
      </c>
      <c r="E1017" s="5" t="str">
        <f>MID(F1017,FIND(".",F1017,6)+1,99)</f>
        <v>ImageHeight</v>
      </c>
      <c r="F1017" s="5" t="s">
        <v>870</v>
      </c>
      <c r="G1017" s="5" t="s">
        <v>9664</v>
      </c>
      <c r="H1017" s="6" t="s">
        <v>2236</v>
      </c>
      <c r="I1017" s="7"/>
      <c r="K1017" s="26"/>
      <c r="L1017" s="6" t="str">
        <f>IFERROR(VLOOKUP(E1017,A:I,9, FALSE),"")</f>
        <v>Bildhöhe</v>
      </c>
      <c r="M1017" s="6" t="str">
        <f>IFERROR(VLOOKUP(H1017,B:J,9,FALSE),"")</f>
        <v>Bildhöhe</v>
      </c>
      <c r="N1017" s="6"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5" t="str">
        <f>IF(TRIM(I1018)="","",E1018)</f>
        <v/>
      </c>
      <c r="B1018" s="5" t="str">
        <f>IF(TRIM(J1018)="","",H1018)</f>
        <v>Image processing sub-IFD</v>
      </c>
      <c r="C1018" s="5" t="str">
        <f>LEFT(F1018,FIND(".",F1018,6))</f>
        <v>Exif.Olympus.</v>
      </c>
      <c r="D1018" s="5" t="str">
        <f>VLOOKUP(C1018,PrefixUebersetzung,2,FALSE)</f>
        <v>Exif.Olympus.</v>
      </c>
      <c r="E1018" s="5" t="str">
        <f>MID(F1018,FIND(".",F1018,6)+1,99)</f>
        <v>ImageProcessing</v>
      </c>
      <c r="F1018" s="5" t="s">
        <v>871</v>
      </c>
      <c r="G1018" s="5" t="s">
        <v>9667</v>
      </c>
      <c r="H1018" s="6" t="s">
        <v>2770</v>
      </c>
      <c r="I1018" s="7"/>
      <c r="J1018" s="14" t="s">
        <v>3994</v>
      </c>
      <c r="K1018" s="26"/>
      <c r="L1018" s="6" t="str">
        <f>IFERROR(VLOOKUP(E1018,A:I,9, FALSE),"")</f>
        <v>Bildverarbeitung</v>
      </c>
      <c r="N1018" s="6"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P1018" s="6" t="s">
        <v>8574</v>
      </c>
      <c r="Q1018" s="6" t="s">
        <v>9362</v>
      </c>
    </row>
    <row r="1019" spans="1:17" x14ac:dyDescent="0.25">
      <c r="A1019" s="5" t="str">
        <f>IF(TRIM(I1019)="","",E1019)</f>
        <v/>
      </c>
      <c r="B1019" s="5" t="str">
        <f>IF(TRIM(J1019)="","",H1019)</f>
        <v/>
      </c>
      <c r="C1019" s="5" t="str">
        <f>LEFT(F1019,FIND(".",F1019,6))</f>
        <v>Exif.Olympus.</v>
      </c>
      <c r="D1019" s="5" t="str">
        <f>VLOOKUP(C1019,PrefixUebersetzung,2,FALSE)</f>
        <v>Exif.Olympus.</v>
      </c>
      <c r="E1019" s="5" t="str">
        <f>MID(F1019,FIND(".",F1019,6)+1,99)</f>
        <v>ImageWidth</v>
      </c>
      <c r="F1019" s="5" t="s">
        <v>872</v>
      </c>
      <c r="G1019" s="5" t="s">
        <v>9664</v>
      </c>
      <c r="H1019" s="6" t="s">
        <v>2238</v>
      </c>
      <c r="I1019" s="7"/>
      <c r="K1019" s="26"/>
      <c r="L1019" s="6" t="str">
        <f>IFERROR(VLOOKUP(E1019,A:I,9, FALSE),"")</f>
        <v>Bildbreite</v>
      </c>
      <c r="M1019" s="6" t="str">
        <f>IFERROR(VLOOKUP(H1019,B:J,9,FALSE),"")</f>
        <v>Bildbreite</v>
      </c>
      <c r="N1019" s="6"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5" t="str">
        <f>IF(TRIM(I1020)="","",E1020)</f>
        <v/>
      </c>
      <c r="B1020" s="5" t="str">
        <f>IF(TRIM(J1020)="","",H1020)</f>
        <v/>
      </c>
      <c r="C1020" s="5" t="str">
        <f>LEFT(F1020,FIND(".",F1020,6))</f>
        <v>Exif.Olympus.</v>
      </c>
      <c r="D1020" s="5" t="str">
        <f>VLOOKUP(C1020,PrefixUebersetzung,2,FALSE)</f>
        <v>Exif.Olympus.</v>
      </c>
      <c r="E1020" s="5" t="str">
        <f>MID(F1020,FIND(".",F1020,6)+1,99)</f>
        <v>InfinityLensStep</v>
      </c>
      <c r="F1020" s="5" t="s">
        <v>873</v>
      </c>
      <c r="G1020" s="5" t="s">
        <v>9664</v>
      </c>
      <c r="H1020" s="6" t="s">
        <v>2771</v>
      </c>
      <c r="I1020" s="7"/>
      <c r="K1020" s="26"/>
      <c r="N1020" s="6"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xml:space="preserve">Suffix not translated Description not translated </v>
      </c>
      <c r="O1020" s="6" t="s">
        <v>8574</v>
      </c>
      <c r="P1020" s="6" t="s">
        <v>8574</v>
      </c>
    </row>
    <row r="1021" spans="1:17" x14ac:dyDescent="0.25">
      <c r="A1021" s="5" t="str">
        <f>IF(TRIM(I1021)="","",E1021)</f>
        <v/>
      </c>
      <c r="B1021" s="5" t="str">
        <f>IF(TRIM(J1021)="","",H1021)</f>
        <v>ISO speed value</v>
      </c>
      <c r="C1021" s="5" t="str">
        <f>LEFT(F1021,FIND(".",F1021,6))</f>
        <v>Exif.Olympus.</v>
      </c>
      <c r="D1021" s="5" t="str">
        <f>VLOOKUP(C1021,PrefixUebersetzung,2,FALSE)</f>
        <v>Exif.Olympus.</v>
      </c>
      <c r="E1021" s="5" t="str">
        <f>MID(F1021,FIND(".",F1021,6)+1,99)</f>
        <v>ISOSpeed</v>
      </c>
      <c r="F1021" s="5" t="s">
        <v>874</v>
      </c>
      <c r="G1021" s="5" t="s">
        <v>9672</v>
      </c>
      <c r="H1021" s="6" t="s">
        <v>2772</v>
      </c>
      <c r="I1021" s="7"/>
      <c r="J1021" s="14" t="s">
        <v>3768</v>
      </c>
      <c r="K1021" s="26"/>
      <c r="L1021" s="6" t="str">
        <f>IFERROR(VLOOKUP(E1021,A:I,9, FALSE),"")</f>
        <v>ISO-Empfindlichkeit</v>
      </c>
      <c r="N1021" s="6"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c r="P1021" s="6" t="s">
        <v>8574</v>
      </c>
      <c r="Q1021" s="6" t="s">
        <v>9348</v>
      </c>
    </row>
    <row r="1022" spans="1:17" x14ac:dyDescent="0.25">
      <c r="A1022" s="5" t="str">
        <f>IF(TRIM(I1022)="","",E1022)</f>
        <v>LensDistortionParams</v>
      </c>
      <c r="B1022" s="5" t="str">
        <f>IF(TRIM(J1022)="","",H1022)</f>
        <v>Lens distortion parameters</v>
      </c>
      <c r="C1022" s="5" t="str">
        <f>LEFT(F1022,FIND(".",F1022,6))</f>
        <v>Exif.Olympus.</v>
      </c>
      <c r="D1022" s="5" t="str">
        <f>VLOOKUP(C1022,PrefixUebersetzung,2,FALSE)</f>
        <v>Exif.Olympus.</v>
      </c>
      <c r="E1022" s="5" t="str">
        <f>MID(F1022,FIND(".",F1022,6)+1,99)</f>
        <v>LensDistortionParams</v>
      </c>
      <c r="F1022" s="5" t="s">
        <v>875</v>
      </c>
      <c r="G1022" s="5" t="s">
        <v>9665</v>
      </c>
      <c r="H1022" s="6" t="s">
        <v>2773</v>
      </c>
      <c r="I1022" s="31" t="s">
        <v>3995</v>
      </c>
      <c r="J1022" s="14" t="s">
        <v>3995</v>
      </c>
      <c r="K1022" s="26"/>
      <c r="N1022" s="6"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c r="O1022" s="6" t="s">
        <v>8574</v>
      </c>
      <c r="P1022" s="6" t="s">
        <v>8574</v>
      </c>
      <c r="Q1022" s="6" t="s">
        <v>9390</v>
      </c>
    </row>
    <row r="1023" spans="1:17" x14ac:dyDescent="0.25">
      <c r="A1023" s="5" t="str">
        <f>IF(TRIM(I1023)="","",E1023)</f>
        <v>LensTemperature</v>
      </c>
      <c r="B1023" s="5" t="str">
        <f>IF(TRIM(J1023)="","",H1023)</f>
        <v>Lens temperature</v>
      </c>
      <c r="C1023" s="5" t="str">
        <f>LEFT(F1023,FIND(".",F1023,6))</f>
        <v>Exif.Olympus.</v>
      </c>
      <c r="D1023" s="5" t="str">
        <f>VLOOKUP(C1023,PrefixUebersetzung,2,FALSE)</f>
        <v>Exif.Olympus.</v>
      </c>
      <c r="E1023" s="5" t="str">
        <f>MID(F1023,FIND(".",F1023,6)+1,99)</f>
        <v>LensTemperature</v>
      </c>
      <c r="F1023" s="5" t="s">
        <v>876</v>
      </c>
      <c r="G1023" s="5" t="s">
        <v>9665</v>
      </c>
      <c r="H1023" s="6" t="s">
        <v>2774</v>
      </c>
      <c r="I1023" s="31" t="s">
        <v>3996</v>
      </c>
      <c r="J1023" s="14" t="s">
        <v>3996</v>
      </c>
      <c r="K1023" s="26"/>
      <c r="N1023" s="6"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c r="O1023" s="6" t="s">
        <v>8574</v>
      </c>
      <c r="P1023" s="6" t="s">
        <v>8574</v>
      </c>
      <c r="Q1023" s="6" t="s">
        <v>9367</v>
      </c>
    </row>
    <row r="1024" spans="1:17" x14ac:dyDescent="0.25">
      <c r="A1024" s="5" t="str">
        <f>IF(TRIM(I1024)="","",E1024)</f>
        <v>LightCondition</v>
      </c>
      <c r="B1024" s="5" t="str">
        <f>IF(TRIM(J1024)="","",H1024)</f>
        <v>Light condition</v>
      </c>
      <c r="C1024" s="5" t="str">
        <f>LEFT(F1024,FIND(".",F1024,6))</f>
        <v>Exif.Olympus.</v>
      </c>
      <c r="D1024" s="5" t="str">
        <f>VLOOKUP(C1024,PrefixUebersetzung,2,FALSE)</f>
        <v>Exif.Olympus.</v>
      </c>
      <c r="E1024" s="5" t="str">
        <f>MID(F1024,FIND(".",F1024,6)+1,99)</f>
        <v>LightCondition</v>
      </c>
      <c r="F1024" s="5" t="s">
        <v>877</v>
      </c>
      <c r="G1024" s="5" t="s">
        <v>9664</v>
      </c>
      <c r="H1024" s="6" t="s">
        <v>2775</v>
      </c>
      <c r="I1024" s="7" t="s">
        <v>6641</v>
      </c>
      <c r="J1024" s="14" t="s">
        <v>6641</v>
      </c>
      <c r="K1024" s="26"/>
      <c r="N1024" s="6"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c r="O1024" s="6" t="s">
        <v>8574</v>
      </c>
      <c r="P1024" s="6" t="s">
        <v>8574</v>
      </c>
      <c r="Q1024" s="6" t="s">
        <v>9341</v>
      </c>
    </row>
    <row r="1025" spans="1:17" x14ac:dyDescent="0.25">
      <c r="A1025" s="5" t="str">
        <f>IF(TRIM(I1025)="","",E1025)</f>
        <v/>
      </c>
      <c r="B1025" s="5" t="str">
        <f>IF(TRIM(J1025)="","",H1025)</f>
        <v/>
      </c>
      <c r="C1025" s="5" t="str">
        <f>LEFT(F1025,FIND(".",F1025,6))</f>
        <v>Exif.Olympus.</v>
      </c>
      <c r="D1025" s="5" t="str">
        <f>VLOOKUP(C1025,PrefixUebersetzung,2,FALSE)</f>
        <v>Exif.Olympus.</v>
      </c>
      <c r="E1025" s="5" t="str">
        <f>MID(F1025,FIND(".",F1025,6)+1,99)</f>
        <v>Macro</v>
      </c>
      <c r="F1025" s="5" t="s">
        <v>878</v>
      </c>
      <c r="G1025" s="5" t="s">
        <v>9664</v>
      </c>
      <c r="H1025" s="6" t="s">
        <v>2202</v>
      </c>
      <c r="I1025" s="7"/>
      <c r="K1025" s="26"/>
      <c r="L1025" s="6" t="str">
        <f>IFERROR(VLOOKUP(E1025,A:I,9, FALSE),"")</f>
        <v>Makro</v>
      </c>
      <c r="M1025" s="6" t="str">
        <f>IFERROR(VLOOKUP(H1025,B:J,9,FALSE),"")</f>
        <v>Makromodus</v>
      </c>
      <c r="N1025" s="6"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5" t="str">
        <f>IF(TRIM(I1026)="","",E1026)</f>
        <v>MacroFocus</v>
      </c>
      <c r="B1026" s="5" t="str">
        <f>IF(TRIM(J1026)="","",H1026)</f>
        <v>Macro focus step count</v>
      </c>
      <c r="C1026" s="5" t="str">
        <f>LEFT(F1026,FIND(".",F1026,6))</f>
        <v>Exif.Olympus.</v>
      </c>
      <c r="D1026" s="5" t="str">
        <f>VLOOKUP(C1026,PrefixUebersetzung,2,FALSE)</f>
        <v>Exif.Olympus.</v>
      </c>
      <c r="E1026" s="5" t="str">
        <f>MID(F1026,FIND(".",F1026,6)+1,99)</f>
        <v>MacroFocus</v>
      </c>
      <c r="F1026" s="5" t="s">
        <v>879</v>
      </c>
      <c r="G1026" s="5" t="s">
        <v>9664</v>
      </c>
      <c r="H1026" s="6" t="s">
        <v>2776</v>
      </c>
      <c r="I1026" s="7" t="s">
        <v>4371</v>
      </c>
      <c r="J1026" s="14" t="s">
        <v>6642</v>
      </c>
      <c r="K1026" s="26"/>
      <c r="N1026" s="6"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O1026" s="6" t="s">
        <v>8574</v>
      </c>
      <c r="P1026" s="6" t="s">
        <v>8574</v>
      </c>
      <c r="Q1026" s="6" t="s">
        <v>9408</v>
      </c>
    </row>
    <row r="1027" spans="1:17" x14ac:dyDescent="0.25">
      <c r="A1027" s="5" t="str">
        <f>IF(TRIM(I1027)="","",E1027)</f>
        <v/>
      </c>
      <c r="B1027" s="5" t="str">
        <f>IF(TRIM(J1027)="","",H1027)</f>
        <v/>
      </c>
      <c r="C1027" s="5" t="str">
        <f>LEFT(F1027,FIND(".",F1027,6))</f>
        <v>Exif.Olympus.</v>
      </c>
      <c r="D1027" s="5" t="str">
        <f>VLOOKUP(C1027,PrefixUebersetzung,2,FALSE)</f>
        <v>Exif.Olympus.</v>
      </c>
      <c r="E1027" s="5" t="str">
        <f>MID(F1027,FIND(".",F1027,6)+1,99)</f>
        <v>NearLensStep</v>
      </c>
      <c r="F1027" s="5" t="s">
        <v>880</v>
      </c>
      <c r="G1027" s="5" t="s">
        <v>9664</v>
      </c>
      <c r="H1027" s="6" t="s">
        <v>2777</v>
      </c>
      <c r="I1027" s="7"/>
      <c r="K1027" s="26"/>
      <c r="N1027" s="6"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xml:space="preserve">Suffix not translated Description not translated </v>
      </c>
      <c r="O1027" s="6" t="s">
        <v>8574</v>
      </c>
      <c r="P1027" s="6" t="s">
        <v>8574</v>
      </c>
    </row>
    <row r="1028" spans="1:17" x14ac:dyDescent="0.25">
      <c r="A1028" s="5" t="str">
        <f>IF(TRIM(I1028)="","",E1028)</f>
        <v/>
      </c>
      <c r="B1028" s="5" t="str">
        <f>IF(TRIM(J1028)="","",H1028)</f>
        <v/>
      </c>
      <c r="C1028" s="5" t="str">
        <f>LEFT(F1028,FIND(".",F1028,6))</f>
        <v>Exif.Olympus.</v>
      </c>
      <c r="D1028" s="5" t="str">
        <f>VLOOKUP(C1028,PrefixUebersetzung,2,FALSE)</f>
        <v>Exif.Olympus.</v>
      </c>
      <c r="E1028" s="5" t="str">
        <f>MID(F1028,FIND(".",F1028,6)+1,99)</f>
        <v>NoiseReduction</v>
      </c>
      <c r="F1028" s="5" t="s">
        <v>881</v>
      </c>
      <c r="G1028" s="5" t="s">
        <v>9664</v>
      </c>
      <c r="H1028" s="6" t="s">
        <v>2563</v>
      </c>
      <c r="I1028" s="7"/>
      <c r="K1028" s="26"/>
      <c r="L1028" s="6" t="str">
        <f>IFERROR(VLOOKUP(E1028,A:I,9, FALSE),"")</f>
        <v xml:space="preserve">Rauschreduzierung </v>
      </c>
      <c r="M1028" s="6" t="str">
        <f>IFERROR(VLOOKUP(H1028,B:J,9,FALSE),"")</f>
        <v xml:space="preserve">Rauschreduzierung </v>
      </c>
      <c r="N1028" s="6"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row>
    <row r="1029" spans="1:17" x14ac:dyDescent="0.25">
      <c r="A1029" s="5" t="str">
        <f>IF(TRIM(I1029)="","",E1029)</f>
        <v>OneTouchWB</v>
      </c>
      <c r="B1029" s="5" t="str">
        <f>IF(TRIM(J1029)="","",H1029)</f>
        <v>One touch white balance</v>
      </c>
      <c r="C1029" s="5" t="str">
        <f>LEFT(F1029,FIND(".",F1029,6))</f>
        <v>Exif.Olympus.</v>
      </c>
      <c r="D1029" s="5" t="str">
        <f>VLOOKUP(C1029,PrefixUebersetzung,2,FALSE)</f>
        <v>Exif.Olympus.</v>
      </c>
      <c r="E1029" s="5" t="str">
        <f>MID(F1029,FIND(".",F1029,6)+1,99)</f>
        <v>OneTouchWB</v>
      </c>
      <c r="F1029" s="5" t="s">
        <v>882</v>
      </c>
      <c r="G1029" s="5" t="s">
        <v>9664</v>
      </c>
      <c r="H1029" s="6" t="s">
        <v>2778</v>
      </c>
      <c r="I1029" s="7" t="s">
        <v>4372</v>
      </c>
      <c r="J1029" s="14" t="s">
        <v>4372</v>
      </c>
      <c r="K1029" s="26"/>
      <c r="N1029" s="6"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O1029" s="6" t="s">
        <v>8574</v>
      </c>
      <c r="P1029" s="6" t="s">
        <v>8574</v>
      </c>
      <c r="Q1029" s="6" t="s">
        <v>9435</v>
      </c>
    </row>
    <row r="1030" spans="1:17" ht="30" x14ac:dyDescent="0.25">
      <c r="A1030" s="5" t="str">
        <f>IF(TRIM(I1030)="","",E1030)</f>
        <v/>
      </c>
      <c r="B1030" s="5" t="str">
        <f>IF(TRIM(J1030)="","",H1030)</f>
        <v>ASCII format data such as [PictureInfo]</v>
      </c>
      <c r="C1030" s="5" t="str">
        <f>LEFT(F1030,FIND(".",F1030,6))</f>
        <v>Exif.Olympus.</v>
      </c>
      <c r="D1030" s="5" t="str">
        <f>VLOOKUP(C1030,PrefixUebersetzung,2,FALSE)</f>
        <v>Exif.Olympus.</v>
      </c>
      <c r="E1030" s="5" t="str">
        <f>MID(F1030,FIND(".",F1030,6)+1,99)</f>
        <v>PictureInfo</v>
      </c>
      <c r="F1030" s="5" t="s">
        <v>883</v>
      </c>
      <c r="G1030" s="5" t="s">
        <v>9666</v>
      </c>
      <c r="H1030" s="6" t="s">
        <v>2779</v>
      </c>
      <c r="I1030" s="7"/>
      <c r="J1030" s="14" t="s">
        <v>3997</v>
      </c>
      <c r="K1030" s="26"/>
      <c r="L1030" s="6" t="str">
        <f>IFERROR(VLOOKUP(E1030,A:I,9, FALSE),"")</f>
        <v>Bildinformation</v>
      </c>
      <c r="N1030" s="6"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P1030" s="6" t="s">
        <v>8574</v>
      </c>
      <c r="Q1030" s="6" t="s">
        <v>9124</v>
      </c>
    </row>
    <row r="1031" spans="1:17" x14ac:dyDescent="0.25">
      <c r="A1031" s="5" t="str">
        <f>IF(TRIM(I1031)="","",E1031)</f>
        <v/>
      </c>
      <c r="B1031" s="5" t="str">
        <f>IF(TRIM(J1031)="","",H1031)</f>
        <v/>
      </c>
      <c r="C1031" s="5" t="str">
        <f>LEFT(F1031,FIND(".",F1031,6))</f>
        <v>Exif.Olympus.</v>
      </c>
      <c r="D1031" s="5" t="str">
        <f>VLOOKUP(C1031,PrefixUebersetzung,2,FALSE)</f>
        <v>Exif.Olympus.</v>
      </c>
      <c r="E1031" s="5" t="str">
        <f>MID(F1031,FIND(".",F1031,6)+1,99)</f>
        <v>PreCaptureFrames</v>
      </c>
      <c r="F1031" s="5" t="s">
        <v>884</v>
      </c>
      <c r="G1031" s="5" t="s">
        <v>9664</v>
      </c>
      <c r="H1031" s="6" t="s">
        <v>2780</v>
      </c>
      <c r="I1031" s="7"/>
      <c r="K1031" s="26"/>
      <c r="N1031" s="6"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xml:space="preserve">Suffix not translated Description not translated </v>
      </c>
      <c r="O1031" s="6" t="s">
        <v>8574</v>
      </c>
      <c r="P1031" s="6" t="s">
        <v>8574</v>
      </c>
    </row>
    <row r="1032" spans="1:17" x14ac:dyDescent="0.25">
      <c r="A1032" s="5" t="str">
        <f>IF(TRIM(I1032)="","",E1032)</f>
        <v/>
      </c>
      <c r="B1032" s="5" t="str">
        <f>IF(TRIM(J1032)="","",H1032)</f>
        <v/>
      </c>
      <c r="C1032" s="5" t="str">
        <f>LEFT(F1032,FIND(".",F1032,6))</f>
        <v>Exif.Olympus.</v>
      </c>
      <c r="D1032" s="5" t="str">
        <f>VLOOKUP(C1032,PrefixUebersetzung,2,FALSE)</f>
        <v>Exif.Olympus.</v>
      </c>
      <c r="E1032" s="5" t="str">
        <f>MID(F1032,FIND(".",F1032,6)+1,99)</f>
        <v>PreviewImage</v>
      </c>
      <c r="F1032" s="5" t="s">
        <v>885</v>
      </c>
      <c r="G1032" s="5" t="s">
        <v>9670</v>
      </c>
      <c r="H1032" s="6" t="s">
        <v>2781</v>
      </c>
      <c r="K1032" s="26"/>
      <c r="L1032" s="6" t="str">
        <f>IFERROR(VLOOKUP(E1032,A:I,9, FALSE),"")</f>
        <v>Vorschaubild</v>
      </c>
      <c r="M1032" s="6" t="str">
        <f>IFERROR(VLOOKUP(H1032,B:J,9,FALSE),"")</f>
        <v>Vorschaubild</v>
      </c>
      <c r="N1032" s="6"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row>
    <row r="1033" spans="1:17" x14ac:dyDescent="0.25">
      <c r="A1033" s="5" t="str">
        <f>IF(TRIM(I1033)="","",E1033)</f>
        <v/>
      </c>
      <c r="B1033" s="5" t="str">
        <f>IF(TRIM(J1033)="","",H1033)</f>
        <v/>
      </c>
      <c r="C1033" s="5" t="str">
        <f>LEFT(F1033,FIND(".",F1033,6))</f>
        <v>Exif.Olympus.</v>
      </c>
      <c r="D1033" s="5" t="str">
        <f>VLOOKUP(C1033,PrefixUebersetzung,2,FALSE)</f>
        <v>Exif.Olympus.</v>
      </c>
      <c r="E1033" s="5" t="str">
        <f>MID(F1033,FIND(".",F1033,6)+1,99)</f>
        <v>PrintIM</v>
      </c>
      <c r="F1033" s="5" t="s">
        <v>886</v>
      </c>
      <c r="G1033" s="5" t="s">
        <v>9669</v>
      </c>
      <c r="H1033" s="6" t="s">
        <v>2535</v>
      </c>
      <c r="I1033" s="7"/>
      <c r="K1033" s="26"/>
      <c r="L1033" s="6" t="str">
        <f>IFERROR(VLOOKUP(E1033,A:I,9, FALSE),"")</f>
        <v>PrintIM</v>
      </c>
      <c r="M1033" s="6" t="str">
        <f>IFERROR(VLOOKUP(H1033,B:J,9,FALSE),"")</f>
        <v>PrintIM Informationen</v>
      </c>
      <c r="N1033" s="6"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row>
    <row r="1034" spans="1:17" x14ac:dyDescent="0.25">
      <c r="A1034" s="5" t="str">
        <f>IF(TRIM(I1034)="","",E1034)</f>
        <v/>
      </c>
      <c r="B1034" s="5" t="str">
        <f>IF(TRIM(J1034)="","",H1034)</f>
        <v/>
      </c>
      <c r="C1034" s="5" t="str">
        <f>LEFT(F1034,FIND(".",F1034,6))</f>
        <v>Exif.Olympus.</v>
      </c>
      <c r="D1034" s="5" t="str">
        <f>VLOOKUP(C1034,PrefixUebersetzung,2,FALSE)</f>
        <v>Exif.Olympus.</v>
      </c>
      <c r="E1034" s="5" t="str">
        <f>MID(F1034,FIND(".",F1034,6)+1,99)</f>
        <v>Quality</v>
      </c>
      <c r="F1034" s="5" t="s">
        <v>887</v>
      </c>
      <c r="G1034" s="5" t="s">
        <v>9664</v>
      </c>
      <c r="H1034" s="6" t="s">
        <v>2284</v>
      </c>
      <c r="I1034" s="7"/>
      <c r="K1034" s="26"/>
      <c r="L1034" s="6" t="str">
        <f>IFERROR(VLOOKUP(E1034,A:I,9, FALSE),"")</f>
        <v>Qualität</v>
      </c>
      <c r="M1034" s="6" t="str">
        <f>IFERROR(VLOOKUP(H1034,B:J,9,FALSE),"")</f>
        <v>Einstellung der Bildqualität</v>
      </c>
      <c r="N1034" s="6"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row>
    <row r="1035" spans="1:17" x14ac:dyDescent="0.25">
      <c r="A1035" s="5" t="str">
        <f>IF(TRIM(I1035)="","",E1035)</f>
        <v>RawDevelopment</v>
      </c>
      <c r="B1035" s="5" t="str">
        <f>IF(TRIM(J1035)="","",H1035)</f>
        <v>Raw development sub-IFD</v>
      </c>
      <c r="C1035" s="5" t="str">
        <f>LEFT(F1035,FIND(".",F1035,6))</f>
        <v>Exif.Olympus.</v>
      </c>
      <c r="D1035" s="5" t="str">
        <f>VLOOKUP(C1035,PrefixUebersetzung,2,FALSE)</f>
        <v>Exif.Olympus.</v>
      </c>
      <c r="E1035" s="5" t="str">
        <f>MID(F1035,FIND(".",F1035,6)+1,99)</f>
        <v>RawDevelopment</v>
      </c>
      <c r="F1035" s="5" t="s">
        <v>888</v>
      </c>
      <c r="G1035" s="5" t="s">
        <v>9667</v>
      </c>
      <c r="H1035" s="6" t="s">
        <v>2782</v>
      </c>
      <c r="I1035" s="7" t="s">
        <v>4373</v>
      </c>
      <c r="J1035" s="14" t="s">
        <v>6643</v>
      </c>
      <c r="K1035" s="26"/>
      <c r="N1035" s="6"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O1035" s="6" t="s">
        <v>8574</v>
      </c>
      <c r="P1035" s="6" t="s">
        <v>8574</v>
      </c>
      <c r="Q1035" s="6" t="s">
        <v>9469</v>
      </c>
    </row>
    <row r="1036" spans="1:17" x14ac:dyDescent="0.25">
      <c r="A1036" s="5" t="str">
        <f>IF(TRIM(I1036)="","",E1036)</f>
        <v>RawDevelopment2</v>
      </c>
      <c r="B1036" s="5" t="str">
        <f>IF(TRIM(J1036)="","",H1036)</f>
        <v>Raw development 2 sub-IFD</v>
      </c>
      <c r="C1036" s="5" t="str">
        <f>LEFT(F1036,FIND(".",F1036,6))</f>
        <v>Exif.Olympus.</v>
      </c>
      <c r="D1036" s="5" t="str">
        <f>VLOOKUP(C1036,PrefixUebersetzung,2,FALSE)</f>
        <v>Exif.Olympus.</v>
      </c>
      <c r="E1036" s="5" t="str">
        <f>MID(F1036,FIND(".",F1036,6)+1,99)</f>
        <v>RawDevelopment2</v>
      </c>
      <c r="F1036" s="5" t="s">
        <v>889</v>
      </c>
      <c r="G1036" s="5" t="s">
        <v>9667</v>
      </c>
      <c r="H1036" s="6" t="s">
        <v>2783</v>
      </c>
      <c r="I1036" s="7" t="s">
        <v>4374</v>
      </c>
      <c r="J1036" s="14" t="s">
        <v>3998</v>
      </c>
      <c r="K1036" s="26"/>
      <c r="N1036" s="6"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c r="O1036" s="6" t="s">
        <v>8574</v>
      </c>
      <c r="P1036" s="6" t="s">
        <v>8574</v>
      </c>
      <c r="Q1036" s="6" t="s">
        <v>9467</v>
      </c>
    </row>
    <row r="1037" spans="1:17" x14ac:dyDescent="0.25">
      <c r="A1037" s="5" t="str">
        <f>IF(TRIM(I1037)="","",E1037)</f>
        <v>RawInfo</v>
      </c>
      <c r="B1037" s="5" t="str">
        <f>IF(TRIM(J1037)="","",H1037)</f>
        <v>Raw sub-IFD</v>
      </c>
      <c r="C1037" s="5" t="str">
        <f>LEFT(F1037,FIND(".",F1037,6))</f>
        <v>Exif.Olympus.</v>
      </c>
      <c r="D1037" s="5" t="str">
        <f>VLOOKUP(C1037,PrefixUebersetzung,2,FALSE)</f>
        <v>Exif.Olympus.</v>
      </c>
      <c r="E1037" s="5" t="str">
        <f>MID(F1037,FIND(".",F1037,6)+1,99)</f>
        <v>RawInfo</v>
      </c>
      <c r="F1037" s="5" t="s">
        <v>890</v>
      </c>
      <c r="G1037" s="5" t="s">
        <v>9667</v>
      </c>
      <c r="H1037" s="6" t="s">
        <v>2784</v>
      </c>
      <c r="I1037" s="7" t="s">
        <v>4907</v>
      </c>
      <c r="J1037" s="14" t="s">
        <v>3999</v>
      </c>
      <c r="K1037" s="26"/>
      <c r="N1037" s="6"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6" t="s">
        <v>8574</v>
      </c>
      <c r="P1037" s="6" t="s">
        <v>8574</v>
      </c>
      <c r="Q1037" s="6" t="s">
        <v>9324</v>
      </c>
    </row>
    <row r="1038" spans="1:17" x14ac:dyDescent="0.25">
      <c r="A1038" s="5" t="str">
        <f>IF(TRIM(I1038)="","",E1038)</f>
        <v>RedBalance</v>
      </c>
      <c r="B1038" s="5" t="str">
        <f>IF(TRIM(J1038)="","",H1038)</f>
        <v>Red balance</v>
      </c>
      <c r="C1038" s="5" t="str">
        <f>LEFT(F1038,FIND(".",F1038,6))</f>
        <v>Exif.Olympus.</v>
      </c>
      <c r="D1038" s="5" t="str">
        <f>VLOOKUP(C1038,PrefixUebersetzung,2,FALSE)</f>
        <v>Exif.Olympus.</v>
      </c>
      <c r="E1038" s="5" t="str">
        <f>MID(F1038,FIND(".",F1038,6)+1,99)</f>
        <v>RedBalance</v>
      </c>
      <c r="F1038" s="5" t="s">
        <v>891</v>
      </c>
      <c r="G1038" s="5" t="s">
        <v>9664</v>
      </c>
      <c r="H1038" s="6" t="s">
        <v>2785</v>
      </c>
      <c r="I1038" s="7" t="s">
        <v>6644</v>
      </c>
      <c r="J1038" s="14" t="s">
        <v>6644</v>
      </c>
      <c r="K1038" s="26"/>
      <c r="L1038" s="6" t="str">
        <f>IFERROR(VLOOKUP(E1038,A:I,9, FALSE),"")</f>
        <v>Rot-Abgleich</v>
      </c>
      <c r="N1038" s="6"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6" t="s">
        <v>8574</v>
      </c>
      <c r="P1038" s="6" t="s">
        <v>8574</v>
      </c>
      <c r="Q1038" s="6" t="s">
        <v>9153</v>
      </c>
    </row>
    <row r="1039" spans="1:17" x14ac:dyDescent="0.25">
      <c r="A1039" s="5" t="str">
        <f>IF(TRIM(I1039)="","",E1039)</f>
        <v>SensorTemperature</v>
      </c>
      <c r="B1039" s="5" t="str">
        <f>IF(TRIM(J1039)="","",H1039)</f>
        <v>Sensor temperature</v>
      </c>
      <c r="C1039" s="5" t="str">
        <f>LEFT(F1039,FIND(".",F1039,6))</f>
        <v>Exif.Olympus.</v>
      </c>
      <c r="D1039" s="5" t="str">
        <f>VLOOKUP(C1039,PrefixUebersetzung,2,FALSE)</f>
        <v>Exif.Olympus.</v>
      </c>
      <c r="E1039" s="5" t="str">
        <f>MID(F1039,FIND(".",F1039,6)+1,99)</f>
        <v>SensorTemperature</v>
      </c>
      <c r="F1039" s="5" t="s">
        <v>892</v>
      </c>
      <c r="G1039" s="5" t="s">
        <v>9665</v>
      </c>
      <c r="H1039" s="6" t="s">
        <v>2786</v>
      </c>
      <c r="I1039" s="7" t="s">
        <v>6645</v>
      </c>
      <c r="J1039" s="14" t="s">
        <v>6645</v>
      </c>
      <c r="K1039" s="26"/>
      <c r="L1039" s="6" t="str">
        <f>IFERROR(VLOOKUP(E1039,A:I,9, FALSE),"")</f>
        <v>Sensortemperatur</v>
      </c>
      <c r="M1039" s="6" t="str">
        <f>IFERROR(VLOOKUP(H1039,B:J,9,FALSE),"")</f>
        <v>Sensortemperatur</v>
      </c>
      <c r="N1039" s="6"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c r="O1039" s="6" t="s">
        <v>8574</v>
      </c>
      <c r="P1039" s="6" t="s">
        <v>8574</v>
      </c>
      <c r="Q1039" s="6" t="s">
        <v>6645</v>
      </c>
    </row>
    <row r="1040" spans="1:17" x14ac:dyDescent="0.25">
      <c r="A1040" s="5" t="str">
        <f>IF(TRIM(I1040)="","",E1040)</f>
        <v>SerialNumber2</v>
      </c>
      <c r="B1040" s="5" t="str">
        <f>IF(TRIM(J1040)="","",H1040)</f>
        <v>Serial number 2</v>
      </c>
      <c r="C1040" s="5" t="str">
        <f>LEFT(F1040,FIND(".",F1040,6))</f>
        <v>Exif.Olympus.</v>
      </c>
      <c r="D1040" s="5" t="str">
        <f>VLOOKUP(C1040,PrefixUebersetzung,2,FALSE)</f>
        <v>Exif.Olympus.</v>
      </c>
      <c r="E1040" s="5" t="str">
        <f>MID(F1040,FIND(".",F1040,6)+1,99)</f>
        <v>SerialNumber2</v>
      </c>
      <c r="F1040" s="5" t="s">
        <v>893</v>
      </c>
      <c r="G1040" s="5" t="s">
        <v>9666</v>
      </c>
      <c r="H1040" s="6" t="s">
        <v>2787</v>
      </c>
      <c r="I1040" s="7" t="s">
        <v>4000</v>
      </c>
      <c r="J1040" s="14" t="s">
        <v>4000</v>
      </c>
      <c r="K1040" s="26"/>
      <c r="N1040" s="6"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c r="O1040" s="6" t="s">
        <v>8574</v>
      </c>
      <c r="P1040" s="6" t="s">
        <v>8574</v>
      </c>
      <c r="Q1040" s="6" t="s">
        <v>4000</v>
      </c>
    </row>
    <row r="1041" spans="1:17" x14ac:dyDescent="0.25">
      <c r="A1041" s="5" t="str">
        <f>IF(TRIM(I1041)="","",E1041)</f>
        <v>SharpnessFactor</v>
      </c>
      <c r="B1041" s="5" t="str">
        <f>IF(TRIM(J1041)="","",H1041)</f>
        <v>Sharpness factor</v>
      </c>
      <c r="C1041" s="5" t="str">
        <f>LEFT(F1041,FIND(".",F1041,6))</f>
        <v>Exif.Olympus.</v>
      </c>
      <c r="D1041" s="5" t="str">
        <f>VLOOKUP(C1041,PrefixUebersetzung,2,FALSE)</f>
        <v>Exif.Olympus.</v>
      </c>
      <c r="E1041" s="5" t="str">
        <f>MID(F1041,FIND(".",F1041,6)+1,99)</f>
        <v>SharpnessFactor</v>
      </c>
      <c r="F1041" s="5" t="s">
        <v>894</v>
      </c>
      <c r="G1041" s="5" t="s">
        <v>9664</v>
      </c>
      <c r="H1041" s="6" t="s">
        <v>2788</v>
      </c>
      <c r="I1041" s="31" t="s">
        <v>4001</v>
      </c>
      <c r="J1041" s="14" t="s">
        <v>4001</v>
      </c>
      <c r="K1041" s="26"/>
      <c r="N1041" s="6"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c r="O1041" s="6" t="s">
        <v>8574</v>
      </c>
      <c r="P1041" s="6" t="s">
        <v>8574</v>
      </c>
      <c r="Q1041" s="6" t="s">
        <v>9483</v>
      </c>
    </row>
    <row r="1042" spans="1:17" x14ac:dyDescent="0.25">
      <c r="A1042" s="5" t="str">
        <f>IF(TRIM(I1042)="","",E1042)</f>
        <v>ShutterSpeed</v>
      </c>
      <c r="B1042" s="5" t="str">
        <f>IF(TRIM(J1042)="","",H1042)</f>
        <v>Shutter speed value</v>
      </c>
      <c r="C1042" s="5" t="str">
        <f>LEFT(F1042,FIND(".",F1042,6))</f>
        <v>Exif.Olympus.</v>
      </c>
      <c r="D1042" s="5" t="str">
        <f>VLOOKUP(C1042,PrefixUebersetzung,2,FALSE)</f>
        <v>Exif.Olympus.</v>
      </c>
      <c r="E1042" s="5" t="str">
        <f>MID(F1042,FIND(".",F1042,6)+1,99)</f>
        <v>ShutterSpeed</v>
      </c>
      <c r="F1042" s="5" t="s">
        <v>895</v>
      </c>
      <c r="G1042" s="5" t="s">
        <v>9672</v>
      </c>
      <c r="H1042" s="6" t="s">
        <v>2789</v>
      </c>
      <c r="I1042" s="7" t="s">
        <v>3819</v>
      </c>
      <c r="J1042" s="14" t="s">
        <v>3819</v>
      </c>
      <c r="K1042" s="26"/>
      <c r="N1042" s="6"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c r="O1042" s="6" t="s">
        <v>8574</v>
      </c>
      <c r="P1042" s="6" t="s">
        <v>8574</v>
      </c>
      <c r="Q1042" s="6" t="s">
        <v>9487</v>
      </c>
    </row>
    <row r="1043" spans="1:17" x14ac:dyDescent="0.25">
      <c r="A1043" s="5" t="str">
        <f>IF(TRIM(I1043)="","",E1043)</f>
        <v/>
      </c>
      <c r="B1043" s="5" t="str">
        <f>IF(TRIM(J1043)="","",H1043)</f>
        <v>Software</v>
      </c>
      <c r="C1043" s="5" t="str">
        <f>LEFT(F1043,FIND(".",F1043,6))</f>
        <v>Exif.Olympus.</v>
      </c>
      <c r="D1043" s="5" t="str">
        <f>VLOOKUP(C1043,PrefixUebersetzung,2,FALSE)</f>
        <v>Exif.Olympus.</v>
      </c>
      <c r="E1043" s="5" t="str">
        <f>MID(F1043,FIND(".",F1043,6)+1,99)</f>
        <v>Software</v>
      </c>
      <c r="F1043" s="5" t="s">
        <v>896</v>
      </c>
      <c r="G1043" s="5" t="s">
        <v>9666</v>
      </c>
      <c r="H1043" s="6" t="s">
        <v>2790</v>
      </c>
      <c r="I1043" s="7"/>
      <c r="J1043" s="14" t="s">
        <v>2790</v>
      </c>
      <c r="K1043" s="26"/>
      <c r="L1043" s="6" t="str">
        <f>IFERROR(VLOOKUP(E1043,A:I,9, FALSE),"")</f>
        <v>Software</v>
      </c>
      <c r="M1043" s="6" t="str">
        <f>IFERROR(VLOOKUP(H1043,B:J,9,FALSE),"")</f>
        <v>Software</v>
      </c>
      <c r="N1043" s="6"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c r="P1043" s="6" t="s">
        <v>8574</v>
      </c>
      <c r="Q1043" s="6" t="s">
        <v>2790</v>
      </c>
    </row>
    <row r="1044" spans="1:17" x14ac:dyDescent="0.25">
      <c r="A1044" s="5" t="str">
        <f>IF(TRIM(I1044)="","",E1044)</f>
        <v>SpecialMode</v>
      </c>
      <c r="B1044" s="5" t="str">
        <f>IF(TRIM(J1044)="","",H1044)</f>
        <v>Picture taking mode</v>
      </c>
      <c r="C1044" s="5" t="str">
        <f>LEFT(F1044,FIND(".",F1044,6))</f>
        <v>Exif.Olympus.</v>
      </c>
      <c r="D1044" s="5" t="str">
        <f>VLOOKUP(C1044,PrefixUebersetzung,2,FALSE)</f>
        <v>Exif.Olympus.</v>
      </c>
      <c r="E1044" s="5" t="str">
        <f>MID(F1044,FIND(".",F1044,6)+1,99)</f>
        <v>SpecialMode</v>
      </c>
      <c r="F1044" s="5" t="s">
        <v>897</v>
      </c>
      <c r="G1044" s="5" t="s">
        <v>9667</v>
      </c>
      <c r="H1044" s="6" t="s">
        <v>2791</v>
      </c>
      <c r="I1044" s="7" t="s">
        <v>4908</v>
      </c>
      <c r="J1044" s="14" t="s">
        <v>4002</v>
      </c>
      <c r="K1044" s="26"/>
      <c r="N1044" s="6"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c r="O1044" s="6" t="s">
        <v>8574</v>
      </c>
      <c r="P1044" s="6" t="s">
        <v>8574</v>
      </c>
      <c r="Q1044" s="6" t="s">
        <v>9450</v>
      </c>
    </row>
    <row r="1045" spans="1:17" x14ac:dyDescent="0.25">
      <c r="A1045" s="5" t="str">
        <f>IF(TRIM(I1045)="","",E1045)</f>
        <v/>
      </c>
      <c r="B1045" s="5" t="str">
        <f>IF(TRIM(J1045)="","",H1045)</f>
        <v>Preview image embedded</v>
      </c>
      <c r="C1045" s="5" t="str">
        <f>LEFT(F1045,FIND(".",F1045,6))</f>
        <v>Exif.Olympus.</v>
      </c>
      <c r="D1045" s="5" t="str">
        <f>VLOOKUP(C1045,PrefixUebersetzung,2,FALSE)</f>
        <v>Exif.Olympus.</v>
      </c>
      <c r="E1045" s="5" t="str">
        <f>MID(F1045,FIND(".",F1045,6)+1,99)</f>
        <v>Thumbnail</v>
      </c>
      <c r="F1045" s="5" t="s">
        <v>898</v>
      </c>
      <c r="G1045" s="5" t="s">
        <v>9667</v>
      </c>
      <c r="H1045" s="6" t="s">
        <v>2792</v>
      </c>
      <c r="I1045" s="7"/>
      <c r="J1045" s="14" t="s">
        <v>5197</v>
      </c>
      <c r="K1045" s="26"/>
      <c r="L1045" s="6" t="str">
        <f>IFERROR(VLOOKUP(E1045,A:I,9, FALSE),"")</f>
        <v>Miniaturansicht</v>
      </c>
      <c r="N1045" s="6"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c r="P1045" s="6" t="s">
        <v>8574</v>
      </c>
      <c r="Q1045" s="6" t="s">
        <v>9453</v>
      </c>
    </row>
    <row r="1046" spans="1:17" x14ac:dyDescent="0.25">
      <c r="A1046" s="5" t="str">
        <f>IF(TRIM(I1046)="","",E1046)</f>
        <v>ThumbnailImage</v>
      </c>
      <c r="B1046" s="5" t="str">
        <f>IF(TRIM(J1046)="","",H1046)</f>
        <v>Thumbnail image</v>
      </c>
      <c r="C1046" s="5" t="str">
        <f>LEFT(F1046,FIND(".",F1046,6))</f>
        <v>Exif.Olympus.</v>
      </c>
      <c r="D1046" s="5" t="str">
        <f>VLOOKUP(C1046,PrefixUebersetzung,2,FALSE)</f>
        <v>Exif.Olympus.</v>
      </c>
      <c r="E1046" s="5" t="str">
        <f>MID(F1046,FIND(".",F1046,6)+1,99)</f>
        <v>ThumbnailImage</v>
      </c>
      <c r="F1046" s="5" t="s">
        <v>899</v>
      </c>
      <c r="G1046" s="5" t="s">
        <v>9669</v>
      </c>
      <c r="H1046" s="6" t="s">
        <v>2793</v>
      </c>
      <c r="I1046" s="31" t="s">
        <v>4909</v>
      </c>
      <c r="J1046" s="14" t="s">
        <v>4909</v>
      </c>
      <c r="K1046" s="26"/>
      <c r="N1046" s="6"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c r="O1046" s="6" t="s">
        <v>8574</v>
      </c>
      <c r="P1046" s="6" t="s">
        <v>8574</v>
      </c>
      <c r="Q1046" s="6" t="s">
        <v>4906</v>
      </c>
    </row>
    <row r="1047" spans="1:17" x14ac:dyDescent="0.25">
      <c r="A1047" s="5" t="str">
        <f>IF(TRIM(I1047)="","",E1047)</f>
        <v/>
      </c>
      <c r="B1047" s="5" t="str">
        <f>IF(TRIM(J1047)="","",H1047)</f>
        <v>Size of the preview image</v>
      </c>
      <c r="C1047" s="5" t="str">
        <f>LEFT(F1047,FIND(".",F1047,6))</f>
        <v>Exif.Olympus.</v>
      </c>
      <c r="D1047" s="5" t="str">
        <f>VLOOKUP(C1047,PrefixUebersetzung,2,FALSE)</f>
        <v>Exif.Olympus.</v>
      </c>
      <c r="E1047" s="5" t="str">
        <f>MID(F1047,FIND(".",F1047,6)+1,99)</f>
        <v>ThumbnailLength</v>
      </c>
      <c r="F1047" s="5" t="s">
        <v>900</v>
      </c>
      <c r="G1047" s="5" t="s">
        <v>9667</v>
      </c>
      <c r="H1047" s="6" t="s">
        <v>2794</v>
      </c>
      <c r="I1047" s="7"/>
      <c r="J1047" s="14" t="s">
        <v>4878</v>
      </c>
      <c r="K1047" s="26"/>
      <c r="L1047" s="6" t="str">
        <f>IFERROR(VLOOKUP(E1047,A:I,9, FALSE),"")</f>
        <v>Vorschaubild Größe</v>
      </c>
      <c r="N1047" s="6"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c r="P1047" s="6" t="s">
        <v>8574</v>
      </c>
      <c r="Q1047" s="6" t="s">
        <v>9488</v>
      </c>
    </row>
    <row r="1048" spans="1:17" x14ac:dyDescent="0.25">
      <c r="A1048" s="5" t="str">
        <f>IF(TRIM(I1048)="","",E1048)</f>
        <v/>
      </c>
      <c r="B1048" s="5" t="str">
        <f>IF(TRIM(J1048)="","",H1048)</f>
        <v>Offset of the preview image</v>
      </c>
      <c r="C1048" s="5" t="str">
        <f>LEFT(F1048,FIND(".",F1048,6))</f>
        <v>Exif.Olympus.</v>
      </c>
      <c r="D1048" s="5" t="str">
        <f>VLOOKUP(C1048,PrefixUebersetzung,2,FALSE)</f>
        <v>Exif.Olympus.</v>
      </c>
      <c r="E1048" s="5" t="str">
        <f>MID(F1048,FIND(".",F1048,6)+1,99)</f>
        <v>ThumbnailOffset</v>
      </c>
      <c r="F1048" s="5" t="s">
        <v>901</v>
      </c>
      <c r="G1048" s="5" t="s">
        <v>9667</v>
      </c>
      <c r="H1048" s="6" t="s">
        <v>2795</v>
      </c>
      <c r="I1048" s="7"/>
      <c r="J1048" s="14" t="s">
        <v>4879</v>
      </c>
      <c r="K1048" s="26"/>
      <c r="L1048" s="6" t="str">
        <f>IFERROR(VLOOKUP(E1048,A:I,9, FALSE),"")</f>
        <v>Miniaturansicht Offset</v>
      </c>
      <c r="N1048" s="6"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c r="P1048" s="6" t="s">
        <v>8574</v>
      </c>
      <c r="Q1048" s="6" t="s">
        <v>9097</v>
      </c>
    </row>
    <row r="1049" spans="1:17" x14ac:dyDescent="0.25">
      <c r="A1049" s="5" t="str">
        <f>IF(TRIM(I1049)="","",E1049)</f>
        <v>ValidBits</v>
      </c>
      <c r="B1049" s="5" t="str">
        <f>IF(TRIM(J1049)="","",H1049)</f>
        <v>Valid bits</v>
      </c>
      <c r="C1049" s="5" t="str">
        <f>LEFT(F1049,FIND(".",F1049,6))</f>
        <v>Exif.Olympus.</v>
      </c>
      <c r="D1049" s="5" t="str">
        <f>VLOOKUP(C1049,PrefixUebersetzung,2,FALSE)</f>
        <v>Exif.Olympus.</v>
      </c>
      <c r="E1049" s="5" t="str">
        <f>MID(F1049,FIND(".",F1049,6)+1,99)</f>
        <v>ValidBits</v>
      </c>
      <c r="F1049" s="5" t="s">
        <v>902</v>
      </c>
      <c r="G1049" s="5" t="s">
        <v>9664</v>
      </c>
      <c r="H1049" s="6" t="s">
        <v>2796</v>
      </c>
      <c r="I1049" s="7" t="s">
        <v>5144</v>
      </c>
      <c r="J1049" s="14" t="s">
        <v>5144</v>
      </c>
      <c r="K1049" s="26"/>
      <c r="L1049" s="6" t="str">
        <f>IFERROR(VLOOKUP(E1049,A:I,9, FALSE),"")</f>
        <v>Bits gültig</v>
      </c>
      <c r="M1049" s="6" t="str">
        <f>IFERROR(VLOOKUP(H1049,B:J,9,FALSE),"")</f>
        <v>Bits gültig</v>
      </c>
      <c r="N1049" s="6"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c r="O1049" s="6" t="s">
        <v>8574</v>
      </c>
      <c r="P1049" s="6" t="s">
        <v>8574</v>
      </c>
      <c r="Q1049" s="6" t="s">
        <v>9548</v>
      </c>
    </row>
    <row r="1050" spans="1:17" x14ac:dyDescent="0.25">
      <c r="A1050" s="5" t="str">
        <f>IF(TRIM(I1050)="","",E1050)</f>
        <v/>
      </c>
      <c r="B1050" s="5" t="str">
        <f>IF(TRIM(J1050)="","",H1050)</f>
        <v>White balance mode</v>
      </c>
      <c r="C1050" s="5" t="str">
        <f>LEFT(F1050,FIND(".",F1050,6))</f>
        <v>Exif.Olympus.</v>
      </c>
      <c r="D1050" s="5" t="str">
        <f>VLOOKUP(C1050,PrefixUebersetzung,2,FALSE)</f>
        <v>Exif.Olympus.</v>
      </c>
      <c r="E1050" s="5" t="str">
        <f>MID(F1050,FIND(".",F1050,6)+1,99)</f>
        <v>WhiteBalance</v>
      </c>
      <c r="F1050" s="5" t="s">
        <v>903</v>
      </c>
      <c r="G1050" s="5" t="s">
        <v>9664</v>
      </c>
      <c r="H1050" s="6" t="s">
        <v>2797</v>
      </c>
      <c r="I1050" s="7"/>
      <c r="J1050" s="8" t="s">
        <v>4935</v>
      </c>
      <c r="K1050" s="26"/>
      <c r="L1050" s="6" t="str">
        <f>IFERROR(VLOOKUP(E1050,A:I,9, FALSE),"")</f>
        <v>Weißabgleich</v>
      </c>
      <c r="M1050" s="6" t="str">
        <f>IFERROR(VLOOKUP(H1050,B:J,9,FALSE),"")</f>
        <v>Weißabgleich Modus</v>
      </c>
      <c r="N1050" s="6"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c r="P1050" s="6" t="s">
        <v>8574</v>
      </c>
      <c r="Q1050" s="6" t="s">
        <v>9563</v>
      </c>
    </row>
    <row r="1051" spans="1:17" x14ac:dyDescent="0.25">
      <c r="A1051" s="5" t="str">
        <f>IF(TRIM(I1051)="","",E1051)</f>
        <v/>
      </c>
      <c r="B1051" s="5" t="str">
        <f>IF(TRIM(J1051)="","",H1051)</f>
        <v/>
      </c>
      <c r="C1051" s="5" t="str">
        <f>LEFT(F1051,FIND(".",F1051,6))</f>
        <v>Exif.Olympus.</v>
      </c>
      <c r="D1051" s="5" t="str">
        <f>VLOOKUP(C1051,PrefixUebersetzung,2,FALSE)</f>
        <v>Exif.Olympus.</v>
      </c>
      <c r="E1051" s="5" t="str">
        <f>MID(F1051,FIND(".",F1051,6)+1,99)</f>
        <v>WhiteBalanceBias</v>
      </c>
      <c r="F1051" s="5" t="s">
        <v>904</v>
      </c>
      <c r="G1051" s="5" t="s">
        <v>9664</v>
      </c>
      <c r="H1051" s="6" t="s">
        <v>2673</v>
      </c>
      <c r="I1051" s="7"/>
      <c r="K1051" s="26"/>
      <c r="L1051" s="6" t="str">
        <f>IFERROR(VLOOKUP(E1051,A:I,9, FALSE),"")</f>
        <v>Weißabgleich Korrektur</v>
      </c>
      <c r="M1051" s="6" t="str">
        <f>IFERROR(VLOOKUP(H1051,B:J,9,FALSE),"")</f>
        <v>Weißabgleich Korrektur</v>
      </c>
      <c r="N1051" s="6"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row>
    <row r="1052" spans="1:17" x14ac:dyDescent="0.25">
      <c r="A1052" s="5" t="str">
        <f>IF(TRIM(I1052)="","",E1052)</f>
        <v>WhiteBalanceBracket</v>
      </c>
      <c r="B1052" s="5" t="str">
        <f>IF(TRIM(J1052)="","",H1052)</f>
        <v>White balance bracket</v>
      </c>
      <c r="C1052" s="5" t="str">
        <f>LEFT(F1052,FIND(".",F1052,6))</f>
        <v>Exif.Olympus.</v>
      </c>
      <c r="D1052" s="5" t="str">
        <f>VLOOKUP(C1052,PrefixUebersetzung,2,FALSE)</f>
        <v>Exif.Olympus.</v>
      </c>
      <c r="E1052" s="5" t="str">
        <f>MID(F1052,FIND(".",F1052,6)+1,99)</f>
        <v>WhiteBalanceBracket</v>
      </c>
      <c r="F1052" s="5" t="s">
        <v>905</v>
      </c>
      <c r="G1052" s="5" t="s">
        <v>9664</v>
      </c>
      <c r="H1052" s="6" t="s">
        <v>2798</v>
      </c>
      <c r="I1052" s="24" t="s">
        <v>5098</v>
      </c>
      <c r="J1052" s="14" t="s">
        <v>4004</v>
      </c>
      <c r="K1052" s="26"/>
      <c r="L1052" s="6" t="str">
        <f>IFERROR(VLOOKUP(E1052,A:I,9, FALSE),"")</f>
        <v>Weißabgleich Reihe</v>
      </c>
      <c r="M1052" s="6" t="str">
        <f>IFERROR(VLOOKUP(H1052,B:J,9,FALSE),"")</f>
        <v>Weißabgleichreihe</v>
      </c>
      <c r="N1052" s="6"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c r="O1052" s="6" t="s">
        <v>8574</v>
      </c>
      <c r="P1052" s="6" t="s">
        <v>8574</v>
      </c>
      <c r="Q1052" s="6" t="s">
        <v>9175</v>
      </c>
    </row>
    <row r="1053" spans="1:17" x14ac:dyDescent="0.25">
      <c r="A1053" s="5" t="str">
        <f>IF(TRIM(I1053)="","",E1053)</f>
        <v>WhiteBoard</v>
      </c>
      <c r="B1053" s="5" t="str">
        <f>IF(TRIM(J1053)="","",H1053)</f>
        <v>White board</v>
      </c>
      <c r="C1053" s="5" t="str">
        <f>LEFT(F1053,FIND(".",F1053,6))</f>
        <v>Exif.Olympus.</v>
      </c>
      <c r="D1053" s="5" t="str">
        <f>VLOOKUP(C1053,PrefixUebersetzung,2,FALSE)</f>
        <v>Exif.Olympus.</v>
      </c>
      <c r="E1053" s="5" t="str">
        <f>MID(F1053,FIND(".",F1053,6)+1,99)</f>
        <v>WhiteBoard</v>
      </c>
      <c r="F1053" s="5" t="s">
        <v>906</v>
      </c>
      <c r="G1053" s="5" t="s">
        <v>9664</v>
      </c>
      <c r="H1053" s="6" t="s">
        <v>2799</v>
      </c>
      <c r="I1053" s="24" t="s">
        <v>4005</v>
      </c>
      <c r="J1053" s="8" t="s">
        <v>4005</v>
      </c>
      <c r="K1053" s="26"/>
      <c r="N1053" s="6"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c r="O1053" s="6" t="s">
        <v>8574</v>
      </c>
      <c r="P1053" s="6" t="s">
        <v>8574</v>
      </c>
      <c r="Q1053" s="6" t="s">
        <v>9173</v>
      </c>
    </row>
    <row r="1054" spans="1:17" x14ac:dyDescent="0.25">
      <c r="A1054" s="5" t="str">
        <f>IF(TRIM(I1054)="","",E1054)</f>
        <v>Zoom</v>
      </c>
      <c r="B1054" s="5" t="str">
        <f>IF(TRIM(J1054)="","",H1054)</f>
        <v>Zoom step count</v>
      </c>
      <c r="C1054" s="5" t="str">
        <f>LEFT(F1054,FIND(".",F1054,6))</f>
        <v>Exif.Olympus.</v>
      </c>
      <c r="D1054" s="5" t="str">
        <f>VLOOKUP(C1054,PrefixUebersetzung,2,FALSE)</f>
        <v>Exif.Olympus.</v>
      </c>
      <c r="E1054" s="5" t="str">
        <f>MID(F1054,FIND(".",F1054,6)+1,99)</f>
        <v>Zoom</v>
      </c>
      <c r="F1054" s="5" t="s">
        <v>907</v>
      </c>
      <c r="G1054" s="5" t="s">
        <v>9664</v>
      </c>
      <c r="H1054" s="6" t="s">
        <v>2800</v>
      </c>
      <c r="I1054" s="7" t="s">
        <v>4213</v>
      </c>
      <c r="J1054" s="8" t="s">
        <v>4006</v>
      </c>
      <c r="K1054" s="26"/>
      <c r="M1054" s="6" t="str">
        <f>IFERROR(VLOOKUP(H1054,B:J,9,FALSE),"")</f>
        <v>Zoom Schrittzahl</v>
      </c>
      <c r="N1054" s="6"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c r="O1054" s="6" t="s">
        <v>8574</v>
      </c>
      <c r="P1054" s="6" t="s">
        <v>8574</v>
      </c>
      <c r="Q1054" s="6" t="s">
        <v>9570</v>
      </c>
    </row>
    <row r="1055" spans="1:17" x14ac:dyDescent="0.25">
      <c r="A1055" s="5" t="str">
        <f>IF(TRIM(I1055)="","",E1055)</f>
        <v>AELock</v>
      </c>
      <c r="B1055" s="5" t="str">
        <f>IF(TRIM(J1055)="","",H1055)</f>
        <v>Auto exposure lock</v>
      </c>
      <c r="C1055" s="5" t="str">
        <f>LEFT(F1055,FIND(".",F1055,6))</f>
        <v>Exif.OlympusCs.</v>
      </c>
      <c r="D1055" s="5" t="str">
        <f>VLOOKUP(C1055,PrefixUebersetzung,2,FALSE)</f>
        <v>Exif.OlympusCs.</v>
      </c>
      <c r="E1055" s="5" t="str">
        <f>MID(F1055,FIND(".",F1055,6)+1,99)</f>
        <v>AELock</v>
      </c>
      <c r="F1055" s="5" t="s">
        <v>908</v>
      </c>
      <c r="G1055" s="5" t="s">
        <v>9664</v>
      </c>
      <c r="H1055" s="6" t="s">
        <v>2801</v>
      </c>
      <c r="I1055" s="7" t="s">
        <v>4375</v>
      </c>
      <c r="J1055" s="14" t="s">
        <v>4375</v>
      </c>
      <c r="K1055" s="26"/>
      <c r="L1055" s="6" t="str">
        <f>IFERROR(VLOOKUP(E1055,A:I,9, FALSE),"")</f>
        <v>Belichtung speichern</v>
      </c>
      <c r="N1055" s="6"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c r="O1055" s="6" t="s">
        <v>8574</v>
      </c>
      <c r="P1055" s="6" t="s">
        <v>8574</v>
      </c>
      <c r="Q1055" s="6" t="s">
        <v>9100</v>
      </c>
    </row>
    <row r="1056" spans="1:17" x14ac:dyDescent="0.25">
      <c r="A1056" s="5" t="str">
        <f>IF(TRIM(I1056)="","",E1056)</f>
        <v>AFAreas</v>
      </c>
      <c r="B1056" s="5" t="str">
        <f>IF(TRIM(J1056)="","",H1056)</f>
        <v>AF areas</v>
      </c>
      <c r="C1056" s="5" t="str">
        <f>LEFT(F1056,FIND(".",F1056,6))</f>
        <v>Exif.OlympusCs.</v>
      </c>
      <c r="D1056" s="5" t="str">
        <f>VLOOKUP(C1056,PrefixUebersetzung,2,FALSE)</f>
        <v>Exif.OlympusCs.</v>
      </c>
      <c r="E1056" s="5" t="str">
        <f>MID(F1056,FIND(".",F1056,6)+1,99)</f>
        <v>AFAreas</v>
      </c>
      <c r="F1056" s="5" t="s">
        <v>909</v>
      </c>
      <c r="G1056" s="5" t="s">
        <v>9667</v>
      </c>
      <c r="H1056" s="6" t="s">
        <v>2802</v>
      </c>
      <c r="I1056" s="24" t="s">
        <v>4910</v>
      </c>
      <c r="J1056" s="8" t="s">
        <v>4910</v>
      </c>
      <c r="K1056" s="26"/>
      <c r="N1056" s="6"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c r="O1056" s="6" t="s">
        <v>8574</v>
      </c>
      <c r="P1056" s="6" t="s">
        <v>8574</v>
      </c>
      <c r="Q1056" s="6" t="s">
        <v>9107</v>
      </c>
    </row>
    <row r="1057" spans="1:17" ht="30" x14ac:dyDescent="0.25">
      <c r="A1057" s="5" t="str">
        <f>IF(TRIM(I1057)="","",E1057)</f>
        <v/>
      </c>
      <c r="B1057" s="5" t="str">
        <f>IF(TRIM(J1057)="","",H1057)</f>
        <v>AF fine tune adjust</v>
      </c>
      <c r="C1057" s="5" t="str">
        <f>LEFT(F1057,FIND(".",F1057,6))</f>
        <v>Exif.OlympusCs.</v>
      </c>
      <c r="D1057" s="5" t="str">
        <f>VLOOKUP(C1057,PrefixUebersetzung,2,FALSE)</f>
        <v>Exif.OlympusCs.</v>
      </c>
      <c r="E1057" s="5" t="str">
        <f>MID(F1057,FIND(".",F1057,6)+1,99)</f>
        <v>AFFineTuneAdj</v>
      </c>
      <c r="F1057" s="5" t="s">
        <v>910</v>
      </c>
      <c r="G1057" s="5" t="s">
        <v>9665</v>
      </c>
      <c r="H1057" s="6" t="s">
        <v>2803</v>
      </c>
      <c r="I1057" s="7"/>
      <c r="J1057" s="14" t="s">
        <v>3966</v>
      </c>
      <c r="K1057" s="26"/>
      <c r="L1057" s="6" t="str">
        <f>IFERROR(VLOOKUP(E1057,A:I,9, FALSE),"")</f>
        <v>AF Feinabstimmung Anpassung</v>
      </c>
      <c r="N1057" s="6"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P1057" s="6" t="s">
        <v>8574</v>
      </c>
      <c r="Q1057" s="6" t="s">
        <v>9109</v>
      </c>
    </row>
    <row r="1058" spans="1:17" x14ac:dyDescent="0.25">
      <c r="A1058" s="5" t="str">
        <f>IF(TRIM(I1058)="","",E1058)</f>
        <v>AFPointSelected</v>
      </c>
      <c r="B1058" s="5" t="str">
        <f>IF(TRIM(J1058)="","",H1058)</f>
        <v>AFPointSelected</v>
      </c>
      <c r="C1058" s="5" t="str">
        <f>LEFT(F1058,FIND(".",F1058,6))</f>
        <v>Exif.OlympusCs.</v>
      </c>
      <c r="D1058" s="5" t="str">
        <f>VLOOKUP(C1058,PrefixUebersetzung,2,FALSE)</f>
        <v>Exif.OlympusCs.</v>
      </c>
      <c r="E1058" s="5" t="str">
        <f>MID(F1058,FIND(".",F1058,6)+1,99)</f>
        <v>AFPointSelected</v>
      </c>
      <c r="F1058" s="5" t="s">
        <v>911</v>
      </c>
      <c r="G1058" s="5" t="s">
        <v>9672</v>
      </c>
      <c r="H1058" s="6" t="s">
        <v>2804</v>
      </c>
      <c r="I1058" s="7" t="s">
        <v>4911</v>
      </c>
      <c r="J1058" s="14" t="s">
        <v>6646</v>
      </c>
      <c r="K1058" s="26"/>
      <c r="N1058" s="6"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c r="O1058" s="6" t="s">
        <v>8574</v>
      </c>
      <c r="P1058" s="6" t="s">
        <v>8574</v>
      </c>
      <c r="Q1058" s="6" t="s">
        <v>9121</v>
      </c>
    </row>
    <row r="1059" spans="1:17" x14ac:dyDescent="0.25">
      <c r="A1059" s="5" t="str">
        <f>IF(TRIM(I1059)="","",E1059)</f>
        <v>AFSearch</v>
      </c>
      <c r="B1059" s="5" t="str">
        <f>IF(TRIM(J1059)="","",H1059)</f>
        <v>AF search</v>
      </c>
      <c r="C1059" s="5" t="str">
        <f>LEFT(F1059,FIND(".",F1059,6))</f>
        <v>Exif.OlympusCs.</v>
      </c>
      <c r="D1059" s="5" t="str">
        <f>VLOOKUP(C1059,PrefixUebersetzung,2,FALSE)</f>
        <v>Exif.OlympusCs.</v>
      </c>
      <c r="E1059" s="5" t="str">
        <f>MID(F1059,FIND(".",F1059,6)+1,99)</f>
        <v>AFSearch</v>
      </c>
      <c r="F1059" s="5" t="s">
        <v>912</v>
      </c>
      <c r="G1059" s="5" t="s">
        <v>9664</v>
      </c>
      <c r="H1059" s="6" t="s">
        <v>2805</v>
      </c>
      <c r="I1059" s="24" t="s">
        <v>4007</v>
      </c>
      <c r="J1059" s="8" t="s">
        <v>4007</v>
      </c>
      <c r="K1059" s="26"/>
      <c r="N1059" s="6"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c r="O1059" s="6" t="s">
        <v>8574</v>
      </c>
      <c r="P1059" s="6" t="s">
        <v>8574</v>
      </c>
      <c r="Q1059" s="6" t="s">
        <v>9115</v>
      </c>
    </row>
    <row r="1060" spans="1:17" x14ac:dyDescent="0.25">
      <c r="A1060" s="5" t="str">
        <f>IF(TRIM(I1060)="","",E1060)</f>
        <v/>
      </c>
      <c r="B1060" s="5" t="str">
        <f>IF(TRIM(J1060)="","",H1060)</f>
        <v/>
      </c>
      <c r="C1060" s="5" t="str">
        <f>LEFT(F1060,FIND(".",F1060,6))</f>
        <v>Exif.OlympusCs.</v>
      </c>
      <c r="D1060" s="5" t="str">
        <f>VLOOKUP(C1060,PrefixUebersetzung,2,FALSE)</f>
        <v>Exif.OlympusCs.</v>
      </c>
      <c r="E1060" s="5" t="str">
        <f>MID(F1060,FIND(".",F1060,6)+1,99)</f>
        <v>ArtFilter</v>
      </c>
      <c r="F1060" s="5" t="s">
        <v>913</v>
      </c>
      <c r="G1060" s="5" t="s">
        <v>9664</v>
      </c>
      <c r="H1060" s="6" t="s">
        <v>2806</v>
      </c>
      <c r="I1060" s="7"/>
      <c r="K1060" s="26"/>
      <c r="N1060" s="6"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xml:space="preserve">Suffix not translated Description not translated </v>
      </c>
      <c r="O1060" s="6" t="s">
        <v>8574</v>
      </c>
      <c r="P1060" s="6" t="s">
        <v>8574</v>
      </c>
    </row>
    <row r="1061" spans="1:17" x14ac:dyDescent="0.25">
      <c r="A1061" s="5" t="str">
        <f>IF(TRIM(I1061)="","",E1061)</f>
        <v>CameraSettingsVersion</v>
      </c>
      <c r="B1061" s="5" t="str">
        <f>IF(TRIM(J1061)="","",H1061)</f>
        <v>Camera settings version</v>
      </c>
      <c r="C1061" s="5" t="str">
        <f>LEFT(F1061,FIND(".",F1061,6))</f>
        <v>Exif.OlympusCs.</v>
      </c>
      <c r="D1061" s="5" t="str">
        <f>VLOOKUP(C1061,PrefixUebersetzung,2,FALSE)</f>
        <v>Exif.OlympusCs.</v>
      </c>
      <c r="E1061" s="5" t="str">
        <f>MID(F1061,FIND(".",F1061,6)+1,99)</f>
        <v>CameraSettingsVersion</v>
      </c>
      <c r="F1061" s="5" t="s">
        <v>914</v>
      </c>
      <c r="G1061" s="5" t="s">
        <v>9669</v>
      </c>
      <c r="H1061" s="6" t="s">
        <v>2807</v>
      </c>
      <c r="I1061" s="24" t="s">
        <v>4008</v>
      </c>
      <c r="J1061" s="8" t="s">
        <v>4008</v>
      </c>
      <c r="K1061" s="26"/>
      <c r="N1061" s="6"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c r="O1061" s="6" t="s">
        <v>8574</v>
      </c>
      <c r="P1061" s="6" t="s">
        <v>8574</v>
      </c>
      <c r="Q1061" s="6" t="s">
        <v>9188</v>
      </c>
    </row>
    <row r="1062" spans="1:17" x14ac:dyDescent="0.25">
      <c r="A1062" s="5" t="str">
        <f>IF(TRIM(I1062)="","",E1062)</f>
        <v/>
      </c>
      <c r="B1062" s="5" t="str">
        <f>IF(TRIM(J1062)="","",H1062)</f>
        <v/>
      </c>
      <c r="C1062" s="5" t="str">
        <f>LEFT(F1062,FIND(".",F1062,6))</f>
        <v>Exif.OlympusCs.</v>
      </c>
      <c r="D1062" s="5" t="str">
        <f>VLOOKUP(C1062,PrefixUebersetzung,2,FALSE)</f>
        <v>Exif.OlympusCs.</v>
      </c>
      <c r="E1062" s="5" t="str">
        <f>MID(F1062,FIND(".",F1062,6)+1,99)</f>
        <v>ColorSpace</v>
      </c>
      <c r="F1062" s="5" t="s">
        <v>915</v>
      </c>
      <c r="G1062" s="5" t="s">
        <v>9664</v>
      </c>
      <c r="H1062" s="6" t="s">
        <v>2548</v>
      </c>
      <c r="K1062" s="26"/>
      <c r="L1062" s="6" t="str">
        <f>IFERROR(VLOOKUP(E1062,A:I,9, FALSE),"")</f>
        <v>Farbraum</v>
      </c>
      <c r="M1062" s="6" t="str">
        <f>IFERROR(VLOOKUP(H1062,B:J,9,FALSE),"")</f>
        <v>Farbraum</v>
      </c>
      <c r="N1062" s="6"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5" t="str">
        <f>IF(TRIM(I1063)="","",E1063)</f>
        <v>CompressionFactor</v>
      </c>
      <c r="B1063" s="5" t="str">
        <f>IF(TRIM(J1063)="","",H1063)</f>
        <v>Compression factor</v>
      </c>
      <c r="C1063" s="5" t="str">
        <f>LEFT(F1063,FIND(".",F1063,6))</f>
        <v>Exif.OlympusCs.</v>
      </c>
      <c r="D1063" s="5" t="str">
        <f>VLOOKUP(C1063,PrefixUebersetzung,2,FALSE)</f>
        <v>Exif.OlympusCs.</v>
      </c>
      <c r="E1063" s="5" t="str">
        <f>MID(F1063,FIND(".",F1063,6)+1,99)</f>
        <v>CompressionFactor</v>
      </c>
      <c r="F1063" s="5" t="s">
        <v>916</v>
      </c>
      <c r="G1063" s="5" t="s">
        <v>9671</v>
      </c>
      <c r="H1063" s="6" t="s">
        <v>2808</v>
      </c>
      <c r="I1063" s="7" t="s">
        <v>4376</v>
      </c>
      <c r="J1063" s="14" t="s">
        <v>4376</v>
      </c>
      <c r="K1063" s="26"/>
      <c r="N1063" s="6"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c r="O1063" s="6" t="s">
        <v>8574</v>
      </c>
      <c r="P1063" s="6" t="s">
        <v>8574</v>
      </c>
      <c r="Q1063" s="6" t="s">
        <v>9213</v>
      </c>
    </row>
    <row r="1064" spans="1:17" x14ac:dyDescent="0.25">
      <c r="A1064" s="5" t="str">
        <f>IF(TRIM(I1064)="","",E1064)</f>
        <v>ContrastSetting</v>
      </c>
      <c r="B1064" s="5" t="str">
        <f>IF(TRIM(J1064)="","",H1064)</f>
        <v/>
      </c>
      <c r="C1064" s="5" t="str">
        <f>LEFT(F1064,FIND(".",F1064,6))</f>
        <v>Exif.OlympusCs.</v>
      </c>
      <c r="D1064" s="5" t="str">
        <f>VLOOKUP(C1064,PrefixUebersetzung,2,FALSE)</f>
        <v>Exif.OlympusCs.</v>
      </c>
      <c r="E1064" s="5" t="str">
        <f>MID(F1064,FIND(".",F1064,6)+1,99)</f>
        <v>ContrastSetting</v>
      </c>
      <c r="F1064" s="5" t="s">
        <v>917</v>
      </c>
      <c r="G1064" s="5" t="s">
        <v>9665</v>
      </c>
      <c r="H1064" s="6" t="s">
        <v>2184</v>
      </c>
      <c r="I1064" s="24" t="s">
        <v>4912</v>
      </c>
      <c r="J1064" s="8"/>
      <c r="K1064" s="26"/>
      <c r="L1064" s="6" t="str">
        <f>IFERROR(VLOOKUP(E1064,A:I,9, FALSE),"")</f>
        <v>Kontrasteinstellung</v>
      </c>
      <c r="M1064" s="6" t="str">
        <f>IFERROR(VLOOKUP(H1064,B:J,9,FALSE),"")</f>
        <v>Kontrasteinstellung</v>
      </c>
      <c r="N1064" s="6"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c r="O1064" s="6" t="s">
        <v>8574</v>
      </c>
    </row>
    <row r="1065" spans="1:17" x14ac:dyDescent="0.25">
      <c r="A1065" s="5" t="str">
        <f>IF(TRIM(I1065)="","",E1065)</f>
        <v>CustomSaturation</v>
      </c>
      <c r="B1065" s="5" t="str">
        <f>IF(TRIM(J1065)="","",H1065)</f>
        <v>Custom saturation</v>
      </c>
      <c r="C1065" s="5" t="str">
        <f>LEFT(F1065,FIND(".",F1065,6))</f>
        <v>Exif.OlympusCs.</v>
      </c>
      <c r="D1065" s="5" t="str">
        <f>VLOOKUP(C1065,PrefixUebersetzung,2,FALSE)</f>
        <v>Exif.OlympusCs.</v>
      </c>
      <c r="E1065" s="5" t="str">
        <f>MID(F1065,FIND(".",F1065,6)+1,99)</f>
        <v>CustomSaturation</v>
      </c>
      <c r="F1065" s="5" t="s">
        <v>918</v>
      </c>
      <c r="G1065" s="5" t="s">
        <v>9665</v>
      </c>
      <c r="H1065" s="6" t="s">
        <v>2809</v>
      </c>
      <c r="I1065" s="24" t="s">
        <v>4913</v>
      </c>
      <c r="J1065" s="8" t="s">
        <v>4913</v>
      </c>
      <c r="K1065" s="26"/>
      <c r="N1065" s="6"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c r="O1065" s="6" t="s">
        <v>8574</v>
      </c>
      <c r="P1065" s="6" t="s">
        <v>8574</v>
      </c>
      <c r="Q1065" s="6" t="s">
        <v>9232</v>
      </c>
    </row>
    <row r="1066" spans="1:17" x14ac:dyDescent="0.25">
      <c r="A1066" s="5" t="str">
        <f>IF(TRIM(I1066)="","",E1066)</f>
        <v>DistortionCorrection</v>
      </c>
      <c r="B1066" s="5" t="str">
        <f>IF(TRIM(J1066)="","",H1066)</f>
        <v>Distortion correction</v>
      </c>
      <c r="C1066" s="5" t="str">
        <f>LEFT(F1066,FIND(".",F1066,6))</f>
        <v>Exif.OlympusCs.</v>
      </c>
      <c r="D1066" s="5" t="str">
        <f>VLOOKUP(C1066,PrefixUebersetzung,2,FALSE)</f>
        <v>Exif.OlympusCs.</v>
      </c>
      <c r="E1066" s="5" t="str">
        <f>MID(F1066,FIND(".",F1066,6)+1,99)</f>
        <v>DistortionCorrection</v>
      </c>
      <c r="F1066" s="5" t="s">
        <v>919</v>
      </c>
      <c r="G1066" s="5" t="s">
        <v>9664</v>
      </c>
      <c r="H1066" s="6" t="s">
        <v>2810</v>
      </c>
      <c r="I1066" s="24" t="s">
        <v>4377</v>
      </c>
      <c r="J1066" s="8" t="s">
        <v>4377</v>
      </c>
      <c r="K1066" s="26"/>
      <c r="L1066" s="6" t="str">
        <f>IFERROR(VLOOKUP(E1066,A:I,9, FALSE),"")</f>
        <v>Verzerrungskorrektur</v>
      </c>
      <c r="M1066" s="6" t="str">
        <f>IFERROR(VLOOKUP(H1066,B:J,9,FALSE),"")</f>
        <v>Verzerrungskorrektur</v>
      </c>
      <c r="N1066" s="6"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6" t="s">
        <v>8574</v>
      </c>
      <c r="P1066" s="6" t="s">
        <v>8574</v>
      </c>
      <c r="Q1066" s="6" t="s">
        <v>4377</v>
      </c>
    </row>
    <row r="1067" spans="1:17" x14ac:dyDescent="0.25">
      <c r="A1067" s="5" t="str">
        <f>IF(TRIM(I1067)="","",E1067)</f>
        <v/>
      </c>
      <c r="B1067" s="5" t="str">
        <f>IF(TRIM(J1067)="","",H1067)</f>
        <v/>
      </c>
      <c r="C1067" s="5" t="str">
        <f>LEFT(F1067,FIND(".",F1067,6))</f>
        <v>Exif.OlympusCs.</v>
      </c>
      <c r="D1067" s="5" t="str">
        <f>VLOOKUP(C1067,PrefixUebersetzung,2,FALSE)</f>
        <v>Exif.OlympusCs.</v>
      </c>
      <c r="E1067" s="5" t="str">
        <f>MID(F1067,FIND(".",F1067,6)+1,99)</f>
        <v>DriveMode</v>
      </c>
      <c r="F1067" s="5" t="s">
        <v>920</v>
      </c>
      <c r="G1067" s="5" t="s">
        <v>9664</v>
      </c>
      <c r="H1067" s="6" t="s">
        <v>2583</v>
      </c>
      <c r="I1067" s="7"/>
      <c r="K1067" s="26"/>
      <c r="L1067" s="6" t="str">
        <f>IFERROR(VLOOKUP(E1067,A:I,9, FALSE),"")</f>
        <v>Betriebsart</v>
      </c>
      <c r="M1067" s="6" t="str">
        <f>IFERROR(VLOOKUP(H1067,B:J,9,FALSE),"")</f>
        <v>Betriebsart</v>
      </c>
      <c r="N1067" s="6"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5" t="str">
        <f>IF(TRIM(I1068)="","",E1068)</f>
        <v/>
      </c>
      <c r="B1068" s="5" t="str">
        <f>IF(TRIM(J1068)="","",H1068)</f>
        <v/>
      </c>
      <c r="C1068" s="5" t="str">
        <f>LEFT(F1068,FIND(".",F1068,6))</f>
        <v>Exif.OlympusCs.</v>
      </c>
      <c r="D1068" s="5" t="str">
        <f>VLOOKUP(C1068,PrefixUebersetzung,2,FALSE)</f>
        <v>Exif.OlympusCs.</v>
      </c>
      <c r="E1068" s="5" t="str">
        <f>MID(F1068,FIND(".",F1068,6)+1,99)</f>
        <v>ExposureMode</v>
      </c>
      <c r="F1068" s="5" t="s">
        <v>921</v>
      </c>
      <c r="G1068" s="5" t="s">
        <v>9664</v>
      </c>
      <c r="H1068" s="6" t="s">
        <v>2552</v>
      </c>
      <c r="I1068" s="24"/>
      <c r="J1068" s="8"/>
      <c r="K1068" s="26"/>
      <c r="L1068" s="6" t="str">
        <f>IFERROR(VLOOKUP(E1068,A:I,9, FALSE),"")</f>
        <v>Belichtungsmodus</v>
      </c>
      <c r="M1068" s="6" t="str">
        <f>IFERROR(VLOOKUP(H1068,B:J,9,FALSE),"")</f>
        <v>Belichtungsmodus</v>
      </c>
      <c r="N1068" s="6"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row>
    <row r="1069" spans="1:17" x14ac:dyDescent="0.25">
      <c r="A1069" s="5" t="str">
        <f>IF(TRIM(I1069)="","",E1069)</f>
        <v>ExposureShift</v>
      </c>
      <c r="B1069" s="5" t="str">
        <f>IF(TRIM(J1069)="","",H1069)</f>
        <v>Exposure shift</v>
      </c>
      <c r="C1069" s="5" t="str">
        <f>LEFT(F1069,FIND(".",F1069,6))</f>
        <v>Exif.OlympusCs.</v>
      </c>
      <c r="D1069" s="5" t="str">
        <f>VLOOKUP(C1069,PrefixUebersetzung,2,FALSE)</f>
        <v>Exif.OlympusCs.</v>
      </c>
      <c r="E1069" s="5" t="str">
        <f>MID(F1069,FIND(".",F1069,6)+1,99)</f>
        <v>ExposureShift</v>
      </c>
      <c r="F1069" s="5" t="s">
        <v>922</v>
      </c>
      <c r="G1069" s="5" t="s">
        <v>9672</v>
      </c>
      <c r="H1069" s="6" t="s">
        <v>2811</v>
      </c>
      <c r="I1069" s="7" t="s">
        <v>4378</v>
      </c>
      <c r="J1069" s="14" t="s">
        <v>4378</v>
      </c>
      <c r="K1069" s="26"/>
      <c r="N1069" s="6"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c r="O1069" s="6" t="s">
        <v>8574</v>
      </c>
      <c r="P1069" s="6" t="s">
        <v>8574</v>
      </c>
      <c r="Q1069" s="6" t="s">
        <v>3918</v>
      </c>
    </row>
    <row r="1070" spans="1:17" x14ac:dyDescent="0.25">
      <c r="A1070" s="5" t="str">
        <f>IF(TRIM(I1070)="","",E1070)</f>
        <v/>
      </c>
      <c r="B1070" s="5" t="str">
        <f>IF(TRIM(J1070)="","",H1070)</f>
        <v/>
      </c>
      <c r="C1070" s="5" t="str">
        <f>LEFT(F1070,FIND(".",F1070,6))</f>
        <v>Exif.OlympusCs.</v>
      </c>
      <c r="D1070" s="5" t="str">
        <f>VLOOKUP(C1070,PrefixUebersetzung,2,FALSE)</f>
        <v>Exif.OlympusCs.</v>
      </c>
      <c r="E1070" s="5" t="str">
        <f>MID(F1070,FIND(".",F1070,6)+1,99)</f>
        <v>ExtendedWBDetect</v>
      </c>
      <c r="F1070" s="5" t="s">
        <v>923</v>
      </c>
      <c r="G1070" s="5" t="s">
        <v>9664</v>
      </c>
      <c r="H1070" s="6" t="s">
        <v>2812</v>
      </c>
      <c r="I1070" s="7"/>
      <c r="K1070" s="26"/>
      <c r="N1070" s="6"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xml:space="preserve">Suffix not translated Description not translated </v>
      </c>
      <c r="O1070" s="6" t="s">
        <v>8574</v>
      </c>
      <c r="P1070" s="6" t="s">
        <v>8574</v>
      </c>
    </row>
    <row r="1071" spans="1:17" x14ac:dyDescent="0.25">
      <c r="A1071" s="5" t="str">
        <f>IF(TRIM(I1071)="","",E1071)</f>
        <v>FlashControlMode</v>
      </c>
      <c r="B1071" s="5" t="str">
        <f>IF(TRIM(J1071)="","",H1071)</f>
        <v>Flash control mode</v>
      </c>
      <c r="C1071" s="5" t="str">
        <f>LEFT(F1071,FIND(".",F1071,6))</f>
        <v>Exif.OlympusCs.</v>
      </c>
      <c r="D1071" s="5" t="str">
        <f>VLOOKUP(C1071,PrefixUebersetzung,2,FALSE)</f>
        <v>Exif.OlympusCs.</v>
      </c>
      <c r="E1071" s="5" t="str">
        <f>MID(F1071,FIND(".",F1071,6)+1,99)</f>
        <v>FlashControlMode</v>
      </c>
      <c r="F1071" s="5" t="s">
        <v>924</v>
      </c>
      <c r="G1071" s="5" t="s">
        <v>9664</v>
      </c>
      <c r="H1071" s="6" t="s">
        <v>2813</v>
      </c>
      <c r="I1071" s="24" t="s">
        <v>4009</v>
      </c>
      <c r="J1071" s="8" t="s">
        <v>4009</v>
      </c>
      <c r="K1071" s="26"/>
      <c r="N1071" s="6"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c r="O1071" s="6" t="s">
        <v>8574</v>
      </c>
      <c r="P1071" s="6" t="s">
        <v>8574</v>
      </c>
      <c r="Q1071" s="6" t="s">
        <v>4317</v>
      </c>
    </row>
    <row r="1072" spans="1:17" ht="30" x14ac:dyDescent="0.25">
      <c r="A1072" s="5" t="str">
        <f>IF(TRIM(I1072)="","",E1072)</f>
        <v/>
      </c>
      <c r="B1072" s="5" t="str">
        <f>IF(TRIM(J1072)="","",H1072)</f>
        <v/>
      </c>
      <c r="C1072" s="5" t="str">
        <f>LEFT(F1072,FIND(".",F1072,6))</f>
        <v>Exif.OlympusCs.</v>
      </c>
      <c r="D1072" s="5" t="str">
        <f>VLOOKUP(C1072,PrefixUebersetzung,2,FALSE)</f>
        <v>Exif.OlympusCs.</v>
      </c>
      <c r="E1072" s="5" t="str">
        <f>MID(F1072,FIND(".",F1072,6)+1,99)</f>
        <v>FlashExposureComp</v>
      </c>
      <c r="F1072" s="5" t="s">
        <v>925</v>
      </c>
      <c r="G1072" s="5" t="s">
        <v>9672</v>
      </c>
      <c r="H1072" s="6" t="s">
        <v>2765</v>
      </c>
      <c r="I1072" s="24"/>
      <c r="J1072" s="8"/>
      <c r="K1072" s="26"/>
      <c r="L1072" s="6" t="str">
        <f>IFERROR(VLOOKUP(E1072,A:I,9, FALSE),"")</f>
        <v>Blitzbelichtungskorrektur</v>
      </c>
      <c r="M1072" s="6" t="str">
        <f>IFERROR(VLOOKUP(H1072,B:J,9,FALSE),"")</f>
        <v>Blitzbelichtungskorrektur</v>
      </c>
      <c r="N1072" s="6"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row>
    <row r="1073" spans="1:17" x14ac:dyDescent="0.25">
      <c r="A1073" s="5" t="str">
        <f>IF(TRIM(I1073)="","",E1073)</f>
        <v/>
      </c>
      <c r="B1073" s="5" t="str">
        <f>IF(TRIM(J1073)="","",H1073)</f>
        <v/>
      </c>
      <c r="C1073" s="5" t="str">
        <f>LEFT(F1073,FIND(".",F1073,6))</f>
        <v>Exif.OlympusCs.</v>
      </c>
      <c r="D1073" s="5" t="str">
        <f>VLOOKUP(C1073,PrefixUebersetzung,2,FALSE)</f>
        <v>Exif.OlympusCs.</v>
      </c>
      <c r="E1073" s="5" t="str">
        <f>MID(F1073,FIND(".",F1073,6)+1,99)</f>
        <v>FlashIntensity</v>
      </c>
      <c r="F1073" s="5" t="s">
        <v>926</v>
      </c>
      <c r="G1073" s="5" t="s">
        <v>9672</v>
      </c>
      <c r="H1073" s="6" t="s">
        <v>2814</v>
      </c>
      <c r="I1073" s="24"/>
      <c r="J1073" s="8"/>
      <c r="K1073" s="26"/>
      <c r="L1073" s="6" t="str">
        <f>IFERROR(VLOOKUP(E1073,A:I,9, FALSE),"")</f>
        <v>Blitzintensität</v>
      </c>
      <c r="M1073" s="6" t="str">
        <f>IFERROR(VLOOKUP(H1073,B:J,9,FALSE),"")</f>
        <v>Blitzintensität</v>
      </c>
      <c r="N1073" s="6"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row>
    <row r="1074" spans="1:17" x14ac:dyDescent="0.25">
      <c r="A1074" s="5" t="str">
        <f>IF(TRIM(I1074)="","",E1074)</f>
        <v/>
      </c>
      <c r="B1074" s="5" t="str">
        <f>IF(TRIM(J1074)="","",H1074)</f>
        <v/>
      </c>
      <c r="C1074" s="5" t="str">
        <f>LEFT(F1074,FIND(".",F1074,6))</f>
        <v>Exif.OlympusCs.</v>
      </c>
      <c r="D1074" s="5" t="str">
        <f>VLOOKUP(C1074,PrefixUebersetzung,2,FALSE)</f>
        <v>Exif.OlympusCs.</v>
      </c>
      <c r="E1074" s="5" t="str">
        <f>MID(F1074,FIND(".",F1074,6)+1,99)</f>
        <v>FlashMode</v>
      </c>
      <c r="F1074" s="5" t="s">
        <v>927</v>
      </c>
      <c r="G1074" s="5" t="s">
        <v>9664</v>
      </c>
      <c r="H1074" s="6" t="s">
        <v>2569</v>
      </c>
      <c r="I1074" s="7"/>
      <c r="K1074" s="26"/>
      <c r="L1074" s="6" t="str">
        <f>IFERROR(VLOOKUP(E1074,A:I,9, FALSE),"")</f>
        <v>Blitzmodus</v>
      </c>
      <c r="M1074" s="6" t="str">
        <f>IFERROR(VLOOKUP(H1074,B:J,9,FALSE),"")</f>
        <v>Blitzmodus</v>
      </c>
      <c r="N1074" s="6"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row>
    <row r="1075" spans="1:17" x14ac:dyDescent="0.25">
      <c r="A1075" s="5" t="str">
        <f>IF(TRIM(I1075)="","",E1075)</f>
        <v>FlashRemoteControl</v>
      </c>
      <c r="B1075" s="5" t="str">
        <f>IF(TRIM(J1075)="","",H1075)</f>
        <v>Flash remote control</v>
      </c>
      <c r="C1075" s="5" t="str">
        <f>LEFT(F1075,FIND(".",F1075,6))</f>
        <v>Exif.OlympusCs.</v>
      </c>
      <c r="D1075" s="5" t="str">
        <f>VLOOKUP(C1075,PrefixUebersetzung,2,FALSE)</f>
        <v>Exif.OlympusCs.</v>
      </c>
      <c r="E1075" s="5" t="str">
        <f>MID(F1075,FIND(".",F1075,6)+1,99)</f>
        <v>FlashRemoteControl</v>
      </c>
      <c r="F1075" s="5" t="s">
        <v>928</v>
      </c>
      <c r="G1075" s="5" t="s">
        <v>9664</v>
      </c>
      <c r="H1075" s="6" t="s">
        <v>2815</v>
      </c>
      <c r="I1075" s="7" t="s">
        <v>4914</v>
      </c>
      <c r="J1075" s="14" t="s">
        <v>4914</v>
      </c>
      <c r="K1075" s="26"/>
      <c r="N1075" s="6"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c r="O1075" s="6" t="s">
        <v>8574</v>
      </c>
      <c r="P1075" s="6" t="s">
        <v>8574</v>
      </c>
      <c r="Q1075" s="6" t="s">
        <v>9224</v>
      </c>
    </row>
    <row r="1076" spans="1:17" x14ac:dyDescent="0.25">
      <c r="A1076" s="5" t="str">
        <f>IF(TRIM(I1076)="","",E1076)</f>
        <v/>
      </c>
      <c r="B1076" s="5" t="str">
        <f>IF(TRIM(J1076)="","",H1076)</f>
        <v/>
      </c>
      <c r="C1076" s="5" t="str">
        <f>LEFT(F1076,FIND(".",F1076,6))</f>
        <v>Exif.OlympusCs.</v>
      </c>
      <c r="D1076" s="5" t="str">
        <f>VLOOKUP(C1076,PrefixUebersetzung,2,FALSE)</f>
        <v>Exif.OlympusCs.</v>
      </c>
      <c r="E1076" s="5" t="str">
        <f>MID(F1076,FIND(".",F1076,6)+1,99)</f>
        <v>FocusMode</v>
      </c>
      <c r="F1076" s="5" t="s">
        <v>929</v>
      </c>
      <c r="G1076" s="5" t="s">
        <v>9664</v>
      </c>
      <c r="H1076" s="6" t="s">
        <v>2558</v>
      </c>
      <c r="I1076" s="7"/>
      <c r="K1076" s="26"/>
      <c r="L1076" s="6" t="str">
        <f>IFERROR(VLOOKUP(E1076,A:I,9, FALSE),"")</f>
        <v>Fokusmodus</v>
      </c>
      <c r="M1076" s="6" t="str">
        <f>IFERROR(VLOOKUP(H1076,B:J,9,FALSE),"")</f>
        <v>Fokusmodus</v>
      </c>
      <c r="N1076" s="6"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row>
    <row r="1077" spans="1:17" x14ac:dyDescent="0.25">
      <c r="A1077" s="5" t="str">
        <f>IF(TRIM(I1077)="","",E1077)</f>
        <v/>
      </c>
      <c r="B1077" s="5" t="str">
        <f>IF(TRIM(J1077)="","",H1077)</f>
        <v/>
      </c>
      <c r="C1077" s="5" t="str">
        <f>LEFT(F1077,FIND(".",F1077,6))</f>
        <v>Exif.OlympusCs.</v>
      </c>
      <c r="D1077" s="5" t="str">
        <f>VLOOKUP(C1077,PrefixUebersetzung,2,FALSE)</f>
        <v>Exif.OlympusCs.</v>
      </c>
      <c r="E1077" s="5" t="str">
        <f>MID(F1077,FIND(".",F1077,6)+1,99)</f>
        <v>FocusProcess</v>
      </c>
      <c r="F1077" s="5" t="s">
        <v>930</v>
      </c>
      <c r="G1077" s="5" t="s">
        <v>9664</v>
      </c>
      <c r="H1077" s="6" t="s">
        <v>2816</v>
      </c>
      <c r="I1077" s="7"/>
      <c r="K1077" s="26"/>
      <c r="N1077" s="6"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xml:space="preserve">Suffix not translated Description not translated </v>
      </c>
      <c r="O1077" s="6" t="s">
        <v>8574</v>
      </c>
      <c r="P1077" s="6" t="s">
        <v>8574</v>
      </c>
    </row>
    <row r="1078" spans="1:17" x14ac:dyDescent="0.25">
      <c r="A1078" s="5" t="str">
        <f>IF(TRIM(I1078)="","",E1078)</f>
        <v>Gradation</v>
      </c>
      <c r="B1078" s="5" t="str">
        <f>IF(TRIM(J1078)="","",H1078)</f>
        <v>Gradation</v>
      </c>
      <c r="C1078" s="5" t="str">
        <f>LEFT(F1078,FIND(".",F1078,6))</f>
        <v>Exif.OlympusCs.</v>
      </c>
      <c r="D1078" s="5" t="str">
        <f>VLOOKUP(C1078,PrefixUebersetzung,2,FALSE)</f>
        <v>Exif.OlympusCs.</v>
      </c>
      <c r="E1078" s="5" t="str">
        <f>MID(F1078,FIND(".",F1078,6)+1,99)</f>
        <v>Gradation</v>
      </c>
      <c r="F1078" s="5" t="s">
        <v>931</v>
      </c>
      <c r="G1078" s="5" t="s">
        <v>9665</v>
      </c>
      <c r="H1078" s="6" t="s">
        <v>2817</v>
      </c>
      <c r="I1078" s="7" t="s">
        <v>2817</v>
      </c>
      <c r="J1078" s="14" t="s">
        <v>2817</v>
      </c>
      <c r="K1078" s="26"/>
      <c r="L1078" s="6" t="str">
        <f>IFERROR(VLOOKUP(E1078,A:I,9, FALSE),"")</f>
        <v>Gradation</v>
      </c>
      <c r="M1078" s="6" t="str">
        <f>IFERROR(VLOOKUP(H1078,B:J,9,FALSE),"")</f>
        <v>Gradation</v>
      </c>
      <c r="N1078" s="6"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c r="O1078" s="6" t="s">
        <v>8574</v>
      </c>
      <c r="P1078" s="6" t="s">
        <v>8574</v>
      </c>
      <c r="Q1078" s="6" t="s">
        <v>2817</v>
      </c>
    </row>
    <row r="1079" spans="1:17" x14ac:dyDescent="0.25">
      <c r="A1079" s="5" t="str">
        <f>IF(TRIM(I1079)="","",E1079)</f>
        <v/>
      </c>
      <c r="B1079" s="5" t="str">
        <f>IF(TRIM(J1079)="","",H1079)</f>
        <v/>
      </c>
      <c r="C1079" s="5" t="str">
        <f>LEFT(F1079,FIND(".",F1079,6))</f>
        <v>Exif.OlympusCs.</v>
      </c>
      <c r="D1079" s="5" t="str">
        <f>VLOOKUP(C1079,PrefixUebersetzung,2,FALSE)</f>
        <v>Exif.OlympusCs.</v>
      </c>
      <c r="E1079" s="5" t="str">
        <f>MID(F1079,FIND(".",F1079,6)+1,99)</f>
        <v>ImageStabilization</v>
      </c>
      <c r="F1079" s="5" t="s">
        <v>932</v>
      </c>
      <c r="G1079" s="5" t="s">
        <v>9664</v>
      </c>
      <c r="H1079" s="6" t="s">
        <v>2198</v>
      </c>
      <c r="I1079" s="24"/>
      <c r="J1079" s="8"/>
      <c r="K1079" s="26"/>
      <c r="L1079" s="6" t="str">
        <f>IFERROR(VLOOKUP(E1079,A:I,9, FALSE),"")</f>
        <v>Bildstabilisierung</v>
      </c>
      <c r="M1079" s="6" t="str">
        <f>IFERROR(VLOOKUP(H1079,B:J,9,FALSE),"")</f>
        <v>Bildstabilisierung</v>
      </c>
      <c r="N1079" s="6"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5" t="str">
        <f>IF(TRIM(I1080)="","",E1080)</f>
        <v/>
      </c>
      <c r="B1080" s="5" t="str">
        <f>IF(TRIM(J1080)="","",H1080)</f>
        <v/>
      </c>
      <c r="C1080" s="5" t="str">
        <f>LEFT(F1080,FIND(".",F1080,6))</f>
        <v>Exif.OlympusCs.</v>
      </c>
      <c r="D1080" s="5" t="str">
        <f>VLOOKUP(C1080,PrefixUebersetzung,2,FALSE)</f>
        <v>Exif.OlympusCs.</v>
      </c>
      <c r="E1080" s="5" t="str">
        <f>MID(F1080,FIND(".",F1080,6)+1,99)</f>
        <v>LevelGaugePitch</v>
      </c>
      <c r="F1080" s="5" t="s">
        <v>933</v>
      </c>
      <c r="G1080" s="5" t="s">
        <v>9664</v>
      </c>
      <c r="H1080" s="6" t="s">
        <v>2818</v>
      </c>
      <c r="I1080" s="7"/>
      <c r="K1080" s="26"/>
      <c r="N1080" s="6"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xml:space="preserve">Suffix not translated Description not translated </v>
      </c>
      <c r="O1080" s="6" t="s">
        <v>8574</v>
      </c>
      <c r="P1080" s="6" t="s">
        <v>8574</v>
      </c>
    </row>
    <row r="1081" spans="1:17" x14ac:dyDescent="0.25">
      <c r="A1081" s="5" t="str">
        <f>IF(TRIM(I1081)="","",E1081)</f>
        <v/>
      </c>
      <c r="B1081" s="5" t="str">
        <f>IF(TRIM(J1081)="","",H1081)</f>
        <v/>
      </c>
      <c r="C1081" s="5" t="str">
        <f>LEFT(F1081,FIND(".",F1081,6))</f>
        <v>Exif.OlympusCs.</v>
      </c>
      <c r="D1081" s="5" t="str">
        <f>VLOOKUP(C1081,PrefixUebersetzung,2,FALSE)</f>
        <v>Exif.OlympusCs.</v>
      </c>
      <c r="E1081" s="5" t="str">
        <f>MID(F1081,FIND(".",F1081,6)+1,99)</f>
        <v>LevelGaugeRoll</v>
      </c>
      <c r="F1081" s="5" t="s">
        <v>934</v>
      </c>
      <c r="G1081" s="5" t="s">
        <v>9664</v>
      </c>
      <c r="H1081" s="6" t="s">
        <v>2819</v>
      </c>
      <c r="I1081" s="7"/>
      <c r="K1081" s="26"/>
      <c r="N1081" s="6"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xml:space="preserve">Suffix not translated Description not translated </v>
      </c>
      <c r="O1081" s="6" t="s">
        <v>8574</v>
      </c>
      <c r="P1081" s="6" t="s">
        <v>8574</v>
      </c>
    </row>
    <row r="1082" spans="1:17" x14ac:dyDescent="0.25">
      <c r="A1082" s="5" t="str">
        <f>IF(TRIM(I1082)="","",E1082)</f>
        <v/>
      </c>
      <c r="B1082" s="5" t="str">
        <f>IF(TRIM(J1082)="","",H1082)</f>
        <v/>
      </c>
      <c r="C1082" s="5" t="str">
        <f>LEFT(F1082,FIND(".",F1082,6))</f>
        <v>Exif.OlympusCs.</v>
      </c>
      <c r="D1082" s="5" t="str">
        <f>VLOOKUP(C1082,PrefixUebersetzung,2,FALSE)</f>
        <v>Exif.OlympusCs.</v>
      </c>
      <c r="E1082" s="5" t="str">
        <f>MID(F1082,FIND(".",F1082,6)+1,99)</f>
        <v>MacroMode</v>
      </c>
      <c r="F1082" s="5" t="s">
        <v>935</v>
      </c>
      <c r="G1082" s="5" t="s">
        <v>9664</v>
      </c>
      <c r="H1082" s="6" t="s">
        <v>2202</v>
      </c>
      <c r="I1082" s="24"/>
      <c r="J1082" s="8"/>
      <c r="K1082" s="26"/>
      <c r="L1082" s="6" t="str">
        <f>IFERROR(VLOOKUP(E1082,A:I,9, FALSE),"")</f>
        <v>Makromodus</v>
      </c>
      <c r="M1082" s="6" t="str">
        <f>IFERROR(VLOOKUP(H1082,B:J,9,FALSE),"")</f>
        <v>Makromodus</v>
      </c>
      <c r="N1082" s="6"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row>
    <row r="1083" spans="1:17" x14ac:dyDescent="0.25">
      <c r="A1083" s="5" t="str">
        <f>IF(TRIM(I1083)="","",E1083)</f>
        <v/>
      </c>
      <c r="B1083" s="5" t="str">
        <f>IF(TRIM(J1083)="","",H1083)</f>
        <v/>
      </c>
      <c r="C1083" s="5" t="str">
        <f>LEFT(F1083,FIND(".",F1083,6))</f>
        <v>Exif.OlympusCs.</v>
      </c>
      <c r="D1083" s="5" t="str">
        <f>VLOOKUP(C1083,PrefixUebersetzung,2,FALSE)</f>
        <v>Exif.OlympusCs.</v>
      </c>
      <c r="E1083" s="5" t="str">
        <f>MID(F1083,FIND(".",F1083,6)+1,99)</f>
        <v>MagicFilter</v>
      </c>
      <c r="F1083" s="5" t="s">
        <v>936</v>
      </c>
      <c r="G1083" s="5" t="s">
        <v>9664</v>
      </c>
      <c r="H1083" s="6" t="s">
        <v>2820</v>
      </c>
      <c r="I1083" s="7"/>
      <c r="K1083" s="26"/>
      <c r="N1083" s="6"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xml:space="preserve">Suffix not translated Description not translated </v>
      </c>
      <c r="O1083" s="6" t="s">
        <v>8574</v>
      </c>
      <c r="P1083" s="6" t="s">
        <v>8574</v>
      </c>
    </row>
    <row r="1084" spans="1:17" x14ac:dyDescent="0.25">
      <c r="A1084" s="5" t="str">
        <f>IF(TRIM(I1084)="","",E1084)</f>
        <v>ManometerPressure</v>
      </c>
      <c r="B1084" s="5" t="str">
        <f>IF(TRIM(J1084)="","",H1084)</f>
        <v>Manometer pressure</v>
      </c>
      <c r="C1084" s="5" t="str">
        <f>LEFT(F1084,FIND(".",F1084,6))</f>
        <v>Exif.OlympusCs.</v>
      </c>
      <c r="D1084" s="5" t="str">
        <f>VLOOKUP(C1084,PrefixUebersetzung,2,FALSE)</f>
        <v>Exif.OlympusCs.</v>
      </c>
      <c r="E1084" s="5" t="str">
        <f>MID(F1084,FIND(".",F1084,6)+1,99)</f>
        <v>ManometerPressure</v>
      </c>
      <c r="F1084" s="5" t="s">
        <v>937</v>
      </c>
      <c r="G1084" s="5" t="s">
        <v>9664</v>
      </c>
      <c r="H1084" s="6" t="s">
        <v>2821</v>
      </c>
      <c r="I1084" s="7" t="s">
        <v>4915</v>
      </c>
      <c r="J1084" s="14" t="s">
        <v>4915</v>
      </c>
      <c r="K1084" s="26"/>
      <c r="L1084" s="6" t="str">
        <f>IFERROR(VLOOKUP(E1084,A:I,9, FALSE),"")</f>
        <v>Manometerdruck</v>
      </c>
      <c r="M1084" s="6" t="str">
        <f>IFERROR(VLOOKUP(H1084,B:J,9,FALSE),"")</f>
        <v>Manometerdruck</v>
      </c>
      <c r="N1084" s="6"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c r="O1084" s="6" t="s">
        <v>8574</v>
      </c>
      <c r="P1084" s="6" t="s">
        <v>8574</v>
      </c>
      <c r="Q1084" s="6" t="s">
        <v>9409</v>
      </c>
    </row>
    <row r="1085" spans="1:17" x14ac:dyDescent="0.25">
      <c r="A1085" s="5" t="str">
        <f>IF(TRIM(I1085)="","",E1085)</f>
        <v>ManometerReading</v>
      </c>
      <c r="B1085" s="5" t="str">
        <f>IF(TRIM(J1085)="","",H1085)</f>
        <v>Manometer reading</v>
      </c>
      <c r="C1085" s="5" t="str">
        <f>LEFT(F1085,FIND(".",F1085,6))</f>
        <v>Exif.OlympusCs.</v>
      </c>
      <c r="D1085" s="5" t="str">
        <f>VLOOKUP(C1085,PrefixUebersetzung,2,FALSE)</f>
        <v>Exif.OlympusCs.</v>
      </c>
      <c r="E1085" s="5" t="str">
        <f>MID(F1085,FIND(".",F1085,6)+1,99)</f>
        <v>ManometerReading</v>
      </c>
      <c r="F1085" s="5" t="s">
        <v>938</v>
      </c>
      <c r="G1085" s="5" t="s">
        <v>9668</v>
      </c>
      <c r="H1085" s="6" t="s">
        <v>2822</v>
      </c>
      <c r="I1085" s="7" t="s">
        <v>4916</v>
      </c>
      <c r="J1085" s="14" t="s">
        <v>4916</v>
      </c>
      <c r="K1085" s="26"/>
      <c r="N1085" s="6"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c r="O1085" s="6" t="s">
        <v>8574</v>
      </c>
      <c r="P1085" s="6" t="s">
        <v>8574</v>
      </c>
      <c r="Q1085" s="6" t="s">
        <v>9410</v>
      </c>
    </row>
    <row r="1086" spans="1:17" x14ac:dyDescent="0.25">
      <c r="A1086" s="5" t="str">
        <f>IF(TRIM(I1086)="","",E1086)</f>
        <v>ManualFlashStrength</v>
      </c>
      <c r="B1086" s="5" t="str">
        <f>IF(TRIM(J1086)="","",H1086)</f>
        <v>Manual flash strength</v>
      </c>
      <c r="C1086" s="5" t="str">
        <f>LEFT(F1086,FIND(".",F1086,6))</f>
        <v>Exif.OlympusCs.</v>
      </c>
      <c r="D1086" s="5" t="str">
        <f>VLOOKUP(C1086,PrefixUebersetzung,2,FALSE)</f>
        <v>Exif.OlympusCs.</v>
      </c>
      <c r="E1086" s="5" t="str">
        <f>MID(F1086,FIND(".",F1086,6)+1,99)</f>
        <v>ManualFlashStrength</v>
      </c>
      <c r="F1086" s="5" t="s">
        <v>939</v>
      </c>
      <c r="G1086" s="5" t="s">
        <v>9672</v>
      </c>
      <c r="H1086" s="6" t="s">
        <v>2823</v>
      </c>
      <c r="I1086" s="24" t="s">
        <v>4917</v>
      </c>
      <c r="J1086" s="8" t="s">
        <v>4917</v>
      </c>
      <c r="K1086" s="26"/>
      <c r="N1086" s="6"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c r="O1086" s="6" t="s">
        <v>8574</v>
      </c>
      <c r="P1086" s="6" t="s">
        <v>8574</v>
      </c>
      <c r="Q1086" s="6" t="s">
        <v>9412</v>
      </c>
    </row>
    <row r="1087" spans="1:17" x14ac:dyDescent="0.25">
      <c r="A1087" s="5" t="str">
        <f>IF(TRIM(I1087)="","",E1087)</f>
        <v/>
      </c>
      <c r="B1087" s="5" t="str">
        <f>IF(TRIM(J1087)="","",H1087)</f>
        <v/>
      </c>
      <c r="C1087" s="5" t="str">
        <f>LEFT(F1087,FIND(".",F1087,6))</f>
        <v>Exif.OlympusCs.</v>
      </c>
      <c r="D1087" s="5" t="str">
        <f>VLOOKUP(C1087,PrefixUebersetzung,2,FALSE)</f>
        <v>Exif.OlympusCs.</v>
      </c>
      <c r="E1087" s="5" t="str">
        <f>MID(F1087,FIND(".",F1087,6)+1,99)</f>
        <v>MeteringMode</v>
      </c>
      <c r="F1087" s="5" t="s">
        <v>940</v>
      </c>
      <c r="G1087" s="5" t="s">
        <v>9664</v>
      </c>
      <c r="H1087" s="6" t="s">
        <v>2562</v>
      </c>
      <c r="I1087" s="24"/>
      <c r="J1087" s="8"/>
      <c r="K1087" s="26"/>
      <c r="L1087" s="6" t="str">
        <f>IFERROR(VLOOKUP(E1087,A:I,9, FALSE),"")</f>
        <v>Messmethode</v>
      </c>
      <c r="M1087" s="6" t="str">
        <f>IFERROR(VLOOKUP(H1087,B:J,9,FALSE),"")</f>
        <v>Messmethode</v>
      </c>
      <c r="N1087" s="6"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row>
    <row r="1088" spans="1:17" x14ac:dyDescent="0.25">
      <c r="A1088" s="5" t="str">
        <f>IF(TRIM(I1088)="","",E1088)</f>
        <v>ModifiedSaturation</v>
      </c>
      <c r="B1088" s="5" t="str">
        <f>IF(TRIM(J1088)="","",H1088)</f>
        <v>Modified saturation</v>
      </c>
      <c r="C1088" s="5" t="str">
        <f>LEFT(F1088,FIND(".",F1088,6))</f>
        <v>Exif.OlympusCs.</v>
      </c>
      <c r="D1088" s="5" t="str">
        <f>VLOOKUP(C1088,PrefixUebersetzung,2,FALSE)</f>
        <v>Exif.OlympusCs.</v>
      </c>
      <c r="E1088" s="5" t="str">
        <f>MID(F1088,FIND(".",F1088,6)+1,99)</f>
        <v>ModifiedSaturation</v>
      </c>
      <c r="F1088" s="5" t="s">
        <v>941</v>
      </c>
      <c r="G1088" s="5" t="s">
        <v>9664</v>
      </c>
      <c r="H1088" s="6" t="s">
        <v>2824</v>
      </c>
      <c r="I1088" s="7" t="s">
        <v>4918</v>
      </c>
      <c r="J1088" s="14" t="s">
        <v>4918</v>
      </c>
      <c r="K1088" s="26"/>
      <c r="N1088" s="6"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c r="O1088" s="6" t="s">
        <v>8574</v>
      </c>
      <c r="P1088" s="6" t="s">
        <v>8574</v>
      </c>
      <c r="Q1088" s="6" t="s">
        <v>9426</v>
      </c>
    </row>
    <row r="1089" spans="1:17" x14ac:dyDescent="0.25">
      <c r="A1089" s="5" t="str">
        <f>IF(TRIM(I1089)="","",E1089)</f>
        <v>NoiseFilter</v>
      </c>
      <c r="B1089" s="5" t="str">
        <f>IF(TRIM(J1089)="","",H1089)</f>
        <v>Noise filter</v>
      </c>
      <c r="C1089" s="5" t="str">
        <f>LEFT(F1089,FIND(".",F1089,6))</f>
        <v>Exif.OlympusCs.</v>
      </c>
      <c r="D1089" s="5" t="str">
        <f>VLOOKUP(C1089,PrefixUebersetzung,2,FALSE)</f>
        <v>Exif.OlympusCs.</v>
      </c>
      <c r="E1089" s="5" t="str">
        <f>MID(F1089,FIND(".",F1089,6)+1,99)</f>
        <v>NoiseFilter</v>
      </c>
      <c r="F1089" s="5" t="s">
        <v>942</v>
      </c>
      <c r="G1089" s="5" t="s">
        <v>9665</v>
      </c>
      <c r="H1089" s="6" t="s">
        <v>2825</v>
      </c>
      <c r="I1089" s="24" t="s">
        <v>4011</v>
      </c>
      <c r="J1089" s="8" t="s">
        <v>4011</v>
      </c>
      <c r="K1089" s="26"/>
      <c r="N1089" s="6"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c r="O1089" s="6" t="s">
        <v>8574</v>
      </c>
      <c r="P1089" s="6" t="s">
        <v>8574</v>
      </c>
      <c r="Q1089" s="6" t="s">
        <v>4011</v>
      </c>
    </row>
    <row r="1090" spans="1:17" x14ac:dyDescent="0.25">
      <c r="A1090" s="5" t="str">
        <f>IF(TRIM(I1090)="","",E1090)</f>
        <v/>
      </c>
      <c r="B1090" s="5" t="str">
        <f>IF(TRIM(J1090)="","",H1090)</f>
        <v/>
      </c>
      <c r="C1090" s="5" t="str">
        <f>LEFT(F1090,FIND(".",F1090,6))</f>
        <v>Exif.OlympusCs.</v>
      </c>
      <c r="D1090" s="5" t="str">
        <f>VLOOKUP(C1090,PrefixUebersetzung,2,FALSE)</f>
        <v>Exif.OlympusCs.</v>
      </c>
      <c r="E1090" s="5" t="str">
        <f>MID(F1090,FIND(".",F1090,6)+1,99)</f>
        <v>NoiseReduction</v>
      </c>
      <c r="F1090" s="5" t="s">
        <v>943</v>
      </c>
      <c r="G1090" s="5" t="s">
        <v>9664</v>
      </c>
      <c r="H1090" s="6" t="s">
        <v>2563</v>
      </c>
      <c r="I1090" s="5"/>
      <c r="J1090" s="8"/>
      <c r="K1090" s="26"/>
      <c r="L1090" s="6" t="str">
        <f>IFERROR(VLOOKUP(E1090,A:I,9, FALSE),"")</f>
        <v xml:space="preserve">Rauschreduzierung </v>
      </c>
      <c r="M1090" s="6" t="str">
        <f>IFERROR(VLOOKUP(H1090,B:J,9,FALSE),"")</f>
        <v xml:space="preserve">Rauschreduzierung </v>
      </c>
      <c r="N1090" s="6"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5" t="str">
        <f>IF(TRIM(I1091)="","",E1091)</f>
        <v>PanoramaMode</v>
      </c>
      <c r="B1091" s="5" t="str">
        <f>IF(TRIM(J1091)="","",H1091)</f>
        <v>Panorama mode</v>
      </c>
      <c r="C1091" s="5" t="str">
        <f>LEFT(F1091,FIND(".",F1091,6))</f>
        <v>Exif.OlympusCs.</v>
      </c>
      <c r="D1091" s="5" t="str">
        <f>VLOOKUP(C1091,PrefixUebersetzung,2,FALSE)</f>
        <v>Exif.OlympusCs.</v>
      </c>
      <c r="E1091" s="5" t="str">
        <f>MID(F1091,FIND(".",F1091,6)+1,99)</f>
        <v>PanoramaMode</v>
      </c>
      <c r="F1091" s="5" t="s">
        <v>944</v>
      </c>
      <c r="G1091" s="5" t="s">
        <v>9664</v>
      </c>
      <c r="H1091" s="6" t="s">
        <v>2826</v>
      </c>
      <c r="I1091" s="24" t="s">
        <v>5135</v>
      </c>
      <c r="J1091" s="8" t="s">
        <v>5135</v>
      </c>
      <c r="K1091" s="26"/>
      <c r="N1091" s="6"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c r="O1091" s="6" t="s">
        <v>8574</v>
      </c>
      <c r="P1091" s="6" t="s">
        <v>8574</v>
      </c>
      <c r="Q1091" s="6" t="s">
        <v>9439</v>
      </c>
    </row>
    <row r="1092" spans="1:17" x14ac:dyDescent="0.25">
      <c r="A1092" s="5" t="str">
        <f>IF(TRIM(I1092)="","",E1092)</f>
        <v/>
      </c>
      <c r="B1092" s="5" t="str">
        <f>IF(TRIM(J1092)="","",H1092)</f>
        <v>Picture mode</v>
      </c>
      <c r="C1092" s="5" t="str">
        <f>LEFT(F1092,FIND(".",F1092,6))</f>
        <v>Exif.OlympusCs.</v>
      </c>
      <c r="D1092" s="5" t="str">
        <f>VLOOKUP(C1092,PrefixUebersetzung,2,FALSE)</f>
        <v>Exif.OlympusCs.</v>
      </c>
      <c r="E1092" s="5" t="str">
        <f>MID(F1092,FIND(".",F1092,6)+1,99)</f>
        <v>PictureMode</v>
      </c>
      <c r="F1092" s="5" t="s">
        <v>945</v>
      </c>
      <c r="G1092" s="5" t="s">
        <v>9664</v>
      </c>
      <c r="H1092" s="6" t="s">
        <v>2827</v>
      </c>
      <c r="I1092" s="7"/>
      <c r="J1092" s="14" t="s">
        <v>4012</v>
      </c>
      <c r="K1092" s="26"/>
      <c r="L1092" s="6" t="str">
        <f>IFERROR(VLOOKUP(E1092,A:I,9, FALSE),"")</f>
        <v>Bildmodus</v>
      </c>
      <c r="M1092" s="6" t="str">
        <f>IFERROR(VLOOKUP(H1092,B:J,9,FALSE),"")</f>
        <v>Bildmodus</v>
      </c>
      <c r="N1092" s="6"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P1092" s="6" t="s">
        <v>8574</v>
      </c>
      <c r="Q1092" s="6" t="s">
        <v>4012</v>
      </c>
    </row>
    <row r="1093" spans="1:17" x14ac:dyDescent="0.25">
      <c r="A1093" s="5" t="str">
        <f>IF(TRIM(I1093)="","",E1093)</f>
        <v>PictureModeBWFilter</v>
      </c>
      <c r="B1093" s="5" t="str">
        <f>IF(TRIM(J1093)="","",H1093)</f>
        <v>Picture mode BW filter</v>
      </c>
      <c r="C1093" s="5" t="str">
        <f>LEFT(F1093,FIND(".",F1093,6))</f>
        <v>Exif.OlympusCs.</v>
      </c>
      <c r="D1093" s="5" t="str">
        <f>VLOOKUP(C1093,PrefixUebersetzung,2,FALSE)</f>
        <v>Exif.OlympusCs.</v>
      </c>
      <c r="E1093" s="5" t="str">
        <f>MID(F1093,FIND(".",F1093,6)+1,99)</f>
        <v>PictureModeBWFilter</v>
      </c>
      <c r="F1093" s="5" t="s">
        <v>946</v>
      </c>
      <c r="G1093" s="5" t="s">
        <v>9665</v>
      </c>
      <c r="H1093" s="6" t="s">
        <v>2828</v>
      </c>
      <c r="I1093" s="24" t="s">
        <v>4379</v>
      </c>
      <c r="J1093" s="8" t="s">
        <v>4379</v>
      </c>
      <c r="K1093" s="26"/>
      <c r="N1093" s="6"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6" t="s">
        <v>8574</v>
      </c>
      <c r="P1093" s="6" t="s">
        <v>8574</v>
      </c>
      <c r="Q1093" s="6" t="s">
        <v>9444</v>
      </c>
    </row>
    <row r="1094" spans="1:17" x14ac:dyDescent="0.25">
      <c r="A1094" s="5" t="str">
        <f>IF(TRIM(I1094)="","",E1094)</f>
        <v>PictureModeContrast</v>
      </c>
      <c r="B1094" s="5" t="str">
        <f>IF(TRIM(J1094)="","",H1094)</f>
        <v>Picture mode contrast</v>
      </c>
      <c r="C1094" s="5" t="str">
        <f>LEFT(F1094,FIND(".",F1094,6))</f>
        <v>Exif.OlympusCs.</v>
      </c>
      <c r="D1094" s="5" t="str">
        <f>VLOOKUP(C1094,PrefixUebersetzung,2,FALSE)</f>
        <v>Exif.OlympusCs.</v>
      </c>
      <c r="E1094" s="5" t="str">
        <f>MID(F1094,FIND(".",F1094,6)+1,99)</f>
        <v>PictureModeContrast</v>
      </c>
      <c r="F1094" s="5" t="s">
        <v>947</v>
      </c>
      <c r="G1094" s="5" t="s">
        <v>9665</v>
      </c>
      <c r="H1094" s="6" t="s">
        <v>2829</v>
      </c>
      <c r="I1094" s="24" t="s">
        <v>4013</v>
      </c>
      <c r="J1094" s="8" t="s">
        <v>4013</v>
      </c>
      <c r="K1094" s="26"/>
      <c r="M1094" s="6" t="str">
        <f>IFERROR(VLOOKUP(H1094,B:J,9,FALSE),"")</f>
        <v>Bildmodus Kontrast</v>
      </c>
      <c r="N1094" s="6"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c r="O1094" s="6" t="s">
        <v>8574</v>
      </c>
      <c r="P1094" s="6" t="s">
        <v>8574</v>
      </c>
      <c r="Q1094" s="6" t="s">
        <v>9445</v>
      </c>
    </row>
    <row r="1095" spans="1:17" x14ac:dyDescent="0.25">
      <c r="A1095" s="5" t="str">
        <f>IF(TRIM(I1095)="","",E1095)</f>
        <v>PictureModeHue</v>
      </c>
      <c r="B1095" s="5" t="str">
        <f>IF(TRIM(J1095)="","",H1095)</f>
        <v>Picture mode hue</v>
      </c>
      <c r="C1095" s="5" t="str">
        <f>LEFT(F1095,FIND(".",F1095,6))</f>
        <v>Exif.OlympusCs.</v>
      </c>
      <c r="D1095" s="5" t="str">
        <f>VLOOKUP(C1095,PrefixUebersetzung,2,FALSE)</f>
        <v>Exif.OlympusCs.</v>
      </c>
      <c r="E1095" s="5" t="str">
        <f>MID(F1095,FIND(".",F1095,6)+1,99)</f>
        <v>PictureModeHue</v>
      </c>
      <c r="F1095" s="5" t="s">
        <v>948</v>
      </c>
      <c r="G1095" s="5" t="s">
        <v>9664</v>
      </c>
      <c r="H1095" s="6" t="s">
        <v>2830</v>
      </c>
      <c r="I1095" s="24" t="s">
        <v>4014</v>
      </c>
      <c r="J1095" s="8" t="s">
        <v>4014</v>
      </c>
      <c r="K1095" s="26"/>
      <c r="N1095" s="6"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c r="O1095" s="6" t="s">
        <v>8574</v>
      </c>
      <c r="P1095" s="6" t="s">
        <v>8574</v>
      </c>
      <c r="Q1095" s="6" t="s">
        <v>9446</v>
      </c>
    </row>
    <row r="1096" spans="1:17" x14ac:dyDescent="0.25">
      <c r="A1096" s="5" t="str">
        <f>IF(TRIM(I1096)="","",E1096)</f>
        <v>PictureModeSaturation</v>
      </c>
      <c r="B1096" s="5" t="str">
        <f>IF(TRIM(J1096)="","",H1096)</f>
        <v>Picture mode saturation</v>
      </c>
      <c r="C1096" s="5" t="str">
        <f>LEFT(F1096,FIND(".",F1096,6))</f>
        <v>Exif.OlympusCs.</v>
      </c>
      <c r="D1096" s="5" t="str">
        <f>VLOOKUP(C1096,PrefixUebersetzung,2,FALSE)</f>
        <v>Exif.OlympusCs.</v>
      </c>
      <c r="E1096" s="5" t="str">
        <f>MID(F1096,FIND(".",F1096,6)+1,99)</f>
        <v>PictureModeSaturation</v>
      </c>
      <c r="F1096" s="5" t="s">
        <v>949</v>
      </c>
      <c r="G1096" s="5" t="s">
        <v>9665</v>
      </c>
      <c r="H1096" s="6" t="s">
        <v>2831</v>
      </c>
      <c r="I1096" s="24" t="s">
        <v>4015</v>
      </c>
      <c r="J1096" s="8" t="s">
        <v>4015</v>
      </c>
      <c r="K1096" s="26"/>
      <c r="M1096" s="6" t="str">
        <f>IFERROR(VLOOKUP(H1096,B:J,9,FALSE),"")</f>
        <v>Bildmodus Sättigung</v>
      </c>
      <c r="N1096" s="6"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6" t="s">
        <v>8574</v>
      </c>
      <c r="P1096" s="6" t="s">
        <v>8574</v>
      </c>
      <c r="Q1096" s="6" t="s">
        <v>9443</v>
      </c>
    </row>
    <row r="1097" spans="1:17" x14ac:dyDescent="0.25">
      <c r="A1097" s="5" t="str">
        <f>IF(TRIM(I1097)="","",E1097)</f>
        <v>PictureModeSharpness</v>
      </c>
      <c r="B1097" s="5" t="str">
        <f>IF(TRIM(J1097)="","",H1097)</f>
        <v>Picture mode sharpness</v>
      </c>
      <c r="C1097" s="5" t="str">
        <f>LEFT(F1097,FIND(".",F1097,6))</f>
        <v>Exif.OlympusCs.</v>
      </c>
      <c r="D1097" s="5" t="str">
        <f>VLOOKUP(C1097,PrefixUebersetzung,2,FALSE)</f>
        <v>Exif.OlympusCs.</v>
      </c>
      <c r="E1097" s="5" t="str">
        <f>MID(F1097,FIND(".",F1097,6)+1,99)</f>
        <v>PictureModeSharpness</v>
      </c>
      <c r="F1097" s="5" t="s">
        <v>950</v>
      </c>
      <c r="G1097" s="5" t="s">
        <v>9665</v>
      </c>
      <c r="H1097" s="6" t="s">
        <v>2832</v>
      </c>
      <c r="I1097" s="24" t="s">
        <v>4016</v>
      </c>
      <c r="J1097" s="8" t="s">
        <v>4016</v>
      </c>
      <c r="K1097" s="26"/>
      <c r="M1097" s="6" t="str">
        <f>IFERROR(VLOOKUP(H1097,B:J,9,FALSE),"")</f>
        <v>Bildmodus Schärfe</v>
      </c>
      <c r="N1097" s="6"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c r="O1097" s="6" t="s">
        <v>8574</v>
      </c>
      <c r="P1097" s="6" t="s">
        <v>8574</v>
      </c>
      <c r="Q1097" s="6" t="s">
        <v>9447</v>
      </c>
    </row>
    <row r="1098" spans="1:17" x14ac:dyDescent="0.25">
      <c r="A1098" s="5" t="str">
        <f>IF(TRIM(I1098)="","",E1098)</f>
        <v>PictureModeTone</v>
      </c>
      <c r="B1098" s="5" t="str">
        <f>IF(TRIM(J1098)="","",H1098)</f>
        <v>Picture mode tone</v>
      </c>
      <c r="C1098" s="5" t="str">
        <f>LEFT(F1098,FIND(".",F1098,6))</f>
        <v>Exif.OlympusCs.</v>
      </c>
      <c r="D1098" s="5" t="str">
        <f>VLOOKUP(C1098,PrefixUebersetzung,2,FALSE)</f>
        <v>Exif.OlympusCs.</v>
      </c>
      <c r="E1098" s="5" t="str">
        <f>MID(F1098,FIND(".",F1098,6)+1,99)</f>
        <v>PictureModeTone</v>
      </c>
      <c r="F1098" s="5" t="s">
        <v>951</v>
      </c>
      <c r="G1098" s="5" t="s">
        <v>9665</v>
      </c>
      <c r="H1098" s="6" t="s">
        <v>2833</v>
      </c>
      <c r="I1098" s="24" t="s">
        <v>4017</v>
      </c>
      <c r="J1098" s="8" t="s">
        <v>4017</v>
      </c>
      <c r="K1098" s="26"/>
      <c r="N1098" s="6"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c r="O1098" s="6" t="s">
        <v>8574</v>
      </c>
      <c r="P1098" s="6" t="s">
        <v>8574</v>
      </c>
      <c r="Q1098" s="6" t="s">
        <v>9448</v>
      </c>
    </row>
    <row r="1099" spans="1:17" x14ac:dyDescent="0.25">
      <c r="A1099" s="5" t="str">
        <f>IF(TRIM(I1099)="","",E1099)</f>
        <v/>
      </c>
      <c r="B1099" s="5" t="str">
        <f>IF(TRIM(J1099)="","",H1099)</f>
        <v/>
      </c>
      <c r="C1099" s="5" t="str">
        <f>LEFT(F1099,FIND(".",F1099,6))</f>
        <v>Exif.OlympusCs.</v>
      </c>
      <c r="D1099" s="5" t="str">
        <f>VLOOKUP(C1099,PrefixUebersetzung,2,FALSE)</f>
        <v>Exif.OlympusCs.</v>
      </c>
      <c r="E1099" s="5" t="str">
        <f>MID(F1099,FIND(".",F1099,6)+1,99)</f>
        <v>PreviewImageLength</v>
      </c>
      <c r="F1099" s="5" t="s">
        <v>952</v>
      </c>
      <c r="G1099" s="5" t="s">
        <v>9667</v>
      </c>
      <c r="H1099" s="6" t="s">
        <v>2834</v>
      </c>
      <c r="I1099" s="24"/>
      <c r="J1099" s="8"/>
      <c r="K1099" s="26"/>
      <c r="L1099" s="6" t="str">
        <f>IFERROR(VLOOKUP(E1099,A:I,9, FALSE),"")</f>
        <v>Vorschaubild Länge</v>
      </c>
      <c r="M1099" s="6" t="str">
        <f>IFERROR(VLOOKUP(H1099,B:J,9,FALSE),"")</f>
        <v>Vorschaubild Länge</v>
      </c>
      <c r="N1099" s="6"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5" t="str">
        <f>IF(TRIM(I1100)="","",E1100)</f>
        <v/>
      </c>
      <c r="B1100" s="5" t="str">
        <f>IF(TRIM(J1100)="","",H1100)</f>
        <v/>
      </c>
      <c r="C1100" s="5" t="str">
        <f>LEFT(F1100,FIND(".",F1100,6))</f>
        <v>Exif.OlympusCs.</v>
      </c>
      <c r="D1100" s="5" t="str">
        <f>VLOOKUP(C1100,PrefixUebersetzung,2,FALSE)</f>
        <v>Exif.OlympusCs.</v>
      </c>
      <c r="E1100" s="5" t="str">
        <f>MID(F1100,FIND(".",F1100,6)+1,99)</f>
        <v>PreviewImageStart</v>
      </c>
      <c r="F1100" s="5" t="s">
        <v>953</v>
      </c>
      <c r="G1100" s="5" t="s">
        <v>9667</v>
      </c>
      <c r="H1100" s="6" t="s">
        <v>2835</v>
      </c>
      <c r="I1100" s="24"/>
      <c r="J1100" s="8"/>
      <c r="K1100" s="26"/>
      <c r="L1100" s="6" t="str">
        <f>IFERROR(VLOOKUP(E1100,A:I,9, FALSE),"")</f>
        <v>Vorschaubild Start</v>
      </c>
      <c r="M1100" s="6" t="str">
        <f>IFERROR(VLOOKUP(H1100,B:J,9,FALSE),"")</f>
        <v>Vorschaubild Start</v>
      </c>
      <c r="N1100" s="6"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5" t="str">
        <f>IF(TRIM(I1101)="","",E1101)</f>
        <v>PreviewImageValid</v>
      </c>
      <c r="B1101" s="5" t="str">
        <f>IF(TRIM(J1101)="","",H1101)</f>
        <v>Preview image valid</v>
      </c>
      <c r="C1101" s="5" t="str">
        <f>LEFT(F1101,FIND(".",F1101,6))</f>
        <v>Exif.OlympusCs.</v>
      </c>
      <c r="D1101" s="5" t="str">
        <f>VLOOKUP(C1101,PrefixUebersetzung,2,FALSE)</f>
        <v>Exif.OlympusCs.</v>
      </c>
      <c r="E1101" s="5" t="str">
        <f>MID(F1101,FIND(".",F1101,6)+1,99)</f>
        <v>PreviewImageValid</v>
      </c>
      <c r="F1101" s="5" t="s">
        <v>954</v>
      </c>
      <c r="G1101" s="5" t="s">
        <v>9667</v>
      </c>
      <c r="H1101" s="6" t="s">
        <v>2836</v>
      </c>
      <c r="I1101" s="24" t="s">
        <v>4020</v>
      </c>
      <c r="J1101" s="13" t="s">
        <v>4020</v>
      </c>
      <c r="K1101" s="26"/>
      <c r="N1101" s="6"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O1101" s="6" t="s">
        <v>8574</v>
      </c>
      <c r="P1101" s="6" t="s">
        <v>8574</v>
      </c>
      <c r="Q1101" s="6" t="s">
        <v>9183</v>
      </c>
    </row>
    <row r="1102" spans="1:17" x14ac:dyDescent="0.25">
      <c r="A1102" s="5" t="str">
        <f>IF(TRIM(I1102)="","",E1102)</f>
        <v/>
      </c>
      <c r="B1102" s="5" t="str">
        <f>IF(TRIM(J1102)="","",H1102)</f>
        <v>Image quality 2</v>
      </c>
      <c r="C1102" s="5" t="str">
        <f>LEFT(F1102,FIND(".",F1102,6))</f>
        <v>Exif.OlympusCs.</v>
      </c>
      <c r="D1102" s="5" t="str">
        <f>VLOOKUP(C1102,PrefixUebersetzung,2,FALSE)</f>
        <v>Exif.OlympusCs.</v>
      </c>
      <c r="E1102" s="5" t="str">
        <f>MID(F1102,FIND(".",F1102,6)+1,99)</f>
        <v>Quality</v>
      </c>
      <c r="F1102" s="5" t="s">
        <v>955</v>
      </c>
      <c r="G1102" s="5" t="s">
        <v>9664</v>
      </c>
      <c r="H1102" s="6" t="s">
        <v>2837</v>
      </c>
      <c r="I1102" s="24"/>
      <c r="J1102" s="14" t="s">
        <v>4021</v>
      </c>
      <c r="K1102" s="26"/>
      <c r="L1102" s="6" t="str">
        <f>IFERROR(VLOOKUP(E1102,A:I,9, FALSE),"")</f>
        <v>Qualität</v>
      </c>
      <c r="N1102" s="6"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P1102" s="6" t="s">
        <v>8574</v>
      </c>
      <c r="Q1102" s="6" t="s">
        <v>9358</v>
      </c>
    </row>
    <row r="1103" spans="1:17" x14ac:dyDescent="0.25">
      <c r="A1103" s="5" t="str">
        <f>IF(TRIM(I1103)="","",E1103)</f>
        <v/>
      </c>
      <c r="B1103" s="5" t="str">
        <f>IF(TRIM(J1103)="","",H1103)</f>
        <v/>
      </c>
      <c r="C1103" s="5" t="str">
        <f>LEFT(F1103,FIND(".",F1103,6))</f>
        <v>Exif.OlympusCs.</v>
      </c>
      <c r="D1103" s="5" t="str">
        <f>VLOOKUP(C1103,PrefixUebersetzung,2,FALSE)</f>
        <v>Exif.OlympusCs.</v>
      </c>
      <c r="E1103" s="5" t="str">
        <f>MID(F1103,FIND(".",F1103,6)+1,99)</f>
        <v>SceneMode</v>
      </c>
      <c r="F1103" s="5" t="s">
        <v>956</v>
      </c>
      <c r="G1103" s="5" t="s">
        <v>9664</v>
      </c>
      <c r="H1103" s="6" t="s">
        <v>2660</v>
      </c>
      <c r="I1103" s="24"/>
      <c r="J1103" s="8"/>
      <c r="K1103" s="26"/>
      <c r="L1103" s="6" t="str">
        <f>IFERROR(VLOOKUP(E1103,A:I,9, FALSE),"")</f>
        <v>Szenenmodus</v>
      </c>
      <c r="M1103" s="6" t="str">
        <f>IFERROR(VLOOKUP(H1103,B:J,9,FALSE),"")</f>
        <v>Szenenmodus</v>
      </c>
      <c r="N1103" s="6"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5" t="str">
        <f>IF(TRIM(I1104)="","",E1104)</f>
        <v>ShadingCompensation</v>
      </c>
      <c r="B1104" s="5" t="str">
        <f>IF(TRIM(J1104)="","",H1104)</f>
        <v>Shading compensation</v>
      </c>
      <c r="C1104" s="5" t="str">
        <f>LEFT(F1104,FIND(".",F1104,6))</f>
        <v>Exif.OlympusCs.</v>
      </c>
      <c r="D1104" s="5" t="str">
        <f>VLOOKUP(C1104,PrefixUebersetzung,2,FALSE)</f>
        <v>Exif.OlympusCs.</v>
      </c>
      <c r="E1104" s="5" t="str">
        <f>MID(F1104,FIND(".",F1104,6)+1,99)</f>
        <v>ShadingCompensation</v>
      </c>
      <c r="F1104" s="5" t="s">
        <v>957</v>
      </c>
      <c r="G1104" s="5" t="s">
        <v>9664</v>
      </c>
      <c r="H1104" s="6" t="s">
        <v>2838</v>
      </c>
      <c r="I1104" s="7" t="s">
        <v>5086</v>
      </c>
      <c r="J1104" s="14" t="s">
        <v>5086</v>
      </c>
      <c r="K1104" s="26"/>
      <c r="L1104" s="6" t="str">
        <f>IFERROR(VLOOKUP(E1104,A:I,9, FALSE),"")</f>
        <v>Schatten Ausgleich</v>
      </c>
      <c r="M1104" s="6" t="str">
        <f>IFERROR(VLOOKUP(H1104,B:J,9,FALSE),"")</f>
        <v>Schatten Ausgleich</v>
      </c>
      <c r="N1104" s="6"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6" t="s">
        <v>8574</v>
      </c>
      <c r="P1104" s="6" t="s">
        <v>8574</v>
      </c>
      <c r="Q1104" s="6" t="s">
        <v>9482</v>
      </c>
    </row>
    <row r="1105" spans="1:17" x14ac:dyDescent="0.25">
      <c r="A1105" s="5" t="str">
        <f>IF(TRIM(I1105)="","",E1105)</f>
        <v>SharpnessSetting</v>
      </c>
      <c r="B1105" s="5" t="str">
        <f>IF(TRIM(J1105)="","",H1105)</f>
        <v/>
      </c>
      <c r="C1105" s="5" t="str">
        <f>LEFT(F1105,FIND(".",F1105,6))</f>
        <v>Exif.OlympusCs.</v>
      </c>
      <c r="D1105" s="5" t="str">
        <f>VLOOKUP(C1105,PrefixUebersetzung,2,FALSE)</f>
        <v>Exif.OlympusCs.</v>
      </c>
      <c r="E1105" s="5" t="str">
        <f>MID(F1105,FIND(".",F1105,6)+1,99)</f>
        <v>SharpnessSetting</v>
      </c>
      <c r="F1105" s="5" t="s">
        <v>958</v>
      </c>
      <c r="G1105" s="5" t="s">
        <v>9665</v>
      </c>
      <c r="H1105" s="6" t="s">
        <v>2211</v>
      </c>
      <c r="I1105" s="24" t="s">
        <v>4919</v>
      </c>
      <c r="K1105" s="26"/>
      <c r="L1105" s="6" t="str">
        <f>IFERROR(VLOOKUP(E1105,A:I,9, FALSE),"")</f>
        <v>Schärfe Einstellung</v>
      </c>
      <c r="M1105" s="6" t="str">
        <f>IFERROR(VLOOKUP(H1105,B:J,9,FALSE),"")</f>
        <v>Einstellung der Schärfe</v>
      </c>
      <c r="N1105" s="6"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c r="O1105" s="6" t="s">
        <v>8574</v>
      </c>
    </row>
    <row r="1106" spans="1:17" x14ac:dyDescent="0.25">
      <c r="A1106" s="5" t="str">
        <f>IF(TRIM(I1106)="","",E1106)</f>
        <v/>
      </c>
      <c r="B1106" s="5" t="str">
        <f>IF(TRIM(J1106)="","",H1106)</f>
        <v>White balance 2</v>
      </c>
      <c r="C1106" s="5" t="str">
        <f>LEFT(F1106,FIND(".",F1106,6))</f>
        <v>Exif.OlympusCs.</v>
      </c>
      <c r="D1106" s="5" t="str">
        <f>VLOOKUP(C1106,PrefixUebersetzung,2,FALSE)</f>
        <v>Exif.OlympusCs.</v>
      </c>
      <c r="E1106" s="5" t="str">
        <f>MID(F1106,FIND(".",F1106,6)+1,99)</f>
        <v>WhiteBalance</v>
      </c>
      <c r="F1106" s="5" t="s">
        <v>959</v>
      </c>
      <c r="G1106" s="5" t="s">
        <v>9664</v>
      </c>
      <c r="H1106" s="6" t="s">
        <v>2839</v>
      </c>
      <c r="I1106" s="24"/>
      <c r="J1106" s="14" t="s">
        <v>4022</v>
      </c>
      <c r="K1106" s="26"/>
      <c r="L1106" s="6" t="str">
        <f>IFERROR(VLOOKUP(E1106,A:I,9, FALSE),"")</f>
        <v>Weißabgleich</v>
      </c>
      <c r="M1106" s="6" t="str">
        <f>IFERROR(VLOOKUP(H1106,B:J,9,FALSE),"")</f>
        <v>Weißabgleich 2</v>
      </c>
      <c r="N1106" s="6"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P1106" s="6" t="s">
        <v>8574</v>
      </c>
      <c r="Q1106" s="6" t="s">
        <v>9174</v>
      </c>
    </row>
    <row r="1107" spans="1:17" x14ac:dyDescent="0.25">
      <c r="A1107" s="5" t="str">
        <f>IF(TRIM(I1107)="","",E1107)</f>
        <v/>
      </c>
      <c r="B1107" s="5" t="str">
        <f>IF(TRIM(J1107)="","",H1107)</f>
        <v/>
      </c>
      <c r="C1107" s="5" t="str">
        <f>LEFT(F1107,FIND(".",F1107,6))</f>
        <v>Exif.OlympusCs.</v>
      </c>
      <c r="D1107" s="5" t="str">
        <f>VLOOKUP(C1107,PrefixUebersetzung,2,FALSE)</f>
        <v>Exif.OlympusCs.</v>
      </c>
      <c r="E1107" s="5" t="str">
        <f>MID(F1107,FIND(".",F1107,6)+1,99)</f>
        <v>WhiteBalanceBracket</v>
      </c>
      <c r="F1107" s="5" t="s">
        <v>960</v>
      </c>
      <c r="G1107" s="5" t="s">
        <v>9665</v>
      </c>
      <c r="H1107" s="6" t="s">
        <v>2798</v>
      </c>
      <c r="I1107" s="24"/>
      <c r="K1107" s="26"/>
      <c r="L1107" s="6" t="str">
        <f>IFERROR(VLOOKUP(E1107,A:I,9, FALSE),"")</f>
        <v>Weißabgleich Reihe</v>
      </c>
      <c r="M1107" s="6" t="str">
        <f>IFERROR(VLOOKUP(H1107,B:J,9,FALSE),"")</f>
        <v>Weißabgleichreihe</v>
      </c>
      <c r="N1107" s="6"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row>
    <row r="1108" spans="1:17" x14ac:dyDescent="0.25">
      <c r="A1108" s="5" t="str">
        <f>IF(TRIM(I1108)="","",E1108)</f>
        <v>WhiteBalanceTemperature</v>
      </c>
      <c r="B1108" s="5" t="str">
        <f>IF(TRIM(J1108)="","",H1108)</f>
        <v>White balance temperature</v>
      </c>
      <c r="C1108" s="5" t="str">
        <f>LEFT(F1108,FIND(".",F1108,6))</f>
        <v>Exif.OlympusCs.</v>
      </c>
      <c r="D1108" s="5" t="str">
        <f>VLOOKUP(C1108,PrefixUebersetzung,2,FALSE)</f>
        <v>Exif.OlympusCs.</v>
      </c>
      <c r="E1108" s="5" t="str">
        <f>MID(F1108,FIND(".",F1108,6)+1,99)</f>
        <v>WhiteBalanceTemperature</v>
      </c>
      <c r="F1108" s="5" t="s">
        <v>961</v>
      </c>
      <c r="G1108" s="5" t="s">
        <v>9664</v>
      </c>
      <c r="H1108" s="6" t="s">
        <v>2840</v>
      </c>
      <c r="I1108" s="24" t="s">
        <v>4023</v>
      </c>
      <c r="J1108" s="14" t="s">
        <v>4023</v>
      </c>
      <c r="K1108" s="26"/>
      <c r="N1108" s="6"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c r="O1108" s="6" t="s">
        <v>8574</v>
      </c>
      <c r="P1108" s="6" t="s">
        <v>8574</v>
      </c>
      <c r="Q1108" s="6" t="s">
        <v>9560</v>
      </c>
    </row>
    <row r="1109" spans="1:17" ht="30" x14ac:dyDescent="0.25">
      <c r="A1109" s="5" t="str">
        <f>IF(TRIM(I1109)="","",E1109)</f>
        <v/>
      </c>
      <c r="B1109" s="5" t="str">
        <f>IF(TRIM(J1109)="","",H1109)</f>
        <v/>
      </c>
      <c r="C1109" s="5" t="str">
        <f>LEFT(F1109,FIND(".",F1109,6))</f>
        <v>Exif.OlympusEq.</v>
      </c>
      <c r="D1109" s="5" t="str">
        <f>VLOOKUP(C1109,PrefixUebersetzung,2,FALSE)</f>
        <v>Exif.OlympusEq.</v>
      </c>
      <c r="E1109" s="5" t="str">
        <f>MID(F1109,FIND(".",F1109,6)+1,99)</f>
        <v>BodyFirmwareVersion</v>
      </c>
      <c r="F1109" s="5" t="s">
        <v>962</v>
      </c>
      <c r="G1109" s="5" t="s">
        <v>9667</v>
      </c>
      <c r="H1109" s="6" t="s">
        <v>2746</v>
      </c>
      <c r="K1109" s="26"/>
      <c r="L1109" s="6" t="str">
        <f>IFERROR(VLOOKUP(E1109,A:I,9, FALSE),"")</f>
        <v>Gehäuse Firmwareversion</v>
      </c>
      <c r="M1109" s="6" t="str">
        <f>IFERROR(VLOOKUP(H1109,B:J,9,FALSE),"")</f>
        <v>Gehäuse Firmwareversion</v>
      </c>
      <c r="N1109" s="6"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5" t="str">
        <f>IF(TRIM(I1110)="","",E1110)</f>
        <v/>
      </c>
      <c r="B1110" s="5" t="str">
        <f>IF(TRIM(J1110)="","",H1110)</f>
        <v/>
      </c>
      <c r="C1110" s="5" t="str">
        <f>LEFT(F1110,FIND(".",F1110,6))</f>
        <v>Exif.OlympusEq.</v>
      </c>
      <c r="D1110" s="5" t="str">
        <f>VLOOKUP(C1110,PrefixUebersetzung,2,FALSE)</f>
        <v>Exif.OlympusEq.</v>
      </c>
      <c r="E1110" s="5" t="str">
        <f>MID(F1110,FIND(".",F1110,6)+1,99)</f>
        <v>CameraType</v>
      </c>
      <c r="F1110" s="5" t="s">
        <v>963</v>
      </c>
      <c r="G1110" s="5" t="s">
        <v>9666</v>
      </c>
      <c r="H1110" s="6" t="s">
        <v>2752</v>
      </c>
      <c r="I1110" s="24"/>
      <c r="J1110" s="8"/>
      <c r="K1110" s="26"/>
      <c r="L1110" s="6" t="str">
        <f>IFERROR(VLOOKUP(E1110,A:I,9, FALSE),"")</f>
        <v>Kameratyp</v>
      </c>
      <c r="M1110" s="6" t="str">
        <f>IFERROR(VLOOKUP(H1110,B:J,9,FALSE),"")</f>
        <v>Kameratyp</v>
      </c>
      <c r="N1110" s="6"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c>
    </row>
    <row r="1111" spans="1:17" x14ac:dyDescent="0.25">
      <c r="A1111" s="5" t="str">
        <f>IF(TRIM(I1111)="","",E1111)</f>
        <v>ConversionLens</v>
      </c>
      <c r="B1111" s="5" t="str">
        <f>IF(TRIM(J1111)="","",H1111)</f>
        <v>Conversion lens</v>
      </c>
      <c r="C1111" s="5" t="str">
        <f>LEFT(F1111,FIND(".",F1111,6))</f>
        <v>Exif.OlympusEq.</v>
      </c>
      <c r="D1111" s="5" t="str">
        <f>VLOOKUP(C1111,PrefixUebersetzung,2,FALSE)</f>
        <v>Exif.OlympusEq.</v>
      </c>
      <c r="E1111" s="5" t="str">
        <f>MID(F1111,FIND(".",F1111,6)+1,99)</f>
        <v>ConversionLens</v>
      </c>
      <c r="F1111" s="23" t="s">
        <v>5671</v>
      </c>
      <c r="G1111" s="5" t="s">
        <v>9666</v>
      </c>
      <c r="H1111" s="10" t="s">
        <v>2959</v>
      </c>
      <c r="I1111" s="7" t="s">
        <v>4054</v>
      </c>
      <c r="J1111" s="8" t="s">
        <v>4054</v>
      </c>
      <c r="K1111" s="26"/>
      <c r="L1111" s="6" t="str">
        <f>IFERROR(VLOOKUP(E1111,A:I,9, FALSE),"")</f>
        <v>Vorsatzlinse</v>
      </c>
      <c r="M1111" s="6" t="str">
        <f>IFERROR(VLOOKUP(H1111,B:J,9,FALSE),"")</f>
        <v>Vorsatzlinse</v>
      </c>
      <c r="N1111" s="6"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6" t="s">
        <v>8574</v>
      </c>
      <c r="P1111" s="6" t="s">
        <v>8574</v>
      </c>
      <c r="Q1111" s="6" t="s">
        <v>9222</v>
      </c>
    </row>
    <row r="1112" spans="1:17" x14ac:dyDescent="0.25">
      <c r="A1112" s="5" t="str">
        <f>IF(TRIM(I1112)="","",E1112)</f>
        <v>EquipmentVersion</v>
      </c>
      <c r="B1112" s="5" t="str">
        <f>IF(TRIM(J1112)="","",H1112)</f>
        <v>Equipment version</v>
      </c>
      <c r="C1112" s="5" t="str">
        <f>LEFT(F1112,FIND(".",F1112,6))</f>
        <v>Exif.OlympusEq.</v>
      </c>
      <c r="D1112" s="5" t="str">
        <f>VLOOKUP(C1112,PrefixUebersetzung,2,FALSE)</f>
        <v>Exif.OlympusEq.</v>
      </c>
      <c r="E1112" s="5" t="str">
        <f>MID(F1112,FIND(".",F1112,6)+1,99)</f>
        <v>EquipmentVersion</v>
      </c>
      <c r="F1112" s="5" t="s">
        <v>964</v>
      </c>
      <c r="G1112" s="5" t="s">
        <v>9669</v>
      </c>
      <c r="H1112" s="6" t="s">
        <v>2841</v>
      </c>
      <c r="I1112" s="24" t="s">
        <v>4380</v>
      </c>
      <c r="J1112" s="8" t="s">
        <v>4380</v>
      </c>
      <c r="K1112" s="26"/>
      <c r="N1112" s="6"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6" t="s">
        <v>8574</v>
      </c>
      <c r="P1112" s="6" t="s">
        <v>8574</v>
      </c>
      <c r="Q1112" s="6" t="s">
        <v>9279</v>
      </c>
    </row>
    <row r="1113" spans="1:17" x14ac:dyDescent="0.25">
      <c r="A1113" s="5" t="str">
        <f>IF(TRIM(I1113)="","",E1113)</f>
        <v>Extender</v>
      </c>
      <c r="B1113" s="5" t="str">
        <f>IF(TRIM(J1113)="","",H1113)</f>
        <v>Extender</v>
      </c>
      <c r="C1113" s="5" t="str">
        <f>LEFT(F1113,FIND(".",F1113,6))</f>
        <v>Exif.OlympusEq.</v>
      </c>
      <c r="D1113" s="5" t="str">
        <f>VLOOKUP(C1113,PrefixUebersetzung,2,FALSE)</f>
        <v>Exif.OlympusEq.</v>
      </c>
      <c r="E1113" s="5" t="str">
        <f>MID(F1113,FIND(".",F1113,6)+1,99)</f>
        <v>Extender</v>
      </c>
      <c r="F1113" s="5" t="s">
        <v>965</v>
      </c>
      <c r="G1113" s="5" t="s">
        <v>9670</v>
      </c>
      <c r="H1113" s="6" t="s">
        <v>2842</v>
      </c>
      <c r="I1113" s="7" t="s">
        <v>2842</v>
      </c>
      <c r="J1113" s="14" t="s">
        <v>2842</v>
      </c>
      <c r="K1113" s="26"/>
      <c r="N1113" s="6"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O1113" s="6" t="s">
        <v>8574</v>
      </c>
      <c r="P1113" s="6" t="s">
        <v>8574</v>
      </c>
      <c r="Q1113" s="6" t="s">
        <v>7643</v>
      </c>
    </row>
    <row r="1114" spans="1:17" x14ac:dyDescent="0.25">
      <c r="A1114" s="5" t="str">
        <f>IF(TRIM(I1114)="","",E1114)</f>
        <v>ExtenderFirmwareVersion</v>
      </c>
      <c r="B1114" s="5" t="str">
        <f>IF(TRIM(J1114)="","",H1114)</f>
        <v>Extender firmwareversion</v>
      </c>
      <c r="C1114" s="5" t="str">
        <f>LEFT(F1114,FIND(".",F1114,6))</f>
        <v>Exif.OlympusEq.</v>
      </c>
      <c r="D1114" s="5" t="str">
        <f>VLOOKUP(C1114,PrefixUebersetzung,2,FALSE)</f>
        <v>Exif.OlympusEq.</v>
      </c>
      <c r="E1114" s="5" t="str">
        <f>MID(F1114,FIND(".",F1114,6)+1,99)</f>
        <v>ExtenderFirmwareVersion</v>
      </c>
      <c r="F1114" s="5" t="s">
        <v>966</v>
      </c>
      <c r="G1114" s="5" t="s">
        <v>9667</v>
      </c>
      <c r="H1114" s="6" t="s">
        <v>2843</v>
      </c>
      <c r="I1114" s="24" t="s">
        <v>4024</v>
      </c>
      <c r="J1114" s="8" t="s">
        <v>4024</v>
      </c>
      <c r="K1114" s="26"/>
      <c r="N1114" s="6"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6" t="s">
        <v>8574</v>
      </c>
      <c r="P1114" s="6" t="s">
        <v>8574</v>
      </c>
      <c r="Q1114" s="6" t="s">
        <v>9287</v>
      </c>
    </row>
    <row r="1115" spans="1:17" x14ac:dyDescent="0.25">
      <c r="A1115" s="5" t="str">
        <f>IF(TRIM(I1115)="","",E1115)</f>
        <v>ExtenderModel</v>
      </c>
      <c r="B1115" s="5" t="str">
        <f>IF(TRIM(J1115)="","",H1115)</f>
        <v>Extender model</v>
      </c>
      <c r="C1115" s="5" t="str">
        <f>LEFT(F1115,FIND(".",F1115,6))</f>
        <v>Exif.OlympusEq.</v>
      </c>
      <c r="D1115" s="5" t="str">
        <f>VLOOKUP(C1115,PrefixUebersetzung,2,FALSE)</f>
        <v>Exif.OlympusEq.</v>
      </c>
      <c r="E1115" s="5" t="str">
        <f>MID(F1115,FIND(".",F1115,6)+1,99)</f>
        <v>ExtenderModel</v>
      </c>
      <c r="F1115" s="5" t="s">
        <v>967</v>
      </c>
      <c r="G1115" s="5" t="s">
        <v>9666</v>
      </c>
      <c r="H1115" s="6" t="s">
        <v>2844</v>
      </c>
      <c r="I1115" s="24" t="s">
        <v>4025</v>
      </c>
      <c r="J1115" s="8" t="s">
        <v>4025</v>
      </c>
      <c r="K1115" s="26"/>
      <c r="N1115" s="6"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O1115" s="6" t="s">
        <v>8574</v>
      </c>
      <c r="P1115" s="6" t="s">
        <v>8574</v>
      </c>
      <c r="Q1115" s="6" t="s">
        <v>9288</v>
      </c>
    </row>
    <row r="1116" spans="1:17" x14ac:dyDescent="0.25">
      <c r="A1116" s="5" t="str">
        <f>IF(TRIM(I1116)="","",E1116)</f>
        <v>ExtenderSerialNumber</v>
      </c>
      <c r="B1116" s="5" t="str">
        <f>IF(TRIM(J1116)="","",H1116)</f>
        <v>Extender serial number</v>
      </c>
      <c r="C1116" s="5" t="str">
        <f>LEFT(F1116,FIND(".",F1116,6))</f>
        <v>Exif.OlympusEq.</v>
      </c>
      <c r="D1116" s="5" t="str">
        <f>VLOOKUP(C1116,PrefixUebersetzung,2,FALSE)</f>
        <v>Exif.OlympusEq.</v>
      </c>
      <c r="E1116" s="5" t="str">
        <f>MID(F1116,FIND(".",F1116,6)+1,99)</f>
        <v>ExtenderSerialNumber</v>
      </c>
      <c r="F1116" s="5" t="s">
        <v>968</v>
      </c>
      <c r="G1116" s="5" t="s">
        <v>9666</v>
      </c>
      <c r="H1116" s="6" t="s">
        <v>2845</v>
      </c>
      <c r="I1116" s="24" t="s">
        <v>4026</v>
      </c>
      <c r="J1116" s="8" t="s">
        <v>4026</v>
      </c>
      <c r="K1116" s="26"/>
      <c r="N1116" s="6"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O1116" s="6" t="s">
        <v>8574</v>
      </c>
      <c r="P1116" s="6" t="s">
        <v>8574</v>
      </c>
      <c r="Q1116" s="6" t="s">
        <v>9289</v>
      </c>
    </row>
    <row r="1117" spans="1:17" x14ac:dyDescent="0.25">
      <c r="A1117" s="5" t="str">
        <f>IF(TRIM(I1117)="","",E1117)</f>
        <v>FlashFirmwareVersion</v>
      </c>
      <c r="B1117" s="5" t="str">
        <f>IF(TRIM(J1117)="","",H1117)</f>
        <v>Flash firmware version</v>
      </c>
      <c r="C1117" s="5" t="str">
        <f>LEFT(F1117,FIND(".",F1117,6))</f>
        <v>Exif.OlympusEq.</v>
      </c>
      <c r="D1117" s="5" t="str">
        <f>VLOOKUP(C1117,PrefixUebersetzung,2,FALSE)</f>
        <v>Exif.OlympusEq.</v>
      </c>
      <c r="E1117" s="5" t="str">
        <f>MID(F1117,FIND(".",F1117,6)+1,99)</f>
        <v>FlashFirmwareVersion</v>
      </c>
      <c r="F1117" s="5" t="s">
        <v>969</v>
      </c>
      <c r="G1117" s="5" t="s">
        <v>9667</v>
      </c>
      <c r="H1117" s="6" t="s">
        <v>2846</v>
      </c>
      <c r="I1117" s="7" t="s">
        <v>4381</v>
      </c>
      <c r="J1117" s="14" t="s">
        <v>4381</v>
      </c>
      <c r="K1117" s="26"/>
      <c r="N1117" s="6"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O1117" s="6" t="s">
        <v>8574</v>
      </c>
      <c r="P1117" s="6" t="s">
        <v>8574</v>
      </c>
      <c r="Q1117" s="6" t="s">
        <v>9309</v>
      </c>
    </row>
    <row r="1118" spans="1:17" x14ac:dyDescent="0.25">
      <c r="A1118" s="5" t="str">
        <f>IF(TRIM(I1118)="","",E1118)</f>
        <v>FlashModel</v>
      </c>
      <c r="B1118" s="5" t="str">
        <f>IF(TRIM(J1118)="","",H1118)</f>
        <v>Flash model</v>
      </c>
      <c r="C1118" s="5" t="str">
        <f>LEFT(F1118,FIND(".",F1118,6))</f>
        <v>Exif.OlympusEq.</v>
      </c>
      <c r="D1118" s="5" t="str">
        <f>VLOOKUP(C1118,PrefixUebersetzung,2,FALSE)</f>
        <v>Exif.OlympusEq.</v>
      </c>
      <c r="E1118" s="5" t="str">
        <f>MID(F1118,FIND(".",F1118,6)+1,99)</f>
        <v>FlashModel</v>
      </c>
      <c r="F1118" s="5" t="s">
        <v>970</v>
      </c>
      <c r="G1118" s="5" t="s">
        <v>9664</v>
      </c>
      <c r="H1118" s="6" t="s">
        <v>2847</v>
      </c>
      <c r="I1118" s="7" t="s">
        <v>4382</v>
      </c>
      <c r="J1118" s="14" t="s">
        <v>4382</v>
      </c>
      <c r="K1118" s="26"/>
      <c r="L1118" s="6" t="str">
        <f>IFERROR(VLOOKUP(E1118,A:I,9, FALSE),"")</f>
        <v>Blitzmodell</v>
      </c>
      <c r="N1118" s="6"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c r="O1118" s="6" t="s">
        <v>8574</v>
      </c>
      <c r="P1118" s="6" t="s">
        <v>8574</v>
      </c>
      <c r="Q1118" s="6" t="s">
        <v>4382</v>
      </c>
    </row>
    <row r="1119" spans="1:17" x14ac:dyDescent="0.25">
      <c r="A1119" s="5" t="str">
        <f>IF(TRIM(I1119)="","",E1119)</f>
        <v>FlashSerialNumber</v>
      </c>
      <c r="B1119" s="5" t="str">
        <f>IF(TRIM(J1119)="","",H1119)</f>
        <v>FlashSerialNumber</v>
      </c>
      <c r="C1119" s="5" t="str">
        <f>LEFT(F1119,FIND(".",F1119,6))</f>
        <v>Exif.OlympusEq.</v>
      </c>
      <c r="D1119" s="5" t="str">
        <f>VLOOKUP(C1119,PrefixUebersetzung,2,FALSE)</f>
        <v>Exif.OlympusEq.</v>
      </c>
      <c r="E1119" s="5" t="str">
        <f>MID(F1119,FIND(".",F1119,6)+1,99)</f>
        <v>FlashSerialNumber</v>
      </c>
      <c r="F1119" s="5" t="s">
        <v>971</v>
      </c>
      <c r="G1119" s="5" t="s">
        <v>9666</v>
      </c>
      <c r="H1119" s="6" t="s">
        <v>2848</v>
      </c>
      <c r="I1119" s="7" t="s">
        <v>4383</v>
      </c>
      <c r="J1119" s="14" t="s">
        <v>4383</v>
      </c>
      <c r="K1119" s="26"/>
      <c r="N1119" s="6"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c r="O1119" s="6" t="s">
        <v>8574</v>
      </c>
      <c r="P1119" s="6" t="s">
        <v>8574</v>
      </c>
      <c r="Q1119" s="6" t="s">
        <v>9319</v>
      </c>
    </row>
    <row r="1120" spans="1:17" x14ac:dyDescent="0.25">
      <c r="A1120" s="5" t="str">
        <f>IF(TRIM(I1120)="","",E1120)</f>
        <v>FlashType</v>
      </c>
      <c r="B1120" s="5" t="str">
        <f>IF(TRIM(J1120)="","",H1120)</f>
        <v>Flash type</v>
      </c>
      <c r="C1120" s="5" t="str">
        <f>LEFT(F1120,FIND(".",F1120,6))</f>
        <v>Exif.OlympusEq.</v>
      </c>
      <c r="D1120" s="5" t="str">
        <f>VLOOKUP(C1120,PrefixUebersetzung,2,FALSE)</f>
        <v>Exif.OlympusEq.</v>
      </c>
      <c r="E1120" s="5" t="str">
        <f>MID(F1120,FIND(".",F1120,6)+1,99)</f>
        <v>FlashType</v>
      </c>
      <c r="F1120" s="5" t="s">
        <v>972</v>
      </c>
      <c r="G1120" s="5" t="s">
        <v>9664</v>
      </c>
      <c r="H1120" s="6" t="s">
        <v>2849</v>
      </c>
      <c r="I1120" s="7" t="s">
        <v>4384</v>
      </c>
      <c r="J1120" s="14" t="s">
        <v>4384</v>
      </c>
      <c r="K1120" s="26"/>
      <c r="L1120" s="6" t="str">
        <f>IFERROR(VLOOKUP(E1120,A:I,9, FALSE),"")</f>
        <v>Blitztyp</v>
      </c>
      <c r="M1120" s="6" t="str">
        <f>IFERROR(VLOOKUP(H1120,B:J,9,FALSE),"")</f>
        <v>Blitztyp</v>
      </c>
      <c r="N1120" s="6"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c r="O1120" s="6" t="s">
        <v>8574</v>
      </c>
      <c r="P1120" s="6" t="s">
        <v>8574</v>
      </c>
      <c r="Q1120" s="6" t="s">
        <v>4384</v>
      </c>
    </row>
    <row r="1121" spans="1:17" x14ac:dyDescent="0.25">
      <c r="A1121" s="5" t="str">
        <f>IF(TRIM(I1121)="","",E1121)</f>
        <v/>
      </c>
      <c r="B1121" s="5" t="str">
        <f>IF(TRIM(J1121)="","",H1121)</f>
        <v/>
      </c>
      <c r="C1121" s="5" t="str">
        <f>LEFT(F1121,FIND(".",F1121,6))</f>
        <v>Exif.OlympusEq.</v>
      </c>
      <c r="D1121" s="5" t="str">
        <f>VLOOKUP(C1121,PrefixUebersetzung,2,FALSE)</f>
        <v>Exif.OlympusEq.</v>
      </c>
      <c r="E1121" s="5" t="str">
        <f>MID(F1121,FIND(".",F1121,6)+1,99)</f>
        <v>FocalPlaneDiagonal</v>
      </c>
      <c r="F1121" s="5" t="s">
        <v>973</v>
      </c>
      <c r="G1121" s="5" t="s">
        <v>9671</v>
      </c>
      <c r="H1121" s="6" t="s">
        <v>2767</v>
      </c>
      <c r="I1121" s="7"/>
      <c r="K1121" s="26"/>
      <c r="L1121" s="6" t="str">
        <f>IFERROR(VLOOKUP(E1121,A:I,9, FALSE),"")</f>
        <v/>
      </c>
      <c r="M1121" s="6" t="str">
        <f>IFERROR(VLOOKUP(H1121,B:J,9,FALSE),"")</f>
        <v/>
      </c>
      <c r="N1121" s="6"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Description not translated </v>
      </c>
    </row>
    <row r="1122" spans="1:17" x14ac:dyDescent="0.25">
      <c r="A1122" s="5" t="str">
        <f>IF(TRIM(I1122)="","",E1122)</f>
        <v/>
      </c>
      <c r="B1122" s="5" t="str">
        <f>IF(TRIM(J1122)="","",H1122)</f>
        <v/>
      </c>
      <c r="C1122" s="5" t="str">
        <f>LEFT(F1122,FIND(".",F1122,6))</f>
        <v>Exif.OlympusEq.</v>
      </c>
      <c r="D1122" s="5" t="str">
        <f>VLOOKUP(C1122,PrefixUebersetzung,2,FALSE)</f>
        <v>Exif.OlympusEq.</v>
      </c>
      <c r="E1122" s="5" t="str">
        <f>MID(F1122,FIND(".",F1122,6)+1,99)</f>
        <v>InternalSerialNumber</v>
      </c>
      <c r="F1122" s="5" t="s">
        <v>974</v>
      </c>
      <c r="G1122" s="5" t="s">
        <v>9666</v>
      </c>
      <c r="H1122" s="6" t="s">
        <v>2150</v>
      </c>
      <c r="K1122" s="26"/>
      <c r="L1122" s="6" t="str">
        <f>IFERROR(VLOOKUP(E1122,A:I,9, FALSE),"")</f>
        <v>Interne Seriennummer</v>
      </c>
      <c r="M1122" s="6" t="str">
        <f>IFERROR(VLOOKUP(H1122,B:J,9,FALSE),"")</f>
        <v>Interne Seriennummer</v>
      </c>
      <c r="N1122" s="6"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ht="30" x14ac:dyDescent="0.25">
      <c r="A1123" s="5" t="str">
        <f>IF(TRIM(I1123)="","",E1123)</f>
        <v>LensFirmwareVersion</v>
      </c>
      <c r="B1123" s="5" t="str">
        <f>IF(TRIM(J1123)="","",H1123)</f>
        <v>Lens firmware version</v>
      </c>
      <c r="C1123" s="5" t="str">
        <f>LEFT(F1123,FIND(".",F1123,6))</f>
        <v>Exif.OlympusEq.</v>
      </c>
      <c r="D1123" s="5" t="str">
        <f>VLOOKUP(C1123,PrefixUebersetzung,2,FALSE)</f>
        <v>Exif.OlympusEq.</v>
      </c>
      <c r="E1123" s="5" t="str">
        <f>MID(F1123,FIND(".",F1123,6)+1,99)</f>
        <v>LensFirmwareVersion</v>
      </c>
      <c r="F1123" s="5" t="s">
        <v>975</v>
      </c>
      <c r="G1123" s="5" t="s">
        <v>9667</v>
      </c>
      <c r="H1123" s="6" t="s">
        <v>2850</v>
      </c>
      <c r="I1123" s="24" t="s">
        <v>5075</v>
      </c>
      <c r="J1123" s="8" t="s">
        <v>5075</v>
      </c>
      <c r="K1123" s="26"/>
      <c r="L1123" s="6" t="str">
        <f>IFERROR(VLOOKUP(E1123,A:I,9, FALSE),"")</f>
        <v>Objektiv Firmwareversion</v>
      </c>
      <c r="N1123" s="6"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c r="O1123" s="6" t="s">
        <v>8574</v>
      </c>
      <c r="P1123" s="6" t="s">
        <v>8574</v>
      </c>
      <c r="Q1123" s="6" t="s">
        <v>9392</v>
      </c>
    </row>
    <row r="1124" spans="1:17" x14ac:dyDescent="0.25">
      <c r="A1124" s="5" t="str">
        <f>IF(TRIM(I1124)="","",E1124)</f>
        <v/>
      </c>
      <c r="B1124" s="5" t="str">
        <f>IF(TRIM(J1124)="","",H1124)</f>
        <v>Lens model</v>
      </c>
      <c r="C1124" s="5" t="str">
        <f>LEFT(F1124,FIND(".",F1124,6))</f>
        <v>Exif.OlympusEq.</v>
      </c>
      <c r="D1124" s="5" t="str">
        <f>VLOOKUP(C1124,PrefixUebersetzung,2,FALSE)</f>
        <v>Exif.OlympusEq.</v>
      </c>
      <c r="E1124" s="5" t="str">
        <f>MID(F1124,FIND(".",F1124,6)+1,99)</f>
        <v>LensModel</v>
      </c>
      <c r="F1124" s="5" t="s">
        <v>976</v>
      </c>
      <c r="G1124" s="5" t="s">
        <v>9666</v>
      </c>
      <c r="H1124" s="6" t="s">
        <v>2851</v>
      </c>
      <c r="I1124" s="24"/>
      <c r="J1124" s="8" t="s">
        <v>4027</v>
      </c>
      <c r="K1124" s="26"/>
      <c r="L1124" s="6" t="str">
        <f>IFERROR(VLOOKUP(E1124,A:I,9, FALSE),"")</f>
        <v>Objektiv Modell</v>
      </c>
      <c r="M1124" s="6" t="str">
        <f>IFERROR(VLOOKUP(H1124,B:J,9,FALSE),"")</f>
        <v>Objektiv-Modell</v>
      </c>
      <c r="N1124" s="6"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xml:space="preserve">Description translation&lt;&gt; lookup </v>
      </c>
      <c r="Q1124" s="6" t="s">
        <v>9395</v>
      </c>
    </row>
    <row r="1125" spans="1:17" x14ac:dyDescent="0.25">
      <c r="A1125" s="5" t="str">
        <f>IF(TRIM(I1125)="","",E1125)</f>
        <v>LensProperties</v>
      </c>
      <c r="B1125" s="5" t="str">
        <f>IF(TRIM(J1125)="","",H1125)</f>
        <v>Lens properties</v>
      </c>
      <c r="C1125" s="5" t="str">
        <f>LEFT(F1125,FIND(".",F1125,6))</f>
        <v>Exif.OlympusEq.</v>
      </c>
      <c r="D1125" s="5" t="str">
        <f>VLOOKUP(C1125,PrefixUebersetzung,2,FALSE)</f>
        <v>Exif.OlympusEq.</v>
      </c>
      <c r="E1125" s="5" t="str">
        <f>MID(F1125,FIND(".",F1125,6)+1,99)</f>
        <v>LensProperties</v>
      </c>
      <c r="F1125" s="5" t="s">
        <v>977</v>
      </c>
      <c r="G1125" s="5" t="s">
        <v>9664</v>
      </c>
      <c r="H1125" s="6" t="s">
        <v>2852</v>
      </c>
      <c r="I1125" s="24" t="s">
        <v>4028</v>
      </c>
      <c r="J1125" s="8" t="s">
        <v>4028</v>
      </c>
      <c r="K1125" s="26"/>
      <c r="N1125" s="6"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c r="O1125" s="6" t="s">
        <v>8574</v>
      </c>
      <c r="P1125" s="6" t="s">
        <v>8574</v>
      </c>
      <c r="Q1125" s="6" t="s">
        <v>9257</v>
      </c>
    </row>
    <row r="1126" spans="1:17" x14ac:dyDescent="0.25">
      <c r="A1126" s="5" t="str">
        <f>IF(TRIM(I1126)="","",E1126)</f>
        <v>LensSerialNumber</v>
      </c>
      <c r="B1126" s="5" t="str">
        <f>IF(TRIM(J1126)="","",H1126)</f>
        <v>Lens serial number</v>
      </c>
      <c r="C1126" s="5" t="str">
        <f>LEFT(F1126,FIND(".",F1126,6))</f>
        <v>Exif.OlympusEq.</v>
      </c>
      <c r="D1126" s="5" t="str">
        <f>VLOOKUP(C1126,PrefixUebersetzung,2,FALSE)</f>
        <v>Exif.OlympusEq.</v>
      </c>
      <c r="E1126" s="5" t="str">
        <f>MID(F1126,FIND(".",F1126,6)+1,99)</f>
        <v>LensSerialNumber</v>
      </c>
      <c r="F1126" s="5" t="s">
        <v>978</v>
      </c>
      <c r="G1126" s="5" t="s">
        <v>9666</v>
      </c>
      <c r="H1126" s="6" t="s">
        <v>2853</v>
      </c>
      <c r="I1126" s="24" t="s">
        <v>4029</v>
      </c>
      <c r="J1126" s="8" t="s">
        <v>4029</v>
      </c>
      <c r="K1126" s="26"/>
      <c r="L1126" s="6" t="str">
        <f>IFERROR(VLOOKUP(E1126,A:I,9, FALSE),"")</f>
        <v>Objektiv Seriennummer</v>
      </c>
      <c r="M1126" s="6" t="str">
        <f>IFERROR(VLOOKUP(H1126,B:J,9,FALSE),"")</f>
        <v>Objektiv Seriennummer</v>
      </c>
      <c r="N1126" s="6"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c r="O1126" s="6" t="s">
        <v>8574</v>
      </c>
      <c r="P1126" s="6" t="s">
        <v>8574</v>
      </c>
      <c r="Q1126" s="6" t="s">
        <v>9393</v>
      </c>
    </row>
    <row r="1127" spans="1:17" x14ac:dyDescent="0.25">
      <c r="A1127" s="5" t="str">
        <f>IF(TRIM(I1127)="","",E1127)</f>
        <v/>
      </c>
      <c r="B1127" s="5" t="str">
        <f>IF(TRIM(J1127)="","",H1127)</f>
        <v/>
      </c>
      <c r="C1127" s="5" t="str">
        <f>LEFT(F1127,FIND(".",F1127,6))</f>
        <v>Exif.OlympusEq.</v>
      </c>
      <c r="D1127" s="5" t="str">
        <f>VLOOKUP(C1127,PrefixUebersetzung,2,FALSE)</f>
        <v>Exif.OlympusEq.</v>
      </c>
      <c r="E1127" s="5" t="str">
        <f>MID(F1127,FIND(".",F1127,6)+1,99)</f>
        <v>LensType</v>
      </c>
      <c r="F1127" s="5" t="s">
        <v>979</v>
      </c>
      <c r="G1127" s="5" t="s">
        <v>9670</v>
      </c>
      <c r="H1127" s="6" t="s">
        <v>2201</v>
      </c>
      <c r="I1127" s="24"/>
      <c r="J1127" s="8"/>
      <c r="K1127" s="26"/>
      <c r="L1127" s="6" t="str">
        <f>IFERROR(VLOOKUP(E1127,A:I,9, FALSE),"")</f>
        <v>Objektiv Typ</v>
      </c>
      <c r="M1127" s="6" t="str">
        <f>IFERROR(VLOOKUP(H1127,B:J,9,FALSE),"")</f>
        <v>Objektiv Typ</v>
      </c>
      <c r="N1127" s="6"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ht="30" x14ac:dyDescent="0.25">
      <c r="A1128" s="5" t="str">
        <f>IF(TRIM(I1128)="","",E1128)</f>
        <v>MaxApertureAtCurrentFocal</v>
      </c>
      <c r="B1128" s="5" t="str">
        <f>IF(TRIM(J1128)="","",H1128)</f>
        <v>Max aperture at current focal</v>
      </c>
      <c r="C1128" s="5" t="str">
        <f>LEFT(F1128,FIND(".",F1128,6))</f>
        <v>Exif.OlympusEq.</v>
      </c>
      <c r="D1128" s="5" t="str">
        <f>VLOOKUP(C1128,PrefixUebersetzung,2,FALSE)</f>
        <v>Exif.OlympusEq.</v>
      </c>
      <c r="E1128" s="5" t="str">
        <f>MID(F1128,FIND(".",F1128,6)+1,99)</f>
        <v>MaxApertureAtCurrentFocal</v>
      </c>
      <c r="F1128" s="5" t="s">
        <v>980</v>
      </c>
      <c r="G1128" s="5" t="s">
        <v>9664</v>
      </c>
      <c r="H1128" s="6" t="s">
        <v>2854</v>
      </c>
      <c r="I1128" s="7" t="s">
        <v>4385</v>
      </c>
      <c r="J1128" s="14" t="s">
        <v>5198</v>
      </c>
      <c r="K1128" s="26"/>
      <c r="N1128" s="6"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c r="O1128" s="6" t="s">
        <v>8574</v>
      </c>
      <c r="P1128" s="6" t="s">
        <v>8574</v>
      </c>
      <c r="Q1128" s="6" t="s">
        <v>9415</v>
      </c>
    </row>
    <row r="1129" spans="1:17" ht="30" x14ac:dyDescent="0.25">
      <c r="A1129" s="5" t="str">
        <f>IF(TRIM(I1129)="","",E1129)</f>
        <v/>
      </c>
      <c r="B1129" s="5" t="str">
        <f>IF(TRIM(J1129)="","",H1129)</f>
        <v/>
      </c>
      <c r="C1129" s="5" t="str">
        <f>LEFT(F1129,FIND(".",F1129,6))</f>
        <v>Exif.OlympusEq.</v>
      </c>
      <c r="D1129" s="5" t="str">
        <f>VLOOKUP(C1129,PrefixUebersetzung,2,FALSE)</f>
        <v>Exif.OlympusEq.</v>
      </c>
      <c r="E1129" s="5" t="str">
        <f>MID(F1129,FIND(".",F1129,6)+1,99)</f>
        <v>MaxApertureAtMaxFocal</v>
      </c>
      <c r="F1129" s="5" t="s">
        <v>981</v>
      </c>
      <c r="G1129" s="5" t="s">
        <v>9664</v>
      </c>
      <c r="H1129" s="6" t="s">
        <v>2713</v>
      </c>
      <c r="K1129" s="26"/>
      <c r="L1129" s="6" t="str">
        <f>IFERROR(VLOOKUP(E1129,A:I,9, FALSE),"")</f>
        <v>Max Blende bei max Brennweite</v>
      </c>
      <c r="M1129" s="6" t="str">
        <f>IFERROR(VLOOKUP(H1129,B:J,9,FALSE),"")</f>
        <v>Maximale Blende bei maximaler Brennweite</v>
      </c>
      <c r="N1129" s="6"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ht="30" x14ac:dyDescent="0.25">
      <c r="A1130" s="5" t="str">
        <f>IF(TRIM(I1130)="","",E1130)</f>
        <v/>
      </c>
      <c r="B1130" s="5" t="str">
        <f>IF(TRIM(J1130)="","",H1130)</f>
        <v/>
      </c>
      <c r="C1130" s="5" t="str">
        <f>LEFT(F1130,FIND(".",F1130,6))</f>
        <v>Exif.OlympusEq.</v>
      </c>
      <c r="D1130" s="5" t="str">
        <f>VLOOKUP(C1130,PrefixUebersetzung,2,FALSE)</f>
        <v>Exif.OlympusEq.</v>
      </c>
      <c r="E1130" s="5" t="str">
        <f>MID(F1130,FIND(".",F1130,6)+1,99)</f>
        <v>MaxApertureAtMinFocal</v>
      </c>
      <c r="F1130" s="5" t="s">
        <v>982</v>
      </c>
      <c r="G1130" s="5" t="s">
        <v>9664</v>
      </c>
      <c r="H1130" s="6" t="s">
        <v>2714</v>
      </c>
      <c r="I1130" s="7"/>
      <c r="K1130" s="26"/>
      <c r="L1130" s="6" t="str">
        <f>IFERROR(VLOOKUP(E1130,A:I,9, FALSE),"")</f>
        <v>Max Blende bei min Brennweite</v>
      </c>
      <c r="M1130" s="6" t="str">
        <f>IFERROR(VLOOKUP(H1130,B:J,9,FALSE),"")</f>
        <v>Maximale Blende bei minimaler Brennweite</v>
      </c>
      <c r="N1130" s="6"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x14ac:dyDescent="0.25">
      <c r="A1131" s="5" t="str">
        <f>IF(TRIM(I1131)="","",E1131)</f>
        <v/>
      </c>
      <c r="B1131" s="5" t="str">
        <f>IF(TRIM(J1131)="","",H1131)</f>
        <v/>
      </c>
      <c r="C1131" s="5" t="str">
        <f>LEFT(F1131,FIND(".",F1131,6))</f>
        <v>Exif.OlympusEq.</v>
      </c>
      <c r="D1131" s="5" t="str">
        <f>VLOOKUP(C1131,PrefixUebersetzung,2,FALSE)</f>
        <v>Exif.OlympusEq.</v>
      </c>
      <c r="E1131" s="5" t="str">
        <f>MID(F1131,FIND(".",F1131,6)+1,99)</f>
        <v>MaxFocalLength</v>
      </c>
      <c r="F1131" s="5" t="s">
        <v>983</v>
      </c>
      <c r="G1131" s="5" t="s">
        <v>9664</v>
      </c>
      <c r="H1131" s="6" t="s">
        <v>2715</v>
      </c>
      <c r="I1131" s="24"/>
      <c r="K1131" s="26"/>
      <c r="L1131" s="6" t="str">
        <f>IFERROR(VLOOKUP(E1131,A:I,9, FALSE),"")</f>
        <v>Brennweite maximal</v>
      </c>
      <c r="M1131" s="6" t="str">
        <f>IFERROR(VLOOKUP(H1131,B:J,9,FALSE),"")</f>
        <v>Maximale Brennweite</v>
      </c>
      <c r="N1131" s="6"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5" t="str">
        <f>IF(TRIM(I1132)="","",E1132)</f>
        <v/>
      </c>
      <c r="B1132" s="5" t="str">
        <f>IF(TRIM(J1132)="","",H1132)</f>
        <v/>
      </c>
      <c r="C1132" s="5" t="str">
        <f>LEFT(F1132,FIND(".",F1132,6))</f>
        <v>Exif.OlympusEq.</v>
      </c>
      <c r="D1132" s="5" t="str">
        <f>VLOOKUP(C1132,PrefixUebersetzung,2,FALSE)</f>
        <v>Exif.OlympusEq.</v>
      </c>
      <c r="E1132" s="5" t="str">
        <f>MID(F1132,FIND(".",F1132,6)+1,99)</f>
        <v>MinFocalLength</v>
      </c>
      <c r="F1132" s="5" t="s">
        <v>984</v>
      </c>
      <c r="G1132" s="5" t="s">
        <v>9664</v>
      </c>
      <c r="H1132" s="6" t="s">
        <v>2717</v>
      </c>
      <c r="I1132" s="24"/>
      <c r="K1132" s="26"/>
      <c r="L1132" s="6" t="str">
        <f>IFERROR(VLOOKUP(E1132,A:I,9, FALSE),"")</f>
        <v>Brennweite minimal</v>
      </c>
      <c r="M1132" s="6" t="str">
        <f>IFERROR(VLOOKUP(H1132,B:J,9,FALSE),"")</f>
        <v>Minimale Brennweite</v>
      </c>
      <c r="N1132" s="6"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row>
    <row r="1133" spans="1:17" x14ac:dyDescent="0.25">
      <c r="A1133" s="5" t="str">
        <f>IF(TRIM(I1133)="","",E1133)</f>
        <v/>
      </c>
      <c r="B1133" s="5" t="str">
        <f>IF(TRIM(J1133)="","",H1133)</f>
        <v/>
      </c>
      <c r="C1133" s="5" t="str">
        <f>LEFT(F1133,FIND(".",F1133,6))</f>
        <v>Exif.OlympusEq.</v>
      </c>
      <c r="D1133" s="5" t="str">
        <f>VLOOKUP(C1133,PrefixUebersetzung,2,FALSE)</f>
        <v>Exif.OlympusEq.</v>
      </c>
      <c r="E1133" s="5" t="str">
        <f>MID(F1133,FIND(".",F1133,6)+1,99)</f>
        <v>SerialNumber</v>
      </c>
      <c r="F1133" s="5" t="s">
        <v>985</v>
      </c>
      <c r="G1133" s="5" t="s">
        <v>9666</v>
      </c>
      <c r="H1133" s="6" t="s">
        <v>2855</v>
      </c>
      <c r="I1133" s="24"/>
      <c r="K1133" s="26"/>
      <c r="L1133" s="6" t="str">
        <f>IFERROR(VLOOKUP(E1133,A:I,9, FALSE),"")</f>
        <v>Seriennummer</v>
      </c>
      <c r="M1133" s="6" t="str">
        <f>IFERROR(VLOOKUP(H1133,B:J,9,FALSE),"")</f>
        <v>Seriennummer</v>
      </c>
      <c r="N1133" s="6"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row>
    <row r="1134" spans="1:17" ht="30" x14ac:dyDescent="0.25">
      <c r="A1134" s="5" t="str">
        <f>IF(TRIM(I1134)="","",E1134)</f>
        <v/>
      </c>
      <c r="B1134" s="5" t="str">
        <f>IF(TRIM(J1134)="","",H1134)</f>
        <v/>
      </c>
      <c r="C1134" s="5" t="str">
        <f>LEFT(F1134,FIND(".",F1134,6))</f>
        <v>Exif.OlympusFe1.</v>
      </c>
      <c r="D1134" s="5" t="str">
        <f>VLOOKUP(C1134,PrefixUebersetzung,2,FALSE)</f>
        <v>Exif.OlympusFe1.</v>
      </c>
      <c r="E1134" s="5" t="str">
        <f>MID(F1134,FIND(".",F1134,6)+1,99)</f>
        <v>BodyFirmwareVersion</v>
      </c>
      <c r="F1134" s="5" t="s">
        <v>986</v>
      </c>
      <c r="G1134" s="5" t="s">
        <v>9666</v>
      </c>
      <c r="H1134" s="6" t="s">
        <v>2746</v>
      </c>
      <c r="I1134" s="24"/>
      <c r="J1134" s="8"/>
      <c r="K1134" s="26"/>
      <c r="L1134" s="6" t="str">
        <f>IFERROR(VLOOKUP(E1134,A:I,9, FALSE),"")</f>
        <v>Gehäuse Firmwareversion</v>
      </c>
      <c r="M1134" s="6" t="str">
        <f>IFERROR(VLOOKUP(H1134,B:J,9,FALSE),"")</f>
        <v>Gehäuse Firmwareversion</v>
      </c>
      <c r="N1134" s="6"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row>
    <row r="1135" spans="1:17" x14ac:dyDescent="0.25">
      <c r="A1135" s="5" t="str">
        <f>IF(TRIM(I1135)="","",E1135)</f>
        <v/>
      </c>
      <c r="B1135" s="5" t="str">
        <f>IF(TRIM(J1135)="","",H1135)</f>
        <v/>
      </c>
      <c r="C1135" s="5" t="str">
        <f>LEFT(F1135,FIND(".",F1135,6))</f>
        <v>Exif.OlympusFi.</v>
      </c>
      <c r="D1135" s="5" t="str">
        <f>VLOOKUP(C1135,PrefixUebersetzung,2,FALSE)</f>
        <v>Exif.OlympusFi.</v>
      </c>
      <c r="E1135" s="5" t="str">
        <f>MID(F1135,FIND(".",F1135,6)+1,99)</f>
        <v>AFPoint</v>
      </c>
      <c r="F1135" s="5" t="s">
        <v>987</v>
      </c>
      <c r="G1135" s="5" t="s">
        <v>9664</v>
      </c>
      <c r="H1135" s="6" t="s">
        <v>2676</v>
      </c>
      <c r="I1135" s="7"/>
      <c r="K1135" s="26"/>
      <c r="L1135" s="6" t="str">
        <f>IFERROR(VLOOKUP(E1135,A:I,9, FALSE),"")</f>
        <v>AF Messfeld ausgewählt</v>
      </c>
      <c r="M1135" s="6" t="str">
        <f>IFERROR(VLOOKUP(H1135,B:J,9,FALSE),"")</f>
        <v>ausgewähltes AF-Messfeld</v>
      </c>
      <c r="N1135" s="6"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c>
    </row>
    <row r="1136" spans="1:17" x14ac:dyDescent="0.25">
      <c r="A1136" s="5" t="str">
        <f>IF(TRIM(I1136)="","",E1136)</f>
        <v>AutoFocus</v>
      </c>
      <c r="B1136" s="5" t="str">
        <f>IF(TRIM(J1136)="","",H1136)</f>
        <v>Auto focus</v>
      </c>
      <c r="C1136" s="5" t="str">
        <f>LEFT(F1136,FIND(".",F1136,6))</f>
        <v>Exif.OlympusFi.</v>
      </c>
      <c r="D1136" s="5" t="str">
        <f>VLOOKUP(C1136,PrefixUebersetzung,2,FALSE)</f>
        <v>Exif.OlympusFi.</v>
      </c>
      <c r="E1136" s="5" t="str">
        <f>MID(F1136,FIND(".",F1136,6)+1,99)</f>
        <v>AutoFocus</v>
      </c>
      <c r="F1136" s="5" t="s">
        <v>988</v>
      </c>
      <c r="G1136" s="5" t="s">
        <v>9664</v>
      </c>
      <c r="H1136" s="6" t="s">
        <v>2856</v>
      </c>
      <c r="I1136" s="7" t="s">
        <v>4030</v>
      </c>
      <c r="J1136" s="14" t="s">
        <v>4030</v>
      </c>
      <c r="K1136" s="26"/>
      <c r="N1136" s="6"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c>
      <c r="O1136" s="6" t="s">
        <v>8574</v>
      </c>
      <c r="P1136" s="6" t="s">
        <v>8574</v>
      </c>
      <c r="Q1136" s="6" t="s">
        <v>9123</v>
      </c>
    </row>
    <row r="1137" spans="1:17" x14ac:dyDescent="0.25">
      <c r="A1137" s="5" t="str">
        <f>IF(TRIM(I1137)="","",E1137)</f>
        <v>ExternalFlash</v>
      </c>
      <c r="B1137" s="5" t="str">
        <f>IF(TRIM(J1137)="","",H1137)</f>
        <v>External flash</v>
      </c>
      <c r="C1137" s="5" t="str">
        <f>LEFT(F1137,FIND(".",F1137,6))</f>
        <v>Exif.OlympusFi.</v>
      </c>
      <c r="D1137" s="5" t="str">
        <f>VLOOKUP(C1137,PrefixUebersetzung,2,FALSE)</f>
        <v>Exif.OlympusFi.</v>
      </c>
      <c r="E1137" s="5" t="str">
        <f>MID(F1137,FIND(".",F1137,6)+1,99)</f>
        <v>ExternalFlash</v>
      </c>
      <c r="F1137" s="5" t="s">
        <v>989</v>
      </c>
      <c r="G1137" s="5" t="s">
        <v>9664</v>
      </c>
      <c r="H1137" s="6" t="s">
        <v>2857</v>
      </c>
      <c r="I1137" s="24" t="s">
        <v>4031</v>
      </c>
      <c r="J1137" s="8" t="s">
        <v>4031</v>
      </c>
      <c r="K1137" s="26"/>
      <c r="N1137" s="6"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c>
      <c r="O1137" s="6" t="s">
        <v>8574</v>
      </c>
      <c r="P1137" s="6" t="s">
        <v>8574</v>
      </c>
      <c r="Q1137" s="6" t="s">
        <v>4031</v>
      </c>
    </row>
    <row r="1138" spans="1:17" x14ac:dyDescent="0.25">
      <c r="A1138" s="5" t="str">
        <f>IF(TRIM(I1138)="","",E1138)</f>
        <v/>
      </c>
      <c r="B1138" s="5" t="str">
        <f>IF(TRIM(J1138)="","",H1138)</f>
        <v/>
      </c>
      <c r="C1138" s="5" t="str">
        <f>LEFT(F1138,FIND(".",F1138,6))</f>
        <v>Exif.OlympusFi.</v>
      </c>
      <c r="D1138" s="5" t="str">
        <f>VLOOKUP(C1138,PrefixUebersetzung,2,FALSE)</f>
        <v>Exif.OlympusFi.</v>
      </c>
      <c r="E1138" s="5" t="str">
        <f>MID(F1138,FIND(".",F1138,6)+1,99)</f>
        <v>ExternalFlashBounce</v>
      </c>
      <c r="F1138" s="5" t="s">
        <v>990</v>
      </c>
      <c r="G1138" s="5" t="s">
        <v>9664</v>
      </c>
      <c r="H1138" s="6" t="s">
        <v>2762</v>
      </c>
      <c r="I1138" s="24"/>
      <c r="J1138" s="8"/>
      <c r="K1138" s="26"/>
      <c r="L1138" s="6" t="str">
        <f>IFERROR(VLOOKUP(E1138,A:I,9, FALSE),"")</f>
        <v>Externer Blitz Diffusor</v>
      </c>
      <c r="M1138" s="6" t="str">
        <f>IFERROR(VLOOKUP(H1138,B:J,9,FALSE),"")</f>
        <v>Externer Blitz Diffusor</v>
      </c>
      <c r="N1138" s="6"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c>
    </row>
    <row r="1139" spans="1:17" x14ac:dyDescent="0.25">
      <c r="A1139" s="5" t="str">
        <f>IF(TRIM(I1139)="","",E1139)</f>
        <v>ExternalFlashGuideNumber</v>
      </c>
      <c r="B1139" s="5" t="str">
        <f>IF(TRIM(J1139)="","",H1139)</f>
        <v>External flash guide number</v>
      </c>
      <c r="C1139" s="5" t="str">
        <f>LEFT(F1139,FIND(".",F1139,6))</f>
        <v>Exif.OlympusFi.</v>
      </c>
      <c r="D1139" s="5" t="str">
        <f>VLOOKUP(C1139,PrefixUebersetzung,2,FALSE)</f>
        <v>Exif.OlympusFi.</v>
      </c>
      <c r="E1139" s="5" t="str">
        <f>MID(F1139,FIND(".",F1139,6)+1,99)</f>
        <v>ExternalFlashGuideNumber</v>
      </c>
      <c r="F1139" s="5" t="s">
        <v>991</v>
      </c>
      <c r="G1139" s="5" t="s">
        <v>9672</v>
      </c>
      <c r="H1139" s="6" t="s">
        <v>2858</v>
      </c>
      <c r="I1139" s="24" t="s">
        <v>4032</v>
      </c>
      <c r="J1139" s="8" t="s">
        <v>4032</v>
      </c>
      <c r="K1139" s="26"/>
      <c r="N1139" s="6"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c>
      <c r="O1139" s="6" t="s">
        <v>8574</v>
      </c>
      <c r="P1139" s="6" t="s">
        <v>8574</v>
      </c>
      <c r="Q1139" s="6" t="s">
        <v>9290</v>
      </c>
    </row>
    <row r="1140" spans="1:17" x14ac:dyDescent="0.25">
      <c r="A1140" s="5" t="str">
        <f>IF(TRIM(I1140)="","",E1140)</f>
        <v/>
      </c>
      <c r="B1140" s="5" t="str">
        <f>IF(TRIM(J1140)="","",H1140)</f>
        <v/>
      </c>
      <c r="C1140" s="5" t="str">
        <f>LEFT(F1140,FIND(".",F1140,6))</f>
        <v>Exif.OlympusFi.</v>
      </c>
      <c r="D1140" s="5" t="str">
        <f>VLOOKUP(C1140,PrefixUebersetzung,2,FALSE)</f>
        <v>Exif.OlympusFi.</v>
      </c>
      <c r="E1140" s="5" t="str">
        <f>MID(F1140,FIND(".",F1140,6)+1,99)</f>
        <v>ExternalFlashZoom</v>
      </c>
      <c r="F1140" s="5" t="s">
        <v>992</v>
      </c>
      <c r="G1140" s="5" t="s">
        <v>9671</v>
      </c>
      <c r="H1140" s="6" t="s">
        <v>2764</v>
      </c>
      <c r="I1140" s="24"/>
      <c r="J1140" s="8"/>
      <c r="K1140" s="26"/>
      <c r="L1140" s="6" t="str">
        <f>IFERROR(VLOOKUP(E1140,A:I,9, FALSE),"")</f>
        <v>Externer Blitz Zoom</v>
      </c>
      <c r="M1140" s="6" t="str">
        <f>IFERROR(VLOOKUP(H1140,B:J,9,FALSE),"")</f>
        <v>Externer Blitz Zoom</v>
      </c>
      <c r="N1140" s="6"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c>
    </row>
    <row r="1141" spans="1:17" x14ac:dyDescent="0.25">
      <c r="A1141" s="5" t="str">
        <f>IF(TRIM(I1141)="","",E1141)</f>
        <v/>
      </c>
      <c r="B1141" s="5" t="str">
        <f>IF(TRIM(J1141)="","",H1141)</f>
        <v/>
      </c>
      <c r="C1141" s="5" t="str">
        <f>LEFT(F1141,FIND(".",F1141,6))</f>
        <v>Exif.OlympusFi.</v>
      </c>
      <c r="D1141" s="5" t="str">
        <f>VLOOKUP(C1141,PrefixUebersetzung,2,FALSE)</f>
        <v>Exif.OlympusFi.</v>
      </c>
      <c r="E1141" s="5" t="str">
        <f>MID(F1141,FIND(".",F1141,6)+1,99)</f>
        <v>FocusDistance</v>
      </c>
      <c r="F1141" s="5" t="s">
        <v>993</v>
      </c>
      <c r="G1141" s="5" t="s">
        <v>9671</v>
      </c>
      <c r="H1141" s="6" t="s">
        <v>2586</v>
      </c>
      <c r="I1141" s="24"/>
      <c r="J1141" s="8"/>
      <c r="K1141" s="26"/>
      <c r="L1141" s="6" t="str">
        <f>IFERROR(VLOOKUP(E1141,A:I,9, FALSE),"")</f>
        <v>Aufnahmeabstand</v>
      </c>
      <c r="M1141" s="6" t="str">
        <f>IFERROR(VLOOKUP(H1141,B:J,9,FALSE),"")</f>
        <v>Aufnahmeabstand</v>
      </c>
      <c r="N1141" s="6"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c>
    </row>
    <row r="1142" spans="1:17" x14ac:dyDescent="0.25">
      <c r="A1142" s="5" t="str">
        <f>IF(TRIM(I1142)="","",E1142)</f>
        <v>FocusInfoVersion</v>
      </c>
      <c r="B1142" s="5" t="str">
        <f>IF(TRIM(J1142)="","",H1142)</f>
        <v>Focus info version</v>
      </c>
      <c r="C1142" s="5" t="str">
        <f>LEFT(F1142,FIND(".",F1142,6))</f>
        <v>Exif.OlympusFi.</v>
      </c>
      <c r="D1142" s="5" t="str">
        <f>VLOOKUP(C1142,PrefixUebersetzung,2,FALSE)</f>
        <v>Exif.OlympusFi.</v>
      </c>
      <c r="E1142" s="5" t="str">
        <f>MID(F1142,FIND(".",F1142,6)+1,99)</f>
        <v>FocusInfoVersion</v>
      </c>
      <c r="F1142" s="5" t="s">
        <v>994</v>
      </c>
      <c r="G1142" s="5" t="s">
        <v>9669</v>
      </c>
      <c r="H1142" s="6" t="s">
        <v>2859</v>
      </c>
      <c r="I1142" s="7" t="s">
        <v>4920</v>
      </c>
      <c r="J1142" s="14" t="s">
        <v>4920</v>
      </c>
      <c r="K1142" s="26"/>
      <c r="N1142" s="6"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c>
      <c r="O1142" s="6" t="s">
        <v>8574</v>
      </c>
      <c r="P1142" s="6" t="s">
        <v>8574</v>
      </c>
      <c r="Q1142" s="6" t="s">
        <v>9321</v>
      </c>
    </row>
    <row r="1143" spans="1:17" x14ac:dyDescent="0.25">
      <c r="A1143" s="5" t="str">
        <f>IF(TRIM(I1143)="","",E1143)</f>
        <v>FocusStepCount</v>
      </c>
      <c r="B1143" s="5" t="str">
        <f>IF(TRIM(J1143)="","",H1143)</f>
        <v>Focus step count</v>
      </c>
      <c r="C1143" s="5" t="str">
        <f>LEFT(F1143,FIND(".",F1143,6))</f>
        <v>Exif.OlympusFi.</v>
      </c>
      <c r="D1143" s="5" t="str">
        <f>VLOOKUP(C1143,PrefixUebersetzung,2,FALSE)</f>
        <v>Exif.OlympusFi.</v>
      </c>
      <c r="E1143" s="5" t="str">
        <f>MID(F1143,FIND(".",F1143,6)+1,99)</f>
        <v>FocusStepCount</v>
      </c>
      <c r="F1143" s="5" t="s">
        <v>995</v>
      </c>
      <c r="G1143" s="5" t="s">
        <v>9664</v>
      </c>
      <c r="H1143" s="6" t="s">
        <v>2860</v>
      </c>
      <c r="I1143" s="7" t="s">
        <v>4921</v>
      </c>
      <c r="J1143" s="14" t="s">
        <v>4921</v>
      </c>
      <c r="K1143" s="26"/>
      <c r="N1143" s="6"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c>
      <c r="O1143" s="6" t="s">
        <v>8574</v>
      </c>
      <c r="P1143" s="6" t="s">
        <v>8574</v>
      </c>
      <c r="Q1143" s="6" t="s">
        <v>9322</v>
      </c>
    </row>
    <row r="1144" spans="1:17" x14ac:dyDescent="0.25">
      <c r="A1144" s="5" t="str">
        <f>IF(TRIM(I1144)="","",E1144)</f>
        <v>FocusStepInfinity</v>
      </c>
      <c r="B1144" s="5" t="str">
        <f>IF(TRIM(J1144)="","",H1144)</f>
        <v>Focus step infinity</v>
      </c>
      <c r="C1144" s="5" t="str">
        <f>LEFT(F1144,FIND(".",F1144,6))</f>
        <v>Exif.OlympusFi.</v>
      </c>
      <c r="D1144" s="5" t="str">
        <f>VLOOKUP(C1144,PrefixUebersetzung,2,FALSE)</f>
        <v>Exif.OlympusFi.</v>
      </c>
      <c r="E1144" s="5" t="str">
        <f>MID(F1144,FIND(".",F1144,6)+1,99)</f>
        <v>FocusStepInfinity</v>
      </c>
      <c r="F1144" s="5" t="s">
        <v>996</v>
      </c>
      <c r="G1144" s="5" t="s">
        <v>9664</v>
      </c>
      <c r="H1144" s="6" t="s">
        <v>2861</v>
      </c>
      <c r="I1144" s="7" t="s">
        <v>4922</v>
      </c>
      <c r="J1144" s="14" t="s">
        <v>4922</v>
      </c>
      <c r="K1144" s="26"/>
      <c r="N1144" s="6"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c r="O1144" s="6" t="s">
        <v>8574</v>
      </c>
      <c r="P1144" s="6" t="s">
        <v>8574</v>
      </c>
      <c r="Q1144" s="6" t="s">
        <v>4945</v>
      </c>
    </row>
    <row r="1145" spans="1:17" x14ac:dyDescent="0.25">
      <c r="A1145" s="5" t="str">
        <f>IF(TRIM(I1145)="","",E1145)</f>
        <v>FocusStepNear</v>
      </c>
      <c r="B1145" s="5" t="str">
        <f>IF(TRIM(J1145)="","",H1145)</f>
        <v>Focus step near</v>
      </c>
      <c r="C1145" s="5" t="str">
        <f>LEFT(F1145,FIND(".",F1145,6))</f>
        <v>Exif.OlympusFi.</v>
      </c>
      <c r="D1145" s="5" t="str">
        <f>VLOOKUP(C1145,PrefixUebersetzung,2,FALSE)</f>
        <v>Exif.OlympusFi.</v>
      </c>
      <c r="E1145" s="5" t="str">
        <f>MID(F1145,FIND(".",F1145,6)+1,99)</f>
        <v>FocusStepNear</v>
      </c>
      <c r="F1145" s="5" t="s">
        <v>997</v>
      </c>
      <c r="G1145" s="5" t="s">
        <v>9664</v>
      </c>
      <c r="H1145" s="6" t="s">
        <v>2862</v>
      </c>
      <c r="I1145" s="7" t="s">
        <v>4923</v>
      </c>
      <c r="J1145" s="14" t="s">
        <v>4923</v>
      </c>
      <c r="K1145" s="26"/>
      <c r="N1145" s="6"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c>
      <c r="O1145" s="6" t="s">
        <v>8574</v>
      </c>
      <c r="P1145" s="6" t="s">
        <v>8574</v>
      </c>
      <c r="Q1145" s="6" t="s">
        <v>9311</v>
      </c>
    </row>
    <row r="1146" spans="1:17" x14ac:dyDescent="0.25">
      <c r="A1146" s="5" t="str">
        <f>IF(TRIM(I1146)="","",E1146)</f>
        <v/>
      </c>
      <c r="B1146" s="5" t="str">
        <f>IF(TRIM(J1146)="","",H1146)</f>
        <v/>
      </c>
      <c r="C1146" s="5" t="str">
        <f>LEFT(F1146,FIND(".",F1146,6))</f>
        <v>Exif.OlympusFi.</v>
      </c>
      <c r="D1146" s="5" t="str">
        <f>VLOOKUP(C1146,PrefixUebersetzung,2,FALSE)</f>
        <v>Exif.OlympusFi.</v>
      </c>
      <c r="E1146" s="5" t="str">
        <f>MID(F1146,FIND(".",F1146,6)+1,99)</f>
        <v>ImageStabilization</v>
      </c>
      <c r="F1146" s="5" t="s">
        <v>998</v>
      </c>
      <c r="G1146" s="5" t="s">
        <v>9667</v>
      </c>
      <c r="H1146" s="6" t="s">
        <v>2198</v>
      </c>
      <c r="I1146" s="24"/>
      <c r="J1146" s="8"/>
      <c r="K1146" s="26"/>
      <c r="L1146" s="6" t="str">
        <f>IFERROR(VLOOKUP(E1146,A:I,9, FALSE),"")</f>
        <v>Bildstabilisierung</v>
      </c>
      <c r="M1146" s="6" t="str">
        <f>IFERROR(VLOOKUP(H1146,B:J,9,FALSE),"")</f>
        <v>Bildstabilisierung</v>
      </c>
      <c r="N1146" s="6"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c>
    </row>
    <row r="1147" spans="1:17" x14ac:dyDescent="0.25">
      <c r="A1147" s="5" t="str">
        <f>IF(TRIM(I1147)="","",E1147)</f>
        <v>InternalFlash</v>
      </c>
      <c r="B1147" s="5" t="str">
        <f>IF(TRIM(J1147)="","",H1147)</f>
        <v/>
      </c>
      <c r="C1147" s="5" t="str">
        <f>LEFT(F1147,FIND(".",F1147,6))</f>
        <v>Exif.OlympusFi.</v>
      </c>
      <c r="D1147" s="5" t="str">
        <f>VLOOKUP(C1147,PrefixUebersetzung,2,FALSE)</f>
        <v>Exif.OlympusFi.</v>
      </c>
      <c r="E1147" s="5" t="str">
        <f>MID(F1147,FIND(".",F1147,6)+1,99)</f>
        <v>InternalFlash</v>
      </c>
      <c r="F1147" s="5" t="s">
        <v>999</v>
      </c>
      <c r="G1147" s="5" t="s">
        <v>9664</v>
      </c>
      <c r="H1147" s="6" t="s">
        <v>2863</v>
      </c>
      <c r="I1147" s="7" t="s">
        <v>4320</v>
      </c>
      <c r="K1147" s="26"/>
      <c r="M1147" s="6" t="str">
        <f>IFERROR(VLOOKUP(H1147,B:J,9,FALSE),"")</f>
        <v>Interner Blitz</v>
      </c>
      <c r="N1147" s="6"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c>
      <c r="O1147" s="6" t="s">
        <v>8574</v>
      </c>
    </row>
    <row r="1148" spans="1:17" x14ac:dyDescent="0.25">
      <c r="A1148" s="5" t="str">
        <f>IF(TRIM(I1148)="","",E1148)</f>
        <v>ManualFlash</v>
      </c>
      <c r="B1148" s="5" t="str">
        <f>IF(TRIM(J1148)="","",H1148)</f>
        <v>Manual flash</v>
      </c>
      <c r="C1148" s="5" t="str">
        <f>LEFT(F1148,FIND(".",F1148,6))</f>
        <v>Exif.OlympusFi.</v>
      </c>
      <c r="D1148" s="5" t="str">
        <f>VLOOKUP(C1148,PrefixUebersetzung,2,FALSE)</f>
        <v>Exif.OlympusFi.</v>
      </c>
      <c r="E1148" s="5" t="str">
        <f>MID(F1148,FIND(".",F1148,6)+1,99)</f>
        <v>ManualFlash</v>
      </c>
      <c r="F1148" s="5" t="s">
        <v>1000</v>
      </c>
      <c r="G1148" s="5" t="s">
        <v>9664</v>
      </c>
      <c r="H1148" s="6" t="s">
        <v>2864</v>
      </c>
      <c r="I1148" s="24" t="s">
        <v>5124</v>
      </c>
      <c r="J1148" s="8" t="s">
        <v>5124</v>
      </c>
      <c r="K1148" s="26"/>
      <c r="N1148" s="6"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c>
      <c r="O1148" s="6" t="s">
        <v>8574</v>
      </c>
      <c r="P1148" s="6" t="s">
        <v>8574</v>
      </c>
      <c r="Q1148" s="6" t="s">
        <v>9411</v>
      </c>
    </row>
    <row r="1149" spans="1:17" x14ac:dyDescent="0.25">
      <c r="A1149" s="5" t="str">
        <f>IF(TRIM(I1149)="","",E1149)</f>
        <v>SceneArea</v>
      </c>
      <c r="B1149" s="5" t="str">
        <f>IF(TRIM(J1149)="","",H1149)</f>
        <v>Scene area</v>
      </c>
      <c r="C1149" s="5" t="str">
        <f>LEFT(F1149,FIND(".",F1149,6))</f>
        <v>Exif.OlympusFi.</v>
      </c>
      <c r="D1149" s="5" t="str">
        <f>VLOOKUP(C1149,PrefixUebersetzung,2,FALSE)</f>
        <v>Exif.OlympusFi.</v>
      </c>
      <c r="E1149" s="5" t="str">
        <f>MID(F1149,FIND(".",F1149,6)+1,99)</f>
        <v>SceneArea</v>
      </c>
      <c r="F1149" s="5" t="s">
        <v>1001</v>
      </c>
      <c r="G1149" s="5" t="s">
        <v>9667</v>
      </c>
      <c r="H1149" s="6" t="s">
        <v>2865</v>
      </c>
      <c r="I1149" s="24" t="s">
        <v>4033</v>
      </c>
      <c r="J1149" s="8" t="s">
        <v>4033</v>
      </c>
      <c r="K1149" s="26"/>
      <c r="N1149" s="6"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c r="O1149" s="6" t="s">
        <v>8574</v>
      </c>
      <c r="P1149" s="6" t="s">
        <v>8574</v>
      </c>
      <c r="Q1149" s="6" t="s">
        <v>9476</v>
      </c>
    </row>
    <row r="1150" spans="1:17" x14ac:dyDescent="0.25">
      <c r="A1150" s="5" t="str">
        <f>IF(TRIM(I1150)="","",E1150)</f>
        <v>SceneDetect</v>
      </c>
      <c r="B1150" s="5" t="str">
        <f>IF(TRIM(J1150)="","",H1150)</f>
        <v>Scene detect</v>
      </c>
      <c r="C1150" s="5" t="str">
        <f>LEFT(F1150,FIND(".",F1150,6))</f>
        <v>Exif.OlympusFi.</v>
      </c>
      <c r="D1150" s="5" t="str">
        <f>VLOOKUP(C1150,PrefixUebersetzung,2,FALSE)</f>
        <v>Exif.OlympusFi.</v>
      </c>
      <c r="E1150" s="5" t="str">
        <f>MID(F1150,FIND(".",F1150,6)+1,99)</f>
        <v>SceneDetect</v>
      </c>
      <c r="F1150" s="5" t="s">
        <v>1002</v>
      </c>
      <c r="G1150" s="5" t="s">
        <v>9664</v>
      </c>
      <c r="H1150" s="6" t="s">
        <v>2866</v>
      </c>
      <c r="I1150" s="24" t="s">
        <v>4386</v>
      </c>
      <c r="J1150" s="8" t="s">
        <v>4386</v>
      </c>
      <c r="K1150" s="26"/>
      <c r="N1150" s="6"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c>
      <c r="O1150" s="6" t="s">
        <v>8574</v>
      </c>
      <c r="P1150" s="6" t="s">
        <v>8574</v>
      </c>
      <c r="Q1150" s="6" t="s">
        <v>9286</v>
      </c>
    </row>
    <row r="1151" spans="1:17" x14ac:dyDescent="0.25">
      <c r="A1151" s="5" t="str">
        <f>IF(TRIM(I1151)="","",E1151)</f>
        <v>SceneDetectData</v>
      </c>
      <c r="B1151" s="5" t="str">
        <f>IF(TRIM(J1151)="","",H1151)</f>
        <v>Scene detect data</v>
      </c>
      <c r="C1151" s="5" t="str">
        <f>LEFT(F1151,FIND(".",F1151,6))</f>
        <v>Exif.OlympusFi.</v>
      </c>
      <c r="D1151" s="5" t="str">
        <f>VLOOKUP(C1151,PrefixUebersetzung,2,FALSE)</f>
        <v>Exif.OlympusFi.</v>
      </c>
      <c r="E1151" s="5" t="str">
        <f>MID(F1151,FIND(".",F1151,6)+1,99)</f>
        <v>SceneDetectData</v>
      </c>
      <c r="F1151" s="5" t="s">
        <v>1003</v>
      </c>
      <c r="G1151" s="5" t="s">
        <v>9667</v>
      </c>
      <c r="H1151" s="6" t="s">
        <v>2867</v>
      </c>
      <c r="I1151" s="24" t="s">
        <v>4387</v>
      </c>
      <c r="J1151" s="8" t="s">
        <v>4387</v>
      </c>
      <c r="K1151" s="26"/>
      <c r="N1151" s="6"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c>
      <c r="O1151" s="6" t="s">
        <v>8574</v>
      </c>
      <c r="P1151" s="6" t="s">
        <v>8574</v>
      </c>
      <c r="Q1151" s="6" t="s">
        <v>9400</v>
      </c>
    </row>
    <row r="1152" spans="1:17" x14ac:dyDescent="0.25">
      <c r="A1152" s="5" t="str">
        <f>IF(TRIM(I1152)="","",E1152)</f>
        <v/>
      </c>
      <c r="B1152" s="5" t="str">
        <f>IF(TRIM(J1152)="","",H1152)</f>
        <v/>
      </c>
      <c r="C1152" s="5" t="str">
        <f>LEFT(F1152,FIND(".",F1152,6))</f>
        <v>Exif.OlympusFi.</v>
      </c>
      <c r="D1152" s="5" t="str">
        <f>VLOOKUP(C1152,PrefixUebersetzung,2,FALSE)</f>
        <v>Exif.OlympusFi.</v>
      </c>
      <c r="E1152" s="5" t="str">
        <f>MID(F1152,FIND(".",F1152,6)+1,99)</f>
        <v>SensorTemperature</v>
      </c>
      <c r="F1152" s="5" t="s">
        <v>1004</v>
      </c>
      <c r="G1152" s="5" t="s">
        <v>9665</v>
      </c>
      <c r="H1152" s="6" t="s">
        <v>2786</v>
      </c>
      <c r="I1152" s="24"/>
      <c r="J1152" s="8"/>
      <c r="K1152" s="26"/>
      <c r="L1152" s="6" t="str">
        <f>IFERROR(VLOOKUP(E1152,A:I,9, FALSE),"")</f>
        <v>Sensortemperatur</v>
      </c>
      <c r="M1152" s="6" t="str">
        <f>IFERROR(VLOOKUP(H1152,B:J,9,FALSE),"")</f>
        <v>Sensortemperatur</v>
      </c>
      <c r="N1152" s="6"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c>
    </row>
    <row r="1153" spans="1:17" x14ac:dyDescent="0.25">
      <c r="A1153" s="5" t="str">
        <f>IF(TRIM(I1153)="","",E1153)</f>
        <v>ZoomStepCount</v>
      </c>
      <c r="B1153" s="5" t="str">
        <f>IF(TRIM(J1153)="","",H1153)</f>
        <v/>
      </c>
      <c r="C1153" s="5" t="str">
        <f>LEFT(F1153,FIND(".",F1153,6))</f>
        <v>Exif.OlympusFi.</v>
      </c>
      <c r="D1153" s="5" t="str">
        <f>VLOOKUP(C1153,PrefixUebersetzung,2,FALSE)</f>
        <v>Exif.OlympusFi.</v>
      </c>
      <c r="E1153" s="5" t="str">
        <f>MID(F1153,FIND(".",F1153,6)+1,99)</f>
        <v>ZoomStepCount</v>
      </c>
      <c r="F1153" s="5" t="s">
        <v>1005</v>
      </c>
      <c r="G1153" s="5" t="s">
        <v>9664</v>
      </c>
      <c r="H1153" s="6" t="s">
        <v>2800</v>
      </c>
      <c r="I1153" s="24" t="s">
        <v>4006</v>
      </c>
      <c r="J1153" s="8"/>
      <c r="K1153" s="26"/>
      <c r="M1153" s="6" t="str">
        <f>IFERROR(VLOOKUP(H1153,B:J,9,FALSE),"")</f>
        <v>Zoom Schrittzahl</v>
      </c>
      <c r="N1153" s="6"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c>
      <c r="O1153" s="6" t="s">
        <v>8574</v>
      </c>
    </row>
    <row r="1154" spans="1:17" x14ac:dyDescent="0.25">
      <c r="A1154" s="5" t="str">
        <f>IF(TRIM(I1154)="","",E1154)</f>
        <v/>
      </c>
      <c r="B1154" s="5" t="str">
        <f>IF(TRIM(J1154)="","",H1154)</f>
        <v/>
      </c>
      <c r="C1154" s="5" t="str">
        <f>LEFT(F1154,FIND(".",F1154,6))</f>
        <v>Exif.OlympusIp.</v>
      </c>
      <c r="D1154" s="5" t="str">
        <f>VLOOKUP(C1154,PrefixUebersetzung,2,FALSE)</f>
        <v>Exif.OlympusIp.</v>
      </c>
      <c r="E1154" s="5" t="str">
        <f>MID(F1154,FIND(".",F1154,6)+1,99)</f>
        <v>AspectFrame</v>
      </c>
      <c r="F1154" s="5" t="s">
        <v>1006</v>
      </c>
      <c r="G1154" s="5" t="s">
        <v>9664</v>
      </c>
      <c r="H1154" s="6" t="s">
        <v>2868</v>
      </c>
      <c r="I1154" s="7"/>
      <c r="K1154" s="26"/>
      <c r="N1154" s="6"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O1154" s="6" t="s">
        <v>8574</v>
      </c>
      <c r="P1154" s="6" t="s">
        <v>8574</v>
      </c>
    </row>
    <row r="1155" spans="1:17" x14ac:dyDescent="0.25">
      <c r="A1155" s="5" t="str">
        <f>IF(TRIM(I1155)="","",E1155)</f>
        <v>AspectRatio</v>
      </c>
      <c r="B1155" s="5" t="str">
        <f>IF(TRIM(J1155)="","",H1155)</f>
        <v>Aspect ratio</v>
      </c>
      <c r="C1155" s="5" t="str">
        <f>LEFT(F1155,FIND(".",F1155,6))</f>
        <v>Exif.OlympusIp.</v>
      </c>
      <c r="D1155" s="5" t="str">
        <f>VLOOKUP(C1155,PrefixUebersetzung,2,FALSE)</f>
        <v>Exif.OlympusIp.</v>
      </c>
      <c r="E1155" s="5" t="str">
        <f>MID(F1155,FIND(".",F1155,6)+1,99)</f>
        <v>AspectRatio</v>
      </c>
      <c r="F1155" s="5" t="s">
        <v>1007</v>
      </c>
      <c r="G1155" s="5" t="s">
        <v>9670</v>
      </c>
      <c r="H1155" s="6" t="s">
        <v>2869</v>
      </c>
      <c r="I1155" s="24" t="s">
        <v>4034</v>
      </c>
      <c r="J1155" s="8" t="s">
        <v>4034</v>
      </c>
      <c r="K1155" s="26"/>
      <c r="L1155" s="6" t="str">
        <f>IFERROR(VLOOKUP(E1155,A:I,9, FALSE),"")</f>
        <v>Seitenverhältnis</v>
      </c>
      <c r="M1155" s="6" t="str">
        <f>IFERROR(VLOOKUP(H1155,B:J,9,FALSE),"")</f>
        <v>Seitenverhältnis</v>
      </c>
      <c r="N1155" s="6"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c>
      <c r="O1155" s="6" t="s">
        <v>8574</v>
      </c>
      <c r="P1155" s="6" t="s">
        <v>8574</v>
      </c>
      <c r="Q1155" s="6" t="s">
        <v>9137</v>
      </c>
    </row>
    <row r="1156" spans="1:17" x14ac:dyDescent="0.25">
      <c r="A1156" s="5" t="str">
        <f>IF(TRIM(I1156)="","",E1156)</f>
        <v/>
      </c>
      <c r="B1156" s="5" t="str">
        <f>IF(TRIM(J1156)="","",H1156)</f>
        <v/>
      </c>
      <c r="C1156" s="5" t="str">
        <f>LEFT(F1156,FIND(".",F1156,6))</f>
        <v>Exif.OlympusIp.</v>
      </c>
      <c r="D1156" s="5" t="str">
        <f>VLOOKUP(C1156,PrefixUebersetzung,2,FALSE)</f>
        <v>Exif.OlympusIp.</v>
      </c>
      <c r="E1156" s="5" t="str">
        <f>MID(F1156,FIND(".",F1156,6)+1,99)</f>
        <v>BlackLevel</v>
      </c>
      <c r="F1156" s="5" t="s">
        <v>1008</v>
      </c>
      <c r="G1156" s="5" t="s">
        <v>9664</v>
      </c>
      <c r="H1156" s="6" t="s">
        <v>2744</v>
      </c>
      <c r="I1156" s="7"/>
      <c r="K1156" s="26"/>
      <c r="L1156" s="6" t="str">
        <f>IFERROR(VLOOKUP(E1156,A:I,9, FALSE),"")</f>
        <v>Schwarzwert</v>
      </c>
      <c r="M1156" s="6" t="str">
        <f>IFERROR(VLOOKUP(H1156,B:J,9,FALSE),"")</f>
        <v>Schwarzwert</v>
      </c>
      <c r="N1156" s="6"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c>
    </row>
    <row r="1157" spans="1:17" x14ac:dyDescent="0.25">
      <c r="A1157" s="5" t="str">
        <f>IF(TRIM(I1157)="","",E1157)</f>
        <v/>
      </c>
      <c r="B1157" s="5" t="str">
        <f>IF(TRIM(J1157)="","",H1157)</f>
        <v/>
      </c>
      <c r="C1157" s="5" t="str">
        <f>LEFT(F1157,FIND(".",F1157,6))</f>
        <v>Exif.OlympusIp.</v>
      </c>
      <c r="D1157" s="5" t="str">
        <f>VLOOKUP(C1157,PrefixUebersetzung,2,FALSE)</f>
        <v>Exif.OlympusIp.</v>
      </c>
      <c r="E1157" s="5" t="str">
        <f>MID(F1157,FIND(".",F1157,6)+1,99)</f>
        <v>ColorMatrix</v>
      </c>
      <c r="F1157" s="5" t="s">
        <v>1009</v>
      </c>
      <c r="G1157" s="5" t="s">
        <v>9664</v>
      </c>
      <c r="H1157" s="6" t="s">
        <v>2755</v>
      </c>
      <c r="I1157" s="24"/>
      <c r="J1157" s="8"/>
      <c r="K1157" s="26"/>
      <c r="L1157" s="6" t="str">
        <f>IFERROR(VLOOKUP(E1157,A:I,9, FALSE),"")</f>
        <v>Farbmatrix</v>
      </c>
      <c r="M1157" s="6" t="str">
        <f>IFERROR(VLOOKUP(H1157,B:J,9,FALSE),"")</f>
        <v>Farbmatrix</v>
      </c>
      <c r="N1157" s="6"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row>
    <row r="1158" spans="1:17" x14ac:dyDescent="0.25">
      <c r="A1158" s="5" t="str">
        <f>IF(TRIM(I1158)="","",E1158)</f>
        <v/>
      </c>
      <c r="B1158" s="5" t="str">
        <f>IF(TRIM(J1158)="","",H1158)</f>
        <v/>
      </c>
      <c r="C1158" s="5" t="str">
        <f>LEFT(F1158,FIND(".",F1158,6))</f>
        <v>Exif.OlympusIp.</v>
      </c>
      <c r="D1158" s="5" t="str">
        <f>VLOOKUP(C1158,PrefixUebersetzung,2,FALSE)</f>
        <v>Exif.OlympusIp.</v>
      </c>
      <c r="E1158" s="5" t="str">
        <f>MID(F1158,FIND(".",F1158,6)+1,99)</f>
        <v>CoringFilter</v>
      </c>
      <c r="F1158" s="5" t="s">
        <v>1010</v>
      </c>
      <c r="G1158" s="5" t="s">
        <v>9664</v>
      </c>
      <c r="H1158" s="6" t="s">
        <v>2757</v>
      </c>
      <c r="I1158" s="7"/>
      <c r="K1158" s="26"/>
      <c r="L1158" s="6" t="str">
        <f>IFERROR(VLOOKUP(E1158,A:I,9, FALSE),"")</f>
        <v/>
      </c>
      <c r="M1158" s="6" t="str">
        <f>IFERROR(VLOOKUP(H1158,B:J,9,FALSE),"")</f>
        <v/>
      </c>
      <c r="N1158" s="6"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xml:space="preserve">Suffix not translated Description not translated </v>
      </c>
    </row>
    <row r="1159" spans="1:17" x14ac:dyDescent="0.25">
      <c r="A1159" s="5" t="str">
        <f>IF(TRIM(I1159)="","",E1159)</f>
        <v/>
      </c>
      <c r="B1159" s="5" t="str">
        <f>IF(TRIM(J1159)="","",H1159)</f>
        <v/>
      </c>
      <c r="C1159" s="5" t="str">
        <f>LEFT(F1159,FIND(".",F1159,6))</f>
        <v>Exif.OlympusIp.</v>
      </c>
      <c r="D1159" s="5" t="str">
        <f>VLOOKUP(C1159,PrefixUebersetzung,2,FALSE)</f>
        <v>Exif.OlympusIp.</v>
      </c>
      <c r="E1159" s="5" t="str">
        <f>MID(F1159,FIND(".",F1159,6)+1,99)</f>
        <v>CoringValues</v>
      </c>
      <c r="F1159" s="5" t="s">
        <v>1011</v>
      </c>
      <c r="G1159" s="5" t="s">
        <v>9664</v>
      </c>
      <c r="H1159" s="6" t="s">
        <v>2870</v>
      </c>
      <c r="I1159" s="7"/>
      <c r="K1159" s="26"/>
      <c r="L1159" s="6" t="str">
        <f>IFERROR(VLOOKUP(E1159,A:I,9, FALSE),"")</f>
        <v/>
      </c>
      <c r="M1159" s="6" t="str">
        <f>IFERROR(VLOOKUP(H1159,B:J,9,FALSE),"")</f>
        <v/>
      </c>
      <c r="N1159" s="6"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xml:space="preserve">Suffix not translated Description not translated </v>
      </c>
      <c r="O1159" s="6" t="s">
        <v>8574</v>
      </c>
      <c r="P1159" s="6" t="s">
        <v>8574</v>
      </c>
    </row>
    <row r="1160" spans="1:17" x14ac:dyDescent="0.25">
      <c r="A1160" s="5" t="str">
        <f>IF(TRIM(I1160)="","",E1160)</f>
        <v>CropHeight</v>
      </c>
      <c r="B1160" s="5" t="str">
        <f>IF(TRIM(J1160)="","",H1160)</f>
        <v>Crop height</v>
      </c>
      <c r="C1160" s="5" t="str">
        <f>LEFT(F1160,FIND(".",F1160,6))</f>
        <v>Exif.OlympusIp.</v>
      </c>
      <c r="D1160" s="5" t="str">
        <f>VLOOKUP(C1160,PrefixUebersetzung,2,FALSE)</f>
        <v>Exif.OlympusIp.</v>
      </c>
      <c r="E1160" s="5" t="str">
        <f>MID(F1160,FIND(".",F1160,6)+1,99)</f>
        <v>CropHeight</v>
      </c>
      <c r="F1160" s="5" t="s">
        <v>1012</v>
      </c>
      <c r="G1160" s="5" t="s">
        <v>9667</v>
      </c>
      <c r="H1160" s="6" t="s">
        <v>2871</v>
      </c>
      <c r="I1160" s="24" t="s">
        <v>4035</v>
      </c>
      <c r="J1160" s="8" t="s">
        <v>4035</v>
      </c>
      <c r="K1160" s="26"/>
      <c r="L1160" s="6" t="str">
        <f>IFERROR(VLOOKUP(E1160,A:I,9, FALSE),"")</f>
        <v>Crop Höhe</v>
      </c>
      <c r="M1160" s="6" t="str">
        <f>IFERROR(VLOOKUP(H1160,B:J,9,FALSE),"")</f>
        <v>Crop Höhe</v>
      </c>
      <c r="N1160" s="6"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O1160" s="6" t="s">
        <v>8574</v>
      </c>
      <c r="P1160" s="6" t="s">
        <v>8574</v>
      </c>
      <c r="Q1160" s="6" t="s">
        <v>9227</v>
      </c>
    </row>
    <row r="1161" spans="1:17" x14ac:dyDescent="0.25">
      <c r="A1161" s="5" t="str">
        <f>IF(TRIM(I1161)="","",E1161)</f>
        <v>CropLeft</v>
      </c>
      <c r="B1161" s="5" t="str">
        <f>IF(TRIM(J1161)="","",H1161)</f>
        <v>Crop left</v>
      </c>
      <c r="C1161" s="5" t="str">
        <f>LEFT(F1161,FIND(".",F1161,6))</f>
        <v>Exif.OlympusIp.</v>
      </c>
      <c r="D1161" s="5" t="str">
        <f>VLOOKUP(C1161,PrefixUebersetzung,2,FALSE)</f>
        <v>Exif.OlympusIp.</v>
      </c>
      <c r="E1161" s="5" t="str">
        <f>MID(F1161,FIND(".",F1161,6)+1,99)</f>
        <v>CropLeft</v>
      </c>
      <c r="F1161" s="5" t="s">
        <v>1013</v>
      </c>
      <c r="G1161" s="5" t="s">
        <v>9664</v>
      </c>
      <c r="H1161" s="6" t="s">
        <v>2872</v>
      </c>
      <c r="I1161" s="24" t="s">
        <v>4036</v>
      </c>
      <c r="J1161" s="8" t="s">
        <v>4036</v>
      </c>
      <c r="K1161" s="26"/>
      <c r="L1161" s="6" t="str">
        <f>IFERROR(VLOOKUP(E1161,A:I,9, FALSE),"")</f>
        <v>Crop links</v>
      </c>
      <c r="M1161" s="6" t="str">
        <f>IFERROR(VLOOKUP(H1161,B:J,9,FALSE),"")</f>
        <v>Crop links</v>
      </c>
      <c r="N1161" s="6"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c>
      <c r="O1161" s="6" t="s">
        <v>8574</v>
      </c>
      <c r="P1161" s="6" t="s">
        <v>8574</v>
      </c>
      <c r="Q1161" s="6" t="s">
        <v>9229</v>
      </c>
    </row>
    <row r="1162" spans="1:17" x14ac:dyDescent="0.25">
      <c r="A1162" s="5" t="str">
        <f>IF(TRIM(I1162)="","",E1162)</f>
        <v>CropTop</v>
      </c>
      <c r="B1162" s="5" t="str">
        <f>IF(TRIM(J1162)="","",H1162)</f>
        <v>Crop top</v>
      </c>
      <c r="C1162" s="5" t="str">
        <f>LEFT(F1162,FIND(".",F1162,6))</f>
        <v>Exif.OlympusIp.</v>
      </c>
      <c r="D1162" s="5" t="str">
        <f>VLOOKUP(C1162,PrefixUebersetzung,2,FALSE)</f>
        <v>Exif.OlympusIp.</v>
      </c>
      <c r="E1162" s="5" t="str">
        <f>MID(F1162,FIND(".",F1162,6)+1,99)</f>
        <v>CropTop</v>
      </c>
      <c r="F1162" s="5" t="s">
        <v>1014</v>
      </c>
      <c r="G1162" s="5" t="s">
        <v>9664</v>
      </c>
      <c r="H1162" s="6" t="s">
        <v>2873</v>
      </c>
      <c r="I1162" s="24" t="s">
        <v>4388</v>
      </c>
      <c r="J1162" s="8" t="s">
        <v>4388</v>
      </c>
      <c r="K1162" s="26"/>
      <c r="L1162" s="6" t="str">
        <f>IFERROR(VLOOKUP(E1162,A:I,9, FALSE),"")</f>
        <v>Crop oben</v>
      </c>
      <c r="M1162" s="6" t="str">
        <f>IFERROR(VLOOKUP(H1162,B:J,9,FALSE),"")</f>
        <v>Crop oben</v>
      </c>
      <c r="N1162" s="6"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c>
      <c r="O1162" s="6" t="s">
        <v>8574</v>
      </c>
      <c r="P1162" s="6" t="s">
        <v>8574</v>
      </c>
      <c r="Q1162" s="6" t="s">
        <v>9230</v>
      </c>
    </row>
    <row r="1163" spans="1:17" x14ac:dyDescent="0.25">
      <c r="A1163" s="5" t="str">
        <f>IF(TRIM(I1163)="","",E1163)</f>
        <v>CropWidth</v>
      </c>
      <c r="B1163" s="5" t="str">
        <f>IF(TRIM(J1163)="","",H1163)</f>
        <v>Crop width</v>
      </c>
      <c r="C1163" s="5" t="str">
        <f>LEFT(F1163,FIND(".",F1163,6))</f>
        <v>Exif.OlympusIp.</v>
      </c>
      <c r="D1163" s="5" t="str">
        <f>VLOOKUP(C1163,PrefixUebersetzung,2,FALSE)</f>
        <v>Exif.OlympusIp.</v>
      </c>
      <c r="E1163" s="5" t="str">
        <f>MID(F1163,FIND(".",F1163,6)+1,99)</f>
        <v>CropWidth</v>
      </c>
      <c r="F1163" s="5" t="s">
        <v>1015</v>
      </c>
      <c r="G1163" s="5" t="s">
        <v>9667</v>
      </c>
      <c r="H1163" s="6" t="s">
        <v>2874</v>
      </c>
      <c r="I1163" s="24" t="s">
        <v>4037</v>
      </c>
      <c r="J1163" s="8" t="s">
        <v>4037</v>
      </c>
      <c r="K1163" s="26"/>
      <c r="L1163" s="6" t="str">
        <f>IFERROR(VLOOKUP(E1163,A:I,9, FALSE),"")</f>
        <v>Crop Breite</v>
      </c>
      <c r="M1163" s="6" t="str">
        <f>IFERROR(VLOOKUP(H1163,B:J,9,FALSE),"")</f>
        <v>Crop Breite</v>
      </c>
      <c r="N1163" s="6"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c r="O1163" s="6" t="s">
        <v>8574</v>
      </c>
      <c r="P1163" s="6" t="s">
        <v>8574</v>
      </c>
      <c r="Q1163" s="6" t="s">
        <v>9196</v>
      </c>
    </row>
    <row r="1164" spans="1:17" x14ac:dyDescent="0.25">
      <c r="A1164" s="5" t="str">
        <f>IF(TRIM(I1164)="","",E1164)</f>
        <v/>
      </c>
      <c r="B1164" s="5" t="str">
        <f>IF(TRIM(J1164)="","",H1164)</f>
        <v/>
      </c>
      <c r="C1164" s="5" t="str">
        <f>LEFT(F1164,FIND(".",F1164,6))</f>
        <v>Exif.OlympusIp.</v>
      </c>
      <c r="D1164" s="5" t="str">
        <f>VLOOKUP(C1164,PrefixUebersetzung,2,FALSE)</f>
        <v>Exif.OlympusIp.</v>
      </c>
      <c r="E1164" s="5" t="str">
        <f>MID(F1164,FIND(".",F1164,6)+1,99)</f>
        <v>DistortionCorrection</v>
      </c>
      <c r="F1164" s="5" t="s">
        <v>1016</v>
      </c>
      <c r="G1164" s="5" t="s">
        <v>9664</v>
      </c>
      <c r="H1164" s="6" t="s">
        <v>2810</v>
      </c>
      <c r="I1164" s="24"/>
      <c r="J1164" s="8"/>
      <c r="K1164" s="26"/>
      <c r="L1164" s="6" t="str">
        <f>IFERROR(VLOOKUP(E1164,A:I,9, FALSE),"")</f>
        <v>Verzerrungskorrektur</v>
      </c>
      <c r="M1164" s="6" t="str">
        <f>IFERROR(VLOOKUP(H1164,B:J,9,FALSE),"")</f>
        <v>Verzerrungskorrektur</v>
      </c>
      <c r="N1164" s="6"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row>
    <row r="1165" spans="1:17" x14ac:dyDescent="0.25">
      <c r="A1165" s="5" t="str">
        <f>IF(TRIM(I1165)="","",E1165)</f>
        <v/>
      </c>
      <c r="B1165" s="5" t="str">
        <f>IF(TRIM(J1165)="","",H1165)</f>
        <v/>
      </c>
      <c r="C1165" s="5" t="str">
        <f>LEFT(F1165,FIND(".",F1165,6))</f>
        <v>Exif.OlympusIp.</v>
      </c>
      <c r="D1165" s="5" t="str">
        <f>VLOOKUP(C1165,PrefixUebersetzung,2,FALSE)</f>
        <v>Exif.OlympusIp.</v>
      </c>
      <c r="E1165" s="5" t="str">
        <f>MID(F1165,FIND(".",F1165,6)+1,99)</f>
        <v>Enhancer</v>
      </c>
      <c r="F1165" s="5" t="s">
        <v>1017</v>
      </c>
      <c r="G1165" s="5" t="s">
        <v>9664</v>
      </c>
      <c r="H1165" s="6" t="s">
        <v>2875</v>
      </c>
      <c r="I1165" s="7"/>
      <c r="K1165" s="26"/>
      <c r="N1165" s="6"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O1165" s="6" t="s">
        <v>8574</v>
      </c>
      <c r="P1165" s="6" t="s">
        <v>8574</v>
      </c>
    </row>
    <row r="1166" spans="1:17" x14ac:dyDescent="0.25">
      <c r="A1166" s="5" t="str">
        <f>IF(TRIM(I1166)="","",E1166)</f>
        <v/>
      </c>
      <c r="B1166" s="5" t="str">
        <f>IF(TRIM(J1166)="","",H1166)</f>
        <v/>
      </c>
      <c r="C1166" s="5" t="str">
        <f>LEFT(F1166,FIND(".",F1166,6))</f>
        <v>Exif.OlympusIp.</v>
      </c>
      <c r="D1166" s="5" t="str">
        <f>VLOOKUP(C1166,PrefixUebersetzung,2,FALSE)</f>
        <v>Exif.OlympusIp.</v>
      </c>
      <c r="E1166" s="5" t="str">
        <f>MID(F1166,FIND(".",F1166,6)+1,99)</f>
        <v>EnhancerValues</v>
      </c>
      <c r="F1166" s="5" t="s">
        <v>1018</v>
      </c>
      <c r="G1166" s="5" t="s">
        <v>9664</v>
      </c>
      <c r="H1166" s="6" t="s">
        <v>2876</v>
      </c>
      <c r="I1166" s="7"/>
      <c r="K1166" s="26"/>
      <c r="N1166" s="6"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6" t="s">
        <v>8574</v>
      </c>
      <c r="P1166" s="6" t="s">
        <v>8574</v>
      </c>
    </row>
    <row r="1167" spans="1:17" x14ac:dyDescent="0.25">
      <c r="A1167" s="5" t="str">
        <f>IF(TRIM(I1167)="","",E1167)</f>
        <v>FaceDetect</v>
      </c>
      <c r="B1167" s="5" t="str">
        <f>IF(TRIM(J1167)="","",H1167)</f>
        <v>Face detect</v>
      </c>
      <c r="C1167" s="5" t="str">
        <f>LEFT(F1167,FIND(".",F1167,6))</f>
        <v>Exif.OlympusIp.</v>
      </c>
      <c r="D1167" s="5" t="str">
        <f>VLOOKUP(C1167,PrefixUebersetzung,2,FALSE)</f>
        <v>Exif.OlympusIp.</v>
      </c>
      <c r="E1167" s="5" t="str">
        <f>MID(F1167,FIND(".",F1167,6)+1,99)</f>
        <v>FaceDetect</v>
      </c>
      <c r="F1167" s="5" t="s">
        <v>1019</v>
      </c>
      <c r="G1167" s="5" t="s">
        <v>9667</v>
      </c>
      <c r="H1167" s="6" t="s">
        <v>2877</v>
      </c>
      <c r="I1167" s="24" t="s">
        <v>4389</v>
      </c>
      <c r="J1167" s="8" t="s">
        <v>4389</v>
      </c>
      <c r="K1167" s="26"/>
      <c r="N1167" s="6"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c>
      <c r="O1167" s="6" t="s">
        <v>8574</v>
      </c>
      <c r="P1167" s="6" t="s">
        <v>8574</v>
      </c>
      <c r="Q1167" s="6" t="s">
        <v>9294</v>
      </c>
    </row>
    <row r="1168" spans="1:17" x14ac:dyDescent="0.25">
      <c r="A1168" s="5" t="str">
        <f>IF(TRIM(I1168)="","",E1168)</f>
        <v>FaceDetectArea</v>
      </c>
      <c r="B1168" s="5" t="str">
        <f>IF(TRIM(J1168)="","",H1168)</f>
        <v>Face detect area</v>
      </c>
      <c r="C1168" s="5" t="str">
        <f>LEFT(F1168,FIND(".",F1168,6))</f>
        <v>Exif.OlympusIp.</v>
      </c>
      <c r="D1168" s="5" t="str">
        <f>VLOOKUP(C1168,PrefixUebersetzung,2,FALSE)</f>
        <v>Exif.OlympusIp.</v>
      </c>
      <c r="E1168" s="5" t="str">
        <f>MID(F1168,FIND(".",F1168,6)+1,99)</f>
        <v>FaceDetectArea</v>
      </c>
      <c r="F1168" s="5" t="s">
        <v>1020</v>
      </c>
      <c r="G1168" s="5" t="s">
        <v>9665</v>
      </c>
      <c r="H1168" s="6" t="s">
        <v>2878</v>
      </c>
      <c r="I1168" s="24" t="s">
        <v>4390</v>
      </c>
      <c r="J1168" s="8" t="s">
        <v>4390</v>
      </c>
      <c r="K1168" s="26"/>
      <c r="N1168" s="6"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c r="O1168" s="6" t="s">
        <v>8574</v>
      </c>
      <c r="P1168" s="6" t="s">
        <v>8574</v>
      </c>
      <c r="Q1168" s="6" t="s">
        <v>9294</v>
      </c>
    </row>
    <row r="1169" spans="1:17" x14ac:dyDescent="0.25">
      <c r="A1169" s="5" t="str">
        <f>IF(TRIM(I1169)="","",E1169)</f>
        <v/>
      </c>
      <c r="B1169" s="5" t="str">
        <f>IF(TRIM(J1169)="","",H1169)</f>
        <v/>
      </c>
      <c r="C1169" s="5" t="str">
        <f>LEFT(F1169,FIND(".",F1169,6))</f>
        <v>Exif.OlympusIp.</v>
      </c>
      <c r="D1169" s="5" t="str">
        <f>VLOOKUP(C1169,PrefixUebersetzung,2,FALSE)</f>
        <v>Exif.OlympusIp.</v>
      </c>
      <c r="E1169" s="5" t="str">
        <f>MID(F1169,FIND(".",F1169,6)+1,99)</f>
        <v>GainBase</v>
      </c>
      <c r="F1169" s="5" t="s">
        <v>1021</v>
      </c>
      <c r="G1169" s="5" t="s">
        <v>9664</v>
      </c>
      <c r="H1169" s="6" t="s">
        <v>2879</v>
      </c>
      <c r="I1169" s="7"/>
      <c r="K1169" s="26"/>
      <c r="N1169" s="6"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O1169" s="6" t="s">
        <v>8574</v>
      </c>
      <c r="P1169" s="6" t="s">
        <v>8574</v>
      </c>
    </row>
    <row r="1170" spans="1:17" x14ac:dyDescent="0.25">
      <c r="A1170" s="5" t="str">
        <f>IF(TRIM(I1170)="","",E1170)</f>
        <v>ImageProcessingVersion</v>
      </c>
      <c r="B1170" s="5" t="str">
        <f>IF(TRIM(J1170)="","",H1170)</f>
        <v>Image processing version</v>
      </c>
      <c r="C1170" s="5" t="str">
        <f>LEFT(F1170,FIND(".",F1170,6))</f>
        <v>Exif.OlympusIp.</v>
      </c>
      <c r="D1170" s="5" t="str">
        <f>VLOOKUP(C1170,PrefixUebersetzung,2,FALSE)</f>
        <v>Exif.OlympusIp.</v>
      </c>
      <c r="E1170" s="5" t="str">
        <f>MID(F1170,FIND(".",F1170,6)+1,99)</f>
        <v>ImageProcessingVersion</v>
      </c>
      <c r="F1170" s="5" t="s">
        <v>1022</v>
      </c>
      <c r="G1170" s="5" t="s">
        <v>9669</v>
      </c>
      <c r="H1170" s="6" t="s">
        <v>2880</v>
      </c>
      <c r="I1170" s="24" t="s">
        <v>4038</v>
      </c>
      <c r="J1170" s="8" t="s">
        <v>4038</v>
      </c>
      <c r="K1170" s="26"/>
      <c r="N1170" s="6"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c>
      <c r="O1170" s="6" t="s">
        <v>8574</v>
      </c>
      <c r="P1170" s="6" t="s">
        <v>8574</v>
      </c>
      <c r="Q1170" s="6" t="s">
        <v>9363</v>
      </c>
    </row>
    <row r="1171" spans="1:17" x14ac:dyDescent="0.25">
      <c r="A1171" s="5" t="str">
        <f>IF(TRIM(I1171)="","",E1171)</f>
        <v>MultipleExposureMode</v>
      </c>
      <c r="B1171" s="5" t="str">
        <f>IF(TRIM(J1171)="","",H1171)</f>
        <v>Multiple exposure mode</v>
      </c>
      <c r="C1171" s="5" t="str">
        <f>LEFT(F1171,FIND(".",F1171,6))</f>
        <v>Exif.OlympusIp.</v>
      </c>
      <c r="D1171" s="5" t="str">
        <f>VLOOKUP(C1171,PrefixUebersetzung,2,FALSE)</f>
        <v>Exif.OlympusIp.</v>
      </c>
      <c r="E1171" s="5" t="str">
        <f>MID(F1171,FIND(".",F1171,6)+1,99)</f>
        <v>MultipleExposureMode</v>
      </c>
      <c r="F1171" s="5" t="s">
        <v>1023</v>
      </c>
      <c r="G1171" s="5" t="s">
        <v>9664</v>
      </c>
      <c r="H1171" s="6" t="s">
        <v>2881</v>
      </c>
      <c r="I1171" s="24" t="s">
        <v>4039</v>
      </c>
      <c r="J1171" s="13" t="s">
        <v>4039</v>
      </c>
      <c r="K1171" s="26"/>
      <c r="N1171" s="6"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c>
      <c r="O1171" s="6" t="s">
        <v>8574</v>
      </c>
      <c r="P1171" s="6" t="s">
        <v>8574</v>
      </c>
      <c r="Q1171" s="6" t="s">
        <v>9156</v>
      </c>
    </row>
    <row r="1172" spans="1:17" x14ac:dyDescent="0.25">
      <c r="A1172" s="5" t="str">
        <f>IF(TRIM(I1172)="","",E1172)</f>
        <v/>
      </c>
      <c r="B1172" s="5" t="str">
        <f>IF(TRIM(J1172)="","",H1172)</f>
        <v/>
      </c>
      <c r="C1172" s="5" t="str">
        <f>LEFT(F1172,FIND(".",F1172,6))</f>
        <v>Exif.OlympusIp.</v>
      </c>
      <c r="D1172" s="5" t="str">
        <f>VLOOKUP(C1172,PrefixUebersetzung,2,FALSE)</f>
        <v>Exif.OlympusIp.</v>
      </c>
      <c r="E1172" s="5" t="str">
        <f>MID(F1172,FIND(".",F1172,6)+1,99)</f>
        <v>NoiseReduction</v>
      </c>
      <c r="F1172" s="5" t="s">
        <v>1024</v>
      </c>
      <c r="G1172" s="5" t="s">
        <v>9664</v>
      </c>
      <c r="H1172" s="6" t="s">
        <v>2563</v>
      </c>
      <c r="I1172" s="7"/>
      <c r="K1172" s="26"/>
      <c r="L1172" s="6" t="str">
        <f>IFERROR(VLOOKUP(E1172,A:I,9, FALSE),"")</f>
        <v xml:space="preserve">Rauschreduzierung </v>
      </c>
      <c r="M1172" s="6" t="str">
        <f>IFERROR(VLOOKUP(H1172,B:J,9,FALSE),"")</f>
        <v xml:space="preserve">Rauschreduzierung </v>
      </c>
      <c r="N1172" s="6"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c>
    </row>
    <row r="1173" spans="1:17" x14ac:dyDescent="0.25">
      <c r="A1173" s="5" t="str">
        <f>IF(TRIM(I1173)="","",E1173)</f>
        <v/>
      </c>
      <c r="B1173" s="5" t="str">
        <f>IF(TRIM(J1173)="","",H1173)</f>
        <v/>
      </c>
      <c r="C1173" s="5" t="str">
        <f>LEFT(F1173,FIND(".",F1173,6))</f>
        <v>Exif.OlympusIp.</v>
      </c>
      <c r="D1173" s="5" t="str">
        <f>VLOOKUP(C1173,PrefixUebersetzung,2,FALSE)</f>
        <v>Exif.OlympusIp.</v>
      </c>
      <c r="E1173" s="5" t="str">
        <f>MID(F1173,FIND(".",F1173,6)+1,99)</f>
        <v>ShadingCompensation</v>
      </c>
      <c r="F1173" s="5" t="s">
        <v>1025</v>
      </c>
      <c r="G1173" s="5" t="s">
        <v>9664</v>
      </c>
      <c r="H1173" s="6" t="s">
        <v>2838</v>
      </c>
      <c r="I1173" s="7"/>
      <c r="K1173" s="26"/>
      <c r="L1173" s="6" t="str">
        <f>IFERROR(VLOOKUP(E1173,A:I,9, FALSE),"")</f>
        <v>Schatten Ausgleich</v>
      </c>
      <c r="M1173" s="6" t="str">
        <f>IFERROR(VLOOKUP(H1173,B:J,9,FALSE),"")</f>
        <v>Schatten Ausgleich</v>
      </c>
      <c r="N1173" s="6"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c>
    </row>
    <row r="1174" spans="1:17" x14ac:dyDescent="0.25">
      <c r="A1174" s="5" t="str">
        <f>IF(TRIM(I1174)="","",E1174)</f>
        <v/>
      </c>
      <c r="B1174" s="5" t="str">
        <f>IF(TRIM(J1174)="","",H1174)</f>
        <v/>
      </c>
      <c r="C1174" s="5" t="str">
        <f>LEFT(F1174,FIND(".",F1174,6))</f>
        <v>Exif.OlympusIp.</v>
      </c>
      <c r="D1174" s="5" t="str">
        <f>VLOOKUP(C1174,PrefixUebersetzung,2,FALSE)</f>
        <v>Exif.OlympusIp.</v>
      </c>
      <c r="E1174" s="5" t="str">
        <f>MID(F1174,FIND(".",F1174,6)+1,99)</f>
        <v>ValidBits</v>
      </c>
      <c r="F1174" s="5" t="s">
        <v>1026</v>
      </c>
      <c r="G1174" s="5" t="s">
        <v>9664</v>
      </c>
      <c r="H1174" s="6" t="s">
        <v>2796</v>
      </c>
      <c r="I1174" s="7"/>
      <c r="K1174" s="26"/>
      <c r="L1174" s="6" t="str">
        <f>IFERROR(VLOOKUP(E1174,A:I,9, FALSE),"")</f>
        <v>Bits gültig</v>
      </c>
      <c r="M1174" s="6" t="str">
        <f>IFERROR(VLOOKUP(H1174,B:J,9,FALSE),"")</f>
        <v>Bits gültig</v>
      </c>
      <c r="N1174" s="6"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row>
    <row r="1175" spans="1:17" x14ac:dyDescent="0.25">
      <c r="A1175" s="5" t="str">
        <f>IF(TRIM(I1175)="","",E1175)</f>
        <v/>
      </c>
      <c r="B1175" s="5" t="str">
        <f>IF(TRIM(J1175)="","",H1175)</f>
        <v/>
      </c>
      <c r="C1175" s="5" t="str">
        <f>LEFT(F1175,FIND(".",F1175,6))</f>
        <v>Exif.OlympusIp.</v>
      </c>
      <c r="D1175" s="5" t="str">
        <f>VLOOKUP(C1175,PrefixUebersetzung,2,FALSE)</f>
        <v>Exif.OlympusIp.</v>
      </c>
      <c r="E1175" s="5" t="str">
        <f>MID(F1175,FIND(".",F1175,6)+1,99)</f>
        <v>WB_GLevel</v>
      </c>
      <c r="F1175" s="5" t="s">
        <v>1027</v>
      </c>
      <c r="G1175" s="5" t="s">
        <v>9664</v>
      </c>
      <c r="H1175" s="6" t="s">
        <v>2882</v>
      </c>
      <c r="I1175" s="7"/>
      <c r="K1175" s="26"/>
      <c r="N1175" s="6"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xml:space="preserve">Suffix not translated Description not translated </v>
      </c>
      <c r="O1175" s="6" t="s">
        <v>8574</v>
      </c>
      <c r="P1175" s="6" t="s">
        <v>8574</v>
      </c>
    </row>
    <row r="1176" spans="1:17" x14ac:dyDescent="0.25">
      <c r="A1176" s="5" t="str">
        <f>IF(TRIM(I1176)="","",E1176)</f>
        <v/>
      </c>
      <c r="B1176" s="5" t="str">
        <f>IF(TRIM(J1176)="","",H1176)</f>
        <v/>
      </c>
      <c r="C1176" s="5" t="str">
        <f>LEFT(F1176,FIND(".",F1176,6))</f>
        <v>Exif.OlympusIp.</v>
      </c>
      <c r="D1176" s="5" t="str">
        <f>VLOOKUP(C1176,PrefixUebersetzung,2,FALSE)</f>
        <v>Exif.OlympusIp.</v>
      </c>
      <c r="E1176" s="5" t="str">
        <f>MID(F1176,FIND(".",F1176,6)+1,99)</f>
        <v>WB_GLevel3000K</v>
      </c>
      <c r="F1176" s="5" t="s">
        <v>1028</v>
      </c>
      <c r="G1176" s="5" t="s">
        <v>9664</v>
      </c>
      <c r="H1176" s="6" t="s">
        <v>2883</v>
      </c>
      <c r="I1176" s="7"/>
      <c r="K1176" s="26"/>
      <c r="N1176" s="6"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c r="O1176" s="6" t="s">
        <v>8574</v>
      </c>
      <c r="P1176" s="6" t="s">
        <v>8574</v>
      </c>
    </row>
    <row r="1177" spans="1:17" x14ac:dyDescent="0.25">
      <c r="A1177" s="5" t="str">
        <f>IF(TRIM(I1177)="","",E1177)</f>
        <v/>
      </c>
      <c r="B1177" s="5" t="str">
        <f>IF(TRIM(J1177)="","",H1177)</f>
        <v/>
      </c>
      <c r="C1177" s="5" t="str">
        <f>LEFT(F1177,FIND(".",F1177,6))</f>
        <v>Exif.OlympusIp.</v>
      </c>
      <c r="D1177" s="5" t="str">
        <f>VLOOKUP(C1177,PrefixUebersetzung,2,FALSE)</f>
        <v>Exif.OlympusIp.</v>
      </c>
      <c r="E1177" s="5" t="str">
        <f>MID(F1177,FIND(".",F1177,6)+1,99)</f>
        <v>WB_GLevel3300K</v>
      </c>
      <c r="F1177" s="5" t="s">
        <v>1029</v>
      </c>
      <c r="G1177" s="5" t="s">
        <v>9664</v>
      </c>
      <c r="H1177" s="6" t="s">
        <v>2884</v>
      </c>
      <c r="I1177" s="7"/>
      <c r="K1177" s="26"/>
      <c r="N1177" s="6"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O1177" s="6" t="s">
        <v>8574</v>
      </c>
      <c r="P1177" s="6" t="s">
        <v>8574</v>
      </c>
    </row>
    <row r="1178" spans="1:17" x14ac:dyDescent="0.25">
      <c r="A1178" s="5" t="str">
        <f>IF(TRIM(I1178)="","",E1178)</f>
        <v/>
      </c>
      <c r="B1178" s="5" t="str">
        <f>IF(TRIM(J1178)="","",H1178)</f>
        <v/>
      </c>
      <c r="C1178" s="5" t="str">
        <f>LEFT(F1178,FIND(".",F1178,6))</f>
        <v>Exif.OlympusIp.</v>
      </c>
      <c r="D1178" s="5" t="str">
        <f>VLOOKUP(C1178,PrefixUebersetzung,2,FALSE)</f>
        <v>Exif.OlympusIp.</v>
      </c>
      <c r="E1178" s="5" t="str">
        <f>MID(F1178,FIND(".",F1178,6)+1,99)</f>
        <v>WB_GLevel3600K</v>
      </c>
      <c r="F1178" s="5" t="s">
        <v>1030</v>
      </c>
      <c r="G1178" s="5" t="s">
        <v>9664</v>
      </c>
      <c r="H1178" s="6" t="s">
        <v>2885</v>
      </c>
      <c r="I1178" s="7"/>
      <c r="K1178" s="26"/>
      <c r="N1178" s="6"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c r="O1178" s="6" t="s">
        <v>8574</v>
      </c>
      <c r="P1178" s="6" t="s">
        <v>8574</v>
      </c>
    </row>
    <row r="1179" spans="1:17" x14ac:dyDescent="0.25">
      <c r="A1179" s="5" t="str">
        <f>IF(TRIM(I1179)="","",E1179)</f>
        <v/>
      </c>
      <c r="B1179" s="5" t="str">
        <f>IF(TRIM(J1179)="","",H1179)</f>
        <v/>
      </c>
      <c r="C1179" s="5" t="str">
        <f>LEFT(F1179,FIND(".",F1179,6))</f>
        <v>Exif.OlympusIp.</v>
      </c>
      <c r="D1179" s="5" t="str">
        <f>VLOOKUP(C1179,PrefixUebersetzung,2,FALSE)</f>
        <v>Exif.OlympusIp.</v>
      </c>
      <c r="E1179" s="5" t="str">
        <f>MID(F1179,FIND(".",F1179,6)+1,99)</f>
        <v>WB_GLevel3900K</v>
      </c>
      <c r="F1179" s="5" t="s">
        <v>1031</v>
      </c>
      <c r="G1179" s="5" t="s">
        <v>9664</v>
      </c>
      <c r="H1179" s="6" t="s">
        <v>2886</v>
      </c>
      <c r="I1179" s="7"/>
      <c r="K1179" s="26"/>
      <c r="N1179" s="6"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c r="O1179" s="6" t="s">
        <v>8574</v>
      </c>
      <c r="P1179" s="6" t="s">
        <v>8574</v>
      </c>
    </row>
    <row r="1180" spans="1:17" x14ac:dyDescent="0.25">
      <c r="A1180" s="5" t="str">
        <f>IF(TRIM(I1180)="","",E1180)</f>
        <v/>
      </c>
      <c r="B1180" s="5" t="str">
        <f>IF(TRIM(J1180)="","",H1180)</f>
        <v/>
      </c>
      <c r="C1180" s="5" t="str">
        <f>LEFT(F1180,FIND(".",F1180,6))</f>
        <v>Exif.OlympusIp.</v>
      </c>
      <c r="D1180" s="5" t="str">
        <f>VLOOKUP(C1180,PrefixUebersetzung,2,FALSE)</f>
        <v>Exif.OlympusIp.</v>
      </c>
      <c r="E1180" s="5" t="str">
        <f>MID(F1180,FIND(".",F1180,6)+1,99)</f>
        <v>WB_GLevel4000K</v>
      </c>
      <c r="F1180" s="5" t="s">
        <v>1032</v>
      </c>
      <c r="G1180" s="5" t="s">
        <v>9664</v>
      </c>
      <c r="H1180" s="6" t="s">
        <v>2887</v>
      </c>
      <c r="I1180" s="7"/>
      <c r="K1180" s="26"/>
      <c r="N1180" s="6"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O1180" s="6" t="s">
        <v>8574</v>
      </c>
      <c r="P1180" s="6" t="s">
        <v>8574</v>
      </c>
    </row>
    <row r="1181" spans="1:17" x14ac:dyDescent="0.25">
      <c r="A1181" s="5" t="str">
        <f>IF(TRIM(I1181)="","",E1181)</f>
        <v/>
      </c>
      <c r="B1181" s="5" t="str">
        <f>IF(TRIM(J1181)="","",H1181)</f>
        <v/>
      </c>
      <c r="C1181" s="5" t="str">
        <f>LEFT(F1181,FIND(".",F1181,6))</f>
        <v>Exif.OlympusIp.</v>
      </c>
      <c r="D1181" s="5" t="str">
        <f>VLOOKUP(C1181,PrefixUebersetzung,2,FALSE)</f>
        <v>Exif.OlympusIp.</v>
      </c>
      <c r="E1181" s="5" t="str">
        <f>MID(F1181,FIND(".",F1181,6)+1,99)</f>
        <v>WB_GLevel4300K</v>
      </c>
      <c r="F1181" s="5" t="s">
        <v>1033</v>
      </c>
      <c r="G1181" s="5" t="s">
        <v>9664</v>
      </c>
      <c r="H1181" s="6" t="s">
        <v>2888</v>
      </c>
      <c r="I1181" s="7"/>
      <c r="K1181" s="26"/>
      <c r="N1181" s="6"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O1181" s="6" t="s">
        <v>8574</v>
      </c>
      <c r="P1181" s="6" t="s">
        <v>8574</v>
      </c>
    </row>
    <row r="1182" spans="1:17" x14ac:dyDescent="0.25">
      <c r="A1182" s="5" t="str">
        <f>IF(TRIM(I1182)="","",E1182)</f>
        <v/>
      </c>
      <c r="B1182" s="5" t="str">
        <f>IF(TRIM(J1182)="","",H1182)</f>
        <v/>
      </c>
      <c r="C1182" s="5" t="str">
        <f>LEFT(F1182,FIND(".",F1182,6))</f>
        <v>Exif.OlympusIp.</v>
      </c>
      <c r="D1182" s="5" t="str">
        <f>VLOOKUP(C1182,PrefixUebersetzung,2,FALSE)</f>
        <v>Exif.OlympusIp.</v>
      </c>
      <c r="E1182" s="5" t="str">
        <f>MID(F1182,FIND(".",F1182,6)+1,99)</f>
        <v>WB_GLevel4500K</v>
      </c>
      <c r="F1182" s="5" t="s">
        <v>1034</v>
      </c>
      <c r="G1182" s="5" t="s">
        <v>9664</v>
      </c>
      <c r="H1182" s="6" t="s">
        <v>2889</v>
      </c>
      <c r="I1182" s="7"/>
      <c r="K1182" s="26"/>
      <c r="N1182" s="6"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xml:space="preserve">Suffix not translated Description not translated </v>
      </c>
      <c r="O1182" s="6" t="s">
        <v>8574</v>
      </c>
      <c r="P1182" s="6" t="s">
        <v>8574</v>
      </c>
    </row>
    <row r="1183" spans="1:17" x14ac:dyDescent="0.25">
      <c r="A1183" s="5" t="str">
        <f>IF(TRIM(I1183)="","",E1183)</f>
        <v/>
      </c>
      <c r="B1183" s="5" t="str">
        <f>IF(TRIM(J1183)="","",H1183)</f>
        <v/>
      </c>
      <c r="C1183" s="5" t="str">
        <f>LEFT(F1183,FIND(".",F1183,6))</f>
        <v>Exif.OlympusIp.</v>
      </c>
      <c r="D1183" s="5" t="str">
        <f>VLOOKUP(C1183,PrefixUebersetzung,2,FALSE)</f>
        <v>Exif.OlympusIp.</v>
      </c>
      <c r="E1183" s="5" t="str">
        <f>MID(F1183,FIND(".",F1183,6)+1,99)</f>
        <v>WB_GLevel4800K</v>
      </c>
      <c r="F1183" s="5" t="s">
        <v>1035</v>
      </c>
      <c r="G1183" s="5" t="s">
        <v>9664</v>
      </c>
      <c r="H1183" s="6" t="s">
        <v>2890</v>
      </c>
      <c r="I1183" s="7"/>
      <c r="K1183" s="26"/>
      <c r="N1183" s="6"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c r="O1183" s="6" t="s">
        <v>8574</v>
      </c>
      <c r="P1183" s="6" t="s">
        <v>8574</v>
      </c>
    </row>
    <row r="1184" spans="1:17" x14ac:dyDescent="0.25">
      <c r="A1184" s="5" t="str">
        <f>IF(TRIM(I1184)="","",E1184)</f>
        <v/>
      </c>
      <c r="B1184" s="5" t="str">
        <f>IF(TRIM(J1184)="","",H1184)</f>
        <v/>
      </c>
      <c r="C1184" s="5" t="str">
        <f>LEFT(F1184,FIND(".",F1184,6))</f>
        <v>Exif.OlympusIp.</v>
      </c>
      <c r="D1184" s="5" t="str">
        <f>VLOOKUP(C1184,PrefixUebersetzung,2,FALSE)</f>
        <v>Exif.OlympusIp.</v>
      </c>
      <c r="E1184" s="5" t="str">
        <f>MID(F1184,FIND(".",F1184,6)+1,99)</f>
        <v>WB_GLevel5300K</v>
      </c>
      <c r="F1184" s="5" t="s">
        <v>1036</v>
      </c>
      <c r="G1184" s="5" t="s">
        <v>9664</v>
      </c>
      <c r="H1184" s="6" t="s">
        <v>2891</v>
      </c>
      <c r="I1184" s="7"/>
      <c r="K1184" s="26"/>
      <c r="N1184" s="6"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xml:space="preserve">Suffix not translated Description not translated </v>
      </c>
      <c r="O1184" s="6" t="s">
        <v>8574</v>
      </c>
      <c r="P1184" s="6" t="s">
        <v>8574</v>
      </c>
    </row>
    <row r="1185" spans="1:16" x14ac:dyDescent="0.25">
      <c r="A1185" s="5" t="str">
        <f>IF(TRIM(I1185)="","",E1185)</f>
        <v/>
      </c>
      <c r="B1185" s="5" t="str">
        <f>IF(TRIM(J1185)="","",H1185)</f>
        <v/>
      </c>
      <c r="C1185" s="5" t="str">
        <f>LEFT(F1185,FIND(".",F1185,6))</f>
        <v>Exif.OlympusIp.</v>
      </c>
      <c r="D1185" s="5" t="str">
        <f>VLOOKUP(C1185,PrefixUebersetzung,2,FALSE)</f>
        <v>Exif.OlympusIp.</v>
      </c>
      <c r="E1185" s="5" t="str">
        <f>MID(F1185,FIND(".",F1185,6)+1,99)</f>
        <v>WB_GLevel6000K</v>
      </c>
      <c r="F1185" s="5" t="s">
        <v>1037</v>
      </c>
      <c r="G1185" s="5" t="s">
        <v>9664</v>
      </c>
      <c r="H1185" s="6" t="s">
        <v>2892</v>
      </c>
      <c r="I1185" s="7"/>
      <c r="K1185" s="26"/>
      <c r="N1185" s="6"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xml:space="preserve">Suffix not translated Description not translated </v>
      </c>
      <c r="O1185" s="6" t="s">
        <v>8574</v>
      </c>
      <c r="P1185" s="6" t="s">
        <v>8574</v>
      </c>
    </row>
    <row r="1186" spans="1:16" x14ac:dyDescent="0.25">
      <c r="A1186" s="5" t="str">
        <f>IF(TRIM(I1186)="","",E1186)</f>
        <v/>
      </c>
      <c r="B1186" s="5" t="str">
        <f>IF(TRIM(J1186)="","",H1186)</f>
        <v/>
      </c>
      <c r="C1186" s="5" t="str">
        <f>LEFT(F1186,FIND(".",F1186,6))</f>
        <v>Exif.OlympusIp.</v>
      </c>
      <c r="D1186" s="5" t="str">
        <f>VLOOKUP(C1186,PrefixUebersetzung,2,FALSE)</f>
        <v>Exif.OlympusIp.</v>
      </c>
      <c r="E1186" s="5" t="str">
        <f>MID(F1186,FIND(".",F1186,6)+1,99)</f>
        <v>WB_GLevel6600K</v>
      </c>
      <c r="F1186" s="5" t="s">
        <v>1038</v>
      </c>
      <c r="G1186" s="5" t="s">
        <v>9664</v>
      </c>
      <c r="H1186" s="6" t="s">
        <v>2893</v>
      </c>
      <c r="I1186" s="7"/>
      <c r="K1186" s="26"/>
      <c r="N1186" s="6"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xml:space="preserve">Suffix not translated Description not translated </v>
      </c>
      <c r="O1186" s="6" t="s">
        <v>8574</v>
      </c>
      <c r="P1186" s="6" t="s">
        <v>8574</v>
      </c>
    </row>
    <row r="1187" spans="1:16" x14ac:dyDescent="0.25">
      <c r="A1187" s="5" t="str">
        <f>IF(TRIM(I1187)="","",E1187)</f>
        <v/>
      </c>
      <c r="B1187" s="5" t="str">
        <f>IF(TRIM(J1187)="","",H1187)</f>
        <v/>
      </c>
      <c r="C1187" s="5" t="str">
        <f>LEFT(F1187,FIND(".",F1187,6))</f>
        <v>Exif.OlympusIp.</v>
      </c>
      <c r="D1187" s="5" t="str">
        <f>VLOOKUP(C1187,PrefixUebersetzung,2,FALSE)</f>
        <v>Exif.OlympusIp.</v>
      </c>
      <c r="E1187" s="5" t="str">
        <f>MID(F1187,FIND(".",F1187,6)+1,99)</f>
        <v>WB_GLevel7500K</v>
      </c>
      <c r="F1187" s="5" t="s">
        <v>1039</v>
      </c>
      <c r="G1187" s="5" t="s">
        <v>9664</v>
      </c>
      <c r="H1187" s="6" t="s">
        <v>2894</v>
      </c>
      <c r="I1187" s="7"/>
      <c r="K1187" s="26"/>
      <c r="N1187" s="6"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c r="O1187" s="6" t="s">
        <v>8574</v>
      </c>
      <c r="P1187" s="6" t="s">
        <v>8574</v>
      </c>
    </row>
    <row r="1188" spans="1:16" x14ac:dyDescent="0.25">
      <c r="A1188" s="5" t="str">
        <f>IF(TRIM(I1188)="","",E1188)</f>
        <v/>
      </c>
      <c r="B1188" s="5" t="str">
        <f>IF(TRIM(J1188)="","",H1188)</f>
        <v/>
      </c>
      <c r="C1188" s="5" t="str">
        <f>LEFT(F1188,FIND(".",F1188,6))</f>
        <v>Exif.OlympusIp.</v>
      </c>
      <c r="D1188" s="5" t="str">
        <f>VLOOKUP(C1188,PrefixUebersetzung,2,FALSE)</f>
        <v>Exif.OlympusIp.</v>
      </c>
      <c r="E1188" s="5" t="str">
        <f>MID(F1188,FIND(".",F1188,6)+1,99)</f>
        <v>WB_RBLevels</v>
      </c>
      <c r="F1188" s="5" t="s">
        <v>1040</v>
      </c>
      <c r="G1188" s="5" t="s">
        <v>9664</v>
      </c>
      <c r="H1188" s="6" t="s">
        <v>2672</v>
      </c>
      <c r="I1188" s="7"/>
      <c r="K1188" s="26"/>
      <c r="L1188" s="6" t="str">
        <f>IFERROR(VLOOKUP(E1188,A:I,9, FALSE),"")</f>
        <v/>
      </c>
      <c r="M1188" s="6" t="str">
        <f>IFERROR(VLOOKUP(H1188,B:J,9,FALSE),"")</f>
        <v/>
      </c>
      <c r="N1188" s="6"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xml:space="preserve">Suffix not translated Description not translated </v>
      </c>
    </row>
    <row r="1189" spans="1:16" x14ac:dyDescent="0.25">
      <c r="A1189" s="5" t="str">
        <f>IF(TRIM(I1189)="","",E1189)</f>
        <v/>
      </c>
      <c r="B1189" s="5" t="str">
        <f>IF(TRIM(J1189)="","",H1189)</f>
        <v/>
      </c>
      <c r="C1189" s="5" t="str">
        <f>LEFT(F1189,FIND(".",F1189,6))</f>
        <v>Exif.OlympusIp.</v>
      </c>
      <c r="D1189" s="5" t="str">
        <f>VLOOKUP(C1189,PrefixUebersetzung,2,FALSE)</f>
        <v>Exif.OlympusIp.</v>
      </c>
      <c r="E1189" s="5" t="str">
        <f>MID(F1189,FIND(".",F1189,6)+1,99)</f>
        <v>WB_RBLevels3000K</v>
      </c>
      <c r="F1189" s="5" t="s">
        <v>1041</v>
      </c>
      <c r="G1189" s="5" t="s">
        <v>9664</v>
      </c>
      <c r="H1189" s="6" t="s">
        <v>2895</v>
      </c>
      <c r="I1189" s="7"/>
      <c r="K1189" s="26"/>
      <c r="N1189" s="6"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xml:space="preserve">Suffix not translated Description not translated </v>
      </c>
      <c r="O1189" s="6" t="s">
        <v>8574</v>
      </c>
      <c r="P1189" s="6" t="s">
        <v>8574</v>
      </c>
    </row>
    <row r="1190" spans="1:16" x14ac:dyDescent="0.25">
      <c r="A1190" s="5" t="str">
        <f>IF(TRIM(I1190)="","",E1190)</f>
        <v/>
      </c>
      <c r="B1190" s="5" t="str">
        <f>IF(TRIM(J1190)="","",H1190)</f>
        <v/>
      </c>
      <c r="C1190" s="5" t="str">
        <f>LEFT(F1190,FIND(".",F1190,6))</f>
        <v>Exif.OlympusIp.</v>
      </c>
      <c r="D1190" s="5" t="str">
        <f>VLOOKUP(C1190,PrefixUebersetzung,2,FALSE)</f>
        <v>Exif.OlympusIp.</v>
      </c>
      <c r="E1190" s="5" t="str">
        <f>MID(F1190,FIND(".",F1190,6)+1,99)</f>
        <v>WB_RBLevels3300K</v>
      </c>
      <c r="F1190" s="5" t="s">
        <v>1042</v>
      </c>
      <c r="G1190" s="5" t="s">
        <v>9664</v>
      </c>
      <c r="H1190" s="6" t="s">
        <v>2896</v>
      </c>
      <c r="I1190" s="7"/>
      <c r="K1190" s="26"/>
      <c r="N1190" s="6"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xml:space="preserve">Suffix not translated Description not translated </v>
      </c>
      <c r="O1190" s="6" t="s">
        <v>8574</v>
      </c>
      <c r="P1190" s="6" t="s">
        <v>8574</v>
      </c>
    </row>
    <row r="1191" spans="1:16" x14ac:dyDescent="0.25">
      <c r="A1191" s="5" t="str">
        <f>IF(TRIM(I1191)="","",E1191)</f>
        <v/>
      </c>
      <c r="B1191" s="5" t="str">
        <f>IF(TRIM(J1191)="","",H1191)</f>
        <v/>
      </c>
      <c r="C1191" s="5" t="str">
        <f>LEFT(F1191,FIND(".",F1191,6))</f>
        <v>Exif.OlympusIp.</v>
      </c>
      <c r="D1191" s="5" t="str">
        <f>VLOOKUP(C1191,PrefixUebersetzung,2,FALSE)</f>
        <v>Exif.OlympusIp.</v>
      </c>
      <c r="E1191" s="5" t="str">
        <f>MID(F1191,FIND(".",F1191,6)+1,99)</f>
        <v>WB_RBLevels3600K</v>
      </c>
      <c r="F1191" s="5" t="s">
        <v>1043</v>
      </c>
      <c r="G1191" s="5" t="s">
        <v>9664</v>
      </c>
      <c r="H1191" s="6" t="s">
        <v>2897</v>
      </c>
      <c r="I1191" s="7"/>
      <c r="K1191" s="26"/>
      <c r="N1191" s="6"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xml:space="preserve">Suffix not translated Description not translated </v>
      </c>
      <c r="O1191" s="6" t="s">
        <v>8574</v>
      </c>
      <c r="P1191" s="6" t="s">
        <v>8574</v>
      </c>
    </row>
    <row r="1192" spans="1:16" x14ac:dyDescent="0.25">
      <c r="A1192" s="5" t="str">
        <f>IF(TRIM(I1192)="","",E1192)</f>
        <v/>
      </c>
      <c r="B1192" s="5" t="str">
        <f>IF(TRIM(J1192)="","",H1192)</f>
        <v/>
      </c>
      <c r="C1192" s="5" t="str">
        <f>LEFT(F1192,FIND(".",F1192,6))</f>
        <v>Exif.OlympusIp.</v>
      </c>
      <c r="D1192" s="5" t="str">
        <f>VLOOKUP(C1192,PrefixUebersetzung,2,FALSE)</f>
        <v>Exif.OlympusIp.</v>
      </c>
      <c r="E1192" s="5" t="str">
        <f>MID(F1192,FIND(".",F1192,6)+1,99)</f>
        <v>WB_RBLevels3900K</v>
      </c>
      <c r="F1192" s="5" t="s">
        <v>1044</v>
      </c>
      <c r="G1192" s="5" t="s">
        <v>9664</v>
      </c>
      <c r="H1192" s="6" t="s">
        <v>2898</v>
      </c>
      <c r="I1192" s="7"/>
      <c r="K1192" s="26"/>
      <c r="N1192" s="6"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xml:space="preserve">Suffix not translated Description not translated </v>
      </c>
      <c r="O1192" s="6" t="s">
        <v>8574</v>
      </c>
      <c r="P1192" s="6" t="s">
        <v>8574</v>
      </c>
    </row>
    <row r="1193" spans="1:16" x14ac:dyDescent="0.25">
      <c r="A1193" s="5" t="str">
        <f>IF(TRIM(I1193)="","",E1193)</f>
        <v/>
      </c>
      <c r="B1193" s="5" t="str">
        <f>IF(TRIM(J1193)="","",H1193)</f>
        <v/>
      </c>
      <c r="C1193" s="5" t="str">
        <f>LEFT(F1193,FIND(".",F1193,6))</f>
        <v>Exif.OlympusIp.</v>
      </c>
      <c r="D1193" s="5" t="str">
        <f>VLOOKUP(C1193,PrefixUebersetzung,2,FALSE)</f>
        <v>Exif.OlympusIp.</v>
      </c>
      <c r="E1193" s="5" t="str">
        <f>MID(F1193,FIND(".",F1193,6)+1,99)</f>
        <v>WB_RBLevels4000K</v>
      </c>
      <c r="F1193" s="5" t="s">
        <v>1045</v>
      </c>
      <c r="G1193" s="5" t="s">
        <v>9664</v>
      </c>
      <c r="H1193" s="6" t="s">
        <v>2899</v>
      </c>
      <c r="I1193" s="7"/>
      <c r="K1193" s="26"/>
      <c r="N1193" s="6"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xml:space="preserve">Suffix not translated Description not translated </v>
      </c>
      <c r="O1193" s="6" t="s">
        <v>8574</v>
      </c>
      <c r="P1193" s="6" t="s">
        <v>8574</v>
      </c>
    </row>
    <row r="1194" spans="1:16" x14ac:dyDescent="0.25">
      <c r="A1194" s="5" t="str">
        <f>IF(TRIM(I1194)="","",E1194)</f>
        <v/>
      </c>
      <c r="B1194" s="5" t="str">
        <f>IF(TRIM(J1194)="","",H1194)</f>
        <v/>
      </c>
      <c r="C1194" s="5" t="str">
        <f>LEFT(F1194,FIND(".",F1194,6))</f>
        <v>Exif.OlympusIp.</v>
      </c>
      <c r="D1194" s="5" t="str">
        <f>VLOOKUP(C1194,PrefixUebersetzung,2,FALSE)</f>
        <v>Exif.OlympusIp.</v>
      </c>
      <c r="E1194" s="5" t="str">
        <f>MID(F1194,FIND(".",F1194,6)+1,99)</f>
        <v>WB_RBLevels4300K</v>
      </c>
      <c r="F1194" s="5" t="s">
        <v>1046</v>
      </c>
      <c r="G1194" s="5" t="s">
        <v>9664</v>
      </c>
      <c r="H1194" s="6" t="s">
        <v>2900</v>
      </c>
      <c r="I1194" s="7"/>
      <c r="K1194" s="26"/>
      <c r="N1194" s="6"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xml:space="preserve">Suffix not translated Description not translated </v>
      </c>
      <c r="O1194" s="6" t="s">
        <v>8574</v>
      </c>
      <c r="P1194" s="6" t="s">
        <v>8574</v>
      </c>
    </row>
    <row r="1195" spans="1:16" x14ac:dyDescent="0.25">
      <c r="A1195" s="5" t="str">
        <f>IF(TRIM(I1195)="","",E1195)</f>
        <v/>
      </c>
      <c r="B1195" s="5" t="str">
        <f>IF(TRIM(J1195)="","",H1195)</f>
        <v/>
      </c>
      <c r="C1195" s="5" t="str">
        <f>LEFT(F1195,FIND(".",F1195,6))</f>
        <v>Exif.OlympusIp.</v>
      </c>
      <c r="D1195" s="5" t="str">
        <f>VLOOKUP(C1195,PrefixUebersetzung,2,FALSE)</f>
        <v>Exif.OlympusIp.</v>
      </c>
      <c r="E1195" s="5" t="str">
        <f>MID(F1195,FIND(".",F1195,6)+1,99)</f>
        <v>WB_RBLevels4500K</v>
      </c>
      <c r="F1195" s="5" t="s">
        <v>1047</v>
      </c>
      <c r="G1195" s="5" t="s">
        <v>9664</v>
      </c>
      <c r="H1195" s="6" t="s">
        <v>2901</v>
      </c>
      <c r="I1195" s="7"/>
      <c r="K1195" s="26"/>
      <c r="N1195" s="6"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xml:space="preserve">Suffix not translated Description not translated </v>
      </c>
      <c r="O1195" s="6" t="s">
        <v>8574</v>
      </c>
      <c r="P1195" s="6" t="s">
        <v>8574</v>
      </c>
    </row>
    <row r="1196" spans="1:16" x14ac:dyDescent="0.25">
      <c r="A1196" s="5" t="str">
        <f>IF(TRIM(I1196)="","",E1196)</f>
        <v/>
      </c>
      <c r="B1196" s="5" t="str">
        <f>IF(TRIM(J1196)="","",H1196)</f>
        <v/>
      </c>
      <c r="C1196" s="5" t="str">
        <f>LEFT(F1196,FIND(".",F1196,6))</f>
        <v>Exif.OlympusIp.</v>
      </c>
      <c r="D1196" s="5" t="str">
        <f>VLOOKUP(C1196,PrefixUebersetzung,2,FALSE)</f>
        <v>Exif.OlympusIp.</v>
      </c>
      <c r="E1196" s="5" t="str">
        <f>MID(F1196,FIND(".",F1196,6)+1,99)</f>
        <v>WB_RBLevels4800K</v>
      </c>
      <c r="F1196" s="5" t="s">
        <v>1048</v>
      </c>
      <c r="G1196" s="5" t="s">
        <v>9664</v>
      </c>
      <c r="H1196" s="6" t="s">
        <v>2902</v>
      </c>
      <c r="I1196" s="7"/>
      <c r="K1196" s="26"/>
      <c r="N1196" s="6"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xml:space="preserve">Suffix not translated Description not translated </v>
      </c>
      <c r="O1196" s="6" t="s">
        <v>8574</v>
      </c>
      <c r="P1196" s="6" t="s">
        <v>8574</v>
      </c>
    </row>
    <row r="1197" spans="1:16" x14ac:dyDescent="0.25">
      <c r="A1197" s="5" t="str">
        <f>IF(TRIM(I1197)="","",E1197)</f>
        <v/>
      </c>
      <c r="B1197" s="5" t="str">
        <f>IF(TRIM(J1197)="","",H1197)</f>
        <v/>
      </c>
      <c r="C1197" s="5" t="str">
        <f>LEFT(F1197,FIND(".",F1197,6))</f>
        <v>Exif.OlympusIp.</v>
      </c>
      <c r="D1197" s="5" t="str">
        <f>VLOOKUP(C1197,PrefixUebersetzung,2,FALSE)</f>
        <v>Exif.OlympusIp.</v>
      </c>
      <c r="E1197" s="5" t="str">
        <f>MID(F1197,FIND(".",F1197,6)+1,99)</f>
        <v>WB_RBLevels5300K</v>
      </c>
      <c r="F1197" s="5" t="s">
        <v>1049</v>
      </c>
      <c r="G1197" s="5" t="s">
        <v>9664</v>
      </c>
      <c r="H1197" s="6" t="s">
        <v>2903</v>
      </c>
      <c r="I1197" s="7"/>
      <c r="K1197" s="26"/>
      <c r="N1197" s="6"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xml:space="preserve">Suffix not translated Description not translated </v>
      </c>
      <c r="O1197" s="6" t="s">
        <v>8574</v>
      </c>
      <c r="P1197" s="6" t="s">
        <v>8574</v>
      </c>
    </row>
    <row r="1198" spans="1:16" x14ac:dyDescent="0.25">
      <c r="A1198" s="5" t="str">
        <f>IF(TRIM(I1198)="","",E1198)</f>
        <v/>
      </c>
      <c r="B1198" s="5" t="str">
        <f>IF(TRIM(J1198)="","",H1198)</f>
        <v/>
      </c>
      <c r="C1198" s="5" t="str">
        <f>LEFT(F1198,FIND(".",F1198,6))</f>
        <v>Exif.OlympusIp.</v>
      </c>
      <c r="D1198" s="5" t="str">
        <f>VLOOKUP(C1198,PrefixUebersetzung,2,FALSE)</f>
        <v>Exif.OlympusIp.</v>
      </c>
      <c r="E1198" s="5" t="str">
        <f>MID(F1198,FIND(".",F1198,6)+1,99)</f>
        <v>WB_RBLevels6000K</v>
      </c>
      <c r="F1198" s="5" t="s">
        <v>1050</v>
      </c>
      <c r="G1198" s="5" t="s">
        <v>9664</v>
      </c>
      <c r="H1198" s="6" t="s">
        <v>2904</v>
      </c>
      <c r="I1198" s="7"/>
      <c r="K1198" s="26"/>
      <c r="N1198" s="6"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xml:space="preserve">Suffix not translated Description not translated </v>
      </c>
      <c r="O1198" s="6" t="s">
        <v>8574</v>
      </c>
      <c r="P1198" s="6" t="s">
        <v>8574</v>
      </c>
    </row>
    <row r="1199" spans="1:16" x14ac:dyDescent="0.25">
      <c r="A1199" s="5" t="str">
        <f>IF(TRIM(I1199)="","",E1199)</f>
        <v/>
      </c>
      <c r="B1199" s="5" t="str">
        <f>IF(TRIM(J1199)="","",H1199)</f>
        <v/>
      </c>
      <c r="C1199" s="5" t="str">
        <f>LEFT(F1199,FIND(".",F1199,6))</f>
        <v>Exif.OlympusIp.</v>
      </c>
      <c r="D1199" s="5" t="str">
        <f>VLOOKUP(C1199,PrefixUebersetzung,2,FALSE)</f>
        <v>Exif.OlympusIp.</v>
      </c>
      <c r="E1199" s="5" t="str">
        <f>MID(F1199,FIND(".",F1199,6)+1,99)</f>
        <v>WB_RBLevels6600K</v>
      </c>
      <c r="F1199" s="5" t="s">
        <v>1051</v>
      </c>
      <c r="G1199" s="5" t="s">
        <v>9664</v>
      </c>
      <c r="H1199" s="6" t="s">
        <v>2905</v>
      </c>
      <c r="I1199" s="7"/>
      <c r="K1199" s="26"/>
      <c r="N1199" s="6"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xml:space="preserve">Suffix not translated Description not translated </v>
      </c>
      <c r="O1199" s="6" t="s">
        <v>8574</v>
      </c>
      <c r="P1199" s="6" t="s">
        <v>8574</v>
      </c>
    </row>
    <row r="1200" spans="1:16" x14ac:dyDescent="0.25">
      <c r="A1200" s="5" t="str">
        <f>IF(TRIM(I1200)="","",E1200)</f>
        <v/>
      </c>
      <c r="B1200" s="5" t="str">
        <f>IF(TRIM(J1200)="","",H1200)</f>
        <v/>
      </c>
      <c r="C1200" s="5" t="str">
        <f>LEFT(F1200,FIND(".",F1200,6))</f>
        <v>Exif.OlympusIp.</v>
      </c>
      <c r="D1200" s="5" t="str">
        <f>VLOOKUP(C1200,PrefixUebersetzung,2,FALSE)</f>
        <v>Exif.OlympusIp.</v>
      </c>
      <c r="E1200" s="5" t="str">
        <f>MID(F1200,FIND(".",F1200,6)+1,99)</f>
        <v>WB_RBLevels7500K</v>
      </c>
      <c r="F1200" s="5" t="s">
        <v>1052</v>
      </c>
      <c r="G1200" s="5" t="s">
        <v>9664</v>
      </c>
      <c r="H1200" s="6" t="s">
        <v>2906</v>
      </c>
      <c r="I1200" s="7"/>
      <c r="K1200" s="26"/>
      <c r="N1200" s="6"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xml:space="preserve">Suffix not translated Description not translated </v>
      </c>
      <c r="O1200" s="6" t="s">
        <v>8574</v>
      </c>
      <c r="P1200" s="6" t="s">
        <v>8574</v>
      </c>
    </row>
    <row r="1201" spans="1:17" x14ac:dyDescent="0.25">
      <c r="A1201" s="5" t="str">
        <f>IF(TRIM(I1201)="","",E1201)</f>
        <v/>
      </c>
      <c r="B1201" s="5" t="str">
        <f>IF(TRIM(J1201)="","",H1201)</f>
        <v/>
      </c>
      <c r="C1201" s="5" t="str">
        <f>LEFT(F1201,FIND(".",F1201,6))</f>
        <v>Exif.OlympusIp.</v>
      </c>
      <c r="D1201" s="5" t="str">
        <f>VLOOKUP(C1201,PrefixUebersetzung,2,FALSE)</f>
        <v>Exif.OlympusIp.</v>
      </c>
      <c r="E1201" s="5" t="str">
        <f>MID(F1201,FIND(".",F1201,6)+1,99)</f>
        <v>WB_RBLevelsCWB1</v>
      </c>
      <c r="F1201" s="5" t="s">
        <v>1053</v>
      </c>
      <c r="G1201" s="5" t="s">
        <v>9664</v>
      </c>
      <c r="H1201" s="6" t="s">
        <v>2907</v>
      </c>
      <c r="I1201" s="7"/>
      <c r="K1201" s="26"/>
      <c r="N1201" s="6"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xml:space="preserve">Suffix not translated Description not translated </v>
      </c>
      <c r="O1201" s="6" t="s">
        <v>8574</v>
      </c>
      <c r="P1201" s="6" t="s">
        <v>8574</v>
      </c>
    </row>
    <row r="1202" spans="1:17" x14ac:dyDescent="0.25">
      <c r="A1202" s="5" t="str">
        <f>IF(TRIM(I1202)="","",E1202)</f>
        <v/>
      </c>
      <c r="B1202" s="5" t="str">
        <f>IF(TRIM(J1202)="","",H1202)</f>
        <v/>
      </c>
      <c r="C1202" s="5" t="str">
        <f>LEFT(F1202,FIND(".",F1202,6))</f>
        <v>Exif.OlympusIp.</v>
      </c>
      <c r="D1202" s="5" t="str">
        <f>VLOOKUP(C1202,PrefixUebersetzung,2,FALSE)</f>
        <v>Exif.OlympusIp.</v>
      </c>
      <c r="E1202" s="5" t="str">
        <f>MID(F1202,FIND(".",F1202,6)+1,99)</f>
        <v>WB_RBLevelsCWB2</v>
      </c>
      <c r="F1202" s="5" t="s">
        <v>1054</v>
      </c>
      <c r="G1202" s="5" t="s">
        <v>9664</v>
      </c>
      <c r="H1202" s="6" t="s">
        <v>2908</v>
      </c>
      <c r="I1202" s="7"/>
      <c r="K1202" s="26"/>
      <c r="N1202" s="6"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xml:space="preserve">Suffix not translated Description not translated </v>
      </c>
      <c r="O1202" s="6" t="s">
        <v>8574</v>
      </c>
      <c r="P1202" s="6" t="s">
        <v>8574</v>
      </c>
    </row>
    <row r="1203" spans="1:17" x14ac:dyDescent="0.25">
      <c r="A1203" s="5" t="str">
        <f>IF(TRIM(I1203)="","",E1203)</f>
        <v/>
      </c>
      <c r="B1203" s="5" t="str">
        <f>IF(TRIM(J1203)="","",H1203)</f>
        <v/>
      </c>
      <c r="C1203" s="5" t="str">
        <f>LEFT(F1203,FIND(".",F1203,6))</f>
        <v>Exif.OlympusIp.</v>
      </c>
      <c r="D1203" s="5" t="str">
        <f>VLOOKUP(C1203,PrefixUebersetzung,2,FALSE)</f>
        <v>Exif.OlympusIp.</v>
      </c>
      <c r="E1203" s="5" t="str">
        <f>MID(F1203,FIND(".",F1203,6)+1,99)</f>
        <v>WB_RBLevelsCWB3</v>
      </c>
      <c r="F1203" s="5" t="s">
        <v>1055</v>
      </c>
      <c r="G1203" s="5" t="s">
        <v>9664</v>
      </c>
      <c r="H1203" s="6" t="s">
        <v>2909</v>
      </c>
      <c r="I1203" s="7"/>
      <c r="K1203" s="26"/>
      <c r="N1203" s="6"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xml:space="preserve">Suffix not translated Description not translated </v>
      </c>
      <c r="O1203" s="6" t="s">
        <v>8574</v>
      </c>
      <c r="P1203" s="6" t="s">
        <v>8574</v>
      </c>
    </row>
    <row r="1204" spans="1:17" x14ac:dyDescent="0.25">
      <c r="A1204" s="5" t="str">
        <f>IF(TRIM(I1204)="","",E1204)</f>
        <v/>
      </c>
      <c r="B1204" s="5" t="str">
        <f>IF(TRIM(J1204)="","",H1204)</f>
        <v/>
      </c>
      <c r="C1204" s="5" t="str">
        <f>LEFT(F1204,FIND(".",F1204,6))</f>
        <v>Exif.OlympusIp.</v>
      </c>
      <c r="D1204" s="5" t="str">
        <f>VLOOKUP(C1204,PrefixUebersetzung,2,FALSE)</f>
        <v>Exif.OlympusIp.</v>
      </c>
      <c r="E1204" s="5" t="str">
        <f>MID(F1204,FIND(".",F1204,6)+1,99)</f>
        <v>WB_RBLevelsCWB4</v>
      </c>
      <c r="F1204" s="5" t="s">
        <v>1056</v>
      </c>
      <c r="G1204" s="5" t="s">
        <v>9664</v>
      </c>
      <c r="H1204" s="6" t="s">
        <v>2910</v>
      </c>
      <c r="I1204" s="7"/>
      <c r="K1204" s="26"/>
      <c r="N1204" s="6"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xml:space="preserve">Suffix not translated Description not translated </v>
      </c>
      <c r="O1204" s="6" t="s">
        <v>8574</v>
      </c>
      <c r="P1204" s="6" t="s">
        <v>8574</v>
      </c>
    </row>
    <row r="1205" spans="1:17" x14ac:dyDescent="0.25">
      <c r="A1205" s="5" t="str">
        <f>IF(TRIM(I1205)="","",E1205)</f>
        <v/>
      </c>
      <c r="B1205" s="5" t="str">
        <f>IF(TRIM(J1205)="","",H1205)</f>
        <v/>
      </c>
      <c r="C1205" s="5" t="str">
        <f>LEFT(F1205,FIND(".",F1205,6))</f>
        <v>Exif.OlympusRd.</v>
      </c>
      <c r="D1205" s="5" t="str">
        <f>VLOOKUP(C1205,PrefixUebersetzung,2,FALSE)</f>
        <v>Exif.OlympusRd.</v>
      </c>
      <c r="E1205" s="5" t="str">
        <f>MID(F1205,FIND(".",F1205,6)+1,99)</f>
        <v>ColorSpace</v>
      </c>
      <c r="F1205" s="5" t="s">
        <v>1057</v>
      </c>
      <c r="G1205" s="5" t="s">
        <v>9664</v>
      </c>
      <c r="H1205" s="6" t="s">
        <v>2548</v>
      </c>
      <c r="K1205" s="26"/>
      <c r="L1205" s="6" t="str">
        <f>IFERROR(VLOOKUP(E1205,A:I,9, FALSE),"")</f>
        <v>Farbraum</v>
      </c>
      <c r="M1205" s="6" t="str">
        <f>IFERROR(VLOOKUP(H1205,B:J,9,FALSE),"")</f>
        <v>Farbraum</v>
      </c>
      <c r="N1205" s="6"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row>
    <row r="1206" spans="1:17" x14ac:dyDescent="0.25">
      <c r="A1206" s="5" t="str">
        <f>IF(TRIM(I1206)="","",E1206)</f>
        <v>ContrastValue</v>
      </c>
      <c r="B1206" s="5" t="str">
        <f>IF(TRIM(J1206)="","",H1206)</f>
        <v>Contrast value</v>
      </c>
      <c r="C1206" s="5" t="str">
        <f>LEFT(F1206,FIND(".",F1206,6))</f>
        <v>Exif.OlympusRd.</v>
      </c>
      <c r="D1206" s="5" t="str">
        <f>VLOOKUP(C1206,PrefixUebersetzung,2,FALSE)</f>
        <v>Exif.OlympusRd.</v>
      </c>
      <c r="E1206" s="5" t="str">
        <f>MID(F1206,FIND(".",F1206,6)+1,99)</f>
        <v>ContrastValue</v>
      </c>
      <c r="F1206" s="5" t="s">
        <v>1058</v>
      </c>
      <c r="G1206" s="5" t="s">
        <v>9665</v>
      </c>
      <c r="H1206" s="6" t="s">
        <v>2911</v>
      </c>
      <c r="I1206" s="24" t="s">
        <v>4391</v>
      </c>
      <c r="J1206" s="8" t="s">
        <v>4391</v>
      </c>
      <c r="K1206" s="26"/>
      <c r="L1206" s="6" t="str">
        <f>IFERROR(VLOOKUP(E1206,A:I,9, FALSE),"")</f>
        <v>Kontrastwert</v>
      </c>
      <c r="M1206" s="6" t="str">
        <f>IFERROR(VLOOKUP(H1206,B:J,9,FALSE),"")</f>
        <v>Kontrastwert</v>
      </c>
      <c r="N1206" s="6"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c r="O1206" s="6" t="s">
        <v>8574</v>
      </c>
      <c r="P1206" s="6" t="s">
        <v>8574</v>
      </c>
      <c r="Q1206" s="6" t="s">
        <v>9197</v>
      </c>
    </row>
    <row r="1207" spans="1:17" x14ac:dyDescent="0.25">
      <c r="A1207" s="5" t="str">
        <f>IF(TRIM(I1207)="","",E1207)</f>
        <v>EditStatus</v>
      </c>
      <c r="B1207" s="5" t="str">
        <f>IF(TRIM(J1207)="","",H1207)</f>
        <v>Edit status</v>
      </c>
      <c r="C1207" s="5" t="str">
        <f>LEFT(F1207,FIND(".",F1207,6))</f>
        <v>Exif.OlympusRd.</v>
      </c>
      <c r="D1207" s="5" t="str">
        <f>VLOOKUP(C1207,PrefixUebersetzung,2,FALSE)</f>
        <v>Exif.OlympusRd.</v>
      </c>
      <c r="E1207" s="5" t="str">
        <f>MID(F1207,FIND(".",F1207,6)+1,99)</f>
        <v>EditStatus</v>
      </c>
      <c r="F1207" s="5" t="s">
        <v>1059</v>
      </c>
      <c r="G1207" s="5" t="s">
        <v>9664</v>
      </c>
      <c r="H1207" s="6" t="s">
        <v>2912</v>
      </c>
      <c r="I1207" s="7" t="s">
        <v>4467</v>
      </c>
      <c r="J1207" s="14" t="s">
        <v>4467</v>
      </c>
      <c r="K1207" s="26"/>
      <c r="L1207" s="6" t="str">
        <f>IFERROR(VLOOKUP(E1207,A:I,9, FALSE),"")</f>
        <v>Bearbeitungsstatus</v>
      </c>
      <c r="N1207" s="6"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c r="O1207" s="6" t="s">
        <v>8574</v>
      </c>
      <c r="P1207" s="6" t="s">
        <v>8574</v>
      </c>
      <c r="Q1207" s="6" t="s">
        <v>4467</v>
      </c>
    </row>
    <row r="1208" spans="1:17" x14ac:dyDescent="0.25">
      <c r="A1208" s="5" t="str">
        <f>IF(TRIM(I1208)="","",E1208)</f>
        <v/>
      </c>
      <c r="B1208" s="5" t="str">
        <f>IF(TRIM(J1208)="","",H1208)</f>
        <v/>
      </c>
      <c r="C1208" s="5" t="str">
        <f>LEFT(F1208,FIND(".",F1208,6))</f>
        <v>Exif.OlympusRd.</v>
      </c>
      <c r="D1208" s="5" t="str">
        <f>VLOOKUP(C1208,PrefixUebersetzung,2,FALSE)</f>
        <v>Exif.OlympusRd.</v>
      </c>
      <c r="E1208" s="5" t="str">
        <f>MID(F1208,FIND(".",F1208,6)+1,99)</f>
        <v>Engine</v>
      </c>
      <c r="F1208" s="5" t="s">
        <v>1060</v>
      </c>
      <c r="G1208" s="5" t="s">
        <v>9664</v>
      </c>
      <c r="H1208" s="6" t="s">
        <v>2913</v>
      </c>
      <c r="I1208" s="7"/>
      <c r="K1208" s="26"/>
      <c r="L1208" s="6" t="str">
        <f>IFERROR(VLOOKUP(E1208,A:I,9, FALSE),"")</f>
        <v/>
      </c>
      <c r="M1208" s="6" t="str">
        <f>IFERROR(VLOOKUP(H1208,B:J,9,FALSE),"")</f>
        <v/>
      </c>
      <c r="N1208" s="6"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xml:space="preserve">Suffix not translated Description not translated </v>
      </c>
      <c r="O1208" s="6" t="s">
        <v>8574</v>
      </c>
      <c r="P1208" s="6" t="s">
        <v>8574</v>
      </c>
    </row>
    <row r="1209" spans="1:17" x14ac:dyDescent="0.25">
      <c r="A1209" s="5" t="str">
        <f>IF(TRIM(I1209)="","",E1209)</f>
        <v/>
      </c>
      <c r="B1209" s="5" t="str">
        <f>IF(TRIM(J1209)="","",H1209)</f>
        <v>Exposure bias value</v>
      </c>
      <c r="C1209" s="5" t="str">
        <f>LEFT(F1209,FIND(".",F1209,6))</f>
        <v>Exif.OlympusRd.</v>
      </c>
      <c r="D1209" s="5" t="str">
        <f>VLOOKUP(C1209,PrefixUebersetzung,2,FALSE)</f>
        <v>Exif.OlympusRd.</v>
      </c>
      <c r="E1209" s="5" t="str">
        <f>MID(F1209,FIND(".",F1209,6)+1,99)</f>
        <v>ExposureBiasValue</v>
      </c>
      <c r="F1209" s="5" t="s">
        <v>1061</v>
      </c>
      <c r="G1209" s="5" t="s">
        <v>9672</v>
      </c>
      <c r="H1209" s="6" t="s">
        <v>2914</v>
      </c>
      <c r="I1209" s="24"/>
      <c r="J1209" s="8" t="s">
        <v>3916</v>
      </c>
      <c r="K1209" s="26"/>
      <c r="L1209" s="6" t="str">
        <f>IFERROR(VLOOKUP(E1209,A:I,9, FALSE),"")</f>
        <v>Belichtungskorrektur</v>
      </c>
      <c r="M1209" s="6" t="str">
        <f>IFERROR(VLOOKUP(H1209,B:J,9,FALSE),"")</f>
        <v>Belichtungskorrektur</v>
      </c>
      <c r="N1209" s="6"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c r="P1209" s="6" t="s">
        <v>8574</v>
      </c>
      <c r="Q1209" s="6" t="s">
        <v>9282</v>
      </c>
    </row>
    <row r="1210" spans="1:17" x14ac:dyDescent="0.25">
      <c r="A1210" s="5" t="str">
        <f>IF(TRIM(I1210)="","",E1210)</f>
        <v>GrayPoint</v>
      </c>
      <c r="B1210" s="5" t="str">
        <f>IF(TRIM(J1210)="","",H1210)</f>
        <v>Gray point</v>
      </c>
      <c r="C1210" s="5" t="str">
        <f>LEFT(F1210,FIND(".",F1210,6))</f>
        <v>Exif.OlympusRd.</v>
      </c>
      <c r="D1210" s="5" t="str">
        <f>VLOOKUP(C1210,PrefixUebersetzung,2,FALSE)</f>
        <v>Exif.OlympusRd.</v>
      </c>
      <c r="E1210" s="5" t="str">
        <f>MID(F1210,FIND(".",F1210,6)+1,99)</f>
        <v>GrayPoint</v>
      </c>
      <c r="F1210" s="5" t="s">
        <v>1062</v>
      </c>
      <c r="G1210" s="5" t="s">
        <v>9664</v>
      </c>
      <c r="H1210" s="6" t="s">
        <v>2915</v>
      </c>
      <c r="I1210" s="24" t="s">
        <v>4924</v>
      </c>
      <c r="J1210" s="8" t="s">
        <v>4924</v>
      </c>
      <c r="K1210" s="26"/>
      <c r="L1210" s="6" t="str">
        <f>IFERROR(VLOOKUP(E1210,A:I,9, FALSE),"")</f>
        <v>Graupunkt</v>
      </c>
      <c r="M1210" s="6" t="str">
        <f>IFERROR(VLOOKUP(H1210,B:J,9,FALSE),"")</f>
        <v>Graupunkt</v>
      </c>
      <c r="N1210" s="6"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c r="O1210" s="6" t="s">
        <v>8574</v>
      </c>
      <c r="P1210" s="6" t="s">
        <v>8574</v>
      </c>
      <c r="Q1210" s="6" t="s">
        <v>4924</v>
      </c>
    </row>
    <row r="1211" spans="1:17" x14ac:dyDescent="0.25">
      <c r="A1211" s="5" t="str">
        <f>IF(TRIM(I1211)="","",E1211)</f>
        <v/>
      </c>
      <c r="B1211" s="5" t="str">
        <f>IF(TRIM(J1211)="","",H1211)</f>
        <v/>
      </c>
      <c r="C1211" s="5" t="str">
        <f>LEFT(F1211,FIND(".",F1211,6))</f>
        <v>Exif.OlympusRd.</v>
      </c>
      <c r="D1211" s="5" t="str">
        <f>VLOOKUP(C1211,PrefixUebersetzung,2,FALSE)</f>
        <v>Exif.OlympusRd.</v>
      </c>
      <c r="E1211" s="5" t="str">
        <f>MID(F1211,FIND(".",F1211,6)+1,99)</f>
        <v>MemoryColorEmphasis</v>
      </c>
      <c r="F1211" s="5" t="s">
        <v>1063</v>
      </c>
      <c r="G1211" s="5" t="s">
        <v>9664</v>
      </c>
      <c r="H1211" s="6" t="s">
        <v>2916</v>
      </c>
      <c r="I1211" s="7"/>
      <c r="K1211" s="26"/>
      <c r="L1211" s="6" t="str">
        <f>IFERROR(VLOOKUP(E1211,A:I,9, FALSE),"")</f>
        <v/>
      </c>
      <c r="M1211" s="6" t="str">
        <f>IFERROR(VLOOKUP(H1211,B:J,9,FALSE),"")</f>
        <v/>
      </c>
      <c r="N1211" s="6"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xml:space="preserve">Suffix not translated Description not translated </v>
      </c>
      <c r="O1211" s="6" t="s">
        <v>8574</v>
      </c>
      <c r="P1211" s="6" t="s">
        <v>8574</v>
      </c>
    </row>
    <row r="1212" spans="1:17" x14ac:dyDescent="0.25">
      <c r="A1212" s="5" t="str">
        <f>IF(TRIM(I1212)="","",E1212)</f>
        <v/>
      </c>
      <c r="B1212" s="5" t="str">
        <f>IF(TRIM(J1212)="","",H1212)</f>
        <v/>
      </c>
      <c r="C1212" s="5" t="str">
        <f>LEFT(F1212,FIND(".",F1212,6))</f>
        <v>Exif.OlympusRd.</v>
      </c>
      <c r="D1212" s="5" t="str">
        <f>VLOOKUP(C1212,PrefixUebersetzung,2,FALSE)</f>
        <v>Exif.OlympusRd.</v>
      </c>
      <c r="E1212" s="5" t="str">
        <f>MID(F1212,FIND(".",F1212,6)+1,99)</f>
        <v>NoiseReduction</v>
      </c>
      <c r="F1212" s="5" t="s">
        <v>1064</v>
      </c>
      <c r="G1212" s="5" t="s">
        <v>9664</v>
      </c>
      <c r="H1212" s="6" t="s">
        <v>2563</v>
      </c>
      <c r="I1212" s="7"/>
      <c r="K1212" s="26"/>
      <c r="L1212" s="6" t="str">
        <f>IFERROR(VLOOKUP(E1212,A:I,9, FALSE),"")</f>
        <v xml:space="preserve">Rauschreduzierung </v>
      </c>
      <c r="M1212" s="6" t="str">
        <f>IFERROR(VLOOKUP(H1212,B:J,9,FALSE),"")</f>
        <v xml:space="preserve">Rauschreduzierung </v>
      </c>
      <c r="N1212" s="6"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row>
    <row r="1213" spans="1:17" x14ac:dyDescent="0.25">
      <c r="A1213" s="5" t="str">
        <f>IF(TRIM(I1213)="","",E1213)</f>
        <v>RawDevVersion</v>
      </c>
      <c r="B1213" s="5" t="str">
        <f>IF(TRIM(J1213)="","",H1213)</f>
        <v>Raw development version</v>
      </c>
      <c r="C1213" s="5" t="str">
        <f>LEFT(F1213,FIND(".",F1213,6))</f>
        <v>Exif.OlympusRd.</v>
      </c>
      <c r="D1213" s="5" t="str">
        <f>VLOOKUP(C1213,PrefixUebersetzung,2,FALSE)</f>
        <v>Exif.OlympusRd.</v>
      </c>
      <c r="E1213" s="5" t="str">
        <f>MID(F1213,FIND(".",F1213,6)+1,99)</f>
        <v>RawDevVersion</v>
      </c>
      <c r="F1213" s="5" t="s">
        <v>1065</v>
      </c>
      <c r="G1213" s="5" t="s">
        <v>9669</v>
      </c>
      <c r="H1213" s="6" t="s">
        <v>2917</v>
      </c>
      <c r="I1213" s="24" t="s">
        <v>4392</v>
      </c>
      <c r="J1213" s="8" t="s">
        <v>4392</v>
      </c>
      <c r="K1213" s="26"/>
      <c r="N1213" s="6"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c r="O1213" s="6" t="s">
        <v>8574</v>
      </c>
      <c r="P1213" s="6" t="s">
        <v>8574</v>
      </c>
      <c r="Q1213" s="6" t="s">
        <v>9465</v>
      </c>
    </row>
    <row r="1214" spans="1:17" x14ac:dyDescent="0.25">
      <c r="A1214" s="5" t="str">
        <f>IF(TRIM(I1214)="","",E1214)</f>
        <v>SaturationEmphasis</v>
      </c>
      <c r="B1214" s="5" t="str">
        <f>IF(TRIM(J1214)="","",H1214)</f>
        <v>Saturation emphasis</v>
      </c>
      <c r="C1214" s="5" t="str">
        <f>LEFT(F1214,FIND(".",F1214,6))</f>
        <v>Exif.OlympusRd.</v>
      </c>
      <c r="D1214" s="5" t="str">
        <f>VLOOKUP(C1214,PrefixUebersetzung,2,FALSE)</f>
        <v>Exif.OlympusRd.</v>
      </c>
      <c r="E1214" s="5" t="str">
        <f>MID(F1214,FIND(".",F1214,6)+1,99)</f>
        <v>SaturationEmphasis</v>
      </c>
      <c r="F1214" s="5" t="s">
        <v>1066</v>
      </c>
      <c r="G1214" s="5" t="s">
        <v>9665</v>
      </c>
      <c r="H1214" s="6" t="s">
        <v>2918</v>
      </c>
      <c r="I1214" s="24" t="s">
        <v>4040</v>
      </c>
      <c r="J1214" s="8" t="s">
        <v>4040</v>
      </c>
      <c r="K1214" s="26"/>
      <c r="L1214" s="6" t="str">
        <f>IFERROR(VLOOKUP(E1214,A:I,9, FALSE),"")</f>
        <v>Sättigung Schwerpunkt</v>
      </c>
      <c r="M1214" s="6" t="str">
        <f>IFERROR(VLOOKUP(H1214,B:J,9,FALSE),"")</f>
        <v>Sättigung Schwerpunkt</v>
      </c>
      <c r="N1214" s="6"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c r="O1214" s="6" t="s">
        <v>8574</v>
      </c>
      <c r="P1214" s="6" t="s">
        <v>8574</v>
      </c>
      <c r="Q1214" s="6" t="s">
        <v>9474</v>
      </c>
    </row>
    <row r="1215" spans="1:17" x14ac:dyDescent="0.25">
      <c r="A1215" s="5" t="str">
        <f>IF(TRIM(I1215)="","",E1215)</f>
        <v>Settings</v>
      </c>
      <c r="B1215" s="5" t="str">
        <f>IF(TRIM(J1215)="","",H1215)</f>
        <v>Settings</v>
      </c>
      <c r="C1215" s="5" t="str">
        <f>LEFT(F1215,FIND(".",F1215,6))</f>
        <v>Exif.OlympusRd.</v>
      </c>
      <c r="D1215" s="5" t="str">
        <f>VLOOKUP(C1215,PrefixUebersetzung,2,FALSE)</f>
        <v>Exif.OlympusRd.</v>
      </c>
      <c r="E1215" s="5" t="str">
        <f>MID(F1215,FIND(".",F1215,6)+1,99)</f>
        <v>Settings</v>
      </c>
      <c r="F1215" s="5" t="s">
        <v>1067</v>
      </c>
      <c r="G1215" s="5" t="s">
        <v>9664</v>
      </c>
      <c r="H1215" s="6" t="s">
        <v>2919</v>
      </c>
      <c r="I1215" s="24" t="s">
        <v>4041</v>
      </c>
      <c r="J1215" s="8" t="s">
        <v>4041</v>
      </c>
      <c r="K1215" s="26"/>
      <c r="N1215" s="6"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c r="O1215" s="6" t="s">
        <v>8574</v>
      </c>
      <c r="P1215" s="6" t="s">
        <v>8574</v>
      </c>
      <c r="Q1215" s="6" t="s">
        <v>4041</v>
      </c>
    </row>
    <row r="1216" spans="1:17" x14ac:dyDescent="0.25">
      <c r="A1216" s="5" t="str">
        <f>IF(TRIM(I1216)="","",E1216)</f>
        <v>SharpnessValue</v>
      </c>
      <c r="B1216" s="5" t="str">
        <f>IF(TRIM(J1216)="","",H1216)</f>
        <v>Sharpness value</v>
      </c>
      <c r="C1216" s="5" t="str">
        <f>LEFT(F1216,FIND(".",F1216,6))</f>
        <v>Exif.OlympusRd.</v>
      </c>
      <c r="D1216" s="5" t="str">
        <f>VLOOKUP(C1216,PrefixUebersetzung,2,FALSE)</f>
        <v>Exif.OlympusRd.</v>
      </c>
      <c r="E1216" s="5" t="str">
        <f>MID(F1216,FIND(".",F1216,6)+1,99)</f>
        <v>SharpnessValue</v>
      </c>
      <c r="F1216" s="5" t="s">
        <v>1068</v>
      </c>
      <c r="G1216" s="5" t="s">
        <v>9665</v>
      </c>
      <c r="H1216" s="6" t="s">
        <v>2920</v>
      </c>
      <c r="I1216" s="24" t="s">
        <v>3804</v>
      </c>
      <c r="J1216" s="8" t="s">
        <v>3804</v>
      </c>
      <c r="K1216" s="26"/>
      <c r="L1216" s="6" t="str">
        <f>IFERROR(VLOOKUP(E1216,A:I,9, FALSE),"")</f>
        <v>Schärfe</v>
      </c>
      <c r="M1216" s="6" t="str">
        <f>IFERROR(VLOOKUP(H1216,B:J,9,FALSE),"")</f>
        <v>Schärfe</v>
      </c>
      <c r="N1216" s="6"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c r="O1216" s="6" t="s">
        <v>8574</v>
      </c>
      <c r="P1216" s="6" t="s">
        <v>8574</v>
      </c>
      <c r="Q1216" s="6" t="s">
        <v>9484</v>
      </c>
    </row>
    <row r="1217" spans="1:17" ht="30" x14ac:dyDescent="0.25">
      <c r="A1217" s="5" t="str">
        <f>IF(TRIM(I1217)="","",E1217)</f>
        <v>WBFineAdjustment</v>
      </c>
      <c r="B1217" s="5" t="str">
        <f>IF(TRIM(J1217)="","",H1217)</f>
        <v>WB fine adjustment</v>
      </c>
      <c r="C1217" s="5" t="str">
        <f>LEFT(F1217,FIND(".",F1217,6))</f>
        <v>Exif.OlympusRd.</v>
      </c>
      <c r="D1217" s="5" t="str">
        <f>VLOOKUP(C1217,PrefixUebersetzung,2,FALSE)</f>
        <v>Exif.OlympusRd.</v>
      </c>
      <c r="E1217" s="5" t="str">
        <f>MID(F1217,FIND(".",F1217,6)+1,99)</f>
        <v>WBFineAdjustment</v>
      </c>
      <c r="F1217" s="5" t="s">
        <v>1069</v>
      </c>
      <c r="G1217" s="5" t="s">
        <v>9665</v>
      </c>
      <c r="H1217" s="6" t="s">
        <v>2921</v>
      </c>
      <c r="I1217" s="7" t="s">
        <v>4393</v>
      </c>
      <c r="J1217" s="14" t="s">
        <v>4393</v>
      </c>
      <c r="K1217" s="26"/>
      <c r="L1217" s="6" t="str">
        <f>IFERROR(VLOOKUP(E1217,A:I,9, FALSE),"")</f>
        <v>Weißabgleich Feineinstellung</v>
      </c>
      <c r="N1217" s="6"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c r="O1217" s="6" t="s">
        <v>8574</v>
      </c>
      <c r="P1217" s="6" t="s">
        <v>8574</v>
      </c>
      <c r="Q1217" s="6" t="s">
        <v>9105</v>
      </c>
    </row>
    <row r="1218" spans="1:17" x14ac:dyDescent="0.25">
      <c r="A1218" s="5" t="str">
        <f>IF(TRIM(I1218)="","",E1218)</f>
        <v>WhiteBalanceValue</v>
      </c>
      <c r="B1218" s="5" t="str">
        <f>IF(TRIM(J1218)="","",H1218)</f>
        <v>White balance value</v>
      </c>
      <c r="C1218" s="5" t="str">
        <f>LEFT(F1218,FIND(".",F1218,6))</f>
        <v>Exif.OlympusRd.</v>
      </c>
      <c r="D1218" s="5" t="str">
        <f>VLOOKUP(C1218,PrefixUebersetzung,2,FALSE)</f>
        <v>Exif.OlympusRd.</v>
      </c>
      <c r="E1218" s="5" t="str">
        <f>MID(F1218,FIND(".",F1218,6)+1,99)</f>
        <v>WhiteBalanceValue</v>
      </c>
      <c r="F1218" s="5" t="s">
        <v>1070</v>
      </c>
      <c r="G1218" s="5" t="s">
        <v>9664</v>
      </c>
      <c r="H1218" s="6" t="s">
        <v>2922</v>
      </c>
      <c r="I1218" s="24" t="s">
        <v>4042</v>
      </c>
      <c r="J1218" s="8" t="s">
        <v>4042</v>
      </c>
      <c r="K1218" s="26"/>
      <c r="L1218" s="6" t="str">
        <f>IFERROR(VLOOKUP(E1218,A:I,9, FALSE),"")</f>
        <v>Weißabgleich Wert</v>
      </c>
      <c r="M1218" s="6" t="str">
        <f>IFERROR(VLOOKUP(H1218,B:J,9,FALSE),"")</f>
        <v>Weißabgleich Wert</v>
      </c>
      <c r="N1218" s="6"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c r="O1218" s="6" t="s">
        <v>8574</v>
      </c>
      <c r="P1218" s="6" t="s">
        <v>8574</v>
      </c>
      <c r="Q1218" s="6" t="s">
        <v>9554</v>
      </c>
    </row>
    <row r="1219" spans="1:17" x14ac:dyDescent="0.25">
      <c r="A1219" s="5" t="str">
        <f>IF(TRIM(I1219)="","",E1219)</f>
        <v>AutoGradation</v>
      </c>
      <c r="B1219" s="5" t="str">
        <f>IF(TRIM(J1219)="","",H1219)</f>
        <v>Auto gradation</v>
      </c>
      <c r="C1219" s="5" t="str">
        <f>LEFT(F1219,FIND(".",F1219,6))</f>
        <v>Exif.OlympusRd2.</v>
      </c>
      <c r="D1219" s="5" t="str">
        <f>VLOOKUP(C1219,PrefixUebersetzung,2,FALSE)</f>
        <v>Exif.OlympusRd2.</v>
      </c>
      <c r="E1219" s="5" t="str">
        <f>MID(F1219,FIND(".",F1219,6)+1,99)</f>
        <v>AutoGradation</v>
      </c>
      <c r="F1219" s="5" t="s">
        <v>1071</v>
      </c>
      <c r="G1219" s="5" t="s">
        <v>9664</v>
      </c>
      <c r="H1219" s="6" t="s">
        <v>2923</v>
      </c>
      <c r="I1219" s="24" t="s">
        <v>4043</v>
      </c>
      <c r="J1219" s="8" t="s">
        <v>4043</v>
      </c>
      <c r="K1219" s="26"/>
      <c r="N1219" s="6"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c r="O1219" s="6" t="s">
        <v>8574</v>
      </c>
      <c r="P1219" s="6" t="s">
        <v>8574</v>
      </c>
      <c r="Q1219" s="6" t="s">
        <v>9141</v>
      </c>
    </row>
    <row r="1220" spans="1:17" x14ac:dyDescent="0.25">
      <c r="A1220" s="5" t="str">
        <f>IF(TRIM(I1220)="","",E1220)</f>
        <v/>
      </c>
      <c r="B1220" s="5" t="str">
        <f>IF(TRIM(J1220)="","",H1220)</f>
        <v/>
      </c>
      <c r="C1220" s="5" t="str">
        <f>LEFT(F1220,FIND(".",F1220,6))</f>
        <v>Exif.OlympusRd2.</v>
      </c>
      <c r="D1220" s="5" t="str">
        <f>VLOOKUP(C1220,PrefixUebersetzung,2,FALSE)</f>
        <v>Exif.OlympusRd2.</v>
      </c>
      <c r="E1220" s="5" t="str">
        <f>MID(F1220,FIND(".",F1220,6)+1,99)</f>
        <v>ColorSpace</v>
      </c>
      <c r="F1220" s="5" t="s">
        <v>1072</v>
      </c>
      <c r="G1220" s="5" t="s">
        <v>9664</v>
      </c>
      <c r="H1220" s="6" t="s">
        <v>2548</v>
      </c>
      <c r="K1220" s="26"/>
      <c r="L1220" s="6" t="str">
        <f>IFERROR(VLOOKUP(E1220,A:I,9, FALSE),"")</f>
        <v>Farbraum</v>
      </c>
      <c r="M1220" s="6" t="str">
        <f>IFERROR(VLOOKUP(H1220,B:J,9,FALSE),"")</f>
        <v>Farbraum</v>
      </c>
      <c r="N1220" s="6"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5" t="str">
        <f>IF(TRIM(I1221)="","",E1221)</f>
        <v/>
      </c>
      <c r="B1221" s="5" t="str">
        <f>IF(TRIM(J1221)="","",H1221)</f>
        <v/>
      </c>
      <c r="C1221" s="5" t="str">
        <f>LEFT(F1221,FIND(".",F1221,6))</f>
        <v>Exif.OlympusRd2.</v>
      </c>
      <c r="D1221" s="5" t="str">
        <f>VLOOKUP(C1221,PrefixUebersetzung,2,FALSE)</f>
        <v>Exif.OlympusRd2.</v>
      </c>
      <c r="E1221" s="5" t="str">
        <f>MID(F1221,FIND(".",F1221,6)+1,99)</f>
        <v>ContrastValue</v>
      </c>
      <c r="F1221" s="5" t="s">
        <v>1073</v>
      </c>
      <c r="G1221" s="5" t="s">
        <v>9665</v>
      </c>
      <c r="H1221" s="6" t="s">
        <v>2911</v>
      </c>
      <c r="I1221" s="24"/>
      <c r="J1221" s="8"/>
      <c r="K1221" s="26"/>
      <c r="L1221" s="6" t="str">
        <f>IFERROR(VLOOKUP(E1221,A:I,9, FALSE),"")</f>
        <v>Kontrastwert</v>
      </c>
      <c r="M1221" s="6" t="str">
        <f>IFERROR(VLOOKUP(H1221,B:J,9,FALSE),"")</f>
        <v>Kontrastwert</v>
      </c>
      <c r="N1221" s="6"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x14ac:dyDescent="0.25">
      <c r="A1222" s="5" t="str">
        <f>IF(TRIM(I1222)="","",E1222)</f>
        <v/>
      </c>
      <c r="B1222" s="5" t="str">
        <f>IF(TRIM(J1222)="","",H1222)</f>
        <v/>
      </c>
      <c r="C1222" s="5" t="str">
        <f>LEFT(F1222,FIND(".",F1222,6))</f>
        <v>Exif.OlympusRd2.</v>
      </c>
      <c r="D1222" s="5" t="str">
        <f>VLOOKUP(C1222,PrefixUebersetzung,2,FALSE)</f>
        <v>Exif.OlympusRd2.</v>
      </c>
      <c r="E1222" s="5" t="str">
        <f>MID(F1222,FIND(".",F1222,6)+1,99)</f>
        <v>Engine</v>
      </c>
      <c r="F1222" s="5" t="s">
        <v>1074</v>
      </c>
      <c r="G1222" s="5" t="s">
        <v>9664</v>
      </c>
      <c r="H1222" s="6" t="s">
        <v>2913</v>
      </c>
      <c r="I1222" s="7"/>
      <c r="K1222" s="26"/>
      <c r="L1222" s="6" t="str">
        <f>IFERROR(VLOOKUP(E1222,A:I,9, FALSE),"")</f>
        <v/>
      </c>
      <c r="M1222" s="6" t="str">
        <f>IFERROR(VLOOKUP(H1222,B:J,9,FALSE),"")</f>
        <v/>
      </c>
      <c r="N1222" s="6"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xml:space="preserve">Suffix not translated Description not translated </v>
      </c>
    </row>
    <row r="1223" spans="1:17" x14ac:dyDescent="0.25">
      <c r="A1223" s="5" t="str">
        <f>IF(TRIM(I1223)="","",E1223)</f>
        <v/>
      </c>
      <c r="B1223" s="5" t="str">
        <f>IF(TRIM(J1223)="","",H1223)</f>
        <v/>
      </c>
      <c r="C1223" s="5" t="str">
        <f>LEFT(F1223,FIND(".",F1223,6))</f>
        <v>Exif.OlympusRd2.</v>
      </c>
      <c r="D1223" s="5" t="str">
        <f>VLOOKUP(C1223,PrefixUebersetzung,2,FALSE)</f>
        <v>Exif.OlympusRd2.</v>
      </c>
      <c r="E1223" s="5" t="str">
        <f>MID(F1223,FIND(".",F1223,6)+1,99)</f>
        <v>ExposureBiasValue</v>
      </c>
      <c r="F1223" s="5" t="s">
        <v>1075</v>
      </c>
      <c r="G1223" s="5" t="s">
        <v>9672</v>
      </c>
      <c r="H1223" s="6" t="s">
        <v>2914</v>
      </c>
      <c r="I1223" s="24"/>
      <c r="J1223" s="8"/>
      <c r="K1223" s="26"/>
      <c r="L1223" s="6" t="str">
        <f>IFERROR(VLOOKUP(E1223,A:I,9, FALSE),"")</f>
        <v>Belichtungskorrektur</v>
      </c>
      <c r="M1223" s="6" t="str">
        <f>IFERROR(VLOOKUP(H1223,B:J,9,FALSE),"")</f>
        <v>Belichtungskorrektur</v>
      </c>
      <c r="N1223" s="6"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row>
    <row r="1224" spans="1:17" x14ac:dyDescent="0.25">
      <c r="A1224" s="5" t="str">
        <f>IF(TRIM(I1224)="","",E1224)</f>
        <v/>
      </c>
      <c r="B1224" s="5" t="str">
        <f>IF(TRIM(J1224)="","",H1224)</f>
        <v/>
      </c>
      <c r="C1224" s="5" t="str">
        <f>LEFT(F1224,FIND(".",F1224,6))</f>
        <v>Exif.OlympusRd2.</v>
      </c>
      <c r="D1224" s="5" t="str">
        <f>VLOOKUP(C1224,PrefixUebersetzung,2,FALSE)</f>
        <v>Exif.OlympusRd2.</v>
      </c>
      <c r="E1224" s="5" t="str">
        <f>MID(F1224,FIND(".",F1224,6)+1,99)</f>
        <v>Gradation</v>
      </c>
      <c r="F1224" s="5" t="s">
        <v>1076</v>
      </c>
      <c r="G1224" s="5" t="s">
        <v>9665</v>
      </c>
      <c r="H1224" s="6" t="s">
        <v>2817</v>
      </c>
      <c r="I1224" s="7"/>
      <c r="K1224" s="26"/>
      <c r="L1224" s="6" t="str">
        <f>IFERROR(VLOOKUP(E1224,A:I,9, FALSE),"")</f>
        <v>Gradation</v>
      </c>
      <c r="M1224" s="6" t="str">
        <f>IFERROR(VLOOKUP(H1224,B:J,9,FALSE),"")</f>
        <v>Gradation</v>
      </c>
      <c r="N1224" s="6"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row>
    <row r="1225" spans="1:17" x14ac:dyDescent="0.25">
      <c r="A1225" s="5" t="str">
        <f>IF(TRIM(I1225)="","",E1225)</f>
        <v/>
      </c>
      <c r="B1225" s="5" t="str">
        <f>IF(TRIM(J1225)="","",H1225)</f>
        <v/>
      </c>
      <c r="C1225" s="5" t="str">
        <f>LEFT(F1225,FIND(".",F1225,6))</f>
        <v>Exif.OlympusRd2.</v>
      </c>
      <c r="D1225" s="5" t="str">
        <f>VLOOKUP(C1225,PrefixUebersetzung,2,FALSE)</f>
        <v>Exif.OlympusRd2.</v>
      </c>
      <c r="E1225" s="5" t="str">
        <f>MID(F1225,FIND(".",F1225,6)+1,99)</f>
        <v>GrayPoint</v>
      </c>
      <c r="F1225" s="5" t="s">
        <v>1077</v>
      </c>
      <c r="G1225" s="5" t="s">
        <v>9664</v>
      </c>
      <c r="H1225" s="6" t="s">
        <v>2915</v>
      </c>
      <c r="I1225" s="24"/>
      <c r="J1225" s="8"/>
      <c r="K1225" s="26"/>
      <c r="L1225" s="6" t="str">
        <f>IFERROR(VLOOKUP(E1225,A:I,9, FALSE),"")</f>
        <v>Graupunkt</v>
      </c>
      <c r="M1225" s="6" t="str">
        <f>IFERROR(VLOOKUP(H1225,B:J,9,FALSE),"")</f>
        <v>Graupunkt</v>
      </c>
      <c r="N1225" s="6"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row>
    <row r="1226" spans="1:17" x14ac:dyDescent="0.25">
      <c r="A1226" s="5" t="str">
        <f>IF(TRIM(I1226)="","",E1226)</f>
        <v/>
      </c>
      <c r="B1226" s="5" t="str">
        <f>IF(TRIM(J1226)="","",H1226)</f>
        <v/>
      </c>
      <c r="C1226" s="5" t="str">
        <f>LEFT(F1226,FIND(".",F1226,6))</f>
        <v>Exif.OlympusRd2.</v>
      </c>
      <c r="D1226" s="5" t="str">
        <f>VLOOKUP(C1226,PrefixUebersetzung,2,FALSE)</f>
        <v>Exif.OlympusRd2.</v>
      </c>
      <c r="E1226" s="5" t="str">
        <f>MID(F1226,FIND(".",F1226,6)+1,99)</f>
        <v>MemoryColorEmphasis</v>
      </c>
      <c r="F1226" s="5" t="s">
        <v>1078</v>
      </c>
      <c r="G1226" s="5" t="s">
        <v>9664</v>
      </c>
      <c r="H1226" s="6" t="s">
        <v>2916</v>
      </c>
      <c r="I1226" s="7"/>
      <c r="K1226" s="26"/>
      <c r="L1226" s="6" t="str">
        <f>IFERROR(VLOOKUP(E1226,A:I,9, FALSE),"")</f>
        <v/>
      </c>
      <c r="M1226" s="6" t="str">
        <f>IFERROR(VLOOKUP(H1226,B:J,9,FALSE),"")</f>
        <v/>
      </c>
      <c r="N1226" s="6"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xml:space="preserve">Suffix not translated Description not translated </v>
      </c>
    </row>
    <row r="1227" spans="1:17" x14ac:dyDescent="0.25">
      <c r="A1227" s="5" t="str">
        <f>IF(TRIM(I1227)="","",E1227)</f>
        <v/>
      </c>
      <c r="B1227" s="5" t="str">
        <f>IF(TRIM(J1227)="","",H1227)</f>
        <v/>
      </c>
      <c r="C1227" s="5" t="str">
        <f>LEFT(F1227,FIND(".",F1227,6))</f>
        <v>Exif.OlympusRd2.</v>
      </c>
      <c r="D1227" s="5" t="str">
        <f>VLOOKUP(C1227,PrefixUebersetzung,2,FALSE)</f>
        <v>Exif.OlympusRd2.</v>
      </c>
      <c r="E1227" s="5" t="str">
        <f>MID(F1227,FIND(".",F1227,6)+1,99)</f>
        <v>NoiseReduction</v>
      </c>
      <c r="F1227" s="5" t="s">
        <v>1079</v>
      </c>
      <c r="G1227" s="5" t="s">
        <v>9664</v>
      </c>
      <c r="H1227" s="6" t="s">
        <v>2563</v>
      </c>
      <c r="I1227" s="7"/>
      <c r="K1227" s="26"/>
      <c r="L1227" s="6" t="str">
        <f>IFERROR(VLOOKUP(E1227,A:I,9, FALSE),"")</f>
        <v xml:space="preserve">Rauschreduzierung </v>
      </c>
      <c r="M1227" s="6" t="str">
        <f>IFERROR(VLOOKUP(H1227,B:J,9,FALSE),"")</f>
        <v xml:space="preserve">Rauschreduzierung </v>
      </c>
      <c r="N1227" s="6"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row>
    <row r="1228" spans="1:17" x14ac:dyDescent="0.25">
      <c r="A1228" s="5" t="str">
        <f>IF(TRIM(I1228)="","",E1228)</f>
        <v/>
      </c>
      <c r="B1228" s="5" t="str">
        <f>IF(TRIM(J1228)="","",H1228)</f>
        <v/>
      </c>
      <c r="C1228" s="5" t="str">
        <f>LEFT(F1228,FIND(".",F1228,6))</f>
        <v>Exif.OlympusRd2.</v>
      </c>
      <c r="D1228" s="5" t="str">
        <f>VLOOKUP(C1228,PrefixUebersetzung,2,FALSE)</f>
        <v>Exif.OlympusRd2.</v>
      </c>
      <c r="E1228" s="5" t="str">
        <f>MID(F1228,FIND(".",F1228,6)+1,99)</f>
        <v>PictureMode</v>
      </c>
      <c r="F1228" s="5" t="s">
        <v>1080</v>
      </c>
      <c r="G1228" s="5" t="s">
        <v>9664</v>
      </c>
      <c r="H1228" s="6" t="s">
        <v>2827</v>
      </c>
      <c r="I1228" s="24"/>
      <c r="J1228" s="8"/>
      <c r="K1228" s="26"/>
      <c r="L1228" s="6" t="str">
        <f>IFERROR(VLOOKUP(E1228,A:I,9, FALSE),"")</f>
        <v>Bildmodus</v>
      </c>
      <c r="M1228" s="6" t="str">
        <f>IFERROR(VLOOKUP(H1228,B:J,9,FALSE),"")</f>
        <v>Bildmodus</v>
      </c>
      <c r="N1228" s="6"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row>
    <row r="1229" spans="1:17" x14ac:dyDescent="0.25">
      <c r="A1229" s="5" t="str">
        <f>IF(TRIM(I1229)="","",E1229)</f>
        <v>PM_BWFilter</v>
      </c>
      <c r="B1229" s="5" t="str">
        <f>IF(TRIM(J1229)="","",H1229)</f>
        <v>PM BW filter</v>
      </c>
      <c r="C1229" s="5" t="str">
        <f>LEFT(F1229,FIND(".",F1229,6))</f>
        <v>Exif.OlympusRd2.</v>
      </c>
      <c r="D1229" s="5" t="str">
        <f>VLOOKUP(C1229,PrefixUebersetzung,2,FALSE)</f>
        <v>Exif.OlympusRd2.</v>
      </c>
      <c r="E1229" s="5" t="str">
        <f>MID(F1229,FIND(".",F1229,6)+1,99)</f>
        <v>PM_BWFilter</v>
      </c>
      <c r="F1229" s="5" t="s">
        <v>1081</v>
      </c>
      <c r="G1229" s="5" t="s">
        <v>9664</v>
      </c>
      <c r="H1229" s="6" t="s">
        <v>2924</v>
      </c>
      <c r="I1229" s="24" t="s">
        <v>4379</v>
      </c>
      <c r="J1229" s="8" t="s">
        <v>4379</v>
      </c>
      <c r="K1229" s="26"/>
      <c r="N1229" s="6"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c r="O1229" s="6" t="s">
        <v>8574</v>
      </c>
      <c r="P1229" s="6" t="s">
        <v>8574</v>
      </c>
      <c r="Q1229" s="6" t="s">
        <v>9135</v>
      </c>
    </row>
    <row r="1230" spans="1:17" x14ac:dyDescent="0.25">
      <c r="A1230" s="5" t="str">
        <f>IF(TRIM(I1230)="","",E1230)</f>
        <v>PMContrast</v>
      </c>
      <c r="B1230" s="5" t="str">
        <f>IF(TRIM(J1230)="","",H1230)</f>
        <v/>
      </c>
      <c r="C1230" s="5" t="str">
        <f>LEFT(F1230,FIND(".",F1230,6))</f>
        <v>Exif.OlympusRd2.</v>
      </c>
      <c r="D1230" s="5" t="str">
        <f>VLOOKUP(C1230,PrefixUebersetzung,2,FALSE)</f>
        <v>Exif.OlympusRd2.</v>
      </c>
      <c r="E1230" s="5" t="str">
        <f>MID(F1230,FIND(".",F1230,6)+1,99)</f>
        <v>PMContrast</v>
      </c>
      <c r="F1230" s="5" t="s">
        <v>1082</v>
      </c>
      <c r="G1230" s="5" t="s">
        <v>9665</v>
      </c>
      <c r="H1230" s="6" t="s">
        <v>2829</v>
      </c>
      <c r="I1230" s="24" t="s">
        <v>4013</v>
      </c>
      <c r="J1230" s="8"/>
      <c r="K1230" s="26"/>
      <c r="M1230" s="6" t="str">
        <f>IFERROR(VLOOKUP(H1230,B:J,9,FALSE),"")</f>
        <v>Bildmodus Kontrast</v>
      </c>
      <c r="N1230" s="6"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c r="O1230" s="6" t="s">
        <v>8574</v>
      </c>
    </row>
    <row r="1231" spans="1:17" x14ac:dyDescent="0.25">
      <c r="A1231" s="5" t="str">
        <f>IF(TRIM(I1231)="","",E1231)</f>
        <v>PMNoiseFilter</v>
      </c>
      <c r="B1231" s="5" t="str">
        <f>IF(TRIM(J1231)="","",H1231)</f>
        <v>Picture mode noise filter</v>
      </c>
      <c r="C1231" s="5" t="str">
        <f>LEFT(F1231,FIND(".",F1231,6))</f>
        <v>Exif.OlympusRd2.</v>
      </c>
      <c r="D1231" s="5" t="str">
        <f>VLOOKUP(C1231,PrefixUebersetzung,2,FALSE)</f>
        <v>Exif.OlympusRd2.</v>
      </c>
      <c r="E1231" s="5" t="str">
        <f>MID(F1231,FIND(".",F1231,6)+1,99)</f>
        <v>PMNoiseFilter</v>
      </c>
      <c r="F1231" s="5" t="s">
        <v>1083</v>
      </c>
      <c r="G1231" s="5" t="s">
        <v>9664</v>
      </c>
      <c r="H1231" s="6" t="s">
        <v>2925</v>
      </c>
      <c r="I1231" s="24" t="s">
        <v>4044</v>
      </c>
      <c r="J1231" s="8" t="s">
        <v>4044</v>
      </c>
      <c r="K1231" s="26"/>
      <c r="N1231" s="6"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c r="O1231" s="6" t="s">
        <v>8574</v>
      </c>
      <c r="P1231" s="6" t="s">
        <v>8574</v>
      </c>
      <c r="Q1231" s="6" t="s">
        <v>9449</v>
      </c>
    </row>
    <row r="1232" spans="1:17" x14ac:dyDescent="0.25">
      <c r="A1232" s="5" t="str">
        <f>IF(TRIM(I1232)="","",E1232)</f>
        <v>PMPictureTone</v>
      </c>
      <c r="B1232" s="5" t="str">
        <f>IF(TRIM(J1232)="","",H1232)</f>
        <v>PM picture tone</v>
      </c>
      <c r="C1232" s="5" t="str">
        <f>LEFT(F1232,FIND(".",F1232,6))</f>
        <v>Exif.OlympusRd2.</v>
      </c>
      <c r="D1232" s="5" t="str">
        <f>VLOOKUP(C1232,PrefixUebersetzung,2,FALSE)</f>
        <v>Exif.OlympusRd2.</v>
      </c>
      <c r="E1232" s="5" t="str">
        <f>MID(F1232,FIND(".",F1232,6)+1,99)</f>
        <v>PMPictureTone</v>
      </c>
      <c r="F1232" s="5" t="s">
        <v>1084</v>
      </c>
      <c r="G1232" s="5" t="s">
        <v>9664</v>
      </c>
      <c r="H1232" s="6" t="s">
        <v>2926</v>
      </c>
      <c r="I1232" s="24" t="s">
        <v>4925</v>
      </c>
      <c r="J1232" s="8" t="s">
        <v>4925</v>
      </c>
      <c r="K1232" s="26"/>
      <c r="N1232" s="6"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c>
      <c r="O1232" s="6" t="s">
        <v>8574</v>
      </c>
      <c r="P1232" s="6" t="s">
        <v>8574</v>
      </c>
      <c r="Q1232" s="6" t="s">
        <v>4012</v>
      </c>
    </row>
    <row r="1233" spans="1:17" x14ac:dyDescent="0.25">
      <c r="A1233" s="5" t="str">
        <f>IF(TRIM(I1233)="","",E1233)</f>
        <v>PMSaturation</v>
      </c>
      <c r="B1233" s="5" t="str">
        <f>IF(TRIM(J1233)="","",H1233)</f>
        <v/>
      </c>
      <c r="C1233" s="5" t="str">
        <f>LEFT(F1233,FIND(".",F1233,6))</f>
        <v>Exif.OlympusRd2.</v>
      </c>
      <c r="D1233" s="5" t="str">
        <f>VLOOKUP(C1233,PrefixUebersetzung,2,FALSE)</f>
        <v>Exif.OlympusRd2.</v>
      </c>
      <c r="E1233" s="5" t="str">
        <f>MID(F1233,FIND(".",F1233,6)+1,99)</f>
        <v>PMSaturation</v>
      </c>
      <c r="F1233" s="5" t="s">
        <v>1085</v>
      </c>
      <c r="G1233" s="5" t="s">
        <v>9665</v>
      </c>
      <c r="H1233" s="6" t="s">
        <v>2831</v>
      </c>
      <c r="I1233" s="24" t="s">
        <v>4015</v>
      </c>
      <c r="J1233" s="8"/>
      <c r="K1233" s="26"/>
      <c r="M1233" s="6" t="str">
        <f>IFERROR(VLOOKUP(H1233,B:J,9,FALSE),"")</f>
        <v>Bildmodus Sättigung</v>
      </c>
      <c r="N1233" s="6"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c>
      <c r="O1233" s="6" t="s">
        <v>8574</v>
      </c>
    </row>
    <row r="1234" spans="1:17" x14ac:dyDescent="0.25">
      <c r="A1234" s="5" t="str">
        <f>IF(TRIM(I1234)="","",E1234)</f>
        <v>PMSharpness</v>
      </c>
      <c r="B1234" s="5" t="str">
        <f>IF(TRIM(J1234)="","",H1234)</f>
        <v/>
      </c>
      <c r="C1234" s="5" t="str">
        <f>LEFT(F1234,FIND(".",F1234,6))</f>
        <v>Exif.OlympusRd2.</v>
      </c>
      <c r="D1234" s="5" t="str">
        <f>VLOOKUP(C1234,PrefixUebersetzung,2,FALSE)</f>
        <v>Exif.OlympusRd2.</v>
      </c>
      <c r="E1234" s="5" t="str">
        <f>MID(F1234,FIND(".",F1234,6)+1,99)</f>
        <v>PMSharpness</v>
      </c>
      <c r="F1234" s="5" t="s">
        <v>1086</v>
      </c>
      <c r="G1234" s="5" t="s">
        <v>9665</v>
      </c>
      <c r="H1234" s="6" t="s">
        <v>2832</v>
      </c>
      <c r="I1234" s="24" t="s">
        <v>4016</v>
      </c>
      <c r="J1234" s="8"/>
      <c r="K1234" s="26"/>
      <c r="M1234" s="6" t="str">
        <f>IFERROR(VLOOKUP(H1234,B:J,9,FALSE),"")</f>
        <v>Bildmodus Schärfe</v>
      </c>
      <c r="N1234" s="6"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c r="O1234" s="6" t="s">
        <v>8574</v>
      </c>
    </row>
    <row r="1235" spans="1:17" x14ac:dyDescent="0.25">
      <c r="A1235" s="5" t="str">
        <f>IF(TRIM(I1235)="","",E1235)</f>
        <v>RawDev2Version</v>
      </c>
      <c r="B1235" s="5" t="str">
        <f>IF(TRIM(J1235)="","",H1235)</f>
        <v>Raw development 2 version</v>
      </c>
      <c r="C1235" s="5" t="str">
        <f>LEFT(F1235,FIND(".",F1235,6))</f>
        <v>Exif.OlympusRd2.</v>
      </c>
      <c r="D1235" s="5" t="str">
        <f>VLOOKUP(C1235,PrefixUebersetzung,2,FALSE)</f>
        <v>Exif.OlympusRd2.</v>
      </c>
      <c r="E1235" s="5" t="str">
        <f>MID(F1235,FIND(".",F1235,6)+1,99)</f>
        <v>RawDev2Version</v>
      </c>
      <c r="F1235" s="5" t="s">
        <v>1087</v>
      </c>
      <c r="G1235" s="5" t="s">
        <v>9669</v>
      </c>
      <c r="H1235" s="6" t="s">
        <v>2927</v>
      </c>
      <c r="I1235" s="24" t="s">
        <v>4926</v>
      </c>
      <c r="J1235" s="8" t="s">
        <v>4926</v>
      </c>
      <c r="K1235" s="26"/>
      <c r="N1235" s="6"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c>
      <c r="O1235" s="6" t="s">
        <v>8574</v>
      </c>
      <c r="P1235" s="6" t="s">
        <v>8574</v>
      </c>
      <c r="Q1235" s="6" t="s">
        <v>9468</v>
      </c>
    </row>
    <row r="1236" spans="1:17" x14ac:dyDescent="0.25">
      <c r="A1236" s="5" t="str">
        <f>IF(TRIM(I1236)="","",E1236)</f>
        <v/>
      </c>
      <c r="B1236" s="5" t="str">
        <f>IF(TRIM(J1236)="","",H1236)</f>
        <v/>
      </c>
      <c r="C1236" s="5" t="str">
        <f>LEFT(F1236,FIND(".",F1236,6))</f>
        <v>Exif.OlympusRd2.</v>
      </c>
      <c r="D1236" s="5" t="str">
        <f>VLOOKUP(C1236,PrefixUebersetzung,2,FALSE)</f>
        <v>Exif.OlympusRd2.</v>
      </c>
      <c r="E1236" s="5" t="str">
        <f>MID(F1236,FIND(".",F1236,6)+1,99)</f>
        <v>Saturation</v>
      </c>
      <c r="F1236" s="5" t="s">
        <v>1088</v>
      </c>
      <c r="G1236" s="5" t="s">
        <v>9665</v>
      </c>
      <c r="H1236" s="6" t="s">
        <v>2567</v>
      </c>
      <c r="I1236" s="24"/>
      <c r="J1236" s="8"/>
      <c r="K1236" s="26"/>
      <c r="L1236" s="6" t="str">
        <f>IFERROR(VLOOKUP(E1236,A:I,9, FALSE),"")</f>
        <v>Sättigung</v>
      </c>
      <c r="M1236" s="6" t="str">
        <f>IFERROR(VLOOKUP(H1236,B:J,9,FALSE),"")</f>
        <v>Sättigung</v>
      </c>
      <c r="N1236" s="6"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row>
    <row r="1237" spans="1:17" x14ac:dyDescent="0.25">
      <c r="A1237" s="5" t="str">
        <f>IF(TRIM(I1237)="","",E1237)</f>
        <v/>
      </c>
      <c r="B1237" s="5" t="str">
        <f>IF(TRIM(J1237)="","",H1237)</f>
        <v/>
      </c>
      <c r="C1237" s="5" t="str">
        <f>LEFT(F1237,FIND(".",F1237,6))</f>
        <v>Exif.OlympusRd2.</v>
      </c>
      <c r="D1237" s="5" t="str">
        <f>VLOOKUP(C1237,PrefixUebersetzung,2,FALSE)</f>
        <v>Exif.OlympusRd2.</v>
      </c>
      <c r="E1237" s="5" t="str">
        <f>MID(F1237,FIND(".",F1237,6)+1,99)</f>
        <v>SaturationEmphasis</v>
      </c>
      <c r="F1237" s="5" t="s">
        <v>1089</v>
      </c>
      <c r="G1237" s="5" t="s">
        <v>9665</v>
      </c>
      <c r="H1237" s="6" t="s">
        <v>2918</v>
      </c>
      <c r="I1237" s="24"/>
      <c r="J1237" s="8"/>
      <c r="K1237" s="26"/>
      <c r="L1237" s="6" t="str">
        <f>IFERROR(VLOOKUP(E1237,A:I,9, FALSE),"")</f>
        <v>Sättigung Schwerpunkt</v>
      </c>
      <c r="M1237" s="6" t="str">
        <f>IFERROR(VLOOKUP(H1237,B:J,9,FALSE),"")</f>
        <v>Sättigung Schwerpunkt</v>
      </c>
      <c r="N1237" s="6"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row>
    <row r="1238" spans="1:17" x14ac:dyDescent="0.25">
      <c r="A1238" s="5" t="str">
        <f>IF(TRIM(I1238)="","",E1238)</f>
        <v/>
      </c>
      <c r="B1238" s="5" t="str">
        <f>IF(TRIM(J1238)="","",H1238)</f>
        <v/>
      </c>
      <c r="C1238" s="5" t="str">
        <f>LEFT(F1238,FIND(".",F1238,6))</f>
        <v>Exif.OlympusRd2.</v>
      </c>
      <c r="D1238" s="5" t="str">
        <f>VLOOKUP(C1238,PrefixUebersetzung,2,FALSE)</f>
        <v>Exif.OlympusRd2.</v>
      </c>
      <c r="E1238" s="5" t="str">
        <f>MID(F1238,FIND(".",F1238,6)+1,99)</f>
        <v>SharpnessValue</v>
      </c>
      <c r="F1238" s="5" t="s">
        <v>1090</v>
      </c>
      <c r="G1238" s="5" t="s">
        <v>9665</v>
      </c>
      <c r="H1238" s="6" t="s">
        <v>2920</v>
      </c>
      <c r="I1238" s="24"/>
      <c r="J1238" s="8"/>
      <c r="K1238" s="26"/>
      <c r="L1238" s="6" t="str">
        <f>IFERROR(VLOOKUP(E1238,A:I,9, FALSE),"")</f>
        <v>Schärfe</v>
      </c>
      <c r="M1238" s="6" t="str">
        <f>IFERROR(VLOOKUP(H1238,B:J,9,FALSE),"")</f>
        <v>Schärfe</v>
      </c>
      <c r="N1238" s="6"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row>
    <row r="1239" spans="1:17" ht="30" x14ac:dyDescent="0.25">
      <c r="A1239" s="5" t="str">
        <f>IF(TRIM(I1239)="","",E1239)</f>
        <v/>
      </c>
      <c r="B1239" s="5" t="str">
        <f>IF(TRIM(J1239)="","",H1239)</f>
        <v>White balance fine adjustment</v>
      </c>
      <c r="C1239" s="5" t="str">
        <f>LEFT(F1239,FIND(".",F1239,6))</f>
        <v>Exif.OlympusRd2.</v>
      </c>
      <c r="D1239" s="5" t="str">
        <f>VLOOKUP(C1239,PrefixUebersetzung,2,FALSE)</f>
        <v>Exif.OlympusRd2.</v>
      </c>
      <c r="E1239" s="5" t="str">
        <f>MID(F1239,FIND(".",F1239,6)+1,99)</f>
        <v>WBFineAdjustment</v>
      </c>
      <c r="F1239" s="5" t="s">
        <v>1091</v>
      </c>
      <c r="G1239" s="5" t="s">
        <v>9665</v>
      </c>
      <c r="H1239" s="6" t="s">
        <v>2928</v>
      </c>
      <c r="I1239" s="7"/>
      <c r="J1239" s="14" t="s">
        <v>4393</v>
      </c>
      <c r="K1239" s="26"/>
      <c r="L1239" s="6" t="str">
        <f>IFERROR(VLOOKUP(E1239,A:I,9, FALSE),"")</f>
        <v>Weißabgleich Feineinstellung</v>
      </c>
      <c r="N1239" s="6"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c r="P1239" s="6" t="s">
        <v>8574</v>
      </c>
      <c r="Q1239" s="6" t="s">
        <v>9562</v>
      </c>
    </row>
    <row r="1240" spans="1:17" x14ac:dyDescent="0.25">
      <c r="A1240" s="5" t="str">
        <f>IF(TRIM(I1240)="","",E1240)</f>
        <v/>
      </c>
      <c r="B1240" s="5" t="str">
        <f>IF(TRIM(J1240)="","",H1240)</f>
        <v/>
      </c>
      <c r="C1240" s="5" t="str">
        <f>LEFT(F1240,FIND(".",F1240,6))</f>
        <v>Exif.OlympusRd2.</v>
      </c>
      <c r="D1240" s="5" t="str">
        <f>VLOOKUP(C1240,PrefixUebersetzung,2,FALSE)</f>
        <v>Exif.OlympusRd2.</v>
      </c>
      <c r="E1240" s="5" t="str">
        <f>MID(F1240,FIND(".",F1240,6)+1,99)</f>
        <v>WhiteBalance</v>
      </c>
      <c r="F1240" s="5" t="s">
        <v>1092</v>
      </c>
      <c r="G1240" s="5" t="s">
        <v>9664</v>
      </c>
      <c r="H1240" s="6" t="s">
        <v>2250</v>
      </c>
      <c r="I1240" s="24"/>
      <c r="J1240" s="8"/>
      <c r="K1240" s="26"/>
      <c r="L1240" s="6" t="str">
        <f>IFERROR(VLOOKUP(E1240,A:I,9, FALSE),"")</f>
        <v>Weißabgleich</v>
      </c>
      <c r="M1240" s="6" t="str">
        <f>IFERROR(VLOOKUP(H1240,B:J,9,FALSE),"")</f>
        <v>Weißabgleich</v>
      </c>
      <c r="N1240" s="6"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x14ac:dyDescent="0.25">
      <c r="A1241" s="5" t="str">
        <f>IF(TRIM(I1241)="","",E1241)</f>
        <v/>
      </c>
      <c r="B1241" s="5" t="str">
        <f>IF(TRIM(J1241)="","",H1241)</f>
        <v/>
      </c>
      <c r="C1241" s="5" t="str">
        <f>LEFT(F1241,FIND(".",F1241,6))</f>
        <v>Exif.OlympusRd2.</v>
      </c>
      <c r="D1241" s="5" t="str">
        <f>VLOOKUP(C1241,PrefixUebersetzung,2,FALSE)</f>
        <v>Exif.OlympusRd2.</v>
      </c>
      <c r="E1241" s="5" t="str">
        <f>MID(F1241,FIND(".",F1241,6)+1,99)</f>
        <v>WhiteBalanceValue</v>
      </c>
      <c r="F1241" s="5" t="s">
        <v>1093</v>
      </c>
      <c r="G1241" s="5" t="s">
        <v>9664</v>
      </c>
      <c r="H1241" s="6" t="s">
        <v>2922</v>
      </c>
      <c r="I1241" s="24"/>
      <c r="J1241" s="8"/>
      <c r="K1241" s="26"/>
      <c r="L1241" s="6" t="str">
        <f>IFERROR(VLOOKUP(E1241,A:I,9, FALSE),"")</f>
        <v>Weißabgleich Wert</v>
      </c>
      <c r="M1241" s="6" t="str">
        <f>IFERROR(VLOOKUP(H1241,B:J,9,FALSE),"")</f>
        <v>Weißabgleich Wert</v>
      </c>
      <c r="N1241" s="6"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x14ac:dyDescent="0.25">
      <c r="A1242" s="5" t="str">
        <f>IF(TRIM(I1242)="","",E1242)</f>
        <v>BlackLevel2</v>
      </c>
      <c r="B1242" s="5" t="str">
        <f>IF(TRIM(J1242)="","",H1242)</f>
        <v>Black level 2</v>
      </c>
      <c r="C1242" s="5" t="str">
        <f>LEFT(F1242,FIND(".",F1242,6))</f>
        <v>Exif.OlympusRi.</v>
      </c>
      <c r="D1242" s="5" t="str">
        <f>VLOOKUP(C1242,PrefixUebersetzung,2,FALSE)</f>
        <v>Exif.OlympusRi.</v>
      </c>
      <c r="E1242" s="5" t="str">
        <f>MID(F1242,FIND(".",F1242,6)+1,99)</f>
        <v>BlackLevel2</v>
      </c>
      <c r="F1242" s="5" t="s">
        <v>1094</v>
      </c>
      <c r="G1242" s="5" t="s">
        <v>9664</v>
      </c>
      <c r="H1242" s="6" t="s">
        <v>2929</v>
      </c>
      <c r="I1242" s="7" t="s">
        <v>5151</v>
      </c>
      <c r="J1242" s="14" t="s">
        <v>5151</v>
      </c>
      <c r="K1242" s="26"/>
      <c r="N1242" s="6"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c r="O1242" s="6" t="s">
        <v>8574</v>
      </c>
      <c r="P1242" s="6" t="s">
        <v>8574</v>
      </c>
      <c r="Q1242" s="6" t="s">
        <v>9163</v>
      </c>
    </row>
    <row r="1243" spans="1:17" x14ac:dyDescent="0.25">
      <c r="A1243" s="5" t="str">
        <f>IF(TRIM(I1243)="","",E1243)</f>
        <v/>
      </c>
      <c r="B1243" s="5" t="str">
        <f>IF(TRIM(J1243)="","",H1243)</f>
        <v/>
      </c>
      <c r="C1243" s="5" t="str">
        <f>LEFT(F1243,FIND(".",F1243,6))</f>
        <v>Exif.OlympusRi.</v>
      </c>
      <c r="D1243" s="5" t="str">
        <f>VLOOKUP(C1243,PrefixUebersetzung,2,FALSE)</f>
        <v>Exif.OlympusRi.</v>
      </c>
      <c r="E1243" s="5" t="str">
        <f>MID(F1243,FIND(".",F1243,6)+1,99)</f>
        <v>CMContrast</v>
      </c>
      <c r="F1243" s="5" t="s">
        <v>1095</v>
      </c>
      <c r="G1243" s="5" t="s">
        <v>9665</v>
      </c>
      <c r="H1243" s="6" t="s">
        <v>2930</v>
      </c>
      <c r="I1243" s="7"/>
      <c r="K1243" s="26"/>
      <c r="N1243" s="6"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xml:space="preserve">Suffix not translated Description not translated </v>
      </c>
      <c r="O1243" s="6" t="s">
        <v>8574</v>
      </c>
      <c r="P1243" s="6" t="s">
        <v>8574</v>
      </c>
    </row>
    <row r="1244" spans="1:17" x14ac:dyDescent="0.25">
      <c r="A1244" s="5" t="str">
        <f>IF(TRIM(I1244)="","",E1244)</f>
        <v>CMExposureCompensation</v>
      </c>
      <c r="B1244" s="5" t="str">
        <f>IF(TRIM(J1244)="","",H1244)</f>
        <v>CM exposure compensation</v>
      </c>
      <c r="C1244" s="5" t="str">
        <f>LEFT(F1244,FIND(".",F1244,6))</f>
        <v>Exif.OlympusRi.</v>
      </c>
      <c r="D1244" s="5" t="str">
        <f>VLOOKUP(C1244,PrefixUebersetzung,2,FALSE)</f>
        <v>Exif.OlympusRi.</v>
      </c>
      <c r="E1244" s="5" t="str">
        <f>MID(F1244,FIND(".",F1244,6)+1,99)</f>
        <v>CMExposureCompensation</v>
      </c>
      <c r="F1244" s="5" t="s">
        <v>1096</v>
      </c>
      <c r="G1244" s="5" t="s">
        <v>9672</v>
      </c>
      <c r="H1244" s="6" t="s">
        <v>2931</v>
      </c>
      <c r="I1244" s="24" t="s">
        <v>4045</v>
      </c>
      <c r="J1244" s="8" t="s">
        <v>4045</v>
      </c>
      <c r="K1244" s="26"/>
      <c r="N1244" s="6"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c r="O1244" s="6" t="s">
        <v>8574</v>
      </c>
      <c r="P1244" s="6" t="s">
        <v>8574</v>
      </c>
      <c r="Q1244" s="6" t="s">
        <v>9176</v>
      </c>
    </row>
    <row r="1245" spans="1:17" x14ac:dyDescent="0.25">
      <c r="A1245" s="5" t="str">
        <f>IF(TRIM(I1245)="","",E1245)</f>
        <v>CMHue</v>
      </c>
      <c r="B1245" s="5" t="str">
        <f>IF(TRIM(J1245)="","",H1245)</f>
        <v>CM hue</v>
      </c>
      <c r="C1245" s="5" t="str">
        <f>LEFT(F1245,FIND(".",F1245,6))</f>
        <v>Exif.OlympusRi.</v>
      </c>
      <c r="D1245" s="5" t="str">
        <f>VLOOKUP(C1245,PrefixUebersetzung,2,FALSE)</f>
        <v>Exif.OlympusRi.</v>
      </c>
      <c r="E1245" s="5" t="str">
        <f>MID(F1245,FIND(".",F1245,6)+1,99)</f>
        <v>CMHue</v>
      </c>
      <c r="F1245" s="5" t="s">
        <v>1097</v>
      </c>
      <c r="G1245" s="5" t="s">
        <v>9665</v>
      </c>
      <c r="H1245" s="6" t="s">
        <v>2932</v>
      </c>
      <c r="I1245" s="24" t="s">
        <v>4046</v>
      </c>
      <c r="J1245" s="8" t="s">
        <v>4046</v>
      </c>
      <c r="K1245" s="26"/>
      <c r="N1245" s="6"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c r="O1245" s="6" t="s">
        <v>8574</v>
      </c>
      <c r="P1245" s="6" t="s">
        <v>8574</v>
      </c>
      <c r="Q1245" s="6" t="s">
        <v>9172</v>
      </c>
    </row>
    <row r="1246" spans="1:17" x14ac:dyDescent="0.25">
      <c r="A1246" s="5" t="str">
        <f>IF(TRIM(I1246)="","",E1246)</f>
        <v>CMSaturation</v>
      </c>
      <c r="B1246" s="5" t="str">
        <f>IF(TRIM(J1246)="","",H1246)</f>
        <v>CM saturation</v>
      </c>
      <c r="C1246" s="5" t="str">
        <f>LEFT(F1246,FIND(".",F1246,6))</f>
        <v>Exif.OlympusRi.</v>
      </c>
      <c r="D1246" s="5" t="str">
        <f>VLOOKUP(C1246,PrefixUebersetzung,2,FALSE)</f>
        <v>Exif.OlympusRi.</v>
      </c>
      <c r="E1246" s="5" t="str">
        <f>MID(F1246,FIND(".",F1246,6)+1,99)</f>
        <v>CMSaturation</v>
      </c>
      <c r="F1246" s="5" t="s">
        <v>1098</v>
      </c>
      <c r="G1246" s="5" t="s">
        <v>9665</v>
      </c>
      <c r="H1246" s="6" t="s">
        <v>2933</v>
      </c>
      <c r="I1246" s="24" t="s">
        <v>4047</v>
      </c>
      <c r="J1246" s="8" t="s">
        <v>4047</v>
      </c>
      <c r="K1246" s="26"/>
      <c r="N1246" s="6"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c r="O1246" s="6" t="s">
        <v>8574</v>
      </c>
      <c r="P1246" s="6" t="s">
        <v>8574</v>
      </c>
      <c r="Q1246" s="6" t="s">
        <v>9172</v>
      </c>
    </row>
    <row r="1247" spans="1:17" x14ac:dyDescent="0.25">
      <c r="A1247" s="5" t="str">
        <f>IF(TRIM(I1247)="","",E1247)</f>
        <v>CMSharpness</v>
      </c>
      <c r="B1247" s="5" t="str">
        <f>IF(TRIM(J1247)="","",H1247)</f>
        <v>CM sharpness</v>
      </c>
      <c r="C1247" s="5" t="str">
        <f>LEFT(F1247,FIND(".",F1247,6))</f>
        <v>Exif.OlympusRi.</v>
      </c>
      <c r="D1247" s="5" t="str">
        <f>VLOOKUP(C1247,PrefixUebersetzung,2,FALSE)</f>
        <v>Exif.OlympusRi.</v>
      </c>
      <c r="E1247" s="5" t="str">
        <f>MID(F1247,FIND(".",F1247,6)+1,99)</f>
        <v>CMSharpness</v>
      </c>
      <c r="F1247" s="5" t="s">
        <v>1099</v>
      </c>
      <c r="G1247" s="5" t="s">
        <v>9665</v>
      </c>
      <c r="H1247" s="6" t="s">
        <v>2934</v>
      </c>
      <c r="I1247" s="24" t="s">
        <v>4048</v>
      </c>
      <c r="J1247" s="8" t="s">
        <v>4048</v>
      </c>
      <c r="K1247" s="26"/>
      <c r="N1247" s="6"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6" t="s">
        <v>8574</v>
      </c>
      <c r="P1247" s="6" t="s">
        <v>8574</v>
      </c>
      <c r="Q1247" s="6" t="s">
        <v>9157</v>
      </c>
    </row>
    <row r="1248" spans="1:17" x14ac:dyDescent="0.25">
      <c r="A1248" s="5" t="str">
        <f>IF(TRIM(I1248)="","",E1248)</f>
        <v>CMWhiteBalance</v>
      </c>
      <c r="B1248" s="5" t="str">
        <f>IF(TRIM(J1248)="","",H1248)</f>
        <v>CM white balance</v>
      </c>
      <c r="C1248" s="5" t="str">
        <f>LEFT(F1248,FIND(".",F1248,6))</f>
        <v>Exif.OlympusRi.</v>
      </c>
      <c r="D1248" s="5" t="str">
        <f>VLOOKUP(C1248,PrefixUebersetzung,2,FALSE)</f>
        <v>Exif.OlympusRi.</v>
      </c>
      <c r="E1248" s="5" t="str">
        <f>MID(F1248,FIND(".",F1248,6)+1,99)</f>
        <v>CMWhiteBalance</v>
      </c>
      <c r="F1248" s="5" t="s">
        <v>1100</v>
      </c>
      <c r="G1248" s="5" t="s">
        <v>9664</v>
      </c>
      <c r="H1248" s="6" t="s">
        <v>2935</v>
      </c>
      <c r="I1248" s="24" t="s">
        <v>4049</v>
      </c>
      <c r="J1248" s="8" t="s">
        <v>4049</v>
      </c>
      <c r="K1248" s="26"/>
      <c r="N1248" s="6"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c r="O1248" s="6" t="s">
        <v>8574</v>
      </c>
      <c r="P1248" s="6" t="s">
        <v>8574</v>
      </c>
      <c r="Q1248" s="6" t="s">
        <v>9173</v>
      </c>
    </row>
    <row r="1249" spans="1:17" x14ac:dyDescent="0.25">
      <c r="A1249" s="5" t="str">
        <f>IF(TRIM(I1249)="","",E1249)</f>
        <v>CMWhiteBalanceComp</v>
      </c>
      <c r="B1249" s="5" t="str">
        <f>IF(TRIM(J1249)="","",H1249)</f>
        <v>CM white balance comp</v>
      </c>
      <c r="C1249" s="5" t="str">
        <f>LEFT(F1249,FIND(".",F1249,6))</f>
        <v>Exif.OlympusRi.</v>
      </c>
      <c r="D1249" s="5" t="str">
        <f>VLOOKUP(C1249,PrefixUebersetzung,2,FALSE)</f>
        <v>Exif.OlympusRi.</v>
      </c>
      <c r="E1249" s="5" t="str">
        <f>MID(F1249,FIND(".",F1249,6)+1,99)</f>
        <v>CMWhiteBalanceComp</v>
      </c>
      <c r="F1249" s="5" t="s">
        <v>1101</v>
      </c>
      <c r="G1249" s="5" t="s">
        <v>9665</v>
      </c>
      <c r="H1249" s="6" t="s">
        <v>2936</v>
      </c>
      <c r="I1249" s="24" t="s">
        <v>4394</v>
      </c>
      <c r="J1249" s="8" t="s">
        <v>4394</v>
      </c>
      <c r="K1249" s="26"/>
      <c r="N1249" s="6"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c r="O1249" s="6" t="s">
        <v>8574</v>
      </c>
      <c r="P1249" s="6" t="s">
        <v>8574</v>
      </c>
      <c r="Q1249" s="6" t="s">
        <v>9174</v>
      </c>
    </row>
    <row r="1250" spans="1:17" x14ac:dyDescent="0.25">
      <c r="A1250" s="5" t="str">
        <f>IF(TRIM(I1250)="","",E1250)</f>
        <v>CMWhiteBalanceGrayPoint</v>
      </c>
      <c r="B1250" s="5" t="str">
        <f>IF(TRIM(J1250)="","",H1250)</f>
        <v>CM white balance gray point</v>
      </c>
      <c r="C1250" s="5" t="str">
        <f>LEFT(F1250,FIND(".",F1250,6))</f>
        <v>Exif.OlympusRi.</v>
      </c>
      <c r="D1250" s="5" t="str">
        <f>VLOOKUP(C1250,PrefixUebersetzung,2,FALSE)</f>
        <v>Exif.OlympusRi.</v>
      </c>
      <c r="E1250" s="5" t="str">
        <f>MID(F1250,FIND(".",F1250,6)+1,99)</f>
        <v>CMWhiteBalanceGrayPoint</v>
      </c>
      <c r="F1250" s="5" t="s">
        <v>1102</v>
      </c>
      <c r="G1250" s="5" t="s">
        <v>9664</v>
      </c>
      <c r="H1250" s="6" t="s">
        <v>2937</v>
      </c>
      <c r="I1250" s="24" t="s">
        <v>4050</v>
      </c>
      <c r="J1250" s="8" t="s">
        <v>4050</v>
      </c>
      <c r="K1250" s="26"/>
      <c r="N1250" s="6"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c r="O1250" s="6" t="s">
        <v>8574</v>
      </c>
      <c r="P1250" s="6" t="s">
        <v>8574</v>
      </c>
      <c r="Q1250" s="6" t="s">
        <v>9177</v>
      </c>
    </row>
    <row r="1251" spans="1:17" x14ac:dyDescent="0.25">
      <c r="A1251" s="5" t="str">
        <f>IF(TRIM(I1251)="","",E1251)</f>
        <v/>
      </c>
      <c r="B1251" s="5" t="str">
        <f>IF(TRIM(J1251)="","",H1251)</f>
        <v>Color matrix 2</v>
      </c>
      <c r="C1251" s="5" t="str">
        <f>LEFT(F1251,FIND(".",F1251,6))</f>
        <v>Exif.OlympusRi.</v>
      </c>
      <c r="D1251" s="5" t="str">
        <f>VLOOKUP(C1251,PrefixUebersetzung,2,FALSE)</f>
        <v>Exif.OlympusRi.</v>
      </c>
      <c r="E1251" s="5" t="str">
        <f>MID(F1251,FIND(".",F1251,6)+1,99)</f>
        <v>ColorMatrix2</v>
      </c>
      <c r="F1251" s="5" t="s">
        <v>1103</v>
      </c>
      <c r="G1251" s="5" t="s">
        <v>9664</v>
      </c>
      <c r="H1251" s="6" t="s">
        <v>2938</v>
      </c>
      <c r="I1251" s="24"/>
      <c r="J1251" s="8" t="s">
        <v>4254</v>
      </c>
      <c r="K1251" s="26"/>
      <c r="L1251" s="6" t="str">
        <f>IFERROR(VLOOKUP(E1251,A:I,9, FALSE),"")</f>
        <v>Farbmatrix 2</v>
      </c>
      <c r="N1251" s="6"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c r="P1251" s="6" t="s">
        <v>8574</v>
      </c>
      <c r="Q1251" s="6" t="s">
        <v>4254</v>
      </c>
    </row>
    <row r="1252" spans="1:17" x14ac:dyDescent="0.25">
      <c r="A1252" s="5" t="str">
        <f>IF(TRIM(I1252)="","",E1252)</f>
        <v/>
      </c>
      <c r="B1252" s="5" t="str">
        <f>IF(TRIM(J1252)="","",H1252)</f>
        <v/>
      </c>
      <c r="C1252" s="5" t="str">
        <f>LEFT(F1252,FIND(".",F1252,6))</f>
        <v>Exif.OlympusRi.</v>
      </c>
      <c r="D1252" s="5" t="str">
        <f>VLOOKUP(C1252,PrefixUebersetzung,2,FALSE)</f>
        <v>Exif.OlympusRi.</v>
      </c>
      <c r="E1252" s="5" t="str">
        <f>MID(F1252,FIND(".",F1252,6)+1,99)</f>
        <v>ContrastSetting</v>
      </c>
      <c r="F1252" s="5" t="s">
        <v>1104</v>
      </c>
      <c r="G1252" s="5" t="s">
        <v>9665</v>
      </c>
      <c r="H1252" s="6" t="s">
        <v>2184</v>
      </c>
      <c r="I1252" s="24"/>
      <c r="J1252" s="8"/>
      <c r="K1252" s="26"/>
      <c r="L1252" s="6" t="str">
        <f>IFERROR(VLOOKUP(E1252,A:I,9, FALSE),"")</f>
        <v>Kontrasteinstellung</v>
      </c>
      <c r="M1252" s="6" t="str">
        <f>IFERROR(VLOOKUP(H1252,B:J,9,FALSE),"")</f>
        <v>Kontrasteinstellung</v>
      </c>
      <c r="N1252" s="6"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row>
    <row r="1253" spans="1:17" x14ac:dyDescent="0.25">
      <c r="A1253" s="5" t="str">
        <f>IF(TRIM(I1253)="","",E1253)</f>
        <v/>
      </c>
      <c r="B1253" s="5" t="str">
        <f>IF(TRIM(J1253)="","",H1253)</f>
        <v/>
      </c>
      <c r="C1253" s="5" t="str">
        <f>LEFT(F1253,FIND(".",F1253,6))</f>
        <v>Exif.OlympusRi.</v>
      </c>
      <c r="D1253" s="5" t="str">
        <f>VLOOKUP(C1253,PrefixUebersetzung,2,FALSE)</f>
        <v>Exif.OlympusRi.</v>
      </c>
      <c r="E1253" s="5" t="str">
        <f>MID(F1253,FIND(".",F1253,6)+1,99)</f>
        <v>CoringFilter</v>
      </c>
      <c r="F1253" s="5" t="s">
        <v>1105</v>
      </c>
      <c r="G1253" s="5" t="s">
        <v>9664</v>
      </c>
      <c r="H1253" s="6" t="s">
        <v>2757</v>
      </c>
      <c r="I1253" s="7"/>
      <c r="K1253" s="26"/>
      <c r="L1253" s="6" t="str">
        <f>IFERROR(VLOOKUP(E1253,A:I,9, FALSE),"")</f>
        <v/>
      </c>
      <c r="M1253" s="6" t="str">
        <f>IFERROR(VLOOKUP(H1253,B:J,9,FALSE),"")</f>
        <v/>
      </c>
      <c r="N1253" s="6"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xml:space="preserve">Suffix not translated Description not translated </v>
      </c>
    </row>
    <row r="1254" spans="1:17" x14ac:dyDescent="0.25">
      <c r="A1254" s="5" t="str">
        <f>IF(TRIM(I1254)="","",E1254)</f>
        <v/>
      </c>
      <c r="B1254" s="5" t="str">
        <f>IF(TRIM(J1254)="","",H1254)</f>
        <v/>
      </c>
      <c r="C1254" s="5" t="str">
        <f>LEFT(F1254,FIND(".",F1254,6))</f>
        <v>Exif.OlympusRi.</v>
      </c>
      <c r="D1254" s="5" t="str">
        <f>VLOOKUP(C1254,PrefixUebersetzung,2,FALSE)</f>
        <v>Exif.OlympusRi.</v>
      </c>
      <c r="E1254" s="5" t="str">
        <f>MID(F1254,FIND(".",F1254,6)+1,99)</f>
        <v>CoringValues</v>
      </c>
      <c r="F1254" s="5" t="s">
        <v>1106</v>
      </c>
      <c r="G1254" s="5" t="s">
        <v>9664</v>
      </c>
      <c r="H1254" s="6" t="s">
        <v>2870</v>
      </c>
      <c r="I1254" s="7"/>
      <c r="K1254" s="26"/>
      <c r="L1254" s="6" t="str">
        <f>IFERROR(VLOOKUP(E1254,A:I,9, FALSE),"")</f>
        <v/>
      </c>
      <c r="M1254" s="6" t="str">
        <f>IFERROR(VLOOKUP(H1254,B:J,9,FALSE),"")</f>
        <v/>
      </c>
      <c r="N1254" s="6"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xml:space="preserve">Suffix not translated Description not translated </v>
      </c>
    </row>
    <row r="1255" spans="1:17" x14ac:dyDescent="0.25">
      <c r="A1255" s="5" t="str">
        <f>IF(TRIM(I1255)="","",E1255)</f>
        <v/>
      </c>
      <c r="B1255" s="5" t="str">
        <f>IF(TRIM(J1255)="","",H1255)</f>
        <v/>
      </c>
      <c r="C1255" s="5" t="str">
        <f>LEFT(F1255,FIND(".",F1255,6))</f>
        <v>Exif.OlympusRi.</v>
      </c>
      <c r="D1255" s="5" t="str">
        <f>VLOOKUP(C1255,PrefixUebersetzung,2,FALSE)</f>
        <v>Exif.OlympusRi.</v>
      </c>
      <c r="E1255" s="5" t="str">
        <f>MID(F1255,FIND(".",F1255,6)+1,99)</f>
        <v>CropHeight</v>
      </c>
      <c r="F1255" s="5" t="s">
        <v>1107</v>
      </c>
      <c r="G1255" s="5" t="s">
        <v>9667</v>
      </c>
      <c r="H1255" s="6" t="s">
        <v>2871</v>
      </c>
      <c r="I1255" s="7"/>
      <c r="K1255" s="26"/>
      <c r="L1255" s="6" t="str">
        <f>IFERROR(VLOOKUP(E1255,A:I,9, FALSE),"")</f>
        <v>Crop Höhe</v>
      </c>
      <c r="M1255" s="6" t="str">
        <f>IFERROR(VLOOKUP(H1255,B:J,9,FALSE),"")</f>
        <v>Crop Höhe</v>
      </c>
      <c r="N1255" s="6"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7" x14ac:dyDescent="0.25">
      <c r="A1256" s="5" t="str">
        <f>IF(TRIM(I1256)="","",E1256)</f>
        <v/>
      </c>
      <c r="B1256" s="5" t="str">
        <f>IF(TRIM(J1256)="","",H1256)</f>
        <v/>
      </c>
      <c r="C1256" s="5" t="str">
        <f>LEFT(F1256,FIND(".",F1256,6))</f>
        <v>Exif.OlympusRi.</v>
      </c>
      <c r="D1256" s="5" t="str">
        <f>VLOOKUP(C1256,PrefixUebersetzung,2,FALSE)</f>
        <v>Exif.OlympusRi.</v>
      </c>
      <c r="E1256" s="5" t="str">
        <f>MID(F1256,FIND(".",F1256,6)+1,99)</f>
        <v>CropLeft</v>
      </c>
      <c r="F1256" s="5" t="s">
        <v>1108</v>
      </c>
      <c r="G1256" s="5" t="s">
        <v>9664</v>
      </c>
      <c r="H1256" s="6" t="s">
        <v>2872</v>
      </c>
      <c r="I1256" s="7"/>
      <c r="K1256" s="26"/>
      <c r="L1256" s="6" t="str">
        <f>IFERROR(VLOOKUP(E1256,A:I,9, FALSE),"")</f>
        <v>Crop links</v>
      </c>
      <c r="M1256" s="6" t="str">
        <f>IFERROR(VLOOKUP(H1256,B:J,9,FALSE),"")</f>
        <v>Crop links</v>
      </c>
      <c r="N1256" s="6"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7" x14ac:dyDescent="0.25">
      <c r="A1257" s="5" t="str">
        <f>IF(TRIM(I1257)="","",E1257)</f>
        <v/>
      </c>
      <c r="B1257" s="5" t="str">
        <f>IF(TRIM(J1257)="","",H1257)</f>
        <v/>
      </c>
      <c r="C1257" s="5" t="str">
        <f>LEFT(F1257,FIND(".",F1257,6))</f>
        <v>Exif.OlympusRi.</v>
      </c>
      <c r="D1257" s="5" t="str">
        <f>VLOOKUP(C1257,PrefixUebersetzung,2,FALSE)</f>
        <v>Exif.OlympusRi.</v>
      </c>
      <c r="E1257" s="5" t="str">
        <f>MID(F1257,FIND(".",F1257,6)+1,99)</f>
        <v>CropTop</v>
      </c>
      <c r="F1257" s="5" t="s">
        <v>1109</v>
      </c>
      <c r="G1257" s="5" t="s">
        <v>9664</v>
      </c>
      <c r="H1257" s="6" t="s">
        <v>2873</v>
      </c>
      <c r="I1257" s="7"/>
      <c r="K1257" s="26"/>
      <c r="L1257" s="6" t="str">
        <f>IFERROR(VLOOKUP(E1257,A:I,9, FALSE),"")</f>
        <v>Crop oben</v>
      </c>
      <c r="M1257" s="6" t="str">
        <f>IFERROR(VLOOKUP(H1257,B:J,9,FALSE),"")</f>
        <v>Crop oben</v>
      </c>
      <c r="N1257" s="6"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row>
    <row r="1258" spans="1:17" x14ac:dyDescent="0.25">
      <c r="A1258" s="5" t="str">
        <f>IF(TRIM(I1258)="","",E1258)</f>
        <v/>
      </c>
      <c r="B1258" s="5" t="str">
        <f>IF(TRIM(J1258)="","",H1258)</f>
        <v/>
      </c>
      <c r="C1258" s="5" t="str">
        <f>LEFT(F1258,FIND(".",F1258,6))</f>
        <v>Exif.OlympusRi.</v>
      </c>
      <c r="D1258" s="5" t="str">
        <f>VLOOKUP(C1258,PrefixUebersetzung,2,FALSE)</f>
        <v>Exif.OlympusRi.</v>
      </c>
      <c r="E1258" s="5" t="str">
        <f>MID(F1258,FIND(".",F1258,6)+1,99)</f>
        <v>CropWidth</v>
      </c>
      <c r="F1258" s="5" t="s">
        <v>1110</v>
      </c>
      <c r="G1258" s="5" t="s">
        <v>9667</v>
      </c>
      <c r="H1258" s="6" t="s">
        <v>2874</v>
      </c>
      <c r="I1258" s="7"/>
      <c r="K1258" s="26"/>
      <c r="L1258" s="6" t="str">
        <f>IFERROR(VLOOKUP(E1258,A:I,9, FALSE),"")</f>
        <v>Crop Breite</v>
      </c>
      <c r="M1258" s="6" t="str">
        <f>IFERROR(VLOOKUP(H1258,B:J,9,FALSE),"")</f>
        <v>Crop Breite</v>
      </c>
      <c r="N1258" s="6"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row>
    <row r="1259" spans="1:17" ht="30" x14ac:dyDescent="0.25">
      <c r="A1259" s="5" t="str">
        <f>IF(TRIM(I1259)="","",E1259)</f>
        <v>HueSetting</v>
      </c>
      <c r="B1259" s="5" t="str">
        <f>IF(TRIM(J1259)="","",H1259)</f>
        <v>Hue setting</v>
      </c>
      <c r="C1259" s="5" t="str">
        <f>LEFT(F1259,FIND(".",F1259,6))</f>
        <v>Exif.OlympusRi.</v>
      </c>
      <c r="D1259" s="5" t="str">
        <f>VLOOKUP(C1259,PrefixUebersetzung,2,FALSE)</f>
        <v>Exif.OlympusRi.</v>
      </c>
      <c r="E1259" s="5" t="str">
        <f>MID(F1259,FIND(".",F1259,6)+1,99)</f>
        <v>HueSetting</v>
      </c>
      <c r="F1259" s="5" t="s">
        <v>1111</v>
      </c>
      <c r="G1259" s="5" t="s">
        <v>9665</v>
      </c>
      <c r="H1259" s="6" t="s">
        <v>2939</v>
      </c>
      <c r="I1259" s="7" t="s">
        <v>4927</v>
      </c>
      <c r="J1259" s="14" t="s">
        <v>4927</v>
      </c>
      <c r="K1259" s="26"/>
      <c r="N1259" s="6"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c r="O1259" s="6" t="s">
        <v>8574</v>
      </c>
      <c r="P1259" s="6" t="s">
        <v>8574</v>
      </c>
      <c r="Q1259" s="6" t="s">
        <v>9102</v>
      </c>
    </row>
    <row r="1260" spans="1:17" x14ac:dyDescent="0.25">
      <c r="A1260" s="5" t="str">
        <f>IF(TRIM(I1260)="","",E1260)</f>
        <v/>
      </c>
      <c r="B1260" s="5" t="str">
        <f>IF(TRIM(J1260)="","",H1260)</f>
        <v/>
      </c>
      <c r="C1260" s="5" t="str">
        <f>LEFT(F1260,FIND(".",F1260,6))</f>
        <v>Exif.OlympusRi.</v>
      </c>
      <c r="D1260" s="5" t="str">
        <f>VLOOKUP(C1260,PrefixUebersetzung,2,FALSE)</f>
        <v>Exif.OlympusRi.</v>
      </c>
      <c r="E1260" s="5" t="str">
        <f>MID(F1260,FIND(".",F1260,6)+1,99)</f>
        <v>LightSource</v>
      </c>
      <c r="F1260" s="5" t="s">
        <v>1112</v>
      </c>
      <c r="G1260" s="5" t="s">
        <v>9664</v>
      </c>
      <c r="H1260" s="6" t="s">
        <v>2649</v>
      </c>
      <c r="I1260" s="24"/>
      <c r="J1260" s="8"/>
      <c r="K1260" s="26"/>
      <c r="L1260" s="6" t="str">
        <f>IFERROR(VLOOKUP(E1260,A:I,9, FALSE),"")</f>
        <v>Lichtquelle</v>
      </c>
      <c r="M1260" s="6" t="str">
        <f>IFERROR(VLOOKUP(H1260,B:J,9,FALSE),"")</f>
        <v>Lichtquelle</v>
      </c>
      <c r="N1260" s="6"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row>
    <row r="1261" spans="1:17" x14ac:dyDescent="0.25">
      <c r="A1261" s="5" t="str">
        <f>IF(TRIM(I1261)="","",E1261)</f>
        <v>RawInfoVersion</v>
      </c>
      <c r="B1261" s="5" t="str">
        <f>IF(TRIM(J1261)="","",H1261)</f>
        <v>Raw info version</v>
      </c>
      <c r="C1261" s="5" t="str">
        <f>LEFT(F1261,FIND(".",F1261,6))</f>
        <v>Exif.OlympusRi.</v>
      </c>
      <c r="D1261" s="5" t="str">
        <f>VLOOKUP(C1261,PrefixUebersetzung,2,FALSE)</f>
        <v>Exif.OlympusRi.</v>
      </c>
      <c r="E1261" s="5" t="str">
        <f>MID(F1261,FIND(".",F1261,6)+1,99)</f>
        <v>RawInfoVersion</v>
      </c>
      <c r="F1261" s="5" t="s">
        <v>1113</v>
      </c>
      <c r="G1261" s="5" t="s">
        <v>9669</v>
      </c>
      <c r="H1261" s="6" t="s">
        <v>2940</v>
      </c>
      <c r="I1261" s="7" t="s">
        <v>4395</v>
      </c>
      <c r="J1261" s="14" t="s">
        <v>4395</v>
      </c>
      <c r="K1261" s="26"/>
      <c r="N1261" s="6"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c r="O1261" s="6" t="s">
        <v>8574</v>
      </c>
      <c r="P1261" s="6" t="s">
        <v>8574</v>
      </c>
      <c r="Q1261" s="6" t="s">
        <v>9321</v>
      </c>
    </row>
    <row r="1262" spans="1:17" x14ac:dyDescent="0.25">
      <c r="A1262" s="5" t="str">
        <f>IF(TRIM(I1262)="","",E1262)</f>
        <v>SaturationSetting</v>
      </c>
      <c r="B1262" s="5" t="str">
        <f>IF(TRIM(J1262)="","",H1262)</f>
        <v/>
      </c>
      <c r="C1262" s="5" t="str">
        <f>LEFT(F1262,FIND(".",F1262,6))</f>
        <v>Exif.OlympusRi.</v>
      </c>
      <c r="D1262" s="5" t="str">
        <f>VLOOKUP(C1262,PrefixUebersetzung,2,FALSE)</f>
        <v>Exif.OlympusRi.</v>
      </c>
      <c r="E1262" s="5" t="str">
        <f>MID(F1262,FIND(".",F1262,6)+1,99)</f>
        <v>SaturationSetting</v>
      </c>
      <c r="F1262" s="5" t="s">
        <v>1114</v>
      </c>
      <c r="G1262" s="5" t="s">
        <v>9665</v>
      </c>
      <c r="H1262" s="6" t="s">
        <v>2209</v>
      </c>
      <c r="I1262" s="7" t="s">
        <v>4396</v>
      </c>
      <c r="J1262" s="8"/>
      <c r="K1262" s="26"/>
      <c r="M1262" s="6" t="str">
        <f>IFERROR(VLOOKUP(H1262,B:J,9,FALSE),"")</f>
        <v>Einstellung der Sättigung</v>
      </c>
      <c r="N1262" s="6"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6" t="s">
        <v>8574</v>
      </c>
    </row>
    <row r="1263" spans="1:17" x14ac:dyDescent="0.25">
      <c r="A1263" s="5" t="str">
        <f>IF(TRIM(I1263)="","",E1263)</f>
        <v/>
      </c>
      <c r="B1263" s="5" t="str">
        <f>IF(TRIM(J1263)="","",H1263)</f>
        <v/>
      </c>
      <c r="C1263" s="5" t="str">
        <f>LEFT(F1263,FIND(".",F1263,6))</f>
        <v>Exif.OlympusRi.</v>
      </c>
      <c r="D1263" s="5" t="str">
        <f>VLOOKUP(C1263,PrefixUebersetzung,2,FALSE)</f>
        <v>Exif.OlympusRi.</v>
      </c>
      <c r="E1263" s="5" t="str">
        <f>MID(F1263,FIND(".",F1263,6)+1,99)</f>
        <v>SharpnessSetting</v>
      </c>
      <c r="F1263" s="5" t="s">
        <v>1115</v>
      </c>
      <c r="G1263" s="5" t="s">
        <v>9665</v>
      </c>
      <c r="H1263" s="6" t="s">
        <v>2211</v>
      </c>
      <c r="I1263" s="7"/>
      <c r="K1263" s="26"/>
      <c r="L1263" s="6" t="str">
        <f>IFERROR(VLOOKUP(E1263,A:I,9, FALSE),"")</f>
        <v>Schärfe Einstellung</v>
      </c>
      <c r="M1263" s="6" t="str">
        <f>IFERROR(VLOOKUP(H1263,B:J,9,FALSE),"")</f>
        <v>Einstellung der Schärfe</v>
      </c>
      <c r="N1263" s="6"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5" t="str">
        <f>IF(TRIM(I1264)="","",E1264)</f>
        <v>ValidPixelDepth</v>
      </c>
      <c r="B1264" s="5" t="str">
        <f>IF(TRIM(J1264)="","",H1264)</f>
        <v>Valid pixel depth</v>
      </c>
      <c r="C1264" s="5" t="str">
        <f>LEFT(F1264,FIND(".",F1264,6))</f>
        <v>Exif.OlympusRi.</v>
      </c>
      <c r="D1264" s="5" t="str">
        <f>VLOOKUP(C1264,PrefixUebersetzung,2,FALSE)</f>
        <v>Exif.OlympusRi.</v>
      </c>
      <c r="E1264" s="5" t="str">
        <f>MID(F1264,FIND(".",F1264,6)+1,99)</f>
        <v>ValidPixelDepth</v>
      </c>
      <c r="F1264" s="5" t="s">
        <v>1116</v>
      </c>
      <c r="G1264" s="5" t="s">
        <v>9664</v>
      </c>
      <c r="H1264" s="6" t="s">
        <v>2941</v>
      </c>
      <c r="I1264" s="7" t="s">
        <v>5143</v>
      </c>
      <c r="J1264" s="14" t="s">
        <v>6647</v>
      </c>
      <c r="K1264" s="26"/>
      <c r="N1264" s="6"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c r="O1264" s="6" t="s">
        <v>8574</v>
      </c>
      <c r="P1264" s="6" t="s">
        <v>8574</v>
      </c>
      <c r="Q1264" s="6" t="s">
        <v>9549</v>
      </c>
    </row>
    <row r="1265" spans="1:17" x14ac:dyDescent="0.25">
      <c r="A1265" s="5" t="str">
        <f>IF(TRIM(I1265)="","",E1265)</f>
        <v/>
      </c>
      <c r="B1265" s="5" t="str">
        <f>IF(TRIM(J1265)="","",H1265)</f>
        <v/>
      </c>
      <c r="C1265" s="5" t="str">
        <f>LEFT(F1265,FIND(".",F1265,6))</f>
        <v>Exif.OlympusRi.</v>
      </c>
      <c r="D1265" s="5" t="str">
        <f>VLOOKUP(C1265,PrefixUebersetzung,2,FALSE)</f>
        <v>Exif.OlympusRi.</v>
      </c>
      <c r="E1265" s="5" t="str">
        <f>MID(F1265,FIND(".",F1265,6)+1,99)</f>
        <v>WB_RBLevelsAuto</v>
      </c>
      <c r="F1265" s="5" t="s">
        <v>1117</v>
      </c>
      <c r="G1265" s="5" t="s">
        <v>9664</v>
      </c>
      <c r="H1265" s="6" t="s">
        <v>2942</v>
      </c>
      <c r="I1265" s="7"/>
      <c r="K1265" s="26"/>
      <c r="N1265" s="6"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xml:space="preserve">Suffix not translated Description not translated </v>
      </c>
      <c r="O1265" s="6" t="s">
        <v>8574</v>
      </c>
      <c r="P1265" s="6" t="s">
        <v>8574</v>
      </c>
    </row>
    <row r="1266" spans="1:17" x14ac:dyDescent="0.25">
      <c r="A1266" s="5" t="str">
        <f>IF(TRIM(I1266)="","",E1266)</f>
        <v/>
      </c>
      <c r="B1266" s="5" t="str">
        <f>IF(TRIM(J1266)="","",H1266)</f>
        <v/>
      </c>
      <c r="C1266" s="5" t="str">
        <f>LEFT(F1266,FIND(".",F1266,6))</f>
        <v>Exif.OlympusRi.</v>
      </c>
      <c r="D1266" s="5" t="str">
        <f>VLOOKUP(C1266,PrefixUebersetzung,2,FALSE)</f>
        <v>Exif.OlympusRi.</v>
      </c>
      <c r="E1266" s="5" t="str">
        <f>MID(F1266,FIND(".",F1266,6)+1,99)</f>
        <v>WB_RBLevelsCloudy</v>
      </c>
      <c r="F1266" s="5" t="s">
        <v>1118</v>
      </c>
      <c r="G1266" s="5" t="s">
        <v>9664</v>
      </c>
      <c r="H1266" s="6" t="s">
        <v>2943</v>
      </c>
      <c r="I1266" s="7"/>
      <c r="K1266" s="26"/>
      <c r="N1266" s="6"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xml:space="preserve">Suffix not translated Description not translated </v>
      </c>
      <c r="O1266" s="6" t="s">
        <v>8574</v>
      </c>
      <c r="P1266" s="6" t="s">
        <v>8574</v>
      </c>
    </row>
    <row r="1267" spans="1:17" x14ac:dyDescent="0.25">
      <c r="A1267" s="5" t="str">
        <f>IF(TRIM(I1267)="","",E1267)</f>
        <v/>
      </c>
      <c r="B1267" s="5" t="str">
        <f>IF(TRIM(J1267)="","",H1267)</f>
        <v/>
      </c>
      <c r="C1267" s="5" t="str">
        <f>LEFT(F1267,FIND(".",F1267,6))</f>
        <v>Exif.OlympusRi.</v>
      </c>
      <c r="D1267" s="5" t="str">
        <f>VLOOKUP(C1267,PrefixUebersetzung,2,FALSE)</f>
        <v>Exif.OlympusRi.</v>
      </c>
      <c r="E1267" s="5" t="str">
        <f>MID(F1267,FIND(".",F1267,6)+1,99)</f>
        <v>WB_RBLevelsCoolWhiteFluor</v>
      </c>
      <c r="F1267" s="5" t="s">
        <v>1119</v>
      </c>
      <c r="G1267" s="5" t="s">
        <v>9664</v>
      </c>
      <c r="H1267" s="6" t="s">
        <v>2944</v>
      </c>
      <c r="I1267" s="7"/>
      <c r="K1267" s="26"/>
      <c r="N1267" s="6"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xml:space="preserve">Suffix not translated Description not translated </v>
      </c>
      <c r="O1267" s="6" t="s">
        <v>8574</v>
      </c>
      <c r="P1267" s="6" t="s">
        <v>8574</v>
      </c>
    </row>
    <row r="1268" spans="1:17" x14ac:dyDescent="0.25">
      <c r="A1268" s="5" t="str">
        <f>IF(TRIM(I1268)="","",E1268)</f>
        <v/>
      </c>
      <c r="B1268" s="5" t="str">
        <f>IF(TRIM(J1268)="","",H1268)</f>
        <v/>
      </c>
      <c r="C1268" s="5" t="str">
        <f>LEFT(F1268,FIND(".",F1268,6))</f>
        <v>Exif.OlympusRi.</v>
      </c>
      <c r="D1268" s="5" t="str">
        <f>VLOOKUP(C1268,PrefixUebersetzung,2,FALSE)</f>
        <v>Exif.OlympusRi.</v>
      </c>
      <c r="E1268" s="5" t="str">
        <f>MID(F1268,FIND(".",F1268,6)+1,99)</f>
        <v>WB_RBLevelsDaylightFluor</v>
      </c>
      <c r="F1268" s="5" t="s">
        <v>1120</v>
      </c>
      <c r="G1268" s="5" t="s">
        <v>9664</v>
      </c>
      <c r="H1268" s="6" t="s">
        <v>2945</v>
      </c>
      <c r="I1268" s="7"/>
      <c r="K1268" s="26"/>
      <c r="N1268" s="6"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xml:space="preserve">Suffix not translated Description not translated </v>
      </c>
      <c r="O1268" s="6" t="s">
        <v>8574</v>
      </c>
      <c r="P1268" s="6" t="s">
        <v>8574</v>
      </c>
    </row>
    <row r="1269" spans="1:17" x14ac:dyDescent="0.25">
      <c r="A1269" s="5" t="str">
        <f>IF(TRIM(I1269)="","",E1269)</f>
        <v/>
      </c>
      <c r="B1269" s="5" t="str">
        <f>IF(TRIM(J1269)="","",H1269)</f>
        <v/>
      </c>
      <c r="C1269" s="5" t="str">
        <f>LEFT(F1269,FIND(".",F1269,6))</f>
        <v>Exif.OlympusRi.</v>
      </c>
      <c r="D1269" s="5" t="str">
        <f>VLOOKUP(C1269,PrefixUebersetzung,2,FALSE)</f>
        <v>Exif.OlympusRi.</v>
      </c>
      <c r="E1269" s="5" t="str">
        <f>MID(F1269,FIND(".",F1269,6)+1,99)</f>
        <v>WB_RBLevelsDayWhiteFluor</v>
      </c>
      <c r="F1269" s="5" t="s">
        <v>1121</v>
      </c>
      <c r="G1269" s="5" t="s">
        <v>9664</v>
      </c>
      <c r="H1269" s="6" t="s">
        <v>2946</v>
      </c>
      <c r="I1269" s="7"/>
      <c r="K1269" s="26"/>
      <c r="N1269" s="6"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xml:space="preserve">Suffix not translated Description not translated </v>
      </c>
      <c r="O1269" s="6" t="s">
        <v>8574</v>
      </c>
      <c r="P1269" s="6" t="s">
        <v>8574</v>
      </c>
    </row>
    <row r="1270" spans="1:17" x14ac:dyDescent="0.25">
      <c r="A1270" s="5" t="str">
        <f>IF(TRIM(I1270)="","",E1270)</f>
        <v/>
      </c>
      <c r="B1270" s="5" t="str">
        <f>IF(TRIM(J1270)="","",H1270)</f>
        <v/>
      </c>
      <c r="C1270" s="5" t="str">
        <f>LEFT(F1270,FIND(".",F1270,6))</f>
        <v>Exif.OlympusRi.</v>
      </c>
      <c r="D1270" s="5" t="str">
        <f>VLOOKUP(C1270,PrefixUebersetzung,2,FALSE)</f>
        <v>Exif.OlympusRi.</v>
      </c>
      <c r="E1270" s="5" t="str">
        <f>MID(F1270,FIND(".",F1270,6)+1,99)</f>
        <v>WB_RBLevelsEveningSunlight</v>
      </c>
      <c r="F1270" s="5" t="s">
        <v>1122</v>
      </c>
      <c r="G1270" s="5" t="s">
        <v>9664</v>
      </c>
      <c r="H1270" s="6" t="s">
        <v>2947</v>
      </c>
      <c r="I1270" s="7"/>
      <c r="K1270" s="26"/>
      <c r="N1270" s="6"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xml:space="preserve">Suffix not translated Description not translated </v>
      </c>
      <c r="O1270" s="6" t="s">
        <v>8574</v>
      </c>
      <c r="P1270" s="6" t="s">
        <v>8574</v>
      </c>
    </row>
    <row r="1271" spans="1:17" x14ac:dyDescent="0.25">
      <c r="A1271" s="5" t="str">
        <f>IF(TRIM(I1271)="","",E1271)</f>
        <v/>
      </c>
      <c r="B1271" s="5" t="str">
        <f>IF(TRIM(J1271)="","",H1271)</f>
        <v/>
      </c>
      <c r="C1271" s="5" t="str">
        <f>LEFT(F1271,FIND(".",F1271,6))</f>
        <v>Exif.OlympusRi.</v>
      </c>
      <c r="D1271" s="5" t="str">
        <f>VLOOKUP(C1271,PrefixUebersetzung,2,FALSE)</f>
        <v>Exif.OlympusRi.</v>
      </c>
      <c r="E1271" s="5" t="str">
        <f>MID(F1271,FIND(".",F1271,6)+1,99)</f>
        <v>WB_RBLevelsFineWeather</v>
      </c>
      <c r="F1271" s="5" t="s">
        <v>1123</v>
      </c>
      <c r="G1271" s="5" t="s">
        <v>9664</v>
      </c>
      <c r="H1271" s="6" t="s">
        <v>2948</v>
      </c>
      <c r="I1271" s="7"/>
      <c r="K1271" s="26"/>
      <c r="N1271" s="6"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xml:space="preserve">Suffix not translated Description not translated </v>
      </c>
      <c r="O1271" s="6" t="s">
        <v>8574</v>
      </c>
      <c r="P1271" s="6" t="s">
        <v>8574</v>
      </c>
    </row>
    <row r="1272" spans="1:17" x14ac:dyDescent="0.25">
      <c r="A1272" s="5" t="str">
        <f>IF(TRIM(I1272)="","",E1272)</f>
        <v/>
      </c>
      <c r="B1272" s="5" t="str">
        <f>IF(TRIM(J1272)="","",H1272)</f>
        <v/>
      </c>
      <c r="C1272" s="5" t="str">
        <f>LEFT(F1272,FIND(".",F1272,6))</f>
        <v>Exif.OlympusRi.</v>
      </c>
      <c r="D1272" s="5" t="str">
        <f>VLOOKUP(C1272,PrefixUebersetzung,2,FALSE)</f>
        <v>Exif.OlympusRi.</v>
      </c>
      <c r="E1272" s="5" t="str">
        <f>MID(F1272,FIND(".",F1272,6)+1,99)</f>
        <v>WB_RBLevelsShade</v>
      </c>
      <c r="F1272" s="5" t="s">
        <v>1124</v>
      </c>
      <c r="G1272" s="5" t="s">
        <v>9664</v>
      </c>
      <c r="H1272" s="6" t="s">
        <v>2949</v>
      </c>
      <c r="I1272" s="7"/>
      <c r="K1272" s="26"/>
      <c r="N1272" s="6"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xml:space="preserve">Suffix not translated Description not translated </v>
      </c>
      <c r="O1272" s="6" t="s">
        <v>8574</v>
      </c>
      <c r="P1272" s="6" t="s">
        <v>8574</v>
      </c>
    </row>
    <row r="1273" spans="1:17" x14ac:dyDescent="0.25">
      <c r="A1273" s="5" t="str">
        <f>IF(TRIM(I1273)="","",E1273)</f>
        <v/>
      </c>
      <c r="B1273" s="5" t="str">
        <f>IF(TRIM(J1273)="","",H1273)</f>
        <v/>
      </c>
      <c r="C1273" s="5" t="str">
        <f>LEFT(F1273,FIND(".",F1273,6))</f>
        <v>Exif.OlympusRi.</v>
      </c>
      <c r="D1273" s="5" t="str">
        <f>VLOOKUP(C1273,PrefixUebersetzung,2,FALSE)</f>
        <v>Exif.OlympusRi.</v>
      </c>
      <c r="E1273" s="5" t="str">
        <f>MID(F1273,FIND(".",F1273,6)+1,99)</f>
        <v>WB_RBLevelsTungsten</v>
      </c>
      <c r="F1273" s="5" t="s">
        <v>1125</v>
      </c>
      <c r="G1273" s="5" t="s">
        <v>9664</v>
      </c>
      <c r="H1273" s="6" t="s">
        <v>2950</v>
      </c>
      <c r="I1273" s="7"/>
      <c r="K1273" s="26"/>
      <c r="N1273" s="6"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xml:space="preserve">Suffix not translated Description not translated </v>
      </c>
      <c r="O1273" s="6" t="s">
        <v>8574</v>
      </c>
      <c r="P1273" s="6" t="s">
        <v>8574</v>
      </c>
    </row>
    <row r="1274" spans="1:17" x14ac:dyDescent="0.25">
      <c r="A1274" s="5" t="str">
        <f>IF(TRIM(I1274)="","",E1274)</f>
        <v/>
      </c>
      <c r="B1274" s="5" t="str">
        <f>IF(TRIM(J1274)="","",H1274)</f>
        <v/>
      </c>
      <c r="C1274" s="5" t="str">
        <f>LEFT(F1274,FIND(".",F1274,6))</f>
        <v>Exif.OlympusRi.</v>
      </c>
      <c r="D1274" s="5" t="str">
        <f>VLOOKUP(C1274,PrefixUebersetzung,2,FALSE)</f>
        <v>Exif.OlympusRi.</v>
      </c>
      <c r="E1274" s="5" t="str">
        <f>MID(F1274,FIND(".",F1274,6)+1,99)</f>
        <v>WB_RBLevelsUsed</v>
      </c>
      <c r="F1274" s="5" t="s">
        <v>1126</v>
      </c>
      <c r="G1274" s="5" t="s">
        <v>9664</v>
      </c>
      <c r="H1274" s="6" t="s">
        <v>2951</v>
      </c>
      <c r="I1274" s="7"/>
      <c r="K1274" s="26"/>
      <c r="N1274" s="6"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xml:space="preserve">Suffix not translated Description not translated </v>
      </c>
      <c r="O1274" s="6" t="s">
        <v>8574</v>
      </c>
      <c r="P1274" s="6" t="s">
        <v>8574</v>
      </c>
    </row>
    <row r="1275" spans="1:17" x14ac:dyDescent="0.25">
      <c r="A1275" s="5" t="str">
        <f>IF(TRIM(I1275)="","",E1275)</f>
        <v/>
      </c>
      <c r="B1275" s="5" t="str">
        <f>IF(TRIM(J1275)="","",H1275)</f>
        <v/>
      </c>
      <c r="C1275" s="5" t="str">
        <f>LEFT(F1275,FIND(".",F1275,6))</f>
        <v>Exif.OlympusRi.</v>
      </c>
      <c r="D1275" s="5" t="str">
        <f>VLOOKUP(C1275,PrefixUebersetzung,2,FALSE)</f>
        <v>Exif.OlympusRi.</v>
      </c>
      <c r="E1275" s="5" t="str">
        <f>MID(F1275,FIND(".",F1275,6)+1,99)</f>
        <v>WB_RBLevelsWhiteFluorescent</v>
      </c>
      <c r="F1275" s="5" t="s">
        <v>1127</v>
      </c>
      <c r="G1275" s="5" t="s">
        <v>9664</v>
      </c>
      <c r="H1275" s="6" t="s">
        <v>2952</v>
      </c>
      <c r="I1275" s="7"/>
      <c r="K1275" s="26"/>
      <c r="N1275" s="6"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xml:space="preserve">Suffix not translated Description not translated </v>
      </c>
      <c r="O1275" s="6" t="s">
        <v>8574</v>
      </c>
      <c r="P1275" s="6" t="s">
        <v>8574</v>
      </c>
    </row>
    <row r="1276" spans="1:17" x14ac:dyDescent="0.25">
      <c r="A1276" s="5" t="str">
        <f>IF(TRIM(I1276)="","",E1276)</f>
        <v>WhiteBalanceComp</v>
      </c>
      <c r="B1276" s="5" t="str">
        <f>IF(TRIM(J1276)="","",H1276)</f>
        <v>White balance comp</v>
      </c>
      <c r="C1276" s="5" t="str">
        <f>LEFT(F1276,FIND(".",F1276,6))</f>
        <v>Exif.OlympusRi.</v>
      </c>
      <c r="D1276" s="5" t="str">
        <f>VLOOKUP(C1276,PrefixUebersetzung,2,FALSE)</f>
        <v>Exif.OlympusRi.</v>
      </c>
      <c r="E1276" s="5" t="str">
        <f>MID(F1276,FIND(".",F1276,6)+1,99)</f>
        <v>WhiteBalanceComp</v>
      </c>
      <c r="F1276" s="5" t="s">
        <v>1128</v>
      </c>
      <c r="G1276" s="5" t="s">
        <v>9665</v>
      </c>
      <c r="H1276" s="6" t="s">
        <v>2953</v>
      </c>
      <c r="I1276" s="24" t="s">
        <v>4397</v>
      </c>
      <c r="J1276" s="8" t="s">
        <v>4397</v>
      </c>
      <c r="K1276" s="26"/>
      <c r="N1276" s="6"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c r="O1276" s="6" t="s">
        <v>8574</v>
      </c>
      <c r="P1276" s="6" t="s">
        <v>8574</v>
      </c>
      <c r="Q1276" s="6" t="s">
        <v>9174</v>
      </c>
    </row>
    <row r="1277" spans="1:17" x14ac:dyDescent="0.25">
      <c r="A1277" s="5" t="str">
        <f>IF(TRIM(I1277)="","",E1277)</f>
        <v/>
      </c>
      <c r="B1277" s="5" t="str">
        <f>IF(TRIM(J1277)="","",H1277)</f>
        <v>YCbCr coefficients</v>
      </c>
      <c r="C1277" s="5" t="str">
        <f>LEFT(F1277,FIND(".",F1277,6))</f>
        <v>Exif.OlympusRi.</v>
      </c>
      <c r="D1277" s="5" t="str">
        <f>VLOOKUP(C1277,PrefixUebersetzung,2,FALSE)</f>
        <v>Exif.OlympusRi.</v>
      </c>
      <c r="E1277" s="5" t="str">
        <f>MID(F1277,FIND(".",F1277,6)+1,99)</f>
        <v>YCbCrCoefficients</v>
      </c>
      <c r="F1277" s="5" t="s">
        <v>1129</v>
      </c>
      <c r="G1277" s="5" t="s">
        <v>9664</v>
      </c>
      <c r="H1277" s="6" t="s">
        <v>2954</v>
      </c>
      <c r="I1277" s="7"/>
      <c r="J1277" s="14" t="s">
        <v>4051</v>
      </c>
      <c r="K1277" s="26"/>
      <c r="L1277" s="6" t="str">
        <f>IFERROR(VLOOKUP(E1277,A:I,9, FALSE),"")</f>
        <v>YCbCr Koeffizienten</v>
      </c>
      <c r="N1277" s="6"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c r="P1277" s="6" t="s">
        <v>8574</v>
      </c>
      <c r="Q1277" s="6" t="s">
        <v>5171</v>
      </c>
    </row>
    <row r="1278" spans="1:17" x14ac:dyDescent="0.25">
      <c r="A1278" s="5" t="str">
        <f>IF(TRIM(I1278)="","",E1278)</f>
        <v/>
      </c>
      <c r="B1278" s="5" t="str">
        <f>IF(TRIM(J1278)="","",H1278)</f>
        <v/>
      </c>
      <c r="C1278" s="5" t="str">
        <f>LEFT(F1278,FIND(".",F1278,6))</f>
        <v>Exif.Panasonic.</v>
      </c>
      <c r="D1278" s="5" t="str">
        <f>VLOOKUP(C1278,PrefixUebersetzung,2,FALSE)</f>
        <v>Exif.Panasonic.</v>
      </c>
      <c r="E1278" s="5" t="str">
        <f>MID(F1278,FIND(".",F1278,6)+1,99)</f>
        <v>0x0004</v>
      </c>
      <c r="F1278" s="5" t="s">
        <v>1130</v>
      </c>
      <c r="G1278" s="5" t="s">
        <v>9664</v>
      </c>
      <c r="H1278" s="6" t="s">
        <v>2138</v>
      </c>
      <c r="I1278" s="7"/>
      <c r="K1278" s="26"/>
      <c r="M1278" s="6" t="str">
        <f>IFERROR(VLOOKUP(H1278,B:J,9,FALSE),"")</f>
        <v>Unbekannt</v>
      </c>
      <c r="N1278" s="6"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xml:space="preserve">Suffix not translated </v>
      </c>
      <c r="O1278" s="6" t="s">
        <v>8574</v>
      </c>
    </row>
    <row r="1279" spans="1:17" x14ac:dyDescent="0.25">
      <c r="A1279" s="5" t="str">
        <f>IF(TRIM(I1279)="","",E1279)</f>
        <v/>
      </c>
      <c r="B1279" s="5" t="str">
        <f>IF(TRIM(J1279)="","",H1279)</f>
        <v/>
      </c>
      <c r="C1279" s="5" t="str">
        <f>LEFT(F1279,FIND(".",F1279,6))</f>
        <v>Exif.Panasonic.</v>
      </c>
      <c r="D1279" s="5" t="str">
        <f>VLOOKUP(C1279,PrefixUebersetzung,2,FALSE)</f>
        <v>Exif.Panasonic.</v>
      </c>
      <c r="E1279" s="5" t="str">
        <f>MID(F1279,FIND(".",F1279,6)+1,99)</f>
        <v>0x0022</v>
      </c>
      <c r="F1279" s="5" t="s">
        <v>1131</v>
      </c>
      <c r="G1279" s="5" t="s">
        <v>9664</v>
      </c>
      <c r="H1279" s="6" t="s">
        <v>2138</v>
      </c>
      <c r="I1279" s="7"/>
      <c r="K1279" s="26"/>
      <c r="M1279" s="6" t="str">
        <f>IFERROR(VLOOKUP(H1279,B:J,9,FALSE),"")</f>
        <v>Unbekannt</v>
      </c>
      <c r="N1279" s="6"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xml:space="preserve">Suffix not translated </v>
      </c>
      <c r="O1279" s="6" t="s">
        <v>8574</v>
      </c>
    </row>
    <row r="1280" spans="1:17" x14ac:dyDescent="0.25">
      <c r="A1280" s="5" t="str">
        <f>IF(TRIM(I1280)="","",E1280)</f>
        <v/>
      </c>
      <c r="B1280" s="5" t="str">
        <f>IF(TRIM(J1280)="","",H1280)</f>
        <v/>
      </c>
      <c r="C1280" s="5" t="str">
        <f>LEFT(F1280,FIND(".",F1280,6))</f>
        <v>Exif.Panasonic.</v>
      </c>
      <c r="D1280" s="5" t="str">
        <f>VLOOKUP(C1280,PrefixUebersetzung,2,FALSE)</f>
        <v>Exif.Panasonic.</v>
      </c>
      <c r="E1280" s="5" t="str">
        <f>MID(F1280,FIND(".",F1280,6)+1,99)</f>
        <v>0x0027</v>
      </c>
      <c r="F1280" s="5" t="s">
        <v>1132</v>
      </c>
      <c r="G1280" s="5" t="s">
        <v>9664</v>
      </c>
      <c r="H1280" s="6" t="s">
        <v>2138</v>
      </c>
      <c r="I1280" s="7"/>
      <c r="K1280" s="26"/>
      <c r="M1280" s="6" t="str">
        <f>IFERROR(VLOOKUP(H1280,B:J,9,FALSE),"")</f>
        <v>Unbekannt</v>
      </c>
      <c r="N1280" s="6"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xml:space="preserve">Suffix not translated </v>
      </c>
      <c r="O1280" s="6" t="s">
        <v>8574</v>
      </c>
    </row>
    <row r="1281" spans="1:17" x14ac:dyDescent="0.25">
      <c r="A1281" s="5" t="str">
        <f>IF(TRIM(I1281)="","",E1281)</f>
        <v/>
      </c>
      <c r="B1281" s="5" t="str">
        <f>IF(TRIM(J1281)="","",H1281)</f>
        <v/>
      </c>
      <c r="C1281" s="5" t="str">
        <f>LEFT(F1281,FIND(".",F1281,6))</f>
        <v>Exif.Panasonic.</v>
      </c>
      <c r="D1281" s="5" t="str">
        <f>VLOOKUP(C1281,PrefixUebersetzung,2,FALSE)</f>
        <v>Exif.Panasonic.</v>
      </c>
      <c r="E1281" s="5" t="str">
        <f>MID(F1281,FIND(".",F1281,6)+1,99)</f>
        <v>0x002f</v>
      </c>
      <c r="F1281" s="5" t="s">
        <v>1133</v>
      </c>
      <c r="G1281" s="5" t="s">
        <v>9664</v>
      </c>
      <c r="H1281" s="6" t="s">
        <v>2138</v>
      </c>
      <c r="I1281" s="7"/>
      <c r="K1281" s="26"/>
      <c r="M1281" s="6" t="str">
        <f>IFERROR(VLOOKUP(H1281,B:J,9,FALSE),"")</f>
        <v>Unbekannt</v>
      </c>
      <c r="N1281" s="6"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xml:space="preserve">Suffix not translated </v>
      </c>
      <c r="O1281" s="6" t="s">
        <v>8574</v>
      </c>
    </row>
    <row r="1282" spans="1:17" x14ac:dyDescent="0.25">
      <c r="A1282" s="5" t="str">
        <f>IF(TRIM(I1282)="","",E1282)</f>
        <v/>
      </c>
      <c r="B1282" s="5" t="str">
        <f>IF(TRIM(J1282)="","",H1282)</f>
        <v/>
      </c>
      <c r="C1282" s="5" t="str">
        <f>LEFT(F1282,FIND(".",F1282,6))</f>
        <v>Exif.Panasonic.</v>
      </c>
      <c r="D1282" s="5" t="str">
        <f>VLOOKUP(C1282,PrefixUebersetzung,2,FALSE)</f>
        <v>Exif.Panasonic.</v>
      </c>
      <c r="E1282" s="5" t="str">
        <f>MID(F1282,FIND(".",F1282,6)+1,99)</f>
        <v>0x4449</v>
      </c>
      <c r="F1282" s="5" t="s">
        <v>1134</v>
      </c>
      <c r="G1282" s="5" t="s">
        <v>9669</v>
      </c>
      <c r="H1282" s="6" t="s">
        <v>2138</v>
      </c>
      <c r="I1282" s="7"/>
      <c r="K1282" s="26"/>
      <c r="M1282" s="6" t="str">
        <f>IFERROR(VLOOKUP(H1282,B:J,9,FALSE),"")</f>
        <v>Unbekannt</v>
      </c>
      <c r="N1282" s="6"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xml:space="preserve">Suffix not translated </v>
      </c>
      <c r="O1282" s="6" t="s">
        <v>8574</v>
      </c>
    </row>
    <row r="1283" spans="1:17" x14ac:dyDescent="0.25">
      <c r="A1283" s="5" t="str">
        <f>IF(TRIM(I1283)="","",E1283)</f>
        <v>AccelerometerX</v>
      </c>
      <c r="B1283" s="5" t="str">
        <f>IF(TRIM(J1283)="","",H1283)</f>
        <v>positive is acceleration to the left</v>
      </c>
      <c r="C1283" s="5" t="str">
        <f>LEFT(F1283,FIND(".",F1283,6))</f>
        <v>Exif.Panasonic.</v>
      </c>
      <c r="D1283" s="5" t="str">
        <f>VLOOKUP(C1283,PrefixUebersetzung,2,FALSE)</f>
        <v>Exif.Panasonic.</v>
      </c>
      <c r="E1283" s="5" t="str">
        <f>MID(F1283,FIND(".",F1283,6)+1,99)</f>
        <v>AccelerometerX</v>
      </c>
      <c r="F1283" s="2" t="s">
        <v>7046</v>
      </c>
      <c r="G1283" s="5" t="s">
        <v>9664</v>
      </c>
      <c r="H1283" s="3" t="s">
        <v>7047</v>
      </c>
      <c r="I1283" s="7" t="s">
        <v>7673</v>
      </c>
      <c r="J1283" s="8" t="s">
        <v>7913</v>
      </c>
      <c r="K1283" s="26"/>
      <c r="N1283" s="6"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c r="O1283" s="6" t="s">
        <v>8574</v>
      </c>
      <c r="P1283" s="6" t="s">
        <v>8574</v>
      </c>
    </row>
    <row r="1284" spans="1:17" x14ac:dyDescent="0.25">
      <c r="A1284" s="5" t="str">
        <f>IF(TRIM(I1284)="","",E1284)</f>
        <v>AccelerometerY</v>
      </c>
      <c r="B1284" s="5" t="str">
        <f>IF(TRIM(J1284)="","",H1284)</f>
        <v>positive is acceleration backwards</v>
      </c>
      <c r="C1284" s="5" t="str">
        <f>LEFT(F1284,FIND(".",F1284,6))</f>
        <v>Exif.Panasonic.</v>
      </c>
      <c r="D1284" s="5" t="str">
        <f>VLOOKUP(C1284,PrefixUebersetzung,2,FALSE)</f>
        <v>Exif.Panasonic.</v>
      </c>
      <c r="E1284" s="5" t="str">
        <f>MID(F1284,FIND(".",F1284,6)+1,99)</f>
        <v>AccelerometerY</v>
      </c>
      <c r="F1284" s="2" t="s">
        <v>7048</v>
      </c>
      <c r="G1284" s="5" t="s">
        <v>9664</v>
      </c>
      <c r="H1284" s="3" t="s">
        <v>7049</v>
      </c>
      <c r="I1284" s="7" t="s">
        <v>7675</v>
      </c>
      <c r="J1284" s="8" t="s">
        <v>7914</v>
      </c>
      <c r="K1284" s="26"/>
      <c r="N1284" s="6"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c r="O1284" s="6" t="s">
        <v>8574</v>
      </c>
      <c r="P1284" s="6" t="s">
        <v>8574</v>
      </c>
    </row>
    <row r="1285" spans="1:17" x14ac:dyDescent="0.25">
      <c r="A1285" s="5" t="str">
        <f>IF(TRIM(I1285)="","",E1285)</f>
        <v>AccelerometerZ</v>
      </c>
      <c r="B1285" s="5" t="str">
        <f>IF(TRIM(J1285)="","",H1285)</f>
        <v>positive is acceleration upwards</v>
      </c>
      <c r="C1285" s="5" t="str">
        <f>LEFT(F1285,FIND(".",F1285,6))</f>
        <v>Exif.Panasonic.</v>
      </c>
      <c r="D1285" s="5" t="str">
        <f>VLOOKUP(C1285,PrefixUebersetzung,2,FALSE)</f>
        <v>Exif.Panasonic.</v>
      </c>
      <c r="E1285" s="5" t="str">
        <f>MID(F1285,FIND(".",F1285,6)+1,99)</f>
        <v>AccelerometerZ</v>
      </c>
      <c r="F1285" s="2" t="s">
        <v>7050</v>
      </c>
      <c r="G1285" s="5" t="s">
        <v>9664</v>
      </c>
      <c r="H1285" s="3" t="s">
        <v>7051</v>
      </c>
      <c r="I1285" s="7" t="s">
        <v>7674</v>
      </c>
      <c r="J1285" s="8" t="s">
        <v>7915</v>
      </c>
      <c r="K1285" s="26"/>
      <c r="N1285" s="6"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c r="O1285" s="6" t="s">
        <v>8574</v>
      </c>
      <c r="P1285" s="6" t="s">
        <v>8574</v>
      </c>
    </row>
    <row r="1286" spans="1:17" x14ac:dyDescent="0.25">
      <c r="A1286" s="5" t="str">
        <f>IF(TRIM(I1286)="","",E1286)</f>
        <v>AccessorySerialNumber</v>
      </c>
      <c r="B1286" s="5" t="str">
        <f>IF(TRIM(J1286)="","",H1286)</f>
        <v>Accessory Serial Number</v>
      </c>
      <c r="C1286" s="5" t="str">
        <f>LEFT(F1286,FIND(".",F1286,6))</f>
        <v>Exif.Panasonic.</v>
      </c>
      <c r="D1286" s="5" t="str">
        <f>VLOOKUP(C1286,PrefixUebersetzung,2,FALSE)</f>
        <v>Exif.Panasonic.</v>
      </c>
      <c r="E1286" s="5" t="str">
        <f>MID(F1286,FIND(".",F1286,6)+1,99)</f>
        <v>AccessorySerialNumber</v>
      </c>
      <c r="F1286" s="2" t="s">
        <v>7052</v>
      </c>
      <c r="G1286" s="5" t="s">
        <v>9666</v>
      </c>
      <c r="H1286" s="3" t="s">
        <v>7053</v>
      </c>
      <c r="I1286" s="7" t="s">
        <v>7676</v>
      </c>
      <c r="J1286" s="14" t="s">
        <v>7676</v>
      </c>
      <c r="K1286" s="26"/>
      <c r="N1286" s="6"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c r="O1286" s="6" t="s">
        <v>8574</v>
      </c>
      <c r="P1286" s="6" t="s">
        <v>8574</v>
      </c>
      <c r="Q1286" s="6" t="s">
        <v>3958</v>
      </c>
    </row>
    <row r="1287" spans="1:17" x14ac:dyDescent="0.25">
      <c r="A1287" s="5" t="str">
        <f>IF(TRIM(I1287)="","",E1287)</f>
        <v>AccessoryType</v>
      </c>
      <c r="B1287" s="5" t="str">
        <f>IF(TRIM(J1287)="","",H1287)</f>
        <v>Accessory type</v>
      </c>
      <c r="C1287" s="5" t="str">
        <f>LEFT(F1287,FIND(".",F1287,6))</f>
        <v>Exif.Panasonic.</v>
      </c>
      <c r="D1287" s="5" t="str">
        <f>VLOOKUP(C1287,PrefixUebersetzung,2,FALSE)</f>
        <v>Exif.Panasonic.</v>
      </c>
      <c r="E1287" s="5" t="str">
        <f>MID(F1287,FIND(".",F1287,6)+1,99)</f>
        <v>AccessoryType</v>
      </c>
      <c r="F1287" s="5" t="s">
        <v>1135</v>
      </c>
      <c r="G1287" s="5" t="s">
        <v>9666</v>
      </c>
      <c r="H1287" s="6" t="s">
        <v>2955</v>
      </c>
      <c r="I1287" s="24" t="s">
        <v>4052</v>
      </c>
      <c r="J1287" s="14" t="s">
        <v>4052</v>
      </c>
      <c r="K1287" s="26"/>
      <c r="N1287" s="6"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c r="O1287" s="6" t="s">
        <v>8574</v>
      </c>
      <c r="P1287" s="6" t="s">
        <v>8574</v>
      </c>
      <c r="Q1287" s="6" t="s">
        <v>9125</v>
      </c>
    </row>
    <row r="1288" spans="1:17" x14ac:dyDescent="0.25">
      <c r="A1288" s="5" t="str">
        <f>IF(TRIM(I1288)="","",E1288)</f>
        <v>AdvancedSceneType</v>
      </c>
      <c r="B1288" s="5" t="str">
        <f>IF(TRIM(J1288)="","",H1288)</f>
        <v>Advanced Scene Type</v>
      </c>
      <c r="C1288" s="5" t="str">
        <f>LEFT(F1288,FIND(".",F1288,6))</f>
        <v>Exif.Panasonic.</v>
      </c>
      <c r="D1288" s="5" t="str">
        <f>VLOOKUP(C1288,PrefixUebersetzung,2,FALSE)</f>
        <v>Exif.Panasonic.</v>
      </c>
      <c r="E1288" s="5" t="str">
        <f>MID(F1288,FIND(".",F1288,6)+1,99)</f>
        <v>AdvancedSceneType</v>
      </c>
      <c r="F1288" s="2" t="s">
        <v>7054</v>
      </c>
      <c r="G1288" s="5" t="s">
        <v>9664</v>
      </c>
      <c r="H1288" s="3" t="s">
        <v>7055</v>
      </c>
      <c r="I1288" s="7" t="s">
        <v>7677</v>
      </c>
      <c r="J1288" s="14" t="s">
        <v>7677</v>
      </c>
      <c r="K1288" s="26"/>
      <c r="N1288" s="6"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c r="O1288" s="6" t="s">
        <v>8574</v>
      </c>
      <c r="P1288" s="6" t="s">
        <v>8574</v>
      </c>
      <c r="Q1288" s="6" t="s">
        <v>9129</v>
      </c>
    </row>
    <row r="1289" spans="1:17" x14ac:dyDescent="0.25">
      <c r="A1289" s="5" t="str">
        <f>IF(TRIM(I1289)="","",E1289)</f>
        <v>AFAssistLamp</v>
      </c>
      <c r="B1289" s="5" t="str">
        <f>IF(TRIM(J1289)="","",H1289)</f>
        <v>AF Assist Lamp</v>
      </c>
      <c r="C1289" s="5" t="str">
        <f>LEFT(F1289,FIND(".",F1289,6))</f>
        <v>Exif.Panasonic.</v>
      </c>
      <c r="D1289" s="5" t="str">
        <f>VLOOKUP(C1289,PrefixUebersetzung,2,FALSE)</f>
        <v>Exif.Panasonic.</v>
      </c>
      <c r="E1289" s="5" t="str">
        <f>MID(F1289,FIND(".",F1289,6)+1,99)</f>
        <v>AFAssistLamp</v>
      </c>
      <c r="F1289" s="2" t="s">
        <v>7056</v>
      </c>
      <c r="G1289" s="5" t="s">
        <v>9664</v>
      </c>
      <c r="H1289" s="3" t="s">
        <v>7057</v>
      </c>
      <c r="I1289" s="7" t="s">
        <v>7678</v>
      </c>
      <c r="J1289" s="14" t="s">
        <v>7678</v>
      </c>
      <c r="K1289" s="26"/>
      <c r="N1289" s="6"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c r="O1289" s="6" t="s">
        <v>8574</v>
      </c>
      <c r="P1289" s="6" t="s">
        <v>8574</v>
      </c>
      <c r="Q1289" s="6" t="s">
        <v>9108</v>
      </c>
    </row>
    <row r="1290" spans="1:17" x14ac:dyDescent="0.25">
      <c r="A1290" s="5" t="str">
        <f>IF(TRIM(I1290)="","",E1290)</f>
        <v/>
      </c>
      <c r="B1290" s="5" t="str">
        <f>IF(TRIM(J1290)="","",H1290)</f>
        <v/>
      </c>
      <c r="C1290" s="5" t="str">
        <f>LEFT(F1290,FIND(".",F1290,6))</f>
        <v>Exif.Panasonic.</v>
      </c>
      <c r="D1290" s="5" t="str">
        <f>VLOOKUP(C1290,PrefixUebersetzung,2,FALSE)</f>
        <v>Exif.Panasonic.</v>
      </c>
      <c r="E1290" s="5" t="str">
        <f>MID(F1290,FIND(".",F1290,6)+1,99)</f>
        <v>AFMode</v>
      </c>
      <c r="F1290" s="5" t="s">
        <v>1136</v>
      </c>
      <c r="G1290" s="5" t="s">
        <v>9670</v>
      </c>
      <c r="H1290" s="6" t="s">
        <v>2547</v>
      </c>
      <c r="I1290" s="24"/>
      <c r="J1290" s="13"/>
      <c r="K1290" s="26"/>
      <c r="L1290" s="6" t="str">
        <f>IFERROR(VLOOKUP(E1290,A:I,9, FALSE),"")</f>
        <v>AF Modus</v>
      </c>
      <c r="M1290" s="6" t="str">
        <f>IFERROR(VLOOKUP(H1290,B:J,9,FALSE),"")</f>
        <v>AF Modus</v>
      </c>
      <c r="N1290" s="6"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c>
    </row>
    <row r="1291" spans="1:17" x14ac:dyDescent="0.25">
      <c r="A1291" s="5" t="str">
        <f>IF(TRIM(I1291)="","",E1291)</f>
        <v/>
      </c>
      <c r="B1291" s="5" t="str">
        <f>IF(TRIM(J1291)="","",H1291)</f>
        <v/>
      </c>
      <c r="C1291" s="5" t="str">
        <f>LEFT(F1291,FIND(".",F1291,6))</f>
        <v>Exif.Panasonic.</v>
      </c>
      <c r="D1291" s="5" t="str">
        <f>VLOOKUP(C1291,PrefixUebersetzung,2,FALSE)</f>
        <v>Exif.Panasonic.</v>
      </c>
      <c r="E1291" s="5" t="str">
        <f>MID(F1291,FIND(".",F1291,6)+1,99)</f>
        <v>AFPointPosition</v>
      </c>
      <c r="F1291" s="2" t="s">
        <v>7058</v>
      </c>
      <c r="G1291" s="5" t="s">
        <v>9671</v>
      </c>
      <c r="H1291" s="3" t="s">
        <v>6965</v>
      </c>
      <c r="I1291" s="7"/>
      <c r="J1291" s="30"/>
      <c r="K1291" s="26"/>
      <c r="L1291" s="6" t="str">
        <f>IFERROR(VLOOKUP(E1291,A:I,9, FALSE),"")</f>
        <v>AF-Punkt Position</v>
      </c>
      <c r="M1291" s="6" t="str">
        <f>IFERROR(VLOOKUP(H1291,B:J,9,FALSE),"")</f>
        <v>AF-Punkt Position</v>
      </c>
      <c r="N1291" s="6"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7" x14ac:dyDescent="0.25">
      <c r="A1292" s="5" t="str">
        <f>IF(TRIM(I1292)="","",E1292)</f>
        <v>Audio</v>
      </c>
      <c r="B1292" s="5" t="str">
        <f>IF(TRIM(J1292)="","",H1292)</f>
        <v>Audio</v>
      </c>
      <c r="C1292" s="5" t="str">
        <f>LEFT(F1292,FIND(".",F1292,6))</f>
        <v>Exif.Panasonic.</v>
      </c>
      <c r="D1292" s="5" t="str">
        <f>VLOOKUP(C1292,PrefixUebersetzung,2,FALSE)</f>
        <v>Exif.Panasonic.</v>
      </c>
      <c r="E1292" s="5" t="str">
        <f>MID(F1292,FIND(".",F1292,6)+1,99)</f>
        <v>Audio</v>
      </c>
      <c r="F1292" s="5" t="s">
        <v>1137</v>
      </c>
      <c r="G1292" s="5" t="s">
        <v>9664</v>
      </c>
      <c r="H1292" s="6" t="s">
        <v>2956</v>
      </c>
      <c r="I1292" s="7" t="s">
        <v>2956</v>
      </c>
      <c r="J1292" s="30" t="s">
        <v>2956</v>
      </c>
      <c r="K1292" s="26"/>
      <c r="N1292" s="6"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c r="O1292" s="6" t="s">
        <v>8574</v>
      </c>
      <c r="P1292" s="6" t="s">
        <v>8574</v>
      </c>
      <c r="Q1292" s="6" t="s">
        <v>2956</v>
      </c>
    </row>
    <row r="1293" spans="1:17" x14ac:dyDescent="0.25">
      <c r="A1293" s="5" t="str">
        <f>IF(TRIM(I1293)="","",E1293)</f>
        <v>BabyAge1</v>
      </c>
      <c r="B1293" s="5" t="str">
        <f>IF(TRIM(J1293)="","",H1293)</f>
        <v>Baby (or pet) age 1</v>
      </c>
      <c r="C1293" s="5" t="str">
        <f>LEFT(F1293,FIND(".",F1293,6))</f>
        <v>Exif.Panasonic.</v>
      </c>
      <c r="D1293" s="5" t="str">
        <f>VLOOKUP(C1293,PrefixUebersetzung,2,FALSE)</f>
        <v>Exif.Panasonic.</v>
      </c>
      <c r="E1293" s="5" t="str">
        <f>MID(F1293,FIND(".",F1293,6)+1,99)</f>
        <v>BabyAge1</v>
      </c>
      <c r="F1293" s="2" t="s">
        <v>7059</v>
      </c>
      <c r="G1293" s="5" t="s">
        <v>9666</v>
      </c>
      <c r="H1293" s="3" t="s">
        <v>7060</v>
      </c>
      <c r="I1293" s="7" t="s">
        <v>7667</v>
      </c>
      <c r="J1293" s="30" t="s">
        <v>7916</v>
      </c>
      <c r="K1293" s="26"/>
      <c r="N1293" s="6"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c r="O1293" s="6" t="s">
        <v>8574</v>
      </c>
      <c r="P1293" s="6" t="s">
        <v>8574</v>
      </c>
    </row>
    <row r="1294" spans="1:17" x14ac:dyDescent="0.25">
      <c r="A1294" s="5" t="str">
        <f>IF(TRIM(I1294)="","",E1294)</f>
        <v>BabyAge2</v>
      </c>
      <c r="B1294" s="5" t="str">
        <f>IF(TRIM(J1294)="","",H1294)</f>
        <v>Baby (or pet) age 2</v>
      </c>
      <c r="C1294" s="5" t="str">
        <f>LEFT(F1294,FIND(".",F1294,6))</f>
        <v>Exif.Panasonic.</v>
      </c>
      <c r="D1294" s="5" t="str">
        <f>VLOOKUP(C1294,PrefixUebersetzung,2,FALSE)</f>
        <v>Exif.Panasonic.</v>
      </c>
      <c r="E1294" s="5" t="str">
        <f>MID(F1294,FIND(".",F1294,6)+1,99)</f>
        <v>BabyAge2</v>
      </c>
      <c r="F1294" s="2" t="s">
        <v>7061</v>
      </c>
      <c r="G1294" s="5" t="s">
        <v>9666</v>
      </c>
      <c r="H1294" s="3" t="s">
        <v>7062</v>
      </c>
      <c r="I1294" s="7" t="s">
        <v>7668</v>
      </c>
      <c r="J1294" s="30" t="s">
        <v>7917</v>
      </c>
      <c r="K1294" s="26"/>
      <c r="N1294" s="6"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c>
      <c r="O1294" s="6" t="s">
        <v>8574</v>
      </c>
      <c r="P1294" s="6" t="s">
        <v>8574</v>
      </c>
    </row>
    <row r="1295" spans="1:17" x14ac:dyDescent="0.25">
      <c r="A1295" s="5" t="str">
        <f>IF(TRIM(I1295)="","",E1295)</f>
        <v>BabyName</v>
      </c>
      <c r="B1295" s="5" t="str">
        <f>IF(TRIM(J1295)="","",H1295)</f>
        <v>Baby name (or pet name)</v>
      </c>
      <c r="C1295" s="5" t="str">
        <f>LEFT(F1295,FIND(".",F1295,6))</f>
        <v>Exif.Panasonic.</v>
      </c>
      <c r="D1295" s="5" t="str">
        <f>VLOOKUP(C1295,PrefixUebersetzung,2,FALSE)</f>
        <v>Exif.Panasonic.</v>
      </c>
      <c r="E1295" s="5" t="str">
        <f>MID(F1295,FIND(".",F1295,6)+1,99)</f>
        <v>BabyName</v>
      </c>
      <c r="F1295" s="2" t="s">
        <v>7063</v>
      </c>
      <c r="G1295" s="5" t="s">
        <v>9669</v>
      </c>
      <c r="H1295" s="3" t="s">
        <v>7064</v>
      </c>
      <c r="I1295" s="7" t="s">
        <v>7669</v>
      </c>
      <c r="J1295" s="30" t="s">
        <v>7918</v>
      </c>
      <c r="K1295" s="26"/>
      <c r="N1295" s="6"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c r="O1295" s="6" t="s">
        <v>8574</v>
      </c>
      <c r="P1295" s="6" t="s">
        <v>8574</v>
      </c>
    </row>
    <row r="1296" spans="1:17" x14ac:dyDescent="0.25">
      <c r="A1296" s="5" t="str">
        <f>IF(TRIM(I1296)="","",E1296)</f>
        <v>BracketSettings</v>
      </c>
      <c r="B1296" s="5" t="str">
        <f>IF(TRIM(J1296)="","",H1296)</f>
        <v>Bracket Settings</v>
      </c>
      <c r="C1296" s="5" t="str">
        <f>LEFT(F1296,FIND(".",F1296,6))</f>
        <v>Exif.Panasonic.</v>
      </c>
      <c r="D1296" s="5" t="str">
        <f>VLOOKUP(C1296,PrefixUebersetzung,2,FALSE)</f>
        <v>Exif.Panasonic.</v>
      </c>
      <c r="E1296" s="5" t="str">
        <f>MID(F1296,FIND(".",F1296,6)+1,99)</f>
        <v>BracketSettings</v>
      </c>
      <c r="F1296" s="2" t="s">
        <v>7065</v>
      </c>
      <c r="G1296" s="5" t="s">
        <v>9664</v>
      </c>
      <c r="H1296" s="3" t="s">
        <v>7066</v>
      </c>
      <c r="I1296" s="7" t="s">
        <v>7679</v>
      </c>
      <c r="J1296" s="30" t="s">
        <v>7679</v>
      </c>
      <c r="K1296" s="26"/>
      <c r="N1296" s="6"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c r="O1296" s="6" t="s">
        <v>8574</v>
      </c>
      <c r="P1296" s="6" t="s">
        <v>8574</v>
      </c>
      <c r="Q1296" s="6" t="s">
        <v>9144</v>
      </c>
    </row>
    <row r="1297" spans="1:17" x14ac:dyDescent="0.25">
      <c r="A1297" s="5" t="str">
        <f>IF(TRIM(I1297)="","",E1297)</f>
        <v/>
      </c>
      <c r="B1297" s="5" t="str">
        <f>IF(TRIM(J1297)="","",H1297)</f>
        <v/>
      </c>
      <c r="C1297" s="5" t="str">
        <f>LEFT(F1297,FIND(".",F1297,6))</f>
        <v>Exif.Panasonic.</v>
      </c>
      <c r="D1297" s="5" t="str">
        <f>VLOOKUP(C1297,PrefixUebersetzung,2,FALSE)</f>
        <v>Exif.Panasonic.</v>
      </c>
      <c r="E1297" s="5" t="str">
        <f>MID(F1297,FIND(".",F1297,6)+1,99)</f>
        <v>BurstMode</v>
      </c>
      <c r="F1297" s="5" t="s">
        <v>1138</v>
      </c>
      <c r="G1297" s="5" t="s">
        <v>9664</v>
      </c>
      <c r="H1297" s="6" t="s">
        <v>2957</v>
      </c>
      <c r="I1297" s="7"/>
      <c r="J1297" s="30"/>
      <c r="K1297" s="26"/>
      <c r="N1297" s="6"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xml:space="preserve">Suffix not translated Description not translated </v>
      </c>
      <c r="O1297" s="6" t="s">
        <v>8574</v>
      </c>
      <c r="P1297" s="6" t="s">
        <v>8574</v>
      </c>
    </row>
    <row r="1298" spans="1:17" x14ac:dyDescent="0.25">
      <c r="A1298" s="5" t="str">
        <f>IF(TRIM(I1298)="","",E1298)</f>
        <v>BurstSheed</v>
      </c>
      <c r="B1298" s="5" t="str">
        <f>IF(TRIM(J1298)="","",H1298)</f>
        <v>Burst Speed in pictures per second</v>
      </c>
      <c r="C1298" s="5" t="str">
        <f>LEFT(F1298,FIND(".",F1298,6))</f>
        <v>Exif.Panasonic.</v>
      </c>
      <c r="D1298" s="5" t="str">
        <f>VLOOKUP(C1298,PrefixUebersetzung,2,FALSE)</f>
        <v>Exif.Panasonic.</v>
      </c>
      <c r="E1298" s="5" t="str">
        <f>MID(F1298,FIND(".",F1298,6)+1,99)</f>
        <v>BurstSheed</v>
      </c>
      <c r="F1298" s="29" t="s">
        <v>7067</v>
      </c>
      <c r="G1298" s="5" t="s">
        <v>9664</v>
      </c>
      <c r="H1298" s="3" t="s">
        <v>7068</v>
      </c>
      <c r="I1298" s="25" t="s">
        <v>8898</v>
      </c>
      <c r="J1298" s="13" t="s">
        <v>8899</v>
      </c>
      <c r="K1298" s="26"/>
      <c r="N1298" s="6"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c r="O1298" s="6" t="s">
        <v>8574</v>
      </c>
      <c r="P1298" s="6" t="s">
        <v>8574</v>
      </c>
    </row>
    <row r="1299" spans="1:17" x14ac:dyDescent="0.25">
      <c r="A1299" s="5" t="str">
        <f>IF(TRIM(I1299)="","",E1299)</f>
        <v>CameraOrientation</v>
      </c>
      <c r="B1299" s="5" t="str">
        <f>IF(TRIM(J1299)="","",H1299)</f>
        <v>Camera Orientation</v>
      </c>
      <c r="C1299" s="5" t="str">
        <f>LEFT(F1299,FIND(".",F1299,6))</f>
        <v>Exif.Panasonic.</v>
      </c>
      <c r="D1299" s="5" t="str">
        <f>VLOOKUP(C1299,PrefixUebersetzung,2,FALSE)</f>
        <v>Exif.Panasonic.</v>
      </c>
      <c r="E1299" s="5" t="str">
        <f>MID(F1299,FIND(".",F1299,6)+1,99)</f>
        <v>CameraOrientation</v>
      </c>
      <c r="F1299" s="2" t="s">
        <v>7069</v>
      </c>
      <c r="G1299" s="5" t="s">
        <v>9670</v>
      </c>
      <c r="H1299" s="3" t="s">
        <v>7070</v>
      </c>
      <c r="I1299" s="7" t="s">
        <v>7670</v>
      </c>
      <c r="J1299" s="30" t="s">
        <v>7670</v>
      </c>
      <c r="K1299" s="26"/>
      <c r="N1299" s="6"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c r="O1299" s="6" t="s">
        <v>8574</v>
      </c>
      <c r="P1299" s="6" t="s">
        <v>8574</v>
      </c>
      <c r="Q1299" s="6" t="s">
        <v>9182</v>
      </c>
    </row>
    <row r="1300" spans="1:17" x14ac:dyDescent="0.25">
      <c r="A1300" s="5" t="str">
        <f>IF(TRIM(I1300)="","",E1300)</f>
        <v>City</v>
      </c>
      <c r="B1300" s="5" t="str">
        <f>IF(TRIM(J1300)="","",H1300)</f>
        <v>City</v>
      </c>
      <c r="C1300" s="5" t="str">
        <f>LEFT(F1300,FIND(".",F1300,6))</f>
        <v>Exif.Panasonic.</v>
      </c>
      <c r="D1300" s="5" t="str">
        <f>VLOOKUP(C1300,PrefixUebersetzung,2,FALSE)</f>
        <v>Exif.Panasonic.</v>
      </c>
      <c r="E1300" s="5" t="str">
        <f>MID(F1300,FIND(".",F1300,6)+1,99)</f>
        <v>City</v>
      </c>
      <c r="F1300" s="2" t="s">
        <v>7071</v>
      </c>
      <c r="G1300" s="5" t="s">
        <v>9669</v>
      </c>
      <c r="H1300" s="3" t="s">
        <v>7072</v>
      </c>
      <c r="I1300" s="7" t="s">
        <v>4461</v>
      </c>
      <c r="J1300" s="8" t="s">
        <v>4461</v>
      </c>
      <c r="K1300" s="26"/>
      <c r="L1300" s="6" t="str">
        <f>IFERROR(VLOOKUP(E1300,A:I,9, FALSE),"")</f>
        <v>Stadt</v>
      </c>
      <c r="N1300" s="6"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c>
      <c r="O1300" s="6" t="s">
        <v>8574</v>
      </c>
      <c r="P1300" s="6" t="s">
        <v>8574</v>
      </c>
      <c r="Q1300" s="6" t="s">
        <v>4461</v>
      </c>
    </row>
    <row r="1301" spans="1:17" x14ac:dyDescent="0.25">
      <c r="A1301" s="5" t="str">
        <f>IF(TRIM(I1301)="","",E1301)</f>
        <v>City2</v>
      </c>
      <c r="B1301" s="5" t="str">
        <f>IF(TRIM(J1301)="","",H1301)</f>
        <v>City2</v>
      </c>
      <c r="C1301" s="5" t="str">
        <f>LEFT(F1301,FIND(".",F1301,6))</f>
        <v>Exif.Panasonic.</v>
      </c>
      <c r="D1301" s="5" t="str">
        <f>VLOOKUP(C1301,PrefixUebersetzung,2,FALSE)</f>
        <v>Exif.Panasonic.</v>
      </c>
      <c r="E1301" s="5" t="str">
        <f>MID(F1301,FIND(".",F1301,6)+1,99)</f>
        <v>City2</v>
      </c>
      <c r="F1301" s="2" t="s">
        <v>7073</v>
      </c>
      <c r="G1301" s="5" t="s">
        <v>9669</v>
      </c>
      <c r="H1301" s="3" t="s">
        <v>7074</v>
      </c>
      <c r="I1301" s="7" t="s">
        <v>7671</v>
      </c>
      <c r="J1301" s="8" t="s">
        <v>7671</v>
      </c>
      <c r="K1301" s="26"/>
      <c r="N1301" s="6"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c>
      <c r="O1301" s="6" t="s">
        <v>8574</v>
      </c>
      <c r="P1301" s="6" t="s">
        <v>8574</v>
      </c>
      <c r="Q1301" s="6" t="s">
        <v>4461</v>
      </c>
    </row>
    <row r="1302" spans="1:17" x14ac:dyDescent="0.25">
      <c r="A1302" s="5" t="str">
        <f>IF(TRIM(I1302)="","",E1302)</f>
        <v>ClearRetouch</v>
      </c>
      <c r="B1302" s="5" t="str">
        <f>IF(TRIM(J1302)="","",H1302)</f>
        <v>Clear Retouch</v>
      </c>
      <c r="C1302" s="5" t="str">
        <f>LEFT(F1302,FIND(".",F1302,6))</f>
        <v>Exif.Panasonic.</v>
      </c>
      <c r="D1302" s="5" t="str">
        <f>VLOOKUP(C1302,PrefixUebersetzung,2,FALSE)</f>
        <v>Exif.Panasonic.</v>
      </c>
      <c r="E1302" s="5" t="str">
        <f>MID(F1302,FIND(".",F1302,6)+1,99)</f>
        <v>ClearRetouch</v>
      </c>
      <c r="F1302" s="2" t="s">
        <v>7075</v>
      </c>
      <c r="G1302" s="5" t="s">
        <v>9664</v>
      </c>
      <c r="H1302" s="3" t="s">
        <v>7076</v>
      </c>
      <c r="I1302" s="7" t="s">
        <v>7716</v>
      </c>
      <c r="J1302" s="14" t="s">
        <v>7716</v>
      </c>
      <c r="K1302" s="26"/>
      <c r="N1302" s="6"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c>
      <c r="O1302" s="6" t="s">
        <v>8574</v>
      </c>
      <c r="P1302" s="6" t="s">
        <v>8574</v>
      </c>
      <c r="Q1302" s="6" t="s">
        <v>9201</v>
      </c>
    </row>
    <row r="1303" spans="1:17" x14ac:dyDescent="0.25">
      <c r="A1303" s="5" t="str">
        <f>IF(TRIM(I1303)="","",E1303)</f>
        <v>ClearRetouchValue</v>
      </c>
      <c r="B1303" s="5" t="str">
        <f>IF(TRIM(J1303)="","",H1303)</f>
        <v>Clear Retouch Value</v>
      </c>
      <c r="C1303" s="5" t="str">
        <f>LEFT(F1303,FIND(".",F1303,6))</f>
        <v>Exif.Panasonic.</v>
      </c>
      <c r="D1303" s="5" t="str">
        <f>VLOOKUP(C1303,PrefixUebersetzung,2,FALSE)</f>
        <v>Exif.Panasonic.</v>
      </c>
      <c r="E1303" s="5" t="str">
        <f>MID(F1303,FIND(".",F1303,6)+1,99)</f>
        <v>ClearRetouchValue</v>
      </c>
      <c r="F1303" s="2" t="s">
        <v>7077</v>
      </c>
      <c r="G1303" s="5" t="s">
        <v>9671</v>
      </c>
      <c r="H1303" s="3" t="s">
        <v>7078</v>
      </c>
      <c r="I1303" s="7" t="s">
        <v>7717</v>
      </c>
      <c r="J1303" s="14" t="s">
        <v>7717</v>
      </c>
      <c r="K1303" s="26"/>
      <c r="N1303" s="6"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c>
      <c r="O1303" s="6" t="s">
        <v>8574</v>
      </c>
      <c r="P1303" s="6" t="s">
        <v>8574</v>
      </c>
      <c r="Q1303" s="6" t="s">
        <v>9202</v>
      </c>
    </row>
    <row r="1304" spans="1:17" x14ac:dyDescent="0.25">
      <c r="A1304" s="5" t="str">
        <f>IF(TRIM(I1304)="","",E1304)</f>
        <v>ColorEffect</v>
      </c>
      <c r="B1304" s="5" t="str">
        <f>IF(TRIM(J1304)="","",H1304)</f>
        <v>Color effect</v>
      </c>
      <c r="C1304" s="5" t="str">
        <f>LEFT(F1304,FIND(".",F1304,6))</f>
        <v>Exif.Panasonic.</v>
      </c>
      <c r="D1304" s="5" t="str">
        <f>VLOOKUP(C1304,PrefixUebersetzung,2,FALSE)</f>
        <v>Exif.Panasonic.</v>
      </c>
      <c r="E1304" s="5" t="str">
        <f>MID(F1304,FIND(".",F1304,6)+1,99)</f>
        <v>ColorEffect</v>
      </c>
      <c r="F1304" s="5" t="s">
        <v>1139</v>
      </c>
      <c r="G1304" s="5" t="s">
        <v>9664</v>
      </c>
      <c r="H1304" s="6" t="s">
        <v>2958</v>
      </c>
      <c r="I1304" s="24" t="s">
        <v>4053</v>
      </c>
      <c r="J1304" s="14" t="s">
        <v>4053</v>
      </c>
      <c r="K1304" s="26"/>
      <c r="N1304" s="6"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c>
      <c r="O1304" s="6" t="s">
        <v>8574</v>
      </c>
      <c r="P1304" s="6" t="s">
        <v>8574</v>
      </c>
      <c r="Q1304" s="6" t="s">
        <v>4053</v>
      </c>
    </row>
    <row r="1305" spans="1:17" x14ac:dyDescent="0.25">
      <c r="A1305" s="5" t="str">
        <f>IF(TRIM(I1305)="","",E1305)</f>
        <v/>
      </c>
      <c r="B1305" s="5" t="str">
        <f>IF(TRIM(J1305)="","",H1305)</f>
        <v/>
      </c>
      <c r="C1305" s="5" t="str">
        <f>LEFT(F1305,FIND(".",F1305,6))</f>
        <v>Exif.Panasonic.</v>
      </c>
      <c r="D1305" s="5" t="str">
        <f>VLOOKUP(C1305,PrefixUebersetzung,2,FALSE)</f>
        <v>Exif.Panasonic.</v>
      </c>
      <c r="E1305" s="5" t="str">
        <f>MID(F1305,FIND(".",F1305,6)+1,99)</f>
        <v>ColorMode</v>
      </c>
      <c r="F1305" s="5" t="s">
        <v>1140</v>
      </c>
      <c r="G1305" s="5" t="s">
        <v>9664</v>
      </c>
      <c r="H1305" s="6" t="s">
        <v>2528</v>
      </c>
      <c r="I1305" s="24"/>
      <c r="K1305" s="26"/>
      <c r="L1305" s="6" t="str">
        <f>IFERROR(VLOOKUP(E1305,A:I,9, FALSE),"")</f>
        <v>Farbmodus</v>
      </c>
      <c r="M1305" s="6" t="str">
        <f>IFERROR(VLOOKUP(H1305,B:J,9,FALSE),"")</f>
        <v>Farbmodus</v>
      </c>
      <c r="N1305" s="6"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c>
    </row>
    <row r="1306" spans="1:17" x14ac:dyDescent="0.25">
      <c r="A1306" s="5" t="str">
        <f>IF(TRIM(I1306)="","",E1306)</f>
        <v>ColorTempKelvin</v>
      </c>
      <c r="B1306" s="5" t="str">
        <f>IF(TRIM(J1306)="","",H1306)</f>
        <v>Color Temperatur in Kelvin</v>
      </c>
      <c r="C1306" s="5" t="str">
        <f>LEFT(F1306,FIND(".",F1306,6))</f>
        <v>Exif.Panasonic.</v>
      </c>
      <c r="D1306" s="5" t="str">
        <f>VLOOKUP(C1306,PrefixUebersetzung,2,FALSE)</f>
        <v>Exif.Panasonic.</v>
      </c>
      <c r="E1306" s="5" t="str">
        <f>MID(F1306,FIND(".",F1306,6)+1,99)</f>
        <v>ColorTempKelvin</v>
      </c>
      <c r="F1306" s="2" t="s">
        <v>7079</v>
      </c>
      <c r="G1306" s="5" t="s">
        <v>9664</v>
      </c>
      <c r="H1306" s="3" t="s">
        <v>7080</v>
      </c>
      <c r="I1306" s="7" t="s">
        <v>7680</v>
      </c>
      <c r="J1306" s="14" t="s">
        <v>7681</v>
      </c>
      <c r="K1306" s="26"/>
      <c r="N1306" s="6"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c>
      <c r="O1306" s="6" t="s">
        <v>8574</v>
      </c>
      <c r="P1306" s="6" t="s">
        <v>8574</v>
      </c>
      <c r="Q1306" s="6" t="s">
        <v>3799</v>
      </c>
    </row>
    <row r="1307" spans="1:17" x14ac:dyDescent="0.25">
      <c r="A1307" s="5" t="str">
        <f>IF(TRIM(I1307)="","",E1307)</f>
        <v/>
      </c>
      <c r="B1307" s="5" t="str">
        <f>IF(TRIM(J1307)="","",H1307)</f>
        <v/>
      </c>
      <c r="C1307" s="5" t="str">
        <f>LEFT(F1307,FIND(".",F1307,6))</f>
        <v>Exif.Panasonic.</v>
      </c>
      <c r="D1307" s="5" t="str">
        <f>VLOOKUP(C1307,PrefixUebersetzung,2,FALSE)</f>
        <v>Exif.Panasonic.</v>
      </c>
      <c r="E1307" s="5" t="str">
        <f>MID(F1307,FIND(".",F1307,6)+1,99)</f>
        <v>Contrast</v>
      </c>
      <c r="F1307" s="5" t="s">
        <v>1141</v>
      </c>
      <c r="G1307" s="5" t="s">
        <v>9664</v>
      </c>
      <c r="H1307" s="6" t="s">
        <v>2184</v>
      </c>
      <c r="J1307" s="8"/>
      <c r="K1307" s="26"/>
      <c r="L1307" s="6" t="str">
        <f>IFERROR(VLOOKUP(E1307,A:I,9, FALSE),"")</f>
        <v>Kontrast</v>
      </c>
      <c r="M1307" s="6" t="str">
        <f>IFERROR(VLOOKUP(H1307,B:J,9,FALSE),"")</f>
        <v>Kontrasteinstellung</v>
      </c>
      <c r="N1307" s="6"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c>
    </row>
    <row r="1308" spans="1:17" x14ac:dyDescent="0.25">
      <c r="A1308" s="5" t="str">
        <f>IF(TRIM(I1308)="","",E1308)</f>
        <v/>
      </c>
      <c r="B1308" s="5" t="str">
        <f>IF(TRIM(J1308)="","",H1308)</f>
        <v/>
      </c>
      <c r="C1308" s="5" t="str">
        <f>LEFT(F1308,FIND(".",F1308,6))</f>
        <v>Exif.Panasonic.</v>
      </c>
      <c r="D1308" s="5" t="str">
        <f>VLOOKUP(C1308,PrefixUebersetzung,2,FALSE)</f>
        <v>Exif.Panasonic.</v>
      </c>
      <c r="E1308" s="5" t="str">
        <f>MID(F1308,FIND(".",F1308,6)+1,99)</f>
        <v>ConversionLens</v>
      </c>
      <c r="F1308" s="5" t="s">
        <v>1142</v>
      </c>
      <c r="G1308" s="5" t="s">
        <v>9664</v>
      </c>
      <c r="H1308" s="6" t="s">
        <v>2959</v>
      </c>
      <c r="I1308" s="24"/>
      <c r="K1308" s="26"/>
      <c r="L1308" s="6" t="str">
        <f>IFERROR(VLOOKUP(E1308,A:I,9, FALSE),"")</f>
        <v>Vorsatzlinse</v>
      </c>
      <c r="M1308" s="6" t="str">
        <f>IFERROR(VLOOKUP(H1308,B:J,9,FALSE),"")</f>
        <v>Vorsatzlinse</v>
      </c>
      <c r="N1308" s="6"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c>
    </row>
    <row r="1309" spans="1:17" x14ac:dyDescent="0.25">
      <c r="A1309" s="5" t="str">
        <f>IF(TRIM(I1309)="","",E1309)</f>
        <v>Country</v>
      </c>
      <c r="B1309" s="5" t="str">
        <f>IF(TRIM(J1309)="","",H1309)</f>
        <v>Country</v>
      </c>
      <c r="C1309" s="5" t="str">
        <f>LEFT(F1309,FIND(".",F1309,6))</f>
        <v>Exif.Panasonic.</v>
      </c>
      <c r="D1309" s="5" t="str">
        <f>VLOOKUP(C1309,PrefixUebersetzung,2,FALSE)</f>
        <v>Exif.Panasonic.</v>
      </c>
      <c r="E1309" s="5" t="str">
        <f>MID(F1309,FIND(".",F1309,6)+1,99)</f>
        <v>Country</v>
      </c>
      <c r="F1309" s="2" t="s">
        <v>7081</v>
      </c>
      <c r="G1309" s="5" t="s">
        <v>9669</v>
      </c>
      <c r="H1309" s="3" t="s">
        <v>7082</v>
      </c>
      <c r="I1309" s="7" t="s">
        <v>4463</v>
      </c>
      <c r="J1309" s="8" t="s">
        <v>4463</v>
      </c>
      <c r="K1309" s="26"/>
      <c r="L1309" s="6" t="str">
        <f>IFERROR(VLOOKUP(E1309,A:I,9, FALSE),"")</f>
        <v>Land</v>
      </c>
      <c r="N1309" s="6"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c>
      <c r="O1309" s="6" t="s">
        <v>8574</v>
      </c>
      <c r="P1309" s="6" t="s">
        <v>8574</v>
      </c>
      <c r="Q1309" s="6" t="s">
        <v>4463</v>
      </c>
    </row>
    <row r="1310" spans="1:17" x14ac:dyDescent="0.25">
      <c r="A1310" s="5" t="str">
        <f>IF(TRIM(I1310)="","",E1310)</f>
        <v/>
      </c>
      <c r="B1310" s="5" t="str">
        <f>IF(TRIM(J1310)="","",H1310)</f>
        <v/>
      </c>
      <c r="C1310" s="5" t="str">
        <f>LEFT(F1310,FIND(".",F1310,6))</f>
        <v>Exif.Panasonic.</v>
      </c>
      <c r="D1310" s="5" t="str">
        <f>VLOOKUP(C1310,PrefixUebersetzung,2,FALSE)</f>
        <v>Exif.Panasonic.</v>
      </c>
      <c r="E1310" s="5" t="str">
        <f>MID(F1310,FIND(".",F1310,6)+1,99)</f>
        <v>DataDump</v>
      </c>
      <c r="F1310" s="5" t="s">
        <v>1143</v>
      </c>
      <c r="G1310" s="5" t="s">
        <v>9669</v>
      </c>
      <c r="H1310" s="6" t="s">
        <v>2604</v>
      </c>
      <c r="I1310" s="24"/>
      <c r="K1310" s="26"/>
      <c r="L1310" s="6" t="str">
        <f>IFERROR(VLOOKUP(E1310,A:I,9, FALSE),"")</f>
        <v>Daten-Dump</v>
      </c>
      <c r="M1310" s="6" t="str">
        <f>IFERROR(VLOOKUP(H1310,B:J,9,FALSE),"")</f>
        <v>Daten-Dump</v>
      </c>
      <c r="N1310" s="6"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c>
    </row>
    <row r="1311" spans="1:17" x14ac:dyDescent="0.25">
      <c r="A1311" s="5" t="str">
        <f>IF(TRIM(I1311)="","",E1311)</f>
        <v>ExifVersion</v>
      </c>
      <c r="B1311" s="5" t="str">
        <f>IF(TRIM(J1311)="","",H1311)</f>
        <v>Exif version</v>
      </c>
      <c r="C1311" s="5" t="str">
        <f>LEFT(F1311,FIND(".",F1311,6))</f>
        <v>Exif.Panasonic.</v>
      </c>
      <c r="D1311" s="5" t="str">
        <f>VLOOKUP(C1311,PrefixUebersetzung,2,FALSE)</f>
        <v>Exif.Panasonic.</v>
      </c>
      <c r="E1311" s="5" t="str">
        <f>MID(F1311,FIND(".",F1311,6)+1,99)</f>
        <v>ExifVersion</v>
      </c>
      <c r="F1311" s="5" t="s">
        <v>1144</v>
      </c>
      <c r="G1311" s="5" t="s">
        <v>9669</v>
      </c>
      <c r="H1311" s="6" t="s">
        <v>2960</v>
      </c>
      <c r="I1311" s="24" t="s">
        <v>4055</v>
      </c>
      <c r="J1311" s="14" t="s">
        <v>4055</v>
      </c>
      <c r="K1311" s="26"/>
      <c r="L1311" s="6" t="str">
        <f>IFERROR(VLOOKUP(E1311,A:I,9, FALSE),"")</f>
        <v>Exif-Version</v>
      </c>
      <c r="N1311" s="6"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c>
      <c r="O1311" s="6" t="s">
        <v>8574</v>
      </c>
      <c r="P1311" s="6" t="s">
        <v>8574</v>
      </c>
      <c r="Q1311" s="6" t="s">
        <v>4055</v>
      </c>
    </row>
    <row r="1312" spans="1:17" x14ac:dyDescent="0.25">
      <c r="A1312" s="5" t="str">
        <f>IF(TRIM(I1312)="","",E1312)</f>
        <v>FaceDetInfo</v>
      </c>
      <c r="B1312" s="5" t="str">
        <f>IF(TRIM(J1312)="","",H1312)</f>
        <v>Face detection info</v>
      </c>
      <c r="C1312" s="5" t="str">
        <f>LEFT(F1312,FIND(".",F1312,6))</f>
        <v>Exif.Panasonic.</v>
      </c>
      <c r="D1312" s="5" t="str">
        <f>VLOOKUP(C1312,PrefixUebersetzung,2,FALSE)</f>
        <v>Exif.Panasonic.</v>
      </c>
      <c r="E1312" s="5" t="str">
        <f>MID(F1312,FIND(".",F1312,6)+1,99)</f>
        <v>FaceDetInfo</v>
      </c>
      <c r="F1312" s="2" t="s">
        <v>7083</v>
      </c>
      <c r="G1312" s="5" t="s">
        <v>9669</v>
      </c>
      <c r="H1312" s="3" t="s">
        <v>7084</v>
      </c>
      <c r="I1312" s="7" t="s">
        <v>7683</v>
      </c>
      <c r="J1312" s="14" t="s">
        <v>7683</v>
      </c>
      <c r="K1312" s="26"/>
      <c r="N1312" s="6"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c>
      <c r="O1312" s="6" t="s">
        <v>8574</v>
      </c>
      <c r="P1312" s="6" t="s">
        <v>8574</v>
      </c>
      <c r="Q1312" s="6" t="s">
        <v>9294</v>
      </c>
    </row>
    <row r="1313" spans="1:17" ht="30" x14ac:dyDescent="0.25">
      <c r="A1313" s="5" t="str">
        <f>IF(TRIM(I1313)="","",E1313)</f>
        <v>FaceRecInfo</v>
      </c>
      <c r="B1313" s="5" t="str">
        <f>IF(TRIM(J1313)="","",H1313)</f>
        <v>Face recognition info</v>
      </c>
      <c r="C1313" s="5" t="str">
        <f>LEFT(F1313,FIND(".",F1313,6))</f>
        <v>Exif.Panasonic.</v>
      </c>
      <c r="D1313" s="5" t="str">
        <f>VLOOKUP(C1313,PrefixUebersetzung,2,FALSE)</f>
        <v>Exif.Panasonic.</v>
      </c>
      <c r="E1313" s="5" t="str">
        <f>MID(F1313,FIND(".",F1313,6)+1,99)</f>
        <v>FaceRecInfo</v>
      </c>
      <c r="F1313" s="2" t="s">
        <v>7085</v>
      </c>
      <c r="G1313" s="5" t="s">
        <v>9669</v>
      </c>
      <c r="H1313" s="3" t="s">
        <v>7086</v>
      </c>
      <c r="I1313" s="7" t="s">
        <v>7682</v>
      </c>
      <c r="J1313" s="14" t="s">
        <v>7682</v>
      </c>
      <c r="K1313" s="26"/>
      <c r="N1313" s="6"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c>
      <c r="O1313" s="6" t="s">
        <v>8574</v>
      </c>
      <c r="P1313" s="6" t="s">
        <v>8574</v>
      </c>
      <c r="Q1313" s="6" t="s">
        <v>9296</v>
      </c>
    </row>
    <row r="1314" spans="1:17" x14ac:dyDescent="0.25">
      <c r="A1314" s="5" t="str">
        <f>IF(TRIM(I1314)="","",E1314)</f>
        <v/>
      </c>
      <c r="B1314" s="5" t="str">
        <f>IF(TRIM(J1314)="","",H1314)</f>
        <v/>
      </c>
      <c r="C1314" s="5" t="str">
        <f>LEFT(F1314,FIND(".",F1314,6))</f>
        <v>Exif.Panasonic.</v>
      </c>
      <c r="D1314" s="5" t="str">
        <f>VLOOKUP(C1314,PrefixUebersetzung,2,FALSE)</f>
        <v>Exif.Panasonic.</v>
      </c>
      <c r="E1314" s="5" t="str">
        <f>MID(F1314,FIND(".",F1314,6)+1,99)</f>
        <v>FacesDetected</v>
      </c>
      <c r="F1314" s="2" t="s">
        <v>7087</v>
      </c>
      <c r="G1314" s="5" t="s">
        <v>9664</v>
      </c>
      <c r="H1314" s="3" t="s">
        <v>6985</v>
      </c>
      <c r="I1314" s="7"/>
      <c r="K1314" s="26"/>
      <c r="L1314" s="6" t="str">
        <f>IFERROR(VLOOKUP(E1314,A:I,9, FALSE),"")</f>
        <v>Gesichter erkannt</v>
      </c>
      <c r="M1314" s="6" t="str">
        <f>IFERROR(VLOOKUP(H1314,B:J,9,FALSE),"")</f>
        <v>Gesichter erkannt</v>
      </c>
      <c r="N1314" s="6"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c>
    </row>
    <row r="1315" spans="1:17" x14ac:dyDescent="0.25">
      <c r="A1315" s="5" t="str">
        <f>IF(TRIM(I1315)="","",E1315)</f>
        <v/>
      </c>
      <c r="B1315" s="5" t="str">
        <f>IF(TRIM(J1315)="","",H1315)</f>
        <v/>
      </c>
      <c r="C1315" s="5" t="str">
        <f>LEFT(F1315,FIND(".",F1315,6))</f>
        <v>Exif.Panasonic.</v>
      </c>
      <c r="D1315" s="5" t="str">
        <f>VLOOKUP(C1315,PrefixUebersetzung,2,FALSE)</f>
        <v>Exif.Panasonic.</v>
      </c>
      <c r="E1315" s="5" t="str">
        <f>MID(F1315,FIND(".",F1315,6)+1,99)</f>
        <v>FilmMode</v>
      </c>
      <c r="F1315" s="5" t="s">
        <v>1145</v>
      </c>
      <c r="G1315" s="5" t="s">
        <v>9664</v>
      </c>
      <c r="H1315" s="6" t="s">
        <v>2272</v>
      </c>
      <c r="I1315" s="24"/>
      <c r="J1315" s="8"/>
      <c r="K1315" s="26"/>
      <c r="L1315" s="6" t="str">
        <f>IFERROR(VLOOKUP(E1315,A:I,9, FALSE),"")</f>
        <v>Filmmodus</v>
      </c>
      <c r="M1315" s="6" t="str">
        <f>IFERROR(VLOOKUP(H1315,B:J,9,FALSE),"")</f>
        <v>Filmmodus</v>
      </c>
      <c r="N1315" s="6"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c>
    </row>
    <row r="1316" spans="1:17" x14ac:dyDescent="0.25">
      <c r="A1316" s="5" t="str">
        <f>IF(TRIM(I1316)="","",E1316)</f>
        <v/>
      </c>
      <c r="B1316" s="5" t="str">
        <f>IF(TRIM(J1316)="","",H1316)</f>
        <v/>
      </c>
      <c r="C1316" s="5" t="str">
        <f>LEFT(F1316,FIND(".",F1316,6))</f>
        <v>Exif.Panasonic.</v>
      </c>
      <c r="D1316" s="5" t="str">
        <f>VLOOKUP(C1316,PrefixUebersetzung,2,FALSE)</f>
        <v>Exif.Panasonic.</v>
      </c>
      <c r="E1316" s="5" t="str">
        <f>MID(F1316,FIND(".",F1316,6)+1,99)</f>
        <v>FirmwareVersion</v>
      </c>
      <c r="F1316" s="5" t="s">
        <v>1146</v>
      </c>
      <c r="G1316" s="5" t="s">
        <v>9669</v>
      </c>
      <c r="H1316" s="6" t="s">
        <v>2147</v>
      </c>
      <c r="I1316" s="7"/>
      <c r="J1316" s="8"/>
      <c r="K1316" s="26"/>
      <c r="L1316" s="6" t="str">
        <f>IFERROR(VLOOKUP(E1316,A:I,9, FALSE),"")</f>
        <v>Firmware Version</v>
      </c>
      <c r="M1316" s="6" t="str">
        <f>IFERROR(VLOOKUP(H1316,B:J,9,FALSE),"")</f>
        <v>Firmware-Version</v>
      </c>
      <c r="N1316" s="6"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row>
    <row r="1317" spans="1:17" x14ac:dyDescent="0.25">
      <c r="A1317" s="5" t="str">
        <f>IF(TRIM(I1317)="","",E1317)</f>
        <v/>
      </c>
      <c r="B1317" s="5" t="str">
        <f>IF(TRIM(J1317)="","",H1317)</f>
        <v/>
      </c>
      <c r="C1317" s="5" t="str">
        <f>LEFT(F1317,FIND(".",F1317,6))</f>
        <v>Exif.Panasonic.</v>
      </c>
      <c r="D1317" s="5" t="str">
        <f>VLOOKUP(C1317,PrefixUebersetzung,2,FALSE)</f>
        <v>Exif.Panasonic.</v>
      </c>
      <c r="E1317" s="5" t="str">
        <f>MID(F1317,FIND(".",F1317,6)+1,99)</f>
        <v>FlashBias</v>
      </c>
      <c r="F1317" s="5" t="s">
        <v>1147</v>
      </c>
      <c r="G1317" s="5" t="s">
        <v>9665</v>
      </c>
      <c r="H1317" s="6" t="s">
        <v>2255</v>
      </c>
      <c r="I1317" s="7"/>
      <c r="K1317" s="26"/>
      <c r="L1317" s="6" t="str">
        <f>IFERROR(VLOOKUP(E1317,A:I,9, FALSE),"")</f>
        <v>Blitzkorrektur</v>
      </c>
      <c r="M1317" s="6" t="str">
        <f>IFERROR(VLOOKUP(H1317,B:J,9,FALSE),"")</f>
        <v>Blitzkorrektur</v>
      </c>
      <c r="N1317" s="6"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row>
    <row r="1318" spans="1:17" x14ac:dyDescent="0.25">
      <c r="A1318" s="5" t="str">
        <f>IF(TRIM(I1318)="","",E1318)</f>
        <v>FlashCurtain</v>
      </c>
      <c r="B1318" s="5" t="str">
        <f>IF(TRIM(J1318)="","",H1318)</f>
        <v>Flash Curtain</v>
      </c>
      <c r="C1318" s="5" t="str">
        <f>LEFT(F1318,FIND(".",F1318,6))</f>
        <v>Exif.Panasonic.</v>
      </c>
      <c r="D1318" s="5" t="str">
        <f>VLOOKUP(C1318,PrefixUebersetzung,2,FALSE)</f>
        <v>Exif.Panasonic.</v>
      </c>
      <c r="E1318" s="5" t="str">
        <f>MID(F1318,FIND(".",F1318,6)+1,99)</f>
        <v>FlashCurtain</v>
      </c>
      <c r="F1318" s="2" t="s">
        <v>7088</v>
      </c>
      <c r="G1318" s="5" t="s">
        <v>9664</v>
      </c>
      <c r="H1318" s="3" t="s">
        <v>7089</v>
      </c>
      <c r="I1318" s="7" t="s">
        <v>7684</v>
      </c>
      <c r="J1318" s="14" t="s">
        <v>7684</v>
      </c>
      <c r="K1318" s="26"/>
      <c r="N1318" s="6"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O1318" s="6" t="s">
        <v>8574</v>
      </c>
      <c r="P1318" s="6" t="s">
        <v>8574</v>
      </c>
      <c r="Q1318" s="6" t="s">
        <v>4337</v>
      </c>
    </row>
    <row r="1319" spans="1:17" x14ac:dyDescent="0.25">
      <c r="A1319" s="5" t="str">
        <f>IF(TRIM(I1319)="","",E1319)</f>
        <v/>
      </c>
      <c r="B1319" s="5" t="str">
        <f>IF(TRIM(J1319)="","",H1319)</f>
        <v/>
      </c>
      <c r="C1319" s="5" t="str">
        <f>LEFT(F1319,FIND(".",F1319,6))</f>
        <v>Exif.Panasonic.</v>
      </c>
      <c r="D1319" s="5" t="str">
        <f>VLOOKUP(C1319,PrefixUebersetzung,2,FALSE)</f>
        <v>Exif.Panasonic.</v>
      </c>
      <c r="E1319" s="5" t="str">
        <f>MID(F1319,FIND(".",F1319,6)+1,99)</f>
        <v>FlashFired</v>
      </c>
      <c r="F1319" s="2" t="s">
        <v>7090</v>
      </c>
      <c r="G1319" s="5" t="s">
        <v>9664</v>
      </c>
      <c r="H1319" s="3" t="s">
        <v>7091</v>
      </c>
      <c r="I1319" s="7"/>
      <c r="J1319" s="8"/>
      <c r="K1319" s="26"/>
      <c r="L1319" s="6" t="str">
        <f>IFERROR(VLOOKUP(E1319,A:I,9, FALSE),"")</f>
        <v>Blitz ausgelöst</v>
      </c>
      <c r="M1319" s="6" t="str">
        <f>IFERROR(VLOOKUP(H1319,B:J,9,FALSE),"")</f>
        <v>Blitz ausgelöst</v>
      </c>
      <c r="N1319" s="6"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row>
    <row r="1320" spans="1:17" x14ac:dyDescent="0.25">
      <c r="A1320" s="5" t="str">
        <f>IF(TRIM(I1320)="","",E1320)</f>
        <v>FlashWarning</v>
      </c>
      <c r="B1320" s="5" t="str">
        <f>IF(TRIM(J1320)="","",H1320)</f>
        <v>Flash warning</v>
      </c>
      <c r="C1320" s="5" t="str">
        <f>LEFT(F1320,FIND(".",F1320,6))</f>
        <v>Exif.Panasonic.</v>
      </c>
      <c r="D1320" s="5" t="str">
        <f>VLOOKUP(C1320,PrefixUebersetzung,2,FALSE)</f>
        <v>Exif.Panasonic.</v>
      </c>
      <c r="E1320" s="5" t="str">
        <f>MID(F1320,FIND(".",F1320,6)+1,99)</f>
        <v>FlashWarning</v>
      </c>
      <c r="F1320" s="2" t="s">
        <v>7092</v>
      </c>
      <c r="G1320" s="5" t="s">
        <v>9664</v>
      </c>
      <c r="H1320" s="3" t="s">
        <v>7093</v>
      </c>
      <c r="I1320" s="7" t="s">
        <v>7685</v>
      </c>
      <c r="J1320" s="14" t="s">
        <v>7685</v>
      </c>
      <c r="K1320" s="26"/>
      <c r="N1320" s="6"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6" t="s">
        <v>8574</v>
      </c>
      <c r="P1320" s="6" t="s">
        <v>8574</v>
      </c>
      <c r="Q1320" s="6" t="s">
        <v>9313</v>
      </c>
    </row>
    <row r="1321" spans="1:17" x14ac:dyDescent="0.25">
      <c r="A1321" s="5" t="str">
        <f>IF(TRIM(I1321)="","",E1321)</f>
        <v/>
      </c>
      <c r="B1321" s="5" t="str">
        <f>IF(TRIM(J1321)="","",H1321)</f>
        <v/>
      </c>
      <c r="C1321" s="5" t="str">
        <f>LEFT(F1321,FIND(".",F1321,6))</f>
        <v>Exif.Panasonic.</v>
      </c>
      <c r="D1321" s="5" t="str">
        <f>VLOOKUP(C1321,PrefixUebersetzung,2,FALSE)</f>
        <v>Exif.Panasonic.</v>
      </c>
      <c r="E1321" s="5" t="str">
        <f>MID(F1321,FIND(".",F1321,6)+1,99)</f>
        <v>FocusMode</v>
      </c>
      <c r="F1321" s="5" t="s">
        <v>1148</v>
      </c>
      <c r="G1321" s="5" t="s">
        <v>9664</v>
      </c>
      <c r="H1321" s="6" t="s">
        <v>2558</v>
      </c>
      <c r="I1321" s="7"/>
      <c r="K1321" s="26"/>
      <c r="L1321" s="6" t="str">
        <f>IFERROR(VLOOKUP(E1321,A:I,9, FALSE),"")</f>
        <v>Fokusmodus</v>
      </c>
      <c r="M1321" s="6" t="str">
        <f>IFERROR(VLOOKUP(H1321,B:J,9,FALSE),"")</f>
        <v>Fokusmodus</v>
      </c>
      <c r="N1321" s="6"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row>
    <row r="1322" spans="1:17" x14ac:dyDescent="0.25">
      <c r="A1322" s="5" t="str">
        <f>IF(TRIM(I1322)="","",E1322)</f>
        <v>HDR</v>
      </c>
      <c r="B1322" s="5" t="str">
        <f>IF(TRIM(J1322)="","",H1322)</f>
        <v>HDR</v>
      </c>
      <c r="C1322" s="5" t="str">
        <f>LEFT(F1322,FIND(".",F1322,6))</f>
        <v>Exif.Panasonic.</v>
      </c>
      <c r="D1322" s="5" t="str">
        <f>VLOOKUP(C1322,PrefixUebersetzung,2,FALSE)</f>
        <v>Exif.Panasonic.</v>
      </c>
      <c r="E1322" s="5" t="str">
        <f>MID(F1322,FIND(".",F1322,6)+1,99)</f>
        <v>HDR</v>
      </c>
      <c r="F1322" s="2" t="s">
        <v>7094</v>
      </c>
      <c r="G1322" s="5" t="s">
        <v>9664</v>
      </c>
      <c r="H1322" s="3" t="s">
        <v>7095</v>
      </c>
      <c r="I1322" s="7" t="s">
        <v>7095</v>
      </c>
      <c r="J1322" s="8" t="s">
        <v>7095</v>
      </c>
      <c r="K1322" s="26"/>
      <c r="N1322" s="6"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O1322" s="6" t="s">
        <v>8574</v>
      </c>
      <c r="P1322" s="6" t="s">
        <v>8574</v>
      </c>
    </row>
    <row r="1323" spans="1:17" x14ac:dyDescent="0.25">
      <c r="A1323" s="5" t="str">
        <f>IF(TRIM(I1323)="","",E1323)</f>
        <v/>
      </c>
      <c r="B1323" s="5" t="str">
        <f>IF(TRIM(J1323)="","",H1323)</f>
        <v/>
      </c>
      <c r="C1323" s="5" t="str">
        <f>LEFT(F1323,FIND(".",F1323,6))</f>
        <v>Exif.Panasonic.</v>
      </c>
      <c r="D1323" s="5" t="str">
        <f>VLOOKUP(C1323,PrefixUebersetzung,2,FALSE)</f>
        <v>Exif.Panasonic.</v>
      </c>
      <c r="E1323" s="5" t="str">
        <f>MID(F1323,FIND(".",F1323,6)+1,99)</f>
        <v>ImageHeight</v>
      </c>
      <c r="F1323" s="2" t="s">
        <v>7096</v>
      </c>
      <c r="G1323" s="5" t="s">
        <v>9667</v>
      </c>
      <c r="H1323" s="3" t="s">
        <v>2236</v>
      </c>
      <c r="I1323" s="7"/>
      <c r="J1323" s="8"/>
      <c r="K1323" s="26"/>
      <c r="L1323" s="6" t="str">
        <f>IFERROR(VLOOKUP(E1323,A:I,9, FALSE),"")</f>
        <v>Bildhöhe</v>
      </c>
      <c r="M1323" s="6" t="str">
        <f>IFERROR(VLOOKUP(H1323,B:J,9,FALSE),"")</f>
        <v>Bildhöhe</v>
      </c>
      <c r="N1323" s="6"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row>
    <row r="1324" spans="1:17" x14ac:dyDescent="0.25">
      <c r="A1324" s="5" t="str">
        <f>IF(TRIM(I1324)="","",E1324)</f>
        <v/>
      </c>
      <c r="B1324" s="5" t="str">
        <f>IF(TRIM(J1324)="","",H1324)</f>
        <v/>
      </c>
      <c r="C1324" s="5" t="str">
        <f>LEFT(F1324,FIND(".",F1324,6))</f>
        <v>Exif.Panasonic.</v>
      </c>
      <c r="D1324" s="5" t="str">
        <f>VLOOKUP(C1324,PrefixUebersetzung,2,FALSE)</f>
        <v>Exif.Panasonic.</v>
      </c>
      <c r="E1324" s="5" t="str">
        <f>MID(F1324,FIND(".",F1324,6)+1,99)</f>
        <v>ImageStabilization</v>
      </c>
      <c r="F1324" s="5" t="s">
        <v>1149</v>
      </c>
      <c r="G1324" s="5" t="s">
        <v>9664</v>
      </c>
      <c r="H1324" s="6" t="s">
        <v>2198</v>
      </c>
      <c r="I1324" s="7"/>
      <c r="K1324" s="26"/>
      <c r="L1324" s="6" t="str">
        <f>IFERROR(VLOOKUP(E1324,A:I,9, FALSE),"")</f>
        <v>Bildstabilisierung</v>
      </c>
      <c r="M1324" s="6" t="str">
        <f>IFERROR(VLOOKUP(H1324,B:J,9,FALSE),"")</f>
        <v>Bildstabilisierung</v>
      </c>
      <c r="N1324" s="6"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row>
    <row r="1325" spans="1:17" x14ac:dyDescent="0.25">
      <c r="A1325" s="5" t="str">
        <f>IF(TRIM(I1325)="","",E1325)</f>
        <v/>
      </c>
      <c r="B1325" s="5" t="str">
        <f>IF(TRIM(J1325)="","",H1325)</f>
        <v/>
      </c>
      <c r="C1325" s="5" t="str">
        <f>LEFT(F1325,FIND(".",F1325,6))</f>
        <v>Exif.Panasonic.</v>
      </c>
      <c r="D1325" s="5" t="str">
        <f>VLOOKUP(C1325,PrefixUebersetzung,2,FALSE)</f>
        <v>Exif.Panasonic.</v>
      </c>
      <c r="E1325" s="5" t="str">
        <f>MID(F1325,FIND(".",F1325,6)+1,99)</f>
        <v>ImageWidth</v>
      </c>
      <c r="F1325" s="2" t="s">
        <v>7097</v>
      </c>
      <c r="G1325" s="5" t="s">
        <v>9667</v>
      </c>
      <c r="H1325" s="3" t="s">
        <v>2238</v>
      </c>
      <c r="I1325" s="7"/>
      <c r="J1325" s="8"/>
      <c r="K1325" s="26"/>
      <c r="L1325" s="6" t="str">
        <f>IFERROR(VLOOKUP(E1325,A:I,9, FALSE),"")</f>
        <v>Bildbreite</v>
      </c>
      <c r="M1325" s="6" t="str">
        <f>IFERROR(VLOOKUP(H1325,B:J,9,FALSE),"")</f>
        <v>Bildbreite</v>
      </c>
      <c r="N1325" s="6"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row>
    <row r="1326" spans="1:17" x14ac:dyDescent="0.25">
      <c r="A1326" s="5" t="str">
        <f>IF(TRIM(I1326)="","",E1326)</f>
        <v>IntelligentDRange</v>
      </c>
      <c r="B1326" s="5" t="str">
        <f>IF(TRIM(J1326)="","",H1326)</f>
        <v>Intelligent Dynamic Range</v>
      </c>
      <c r="C1326" s="5" t="str">
        <f>LEFT(F1326,FIND(".",F1326,6))</f>
        <v>Exif.Panasonic.</v>
      </c>
      <c r="D1326" s="5" t="str">
        <f>VLOOKUP(C1326,PrefixUebersetzung,2,FALSE)</f>
        <v>Exif.Panasonic.</v>
      </c>
      <c r="E1326" s="5" t="str">
        <f>MID(F1326,FIND(".",F1326,6)+1,99)</f>
        <v>IntelligentDRange</v>
      </c>
      <c r="F1326" s="2" t="s">
        <v>7098</v>
      </c>
      <c r="G1326" s="5" t="s">
        <v>9664</v>
      </c>
      <c r="H1326" s="3" t="s">
        <v>7099</v>
      </c>
      <c r="I1326" s="7" t="s">
        <v>7686</v>
      </c>
      <c r="J1326" s="14" t="s">
        <v>7686</v>
      </c>
      <c r="K1326" s="26"/>
      <c r="N1326" s="6"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O1326" s="6" t="s">
        <v>8574</v>
      </c>
      <c r="P1326" s="6" t="s">
        <v>8574</v>
      </c>
      <c r="Q1326" s="6" t="s">
        <v>9246</v>
      </c>
    </row>
    <row r="1327" spans="1:17" x14ac:dyDescent="0.25">
      <c r="A1327" s="5" t="str">
        <f>IF(TRIM(I1327)="","",E1327)</f>
        <v>IntelligentExposure</v>
      </c>
      <c r="B1327" s="5" t="str">
        <f>IF(TRIM(J1327)="","",H1327)</f>
        <v>Intelligent Exposure</v>
      </c>
      <c r="C1327" s="5" t="str">
        <f>LEFT(F1327,FIND(".",F1327,6))</f>
        <v>Exif.Panasonic.</v>
      </c>
      <c r="D1327" s="5" t="str">
        <f>VLOOKUP(C1327,PrefixUebersetzung,2,FALSE)</f>
        <v>Exif.Panasonic.</v>
      </c>
      <c r="E1327" s="5" t="str">
        <f>MID(F1327,FIND(".",F1327,6)+1,99)</f>
        <v>IntelligentExposure</v>
      </c>
      <c r="F1327" s="2" t="s">
        <v>7100</v>
      </c>
      <c r="G1327" s="5" t="s">
        <v>9664</v>
      </c>
      <c r="H1327" s="3" t="s">
        <v>7101</v>
      </c>
      <c r="I1327" s="7" t="s">
        <v>7687</v>
      </c>
      <c r="J1327" s="14" t="s">
        <v>7687</v>
      </c>
      <c r="K1327" s="26"/>
      <c r="N1327" s="6"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c r="O1327" s="6" t="s">
        <v>8574</v>
      </c>
      <c r="P1327" s="6" t="s">
        <v>8574</v>
      </c>
      <c r="Q1327" s="6" t="s">
        <v>9377</v>
      </c>
    </row>
    <row r="1328" spans="1:17" x14ac:dyDescent="0.25">
      <c r="A1328" s="5" t="str">
        <f>IF(TRIM(I1328)="","",E1328)</f>
        <v>IntelligentResolution</v>
      </c>
      <c r="B1328" s="5" t="str">
        <f>IF(TRIM(J1328)="","",H1328)</f>
        <v>Intelligent resolution</v>
      </c>
      <c r="C1328" s="5" t="str">
        <f>LEFT(F1328,FIND(".",F1328,6))</f>
        <v>Exif.Panasonic.</v>
      </c>
      <c r="D1328" s="5" t="str">
        <f>VLOOKUP(C1328,PrefixUebersetzung,2,FALSE)</f>
        <v>Exif.Panasonic.</v>
      </c>
      <c r="E1328" s="5" t="str">
        <f>MID(F1328,FIND(".",F1328,6)+1,99)</f>
        <v>IntelligentResolution</v>
      </c>
      <c r="F1328" s="2" t="s">
        <v>7102</v>
      </c>
      <c r="G1328" s="5" t="s">
        <v>9670</v>
      </c>
      <c r="H1328" s="3" t="s">
        <v>7103</v>
      </c>
      <c r="I1328" s="7" t="s">
        <v>7688</v>
      </c>
      <c r="J1328" s="14" t="s">
        <v>7688</v>
      </c>
      <c r="K1328" s="26"/>
      <c r="N1328" s="6"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6" t="s">
        <v>8574</v>
      </c>
      <c r="P1328" s="6" t="s">
        <v>8574</v>
      </c>
      <c r="Q1328" s="6" t="s">
        <v>9377</v>
      </c>
    </row>
    <row r="1329" spans="1:17" x14ac:dyDescent="0.25">
      <c r="A1329" s="5" t="str">
        <f>IF(TRIM(I1329)="","",E1329)</f>
        <v>InternalNDFilter</v>
      </c>
      <c r="B1329" s="5" t="str">
        <f>IF(TRIM(J1329)="","",H1329)</f>
        <v>Internal ND Filter</v>
      </c>
      <c r="C1329" s="5" t="str">
        <f>LEFT(F1329,FIND(".",F1329,6))</f>
        <v>Exif.Panasonic.</v>
      </c>
      <c r="D1329" s="5" t="str">
        <f>VLOOKUP(C1329,PrefixUebersetzung,2,FALSE)</f>
        <v>Exif.Panasonic.</v>
      </c>
      <c r="E1329" s="5" t="str">
        <f>MID(F1329,FIND(".",F1329,6)+1,99)</f>
        <v>InternalNDFilter</v>
      </c>
      <c r="F1329" s="2" t="s">
        <v>7104</v>
      </c>
      <c r="G1329" s="5" t="s">
        <v>9671</v>
      </c>
      <c r="H1329" s="3" t="s">
        <v>7105</v>
      </c>
      <c r="I1329" s="7" t="s">
        <v>7689</v>
      </c>
      <c r="J1329" s="14" t="s">
        <v>7689</v>
      </c>
      <c r="K1329" s="26"/>
      <c r="N1329" s="6"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6" t="s">
        <v>8574</v>
      </c>
      <c r="P1329" s="6" t="s">
        <v>8574</v>
      </c>
      <c r="Q1329" s="6" t="s">
        <v>9378</v>
      </c>
    </row>
    <row r="1330" spans="1:17" ht="60" x14ac:dyDescent="0.25">
      <c r="A1330" s="5" t="str">
        <f>IF(TRIM(I1330)="","",E1330)</f>
        <v/>
      </c>
      <c r="B1330" s="5" t="str">
        <f>IF(TRIM(J1330)="","",H1330)</f>
        <v/>
      </c>
      <c r="C1330" s="5" t="str">
        <f>LEFT(F1330,FIND(".",F1330,6))</f>
        <v>Exif.Panasonic.</v>
      </c>
      <c r="D1330" s="5" t="str">
        <f>VLOOKUP(C1330,PrefixUebersetzung,2,FALSE)</f>
        <v>Exif.Panasonic.</v>
      </c>
      <c r="E1330" s="5" t="str">
        <f>MID(F1330,FIND(".",F1330,6)+1,99)</f>
        <v>InternalSerialNumber</v>
      </c>
      <c r="F1330" s="5" t="s">
        <v>1150</v>
      </c>
      <c r="G1330" s="5" t="s">
        <v>9669</v>
      </c>
      <c r="H1330" s="6" t="s">
        <v>2286</v>
      </c>
      <c r="I1330" s="7"/>
      <c r="J1330" s="8"/>
      <c r="K1330" s="26"/>
      <c r="L1330" s="6" t="str">
        <f>IFERROR(VLOOKUP(E1330,A:I,9, FALSE),"")</f>
        <v>Interne Seriennummer</v>
      </c>
      <c r="M1330" s="6" t="str">
        <f>IFERROR(VLOOKUP(H1330,B:J,9,FALSE),"")</f>
        <v>Diese Nummer ist eindeutig und enthält das Datum der Herstellung, ist aber nicht die gleiche Nummer, wie auf dem Kameragehäuse</v>
      </c>
      <c r="N1330" s="6"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row>
    <row r="1331" spans="1:17" x14ac:dyDescent="0.25">
      <c r="A1331" s="5" t="str">
        <f>IF(TRIM(I1331)="","",E1331)</f>
        <v>Landmark</v>
      </c>
      <c r="B1331" s="5" t="str">
        <f>IF(TRIM(J1331)="","",H1331)</f>
        <v>Landmark</v>
      </c>
      <c r="C1331" s="5" t="str">
        <f>LEFT(F1331,FIND(".",F1331,6))</f>
        <v>Exif.Panasonic.</v>
      </c>
      <c r="D1331" s="5" t="str">
        <f>VLOOKUP(C1331,PrefixUebersetzung,2,FALSE)</f>
        <v>Exif.Panasonic.</v>
      </c>
      <c r="E1331" s="5" t="str">
        <f>MID(F1331,FIND(".",F1331,6)+1,99)</f>
        <v>Landmark</v>
      </c>
      <c r="F1331" s="2" t="s">
        <v>7106</v>
      </c>
      <c r="G1331" s="5" t="s">
        <v>9669</v>
      </c>
      <c r="H1331" s="3" t="s">
        <v>7107</v>
      </c>
      <c r="I1331" s="7" t="s">
        <v>7690</v>
      </c>
      <c r="J1331" s="14" t="s">
        <v>7690</v>
      </c>
      <c r="K1331" s="26"/>
      <c r="N1331" s="6"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6" t="s">
        <v>8574</v>
      </c>
      <c r="P1331" s="6" t="s">
        <v>8574</v>
      </c>
    </row>
    <row r="1332" spans="1:17" ht="30" x14ac:dyDescent="0.25">
      <c r="A1332" s="5" t="str">
        <f>IF(TRIM(I1332)="","",E1332)</f>
        <v/>
      </c>
      <c r="B1332" s="5" t="str">
        <f>IF(TRIM(J1332)="","",H1332)</f>
        <v>Firmware Version of the Lens</v>
      </c>
      <c r="C1332" s="5" t="str">
        <f>LEFT(F1332,FIND(".",F1332,6))</f>
        <v>Exif.Panasonic.</v>
      </c>
      <c r="D1332" s="5" t="str">
        <f>VLOOKUP(C1332,PrefixUebersetzung,2,FALSE)</f>
        <v>Exif.Panasonic.</v>
      </c>
      <c r="E1332" s="5" t="str">
        <f>MID(F1332,FIND(".",F1332,6)+1,99)</f>
        <v>LensFirmwareVersion</v>
      </c>
      <c r="F1332" s="2" t="s">
        <v>7108</v>
      </c>
      <c r="G1332" s="5" t="s">
        <v>9669</v>
      </c>
      <c r="H1332" s="3" t="s">
        <v>7109</v>
      </c>
      <c r="I1332" s="7"/>
      <c r="J1332" s="14" t="s">
        <v>7919</v>
      </c>
      <c r="K1332" s="26"/>
      <c r="L1332" s="6" t="str">
        <f>IFERROR(VLOOKUP(E1332,A:I,9, FALSE),"")</f>
        <v>Objektiv Firmwareversion</v>
      </c>
      <c r="N1332" s="6"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c r="P1332" s="6" t="s">
        <v>8574</v>
      </c>
      <c r="Q1332" s="6" t="s">
        <v>5073</v>
      </c>
    </row>
    <row r="1333" spans="1:17" x14ac:dyDescent="0.25">
      <c r="A1333" s="5" t="str">
        <f>IF(TRIM(I1333)="","",E1333)</f>
        <v/>
      </c>
      <c r="B1333" s="5" t="str">
        <f>IF(TRIM(J1333)="","",H1333)</f>
        <v/>
      </c>
      <c r="C1333" s="5" t="str">
        <f>LEFT(F1333,FIND(".",F1333,6))</f>
        <v>Exif.Panasonic.</v>
      </c>
      <c r="D1333" s="5" t="str">
        <f>VLOOKUP(C1333,PrefixUebersetzung,2,FALSE)</f>
        <v>Exif.Panasonic.</v>
      </c>
      <c r="E1333" s="5" t="str">
        <f>MID(F1333,FIND(".",F1333,6)+1,99)</f>
        <v>LensSerialNumber</v>
      </c>
      <c r="F1333" s="5" t="s">
        <v>1151</v>
      </c>
      <c r="G1333" s="5" t="s">
        <v>9666</v>
      </c>
      <c r="H1333" s="6" t="s">
        <v>2853</v>
      </c>
      <c r="I1333" s="7"/>
      <c r="K1333" s="26"/>
      <c r="L1333" s="6" t="str">
        <f>IFERROR(VLOOKUP(E1333,A:I,9, FALSE),"")</f>
        <v>Objektiv Seriennummer</v>
      </c>
      <c r="M1333" s="6" t="str">
        <f>IFERROR(VLOOKUP(H1333,B:J,9,FALSE),"")</f>
        <v>Objektiv Seriennummer</v>
      </c>
      <c r="N1333" s="6"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5" t="str">
        <f>IF(TRIM(I1334)="","",E1334)</f>
        <v/>
      </c>
      <c r="B1334" s="5" t="str">
        <f>IF(TRIM(J1334)="","",H1334)</f>
        <v/>
      </c>
      <c r="C1334" s="5" t="str">
        <f>LEFT(F1334,FIND(".",F1334,6))</f>
        <v>Exif.Panasonic.</v>
      </c>
      <c r="D1334" s="5" t="str">
        <f>VLOOKUP(C1334,PrefixUebersetzung,2,FALSE)</f>
        <v>Exif.Panasonic.</v>
      </c>
      <c r="E1334" s="5" t="str">
        <f>MID(F1334,FIND(".",F1334,6)+1,99)</f>
        <v>LensType</v>
      </c>
      <c r="F1334" s="5" t="s">
        <v>1152</v>
      </c>
      <c r="G1334" s="5" t="s">
        <v>9666</v>
      </c>
      <c r="H1334" s="6" t="s">
        <v>2201</v>
      </c>
      <c r="I1334" s="7"/>
      <c r="K1334" s="26"/>
      <c r="L1334" s="6" t="str">
        <f>IFERROR(VLOOKUP(E1334,A:I,9, FALSE),"")</f>
        <v>Objektiv Typ</v>
      </c>
      <c r="M1334" s="6" t="str">
        <f>IFERROR(VLOOKUP(H1334,B:J,9,FALSE),"")</f>
        <v>Objektiv Typ</v>
      </c>
      <c r="N1334" s="6"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row>
    <row r="1335" spans="1:17" x14ac:dyDescent="0.25">
      <c r="A1335" s="5" t="str">
        <f>IF(TRIM(I1335)="","",E1335)</f>
        <v>Location</v>
      </c>
      <c r="B1335" s="5" t="str">
        <f>IF(TRIM(J1335)="","",H1335)</f>
        <v>Location</v>
      </c>
      <c r="C1335" s="5" t="str">
        <f>LEFT(F1335,FIND(".",F1335,6))</f>
        <v>Exif.Panasonic.</v>
      </c>
      <c r="D1335" s="5" t="str">
        <f>VLOOKUP(C1335,PrefixUebersetzung,2,FALSE)</f>
        <v>Exif.Panasonic.</v>
      </c>
      <c r="E1335" s="5" t="str">
        <f>MID(F1335,FIND(".",F1335,6)+1,99)</f>
        <v>Location</v>
      </c>
      <c r="F1335" s="2" t="s">
        <v>7110</v>
      </c>
      <c r="G1335" s="5" t="s">
        <v>9669</v>
      </c>
      <c r="H1335" s="3" t="s">
        <v>3009</v>
      </c>
      <c r="I1335" s="7" t="s">
        <v>4411</v>
      </c>
      <c r="J1335" s="8" t="s">
        <v>4411</v>
      </c>
      <c r="K1335" s="26"/>
      <c r="L1335" s="6" t="str">
        <f>IFERROR(VLOOKUP(E1335,A:I,9, FALSE),"")</f>
        <v>Ort</v>
      </c>
      <c r="M1335" s="6" t="str">
        <f>IFERROR(VLOOKUP(H1335,B:J,9,FALSE),"")</f>
        <v>Ort</v>
      </c>
      <c r="N1335" s="6"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c r="O1335" s="6" t="s">
        <v>8574</v>
      </c>
      <c r="P1335" s="6" t="s">
        <v>8574</v>
      </c>
      <c r="Q1335" s="6" t="s">
        <v>4411</v>
      </c>
    </row>
    <row r="1336" spans="1:17" ht="30" x14ac:dyDescent="0.25">
      <c r="A1336" s="5" t="str">
        <f>IF(TRIM(I1336)="","",E1336)</f>
        <v>LongShutterNoiseReduction</v>
      </c>
      <c r="B1336" s="5" t="str">
        <f>IF(TRIM(J1336)="","",H1336)</f>
        <v>Long Shutter Noise Reduction</v>
      </c>
      <c r="C1336" s="5" t="str">
        <f>LEFT(F1336,FIND(".",F1336,6))</f>
        <v>Exif.Panasonic.</v>
      </c>
      <c r="D1336" s="5" t="str">
        <f>VLOOKUP(C1336,PrefixUebersetzung,2,FALSE)</f>
        <v>Exif.Panasonic.</v>
      </c>
      <c r="E1336" s="5" t="str">
        <f>MID(F1336,FIND(".",F1336,6)+1,99)</f>
        <v>LongShutterNoiseReduction</v>
      </c>
      <c r="F1336" s="2" t="s">
        <v>7111</v>
      </c>
      <c r="G1336" s="5" t="s">
        <v>9664</v>
      </c>
      <c r="H1336" s="3" t="s">
        <v>7112</v>
      </c>
      <c r="I1336" s="7" t="s">
        <v>7691</v>
      </c>
      <c r="J1336" s="14" t="s">
        <v>7691</v>
      </c>
      <c r="K1336" s="26"/>
      <c r="N1336" s="6"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6" t="s">
        <v>8574</v>
      </c>
      <c r="P1336" s="6" t="s">
        <v>8574</v>
      </c>
      <c r="Q1336" s="6" t="s">
        <v>9403</v>
      </c>
    </row>
    <row r="1337" spans="1:17" x14ac:dyDescent="0.25">
      <c r="A1337" s="5" t="str">
        <f>IF(TRIM(I1337)="","",E1337)</f>
        <v/>
      </c>
      <c r="B1337" s="5" t="str">
        <f>IF(TRIM(J1337)="","",H1337)</f>
        <v/>
      </c>
      <c r="C1337" s="5" t="str">
        <f>LEFT(F1337,FIND(".",F1337,6))</f>
        <v>Exif.Panasonic.</v>
      </c>
      <c r="D1337" s="5" t="str">
        <f>VLOOKUP(C1337,PrefixUebersetzung,2,FALSE)</f>
        <v>Exif.Panasonic.</v>
      </c>
      <c r="E1337" s="5" t="str">
        <f>MID(F1337,FIND(".",F1337,6)+1,99)</f>
        <v>Macro</v>
      </c>
      <c r="F1337" s="5" t="s">
        <v>1153</v>
      </c>
      <c r="G1337" s="5" t="s">
        <v>9664</v>
      </c>
      <c r="H1337" s="6" t="s">
        <v>2202</v>
      </c>
      <c r="I1337" s="7"/>
      <c r="K1337" s="26"/>
      <c r="L1337" s="6" t="str">
        <f>IFERROR(VLOOKUP(E1337,A:I,9, FALSE),"")</f>
        <v>Makro</v>
      </c>
      <c r="M1337" s="6" t="str">
        <f>IFERROR(VLOOKUP(H1337,B:J,9,FALSE),"")</f>
        <v>Makromodus</v>
      </c>
      <c r="N1337" s="6"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row>
    <row r="1338" spans="1:17" ht="30" x14ac:dyDescent="0.25">
      <c r="A1338" s="5" t="str">
        <f>IF(TRIM(I1338)="","",E1338)</f>
        <v>MakerNoteVersion</v>
      </c>
      <c r="B1338" s="5" t="str">
        <f>IF(TRIM(J1338)="","",H1338)</f>
        <v>MakerNote version</v>
      </c>
      <c r="C1338" s="5" t="str">
        <f>LEFT(F1338,FIND(".",F1338,6))</f>
        <v>Exif.Panasonic.</v>
      </c>
      <c r="D1338" s="5" t="str">
        <f>VLOOKUP(C1338,PrefixUebersetzung,2,FALSE)</f>
        <v>Exif.Panasonic.</v>
      </c>
      <c r="E1338" s="5" t="str">
        <f>MID(F1338,FIND(".",F1338,6)+1,99)</f>
        <v>MakerNoteVersion</v>
      </c>
      <c r="F1338" s="5" t="s">
        <v>1154</v>
      </c>
      <c r="G1338" s="5" t="s">
        <v>9669</v>
      </c>
      <c r="H1338" s="6" t="s">
        <v>2961</v>
      </c>
      <c r="I1338" s="7" t="s">
        <v>6866</v>
      </c>
      <c r="J1338" s="14" t="s">
        <v>5223</v>
      </c>
      <c r="K1338" s="26"/>
      <c r="L1338" s="6" t="str">
        <f>IFERROR(VLOOKUP(E1338,A:I,9, FALSE),"")</f>
        <v>Hersteller-Notiz Version</v>
      </c>
      <c r="M1338" s="6" t="str">
        <f>IFERROR(VLOOKUP(H1338,B:J,9,FALSE),"")</f>
        <v>Herstellernotiz Version</v>
      </c>
      <c r="N1338" s="6"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c r="O1338" s="6" t="s">
        <v>8574</v>
      </c>
      <c r="P1338" s="6" t="s">
        <v>8574</v>
      </c>
      <c r="Q1338" s="6" t="s">
        <v>9180</v>
      </c>
    </row>
    <row r="1339" spans="1:17" x14ac:dyDescent="0.25">
      <c r="A1339" s="5" t="str">
        <f>IF(TRIM(I1339)="","",E1339)</f>
        <v/>
      </c>
      <c r="B1339" s="5" t="str">
        <f>IF(TRIM(J1339)="","",H1339)</f>
        <v/>
      </c>
      <c r="C1339" s="5" t="str">
        <f>LEFT(F1339,FIND(".",F1339,6))</f>
        <v>Exif.Panasonic.</v>
      </c>
      <c r="D1339" s="5" t="str">
        <f>VLOOKUP(C1339,PrefixUebersetzung,2,FALSE)</f>
        <v>Exif.Panasonic.</v>
      </c>
      <c r="E1339" s="5" t="str">
        <f>MID(F1339,FIND(".",F1339,6)+1,99)</f>
        <v>ManometerPressure</v>
      </c>
      <c r="F1339" s="2" t="s">
        <v>7113</v>
      </c>
      <c r="G1339" s="5" t="s">
        <v>9664</v>
      </c>
      <c r="H1339" s="3" t="s">
        <v>2821</v>
      </c>
      <c r="I1339" s="7"/>
      <c r="J1339" s="8"/>
      <c r="K1339" s="26"/>
      <c r="L1339" s="6" t="str">
        <f>IFERROR(VLOOKUP(E1339,A:I,9, FALSE),"")</f>
        <v>Manometerdruck</v>
      </c>
      <c r="M1339" s="6" t="str">
        <f>IFERROR(VLOOKUP(H1339,B:J,9,FALSE),"")</f>
        <v>Manometerdruck</v>
      </c>
      <c r="N1339" s="6"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row>
    <row r="1340" spans="1:17" x14ac:dyDescent="0.25">
      <c r="A1340" s="5" t="str">
        <f>IF(TRIM(I1340)="","",E1340)</f>
        <v/>
      </c>
      <c r="B1340" s="5" t="str">
        <f>IF(TRIM(J1340)="","",H1340)</f>
        <v/>
      </c>
      <c r="C1340" s="5" t="str">
        <f>LEFT(F1340,FIND(".",F1340,6))</f>
        <v>Exif.Panasonic.</v>
      </c>
      <c r="D1340" s="5" t="str">
        <f>VLOOKUP(C1340,PrefixUebersetzung,2,FALSE)</f>
        <v>Exif.Panasonic.</v>
      </c>
      <c r="E1340" s="5" t="str">
        <f>MID(F1340,FIND(".",F1340,6)+1,99)</f>
        <v>NoiseReduction</v>
      </c>
      <c r="F1340" s="5" t="s">
        <v>1155</v>
      </c>
      <c r="G1340" s="5" t="s">
        <v>9664</v>
      </c>
      <c r="H1340" s="6" t="s">
        <v>2563</v>
      </c>
      <c r="I1340" s="7"/>
      <c r="K1340" s="26"/>
      <c r="L1340" s="6" t="str">
        <f>IFERROR(VLOOKUP(E1340,A:I,9, FALSE),"")</f>
        <v xml:space="preserve">Rauschreduzierung </v>
      </c>
      <c r="M1340" s="6" t="str">
        <f>IFERROR(VLOOKUP(H1340,B:J,9,FALSE),"")</f>
        <v xml:space="preserve">Rauschreduzierung </v>
      </c>
      <c r="N1340" s="6"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row>
    <row r="1341" spans="1:17" x14ac:dyDescent="0.25">
      <c r="A1341" s="5" t="str">
        <f>IF(TRIM(I1341)="","",E1341)</f>
        <v>OpticalZoomMode</v>
      </c>
      <c r="B1341" s="5" t="str">
        <f>IF(TRIM(J1341)="","",H1341)</f>
        <v>Optical zoom mode</v>
      </c>
      <c r="C1341" s="5" t="str">
        <f>LEFT(F1341,FIND(".",F1341,6))</f>
        <v>Exif.Panasonic.</v>
      </c>
      <c r="D1341" s="5" t="str">
        <f>VLOOKUP(C1341,PrefixUebersetzung,2,FALSE)</f>
        <v>Exif.Panasonic.</v>
      </c>
      <c r="E1341" s="5" t="str">
        <f>MID(F1341,FIND(".",F1341,6)+1,99)</f>
        <v>OpticalZoomMode</v>
      </c>
      <c r="F1341" s="5" t="s">
        <v>1156</v>
      </c>
      <c r="G1341" s="5" t="s">
        <v>9664</v>
      </c>
      <c r="H1341" s="6" t="s">
        <v>2962</v>
      </c>
      <c r="I1341" s="24" t="s">
        <v>4398</v>
      </c>
      <c r="J1341" s="8" t="s">
        <v>4398</v>
      </c>
      <c r="K1341" s="26"/>
      <c r="N1341" s="6"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c r="O1341" s="6" t="s">
        <v>8574</v>
      </c>
      <c r="P1341" s="6" t="s">
        <v>8574</v>
      </c>
      <c r="Q1341" s="6" t="s">
        <v>4854</v>
      </c>
    </row>
    <row r="1342" spans="1:17" x14ac:dyDescent="0.25">
      <c r="A1342" s="5" t="str">
        <f>IF(TRIM(I1342)="","",E1342)</f>
        <v>PanoramaFieldOfView</v>
      </c>
      <c r="B1342" s="5" t="str">
        <f>IF(TRIM(J1342)="","",H1342)</f>
        <v>Field of View of Panorama</v>
      </c>
      <c r="C1342" s="5" t="str">
        <f>LEFT(F1342,FIND(".",F1342,6))</f>
        <v>Exif.Panasonic.</v>
      </c>
      <c r="D1342" s="5" t="str">
        <f>VLOOKUP(C1342,PrefixUebersetzung,2,FALSE)</f>
        <v>Exif.Panasonic.</v>
      </c>
      <c r="E1342" s="5" t="str">
        <f>MID(F1342,FIND(".",F1342,6)+1,99)</f>
        <v>PanoramaFieldOfView</v>
      </c>
      <c r="F1342" s="2" t="s">
        <v>7114</v>
      </c>
      <c r="G1342" s="5" t="s">
        <v>9664</v>
      </c>
      <c r="H1342" s="3" t="s">
        <v>7115</v>
      </c>
      <c r="I1342" s="7" t="s">
        <v>7692</v>
      </c>
      <c r="J1342" s="8" t="s">
        <v>7693</v>
      </c>
      <c r="K1342" s="26"/>
      <c r="N1342" s="6"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c>
      <c r="O1342" s="6" t="s">
        <v>8574</v>
      </c>
      <c r="P1342" s="6" t="s">
        <v>8574</v>
      </c>
    </row>
    <row r="1343" spans="1:17" x14ac:dyDescent="0.25">
      <c r="A1343" s="5" t="str">
        <f>IF(TRIM(I1343)="","",E1343)</f>
        <v>PhotoStyle</v>
      </c>
      <c r="B1343" s="5" t="str">
        <f>IF(TRIM(J1343)="","",H1343)</f>
        <v>Photo style</v>
      </c>
      <c r="C1343" s="5" t="str">
        <f>LEFT(F1343,FIND(".",F1343,6))</f>
        <v>Exif.Panasonic.</v>
      </c>
      <c r="D1343" s="5" t="str">
        <f>VLOOKUP(C1343,PrefixUebersetzung,2,FALSE)</f>
        <v>Exif.Panasonic.</v>
      </c>
      <c r="E1343" s="5" t="str">
        <f>MID(F1343,FIND(".",F1343,6)+1,99)</f>
        <v>PhotoStyle</v>
      </c>
      <c r="F1343" s="2" t="s">
        <v>7116</v>
      </c>
      <c r="G1343" s="5" t="s">
        <v>9664</v>
      </c>
      <c r="H1343" s="3" t="s">
        <v>7117</v>
      </c>
      <c r="I1343" s="7" t="s">
        <v>7694</v>
      </c>
      <c r="J1343" s="14" t="s">
        <v>7694</v>
      </c>
      <c r="K1343" s="26"/>
      <c r="N1343" s="6"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O1343" s="6" t="s">
        <v>8574</v>
      </c>
      <c r="P1343" s="6" t="s">
        <v>8574</v>
      </c>
      <c r="Q1343" s="6" t="s">
        <v>4012</v>
      </c>
    </row>
    <row r="1344" spans="1:17" x14ac:dyDescent="0.25">
      <c r="A1344" s="5" t="str">
        <f>IF(TRIM(I1344)="","",E1344)</f>
        <v>PitchAngle</v>
      </c>
      <c r="B1344" s="5" t="str">
        <f>IF(TRIM(J1344)="","",H1344)</f>
        <v>degress of upwards camera tilt</v>
      </c>
      <c r="C1344" s="5" t="str">
        <f>LEFT(F1344,FIND(".",F1344,6))</f>
        <v>Exif.Panasonic.</v>
      </c>
      <c r="D1344" s="5" t="str">
        <f>VLOOKUP(C1344,PrefixUebersetzung,2,FALSE)</f>
        <v>Exif.Panasonic.</v>
      </c>
      <c r="E1344" s="5" t="str">
        <f>MID(F1344,FIND(".",F1344,6)+1,99)</f>
        <v>PitchAngle</v>
      </c>
      <c r="F1344" s="2" t="s">
        <v>7118</v>
      </c>
      <c r="G1344" s="5" t="s">
        <v>9664</v>
      </c>
      <c r="H1344" s="3" t="s">
        <v>7119</v>
      </c>
      <c r="I1344" s="7" t="s">
        <v>7695</v>
      </c>
      <c r="J1344" s="8" t="s">
        <v>7920</v>
      </c>
      <c r="K1344" s="26"/>
      <c r="N1344" s="6"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6" t="s">
        <v>8574</v>
      </c>
      <c r="P1344" s="6" t="s">
        <v>8574</v>
      </c>
    </row>
    <row r="1345" spans="1:17" x14ac:dyDescent="0.25">
      <c r="A1345" s="5" t="str">
        <f>IF(TRIM(I1345)="","",E1345)</f>
        <v/>
      </c>
      <c r="B1345" s="5" t="str">
        <f>IF(TRIM(J1345)="","",H1345)</f>
        <v/>
      </c>
      <c r="C1345" s="5" t="str">
        <f>LEFT(F1345,FIND(".",F1345,6))</f>
        <v>Exif.Panasonic.</v>
      </c>
      <c r="D1345" s="5" t="str">
        <f>VLOOKUP(C1345,PrefixUebersetzung,2,FALSE)</f>
        <v>Exif.Panasonic.</v>
      </c>
      <c r="E1345" s="5" t="str">
        <f>MID(F1345,FIND(".",F1345,6)+1,99)</f>
        <v>PrintIM</v>
      </c>
      <c r="F1345" s="5" t="s">
        <v>1157</v>
      </c>
      <c r="G1345" s="5" t="s">
        <v>9669</v>
      </c>
      <c r="H1345" s="6" t="s">
        <v>2535</v>
      </c>
      <c r="I1345" s="7"/>
      <c r="K1345" s="26"/>
      <c r="L1345" s="6" t="str">
        <f>IFERROR(VLOOKUP(E1345,A:I,9, FALSE),"")</f>
        <v>PrintIM</v>
      </c>
      <c r="M1345" s="6" t="str">
        <f>IFERROR(VLOOKUP(H1345,B:J,9,FALSE),"")</f>
        <v>PrintIM Informationen</v>
      </c>
      <c r="N1345" s="6"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row>
    <row r="1346" spans="1:17" x14ac:dyDescent="0.25">
      <c r="A1346" s="5" t="str">
        <f>IF(TRIM(I1346)="","",E1346)</f>
        <v>ProgramISO</v>
      </c>
      <c r="B1346" s="5" t="str">
        <f>IF(TRIM(J1346)="","",H1346)</f>
        <v>Program ISO</v>
      </c>
      <c r="C1346" s="5" t="str">
        <f>LEFT(F1346,FIND(".",F1346,6))</f>
        <v>Exif.Panasonic.</v>
      </c>
      <c r="D1346" s="5" t="str">
        <f>VLOOKUP(C1346,PrefixUebersetzung,2,FALSE)</f>
        <v>Exif.Panasonic.</v>
      </c>
      <c r="E1346" s="5" t="str">
        <f>MID(F1346,FIND(".",F1346,6)+1,99)</f>
        <v>ProgramISO</v>
      </c>
      <c r="F1346" s="5" t="s">
        <v>1158</v>
      </c>
      <c r="G1346" s="5" t="s">
        <v>9664</v>
      </c>
      <c r="H1346" s="6" t="s">
        <v>2963</v>
      </c>
      <c r="I1346" s="7" t="s">
        <v>4056</v>
      </c>
      <c r="J1346" s="14" t="s">
        <v>4056</v>
      </c>
      <c r="K1346" s="26"/>
      <c r="N1346" s="6"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c r="O1346" s="6" t="s">
        <v>8574</v>
      </c>
      <c r="P1346" s="6" t="s">
        <v>8574</v>
      </c>
      <c r="Q1346" s="6" t="s">
        <v>4478</v>
      </c>
    </row>
    <row r="1347" spans="1:17" x14ac:dyDescent="0.25">
      <c r="A1347" s="5" t="str">
        <f>IF(TRIM(I1347)="","",E1347)</f>
        <v/>
      </c>
      <c r="B1347" s="5" t="str">
        <f>IF(TRIM(J1347)="","",H1347)</f>
        <v/>
      </c>
      <c r="C1347" s="5" t="str">
        <f>LEFT(F1347,FIND(".",F1347,6))</f>
        <v>Exif.Panasonic.</v>
      </c>
      <c r="D1347" s="5" t="str">
        <f>VLOOKUP(C1347,PrefixUebersetzung,2,FALSE)</f>
        <v>Exif.Panasonic.</v>
      </c>
      <c r="E1347" s="5" t="str">
        <f>MID(F1347,FIND(".",F1347,6)+1,99)</f>
        <v>Quality</v>
      </c>
      <c r="F1347" s="5" t="s">
        <v>1159</v>
      </c>
      <c r="G1347" s="5" t="s">
        <v>9664</v>
      </c>
      <c r="H1347" s="6" t="s">
        <v>2964</v>
      </c>
      <c r="I1347" s="7"/>
      <c r="K1347" s="26"/>
      <c r="L1347" s="6" t="str">
        <f>IFERROR(VLOOKUP(E1347,A:I,9, FALSE),"")</f>
        <v>Qualität</v>
      </c>
      <c r="M1347" s="6" t="str">
        <f>IFERROR(VLOOKUP(H1347,B:J,9,FALSE),"")</f>
        <v>Bildqualität</v>
      </c>
      <c r="N1347" s="6"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row>
    <row r="1348" spans="1:17" x14ac:dyDescent="0.25">
      <c r="A1348" s="5" t="str">
        <f>IF(TRIM(I1348)="","",E1348)</f>
        <v>RollAngle</v>
      </c>
      <c r="B1348" s="5" t="str">
        <f>IF(TRIM(J1348)="","",H1348)</f>
        <v>degress of clockwise camera rotation</v>
      </c>
      <c r="C1348" s="5" t="str">
        <f>LEFT(F1348,FIND(".",F1348,6))</f>
        <v>Exif.Panasonic.</v>
      </c>
      <c r="D1348" s="5" t="str">
        <f>VLOOKUP(C1348,PrefixUebersetzung,2,FALSE)</f>
        <v>Exif.Panasonic.</v>
      </c>
      <c r="E1348" s="5" t="str">
        <f>MID(F1348,FIND(".",F1348,6)+1,99)</f>
        <v>RollAngle</v>
      </c>
      <c r="F1348" s="2" t="s">
        <v>7120</v>
      </c>
      <c r="G1348" s="5" t="s">
        <v>9664</v>
      </c>
      <c r="H1348" s="3" t="s">
        <v>7121</v>
      </c>
      <c r="I1348" s="7" t="s">
        <v>7696</v>
      </c>
      <c r="J1348" s="8" t="s">
        <v>7921</v>
      </c>
      <c r="K1348" s="26"/>
      <c r="N1348" s="6"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c r="O1348" s="6" t="s">
        <v>8574</v>
      </c>
      <c r="P1348" s="6" t="s">
        <v>8574</v>
      </c>
    </row>
    <row r="1349" spans="1:17" x14ac:dyDescent="0.25">
      <c r="A1349" s="5" t="str">
        <f>IF(TRIM(I1349)="","",E1349)</f>
        <v/>
      </c>
      <c r="B1349" s="5" t="str">
        <f>IF(TRIM(J1349)="","",H1349)</f>
        <v/>
      </c>
      <c r="C1349" s="5" t="str">
        <f>LEFT(F1349,FIND(".",F1349,6))</f>
        <v>Exif.Panasonic.</v>
      </c>
      <c r="D1349" s="5" t="str">
        <f>VLOOKUP(C1349,PrefixUebersetzung,2,FALSE)</f>
        <v>Exif.Panasonic.</v>
      </c>
      <c r="E1349" s="5" t="str">
        <f>MID(F1349,FIND(".",F1349,6)+1,99)</f>
        <v>Rotation</v>
      </c>
      <c r="F1349" s="5" t="s">
        <v>1160</v>
      </c>
      <c r="G1349" s="5" t="s">
        <v>9664</v>
      </c>
      <c r="H1349" s="6" t="s">
        <v>2565</v>
      </c>
      <c r="I1349" s="24"/>
      <c r="J1349" s="8"/>
      <c r="K1349" s="26"/>
      <c r="L1349" s="6" t="str">
        <f>IFERROR(VLOOKUP(E1349,A:I,9, FALSE),"")</f>
        <v>Drehung</v>
      </c>
      <c r="M1349" s="6" t="str">
        <f>IFERROR(VLOOKUP(H1349,B:J,9,FALSE),"")</f>
        <v>Drehung</v>
      </c>
      <c r="N1349" s="6"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row>
    <row r="1350" spans="1:17" x14ac:dyDescent="0.25">
      <c r="A1350" s="5" t="str">
        <f>IF(TRIM(I1350)="","",E1350)</f>
        <v/>
      </c>
      <c r="B1350" s="5" t="str">
        <f>IF(TRIM(J1350)="","",H1350)</f>
        <v/>
      </c>
      <c r="C1350" s="5" t="str">
        <f>LEFT(F1350,FIND(".",F1350,6))</f>
        <v>Exif.Panasonic.</v>
      </c>
      <c r="D1350" s="5" t="str">
        <f>VLOOKUP(C1350,PrefixUebersetzung,2,FALSE)</f>
        <v>Exif.Panasonic.</v>
      </c>
      <c r="E1350" s="5" t="str">
        <f>MID(F1350,FIND(".",F1350,6)+1,99)</f>
        <v>Saturation</v>
      </c>
      <c r="F1350" s="5" t="s">
        <v>1161</v>
      </c>
      <c r="G1350" s="5" t="s">
        <v>9664</v>
      </c>
      <c r="H1350" s="6" t="s">
        <v>2567</v>
      </c>
      <c r="I1350" s="24"/>
      <c r="J1350" s="8"/>
      <c r="K1350" s="26"/>
      <c r="L1350" s="6" t="str">
        <f>IFERROR(VLOOKUP(E1350,A:I,9, FALSE),"")</f>
        <v>Sättigung</v>
      </c>
      <c r="M1350" s="6" t="str">
        <f>IFERROR(VLOOKUP(H1350,B:J,9,FALSE),"")</f>
        <v>Sättigung</v>
      </c>
      <c r="N1350" s="6"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row>
    <row r="1351" spans="1:17" x14ac:dyDescent="0.25">
      <c r="A1351" s="5" t="str">
        <f>IF(TRIM(I1351)="","",E1351)</f>
        <v/>
      </c>
      <c r="B1351" s="5" t="str">
        <f>IF(TRIM(J1351)="","",H1351)</f>
        <v/>
      </c>
      <c r="C1351" s="5" t="str">
        <f>LEFT(F1351,FIND(".",F1351,6))</f>
        <v>Exif.Panasonic.</v>
      </c>
      <c r="D1351" s="5" t="str">
        <f>VLOOKUP(C1351,PrefixUebersetzung,2,FALSE)</f>
        <v>Exif.Panasonic.</v>
      </c>
      <c r="E1351" s="5" t="str">
        <f>MID(F1351,FIND(".",F1351,6)+1,99)</f>
        <v>SceneMode</v>
      </c>
      <c r="F1351" s="5" t="s">
        <v>1162</v>
      </c>
      <c r="G1351" s="5" t="s">
        <v>9664</v>
      </c>
      <c r="H1351" s="6" t="s">
        <v>2660</v>
      </c>
      <c r="I1351" s="7"/>
      <c r="K1351" s="26"/>
      <c r="L1351" s="6" t="str">
        <f>IFERROR(VLOOKUP(E1351,A:I,9, FALSE),"")</f>
        <v>Szenenmodus</v>
      </c>
      <c r="M1351" s="6" t="str">
        <f>IFERROR(VLOOKUP(H1351,B:J,9,FALSE),"")</f>
        <v>Szenenmodus</v>
      </c>
      <c r="N1351" s="6"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row>
    <row r="1352" spans="1:17" x14ac:dyDescent="0.25">
      <c r="A1352" s="5" t="str">
        <f>IF(TRIM(I1352)="","",E1352)</f>
        <v/>
      </c>
      <c r="B1352" s="5" t="str">
        <f>IF(TRIM(J1352)="","",H1352)</f>
        <v/>
      </c>
      <c r="C1352" s="5" t="str">
        <f>LEFT(F1352,FIND(".",F1352,6))</f>
        <v>Exif.Panasonic.</v>
      </c>
      <c r="D1352" s="5" t="str">
        <f>VLOOKUP(C1352,PrefixUebersetzung,2,FALSE)</f>
        <v>Exif.Panasonic.</v>
      </c>
      <c r="E1352" s="5" t="str">
        <f>MID(F1352,FIND(".",F1352,6)+1,99)</f>
        <v>SelfTimer</v>
      </c>
      <c r="F1352" s="5" t="s">
        <v>1163</v>
      </c>
      <c r="G1352" s="5" t="s">
        <v>9664</v>
      </c>
      <c r="H1352" s="6" t="s">
        <v>2210</v>
      </c>
      <c r="I1352" s="7"/>
      <c r="K1352" s="26"/>
      <c r="L1352" s="6" t="str">
        <f>IFERROR(VLOOKUP(E1352,A:I,9, FALSE),"")</f>
        <v>Selbstauslöser</v>
      </c>
      <c r="M1352" s="6" t="str">
        <f>IFERROR(VLOOKUP(H1352,B:J,9,FALSE),"")</f>
        <v>Selbstauslöser</v>
      </c>
      <c r="N1352" s="6"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5" t="str">
        <f>IF(TRIM(I1353)="","",E1353)</f>
        <v/>
      </c>
      <c r="B1353" s="5" t="str">
        <f>IF(TRIM(J1353)="","",H1353)</f>
        <v/>
      </c>
      <c r="C1353" s="5" t="str">
        <f>LEFT(F1353,FIND(".",F1353,6))</f>
        <v>Exif.Panasonic.</v>
      </c>
      <c r="D1353" s="5" t="str">
        <f>VLOOKUP(C1353,PrefixUebersetzung,2,FALSE)</f>
        <v>Exif.Panasonic.</v>
      </c>
      <c r="E1353" s="5" t="str">
        <f>MID(F1353,FIND(".",F1353,6)+1,99)</f>
        <v>SequenceNumber</v>
      </c>
      <c r="F1353" s="5" t="s">
        <v>1164</v>
      </c>
      <c r="G1353" s="5" t="s">
        <v>9667</v>
      </c>
      <c r="H1353" s="6" t="s">
        <v>2285</v>
      </c>
      <c r="I1353" s="7"/>
      <c r="K1353" s="26"/>
      <c r="L1353" s="6" t="str">
        <f>IFERROR(VLOOKUP(E1353,A:I,9, FALSE),"")</f>
        <v>Sequenznummer</v>
      </c>
      <c r="M1353" s="6" t="str">
        <f>IFERROR(VLOOKUP(H1353,B:J,9,FALSE),"")</f>
        <v>Sequenznummer</v>
      </c>
      <c r="N1353" s="6"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row>
    <row r="1354" spans="1:17" x14ac:dyDescent="0.25">
      <c r="A1354" s="5" t="str">
        <f>IF(TRIM(I1354)="","",E1354)</f>
        <v/>
      </c>
      <c r="B1354" s="5" t="str">
        <f>IF(TRIM(J1354)="","",H1354)</f>
        <v/>
      </c>
      <c r="C1354" s="5" t="str">
        <f>LEFT(F1354,FIND(".",F1354,6))</f>
        <v>Exif.Panasonic.</v>
      </c>
      <c r="D1354" s="5" t="str">
        <f>VLOOKUP(C1354,PrefixUebersetzung,2,FALSE)</f>
        <v>Exif.Panasonic.</v>
      </c>
      <c r="E1354" s="5" t="str">
        <f>MID(F1354,FIND(".",F1354,6)+1,99)</f>
        <v>ShadingCompensation</v>
      </c>
      <c r="F1354" s="2" t="s">
        <v>7122</v>
      </c>
      <c r="G1354" s="5" t="s">
        <v>9664</v>
      </c>
      <c r="H1354" s="3" t="s">
        <v>7123</v>
      </c>
      <c r="I1354" s="7"/>
      <c r="J1354" s="8"/>
      <c r="K1354" s="26"/>
      <c r="L1354" s="6" t="str">
        <f>IFERROR(VLOOKUP(E1354,A:I,9, FALSE),"")</f>
        <v>Schatten Ausgleich</v>
      </c>
      <c r="M1354" s="6" t="str">
        <f>IFERROR(VLOOKUP(H1354,B:J,9,FALSE),"")</f>
        <v>Schatten Ausgleich</v>
      </c>
      <c r="N1354" s="6"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row>
    <row r="1355" spans="1:17" x14ac:dyDescent="0.25">
      <c r="A1355" s="5" t="str">
        <f>IF(TRIM(I1355)="","",E1355)</f>
        <v/>
      </c>
      <c r="B1355" s="5" t="str">
        <f>IF(TRIM(J1355)="","",H1355)</f>
        <v/>
      </c>
      <c r="C1355" s="5" t="str">
        <f>LEFT(F1355,FIND(".",F1355,6))</f>
        <v>Exif.Panasonic.</v>
      </c>
      <c r="D1355" s="5" t="str">
        <f>VLOOKUP(C1355,PrefixUebersetzung,2,FALSE)</f>
        <v>Exif.Panasonic.</v>
      </c>
      <c r="E1355" s="5" t="str">
        <f>MID(F1355,FIND(".",F1355,6)+1,99)</f>
        <v>Sharpness</v>
      </c>
      <c r="F1355" s="5" t="s">
        <v>1165</v>
      </c>
      <c r="G1355" s="5" t="s">
        <v>9664</v>
      </c>
      <c r="H1355" s="6" t="s">
        <v>2245</v>
      </c>
      <c r="I1355" s="7"/>
      <c r="K1355" s="26"/>
      <c r="L1355" s="6" t="str">
        <f>IFERROR(VLOOKUP(E1355,A:I,9, FALSE),"")</f>
        <v>Schärfe</v>
      </c>
      <c r="M1355" s="6" t="str">
        <f>IFERROR(VLOOKUP(H1355,B:J,9,FALSE),"")</f>
        <v>Schärfe</v>
      </c>
      <c r="N1355" s="6"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5" t="str">
        <f>IF(TRIM(I1356)="","",E1356)</f>
        <v/>
      </c>
      <c r="B1356" s="5" t="str">
        <f>IF(TRIM(J1356)="","",H1356)</f>
        <v/>
      </c>
      <c r="C1356" s="5" t="str">
        <f>LEFT(F1356,FIND(".",F1356,6))</f>
        <v>Exif.Panasonic.</v>
      </c>
      <c r="D1356" s="5" t="str">
        <f>VLOOKUP(C1356,PrefixUebersetzung,2,FALSE)</f>
        <v>Exif.Panasonic.</v>
      </c>
      <c r="E1356" s="5" t="str">
        <f>MID(F1356,FIND(".",F1356,6)+1,99)</f>
        <v>ShootingMode</v>
      </c>
      <c r="F1356" s="5" t="s">
        <v>1166</v>
      </c>
      <c r="G1356" s="5" t="s">
        <v>9664</v>
      </c>
      <c r="H1356" s="6" t="s">
        <v>2664</v>
      </c>
      <c r="I1356" s="7"/>
      <c r="K1356" s="26"/>
      <c r="L1356" s="6" t="str">
        <f>IFERROR(VLOOKUP(E1356,A:I,9, FALSE),"")</f>
        <v>Aufnahmemodus</v>
      </c>
      <c r="M1356" s="6" t="str">
        <f>IFERROR(VLOOKUP(H1356,B:J,9,FALSE),"")</f>
        <v>Aufnahmemodus</v>
      </c>
      <c r="N1356" s="6"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row>
    <row r="1357" spans="1:17" x14ac:dyDescent="0.25">
      <c r="A1357" s="5" t="str">
        <f>IF(TRIM(I1357)="","",E1357)</f>
        <v>ShutterType</v>
      </c>
      <c r="B1357" s="5" t="str">
        <f>IF(TRIM(J1357)="","",H1357)</f>
        <v>Shutter Type</v>
      </c>
      <c r="C1357" s="5" t="str">
        <f>LEFT(F1357,FIND(".",F1357,6))</f>
        <v>Exif.Panasonic.</v>
      </c>
      <c r="D1357" s="5" t="str">
        <f>VLOOKUP(C1357,PrefixUebersetzung,2,FALSE)</f>
        <v>Exif.Panasonic.</v>
      </c>
      <c r="E1357" s="5" t="str">
        <f>MID(F1357,FIND(".",F1357,6)+1,99)</f>
        <v>ShutterType</v>
      </c>
      <c r="F1357" s="2" t="s">
        <v>7124</v>
      </c>
      <c r="G1357" s="5" t="s">
        <v>9664</v>
      </c>
      <c r="H1357" s="3" t="s">
        <v>7125</v>
      </c>
      <c r="I1357" s="7" t="s">
        <v>7697</v>
      </c>
      <c r="J1357" s="14" t="s">
        <v>7697</v>
      </c>
      <c r="K1357" s="26"/>
      <c r="N1357" s="6"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c>
      <c r="O1357" s="6" t="s">
        <v>8574</v>
      </c>
      <c r="P1357" s="6" t="s">
        <v>8574</v>
      </c>
      <c r="Q1357" s="6" t="s">
        <v>9486</v>
      </c>
    </row>
    <row r="1358" spans="1:17" x14ac:dyDescent="0.25">
      <c r="A1358" s="5" t="str">
        <f>IF(TRIM(I1358)="","",E1358)</f>
        <v>State</v>
      </c>
      <c r="B1358" s="5" t="str">
        <f>IF(TRIM(J1358)="","",H1358)</f>
        <v>State</v>
      </c>
      <c r="C1358" s="5" t="str">
        <f>LEFT(F1358,FIND(".",F1358,6))</f>
        <v>Exif.Panasonic.</v>
      </c>
      <c r="D1358" s="5" t="str">
        <f>VLOOKUP(C1358,PrefixUebersetzung,2,FALSE)</f>
        <v>Exif.Panasonic.</v>
      </c>
      <c r="E1358" s="5" t="str">
        <f>MID(F1358,FIND(".",F1358,6)+1,99)</f>
        <v>State</v>
      </c>
      <c r="F1358" s="2" t="s">
        <v>7126</v>
      </c>
      <c r="G1358" s="5" t="s">
        <v>9669</v>
      </c>
      <c r="H1358" s="3" t="s">
        <v>7127</v>
      </c>
      <c r="I1358" s="7" t="s">
        <v>4573</v>
      </c>
      <c r="J1358" s="8" t="s">
        <v>4573</v>
      </c>
      <c r="K1358" s="26"/>
      <c r="L1358" s="6" t="str">
        <f>IFERROR(VLOOKUP(E1358,A:I,9, FALSE),"")</f>
        <v>Staat</v>
      </c>
      <c r="N1358" s="6"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O1358" s="6" t="s">
        <v>8574</v>
      </c>
      <c r="P1358" s="6" t="s">
        <v>8574</v>
      </c>
      <c r="Q1358" s="6" t="s">
        <v>4573</v>
      </c>
    </row>
    <row r="1359" spans="1:17" x14ac:dyDescent="0.25">
      <c r="A1359" s="5" t="str">
        <f>IF(TRIM(I1359)="","",E1359)</f>
        <v>SweepPanoramaDirection</v>
      </c>
      <c r="B1359" s="5" t="str">
        <f>IF(TRIM(J1359)="","",H1359)</f>
        <v>Sweep Panorama Direction</v>
      </c>
      <c r="C1359" s="5" t="str">
        <f>LEFT(F1359,FIND(".",F1359,6))</f>
        <v>Exif.Panasonic.</v>
      </c>
      <c r="D1359" s="5" t="str">
        <f>VLOOKUP(C1359,PrefixUebersetzung,2,FALSE)</f>
        <v>Exif.Panasonic.</v>
      </c>
      <c r="E1359" s="5" t="str">
        <f>MID(F1359,FIND(".",F1359,6)+1,99)</f>
        <v>SweepPanoramaDirection</v>
      </c>
      <c r="F1359" s="2" t="s">
        <v>7128</v>
      </c>
      <c r="G1359" s="5" t="s">
        <v>9670</v>
      </c>
      <c r="H1359" s="3" t="s">
        <v>7129</v>
      </c>
      <c r="I1359" s="7" t="s">
        <v>7698</v>
      </c>
      <c r="J1359" s="14" t="s">
        <v>7698</v>
      </c>
      <c r="K1359" s="26"/>
      <c r="N1359" s="6"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6" t="s">
        <v>8574</v>
      </c>
      <c r="P1359" s="6" t="s">
        <v>8574</v>
      </c>
      <c r="Q1359" s="6" t="s">
        <v>9438</v>
      </c>
    </row>
    <row r="1360" spans="1:17" x14ac:dyDescent="0.25">
      <c r="A1360" s="5" t="str">
        <f>IF(TRIM(I1360)="","",E1360)</f>
        <v>TextStamp1</v>
      </c>
      <c r="B1360" s="5" t="str">
        <f>IF(TRIM(J1360)="","",H1360)</f>
        <v>Text Stamp 1</v>
      </c>
      <c r="C1360" s="5" t="str">
        <f>LEFT(F1360,FIND(".",F1360,6))</f>
        <v>Exif.Panasonic.</v>
      </c>
      <c r="D1360" s="5" t="str">
        <f>VLOOKUP(C1360,PrefixUebersetzung,2,FALSE)</f>
        <v>Exif.Panasonic.</v>
      </c>
      <c r="E1360" s="5" t="str">
        <f>MID(F1360,FIND(".",F1360,6)+1,99)</f>
        <v>TextStamp1</v>
      </c>
      <c r="F1360" s="2" t="s">
        <v>7130</v>
      </c>
      <c r="G1360" s="5" t="s">
        <v>9664</v>
      </c>
      <c r="H1360" s="3" t="s">
        <v>7131</v>
      </c>
      <c r="I1360" s="7" t="s">
        <v>7699</v>
      </c>
      <c r="J1360" s="14" t="s">
        <v>7699</v>
      </c>
      <c r="K1360" s="26"/>
      <c r="N1360" s="6"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6" t="s">
        <v>8574</v>
      </c>
      <c r="P1360" s="6" t="s">
        <v>8574</v>
      </c>
      <c r="Q1360" s="6" t="s">
        <v>9332</v>
      </c>
    </row>
    <row r="1361" spans="1:17" x14ac:dyDescent="0.25">
      <c r="A1361" s="5" t="str">
        <f>IF(TRIM(I1361)="","",E1361)</f>
        <v>TextStamp2</v>
      </c>
      <c r="B1361" s="5" t="str">
        <f>IF(TRIM(J1361)="","",H1361)</f>
        <v>Text Stamp 2</v>
      </c>
      <c r="C1361" s="5" t="str">
        <f>LEFT(F1361,FIND(".",F1361,6))</f>
        <v>Exif.Panasonic.</v>
      </c>
      <c r="D1361" s="5" t="str">
        <f>VLOOKUP(C1361,PrefixUebersetzung,2,FALSE)</f>
        <v>Exif.Panasonic.</v>
      </c>
      <c r="E1361" s="5" t="str">
        <f>MID(F1361,FIND(".",F1361,6)+1,99)</f>
        <v>TextStamp2</v>
      </c>
      <c r="F1361" s="2" t="s">
        <v>7132</v>
      </c>
      <c r="G1361" s="5" t="s">
        <v>9664</v>
      </c>
      <c r="H1361" s="3" t="s">
        <v>7133</v>
      </c>
      <c r="I1361" s="7" t="s">
        <v>7701</v>
      </c>
      <c r="J1361" s="14" t="s">
        <v>7701</v>
      </c>
      <c r="K1361" s="26"/>
      <c r="N1361" s="6"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6" t="s">
        <v>8574</v>
      </c>
      <c r="P1361" s="6" t="s">
        <v>8574</v>
      </c>
      <c r="Q1361" s="6" t="s">
        <v>9332</v>
      </c>
    </row>
    <row r="1362" spans="1:17" x14ac:dyDescent="0.25">
      <c r="A1362" s="5" t="str">
        <f>IF(TRIM(I1362)="","",E1362)</f>
        <v>TextStamp3</v>
      </c>
      <c r="B1362" s="5" t="str">
        <f>IF(TRIM(J1362)="","",H1362)</f>
        <v>Text Stamp 3</v>
      </c>
      <c r="C1362" s="5" t="str">
        <f>LEFT(F1362,FIND(".",F1362,6))</f>
        <v>Exif.Panasonic.</v>
      </c>
      <c r="D1362" s="5" t="str">
        <f>VLOOKUP(C1362,PrefixUebersetzung,2,FALSE)</f>
        <v>Exif.Panasonic.</v>
      </c>
      <c r="E1362" s="5" t="str">
        <f>MID(F1362,FIND(".",F1362,6)+1,99)</f>
        <v>TextStamp3</v>
      </c>
      <c r="F1362" s="2" t="s">
        <v>7134</v>
      </c>
      <c r="G1362" s="5" t="s">
        <v>9664</v>
      </c>
      <c r="H1362" s="3" t="s">
        <v>7135</v>
      </c>
      <c r="I1362" s="7" t="s">
        <v>7702</v>
      </c>
      <c r="J1362" s="14" t="s">
        <v>7702</v>
      </c>
      <c r="K1362" s="26"/>
      <c r="N1362" s="6"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O1362" s="6" t="s">
        <v>8574</v>
      </c>
      <c r="P1362" s="6" t="s">
        <v>8574</v>
      </c>
      <c r="Q1362" s="6" t="s">
        <v>9332</v>
      </c>
    </row>
    <row r="1363" spans="1:17" x14ac:dyDescent="0.25">
      <c r="A1363" s="5" t="str">
        <f>IF(TRIM(I1363)="","",E1363)</f>
        <v>TextStamp4</v>
      </c>
      <c r="B1363" s="5" t="str">
        <f>IF(TRIM(J1363)="","",H1363)</f>
        <v>Text Stamp 4</v>
      </c>
      <c r="C1363" s="5" t="str">
        <f>LEFT(F1363,FIND(".",F1363,6))</f>
        <v>Exif.Panasonic.</v>
      </c>
      <c r="D1363" s="5" t="str">
        <f>VLOOKUP(C1363,PrefixUebersetzung,2,FALSE)</f>
        <v>Exif.Panasonic.</v>
      </c>
      <c r="E1363" s="5" t="str">
        <f>MID(F1363,FIND(".",F1363,6)+1,99)</f>
        <v>TextStamp4</v>
      </c>
      <c r="F1363" s="2" t="s">
        <v>7136</v>
      </c>
      <c r="G1363" s="5" t="s">
        <v>9664</v>
      </c>
      <c r="H1363" s="3" t="s">
        <v>7137</v>
      </c>
      <c r="I1363" s="7" t="s">
        <v>7700</v>
      </c>
      <c r="J1363" s="14" t="s">
        <v>7700</v>
      </c>
      <c r="K1363" s="26"/>
      <c r="N1363" s="6"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6" t="s">
        <v>8574</v>
      </c>
      <c r="P1363" s="6" t="s">
        <v>8574</v>
      </c>
      <c r="Q1363" s="6" t="s">
        <v>9332</v>
      </c>
    </row>
    <row r="1364" spans="1:17" x14ac:dyDescent="0.25">
      <c r="A1364" s="5" t="str">
        <f>IF(TRIM(I1364)="","",E1364)</f>
        <v>TimerRecording</v>
      </c>
      <c r="B1364" s="5" t="str">
        <f>IF(TRIM(J1364)="","",H1364)</f>
        <v>Timer Recording</v>
      </c>
      <c r="C1364" s="5" t="str">
        <f>LEFT(F1364,FIND(".",F1364,6))</f>
        <v>Exif.Panasonic.</v>
      </c>
      <c r="D1364" s="5" t="str">
        <f>VLOOKUP(C1364,PrefixUebersetzung,2,FALSE)</f>
        <v>Exif.Panasonic.</v>
      </c>
      <c r="E1364" s="5" t="str">
        <f>MID(F1364,FIND(".",F1364,6)+1,99)</f>
        <v>TimerRecording</v>
      </c>
      <c r="F1364" s="2" t="s">
        <v>7138</v>
      </c>
      <c r="G1364" s="5" t="s">
        <v>9670</v>
      </c>
      <c r="H1364" s="3" t="s">
        <v>7139</v>
      </c>
      <c r="I1364" s="7" t="s">
        <v>7703</v>
      </c>
      <c r="J1364" s="14" t="s">
        <v>7703</v>
      </c>
      <c r="K1364" s="26"/>
      <c r="N1364" s="6"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c>
      <c r="O1364" s="6" t="s">
        <v>8574</v>
      </c>
      <c r="P1364" s="6" t="s">
        <v>8574</v>
      </c>
      <c r="Q1364" s="6" t="s">
        <v>4849</v>
      </c>
    </row>
    <row r="1365" spans="1:17" ht="30" x14ac:dyDescent="0.25">
      <c r="A1365" s="5" t="str">
        <f>IF(TRIM(I1365)="","",E1365)</f>
        <v>TimeSincePowerOn</v>
      </c>
      <c r="B1365" s="5" t="str">
        <f>IF(TRIM(J1365)="","",H1365)</f>
        <v>Time in 1/100 s from when the camera was powered on to when the image is written to memory card</v>
      </c>
      <c r="C1365" s="5" t="str">
        <f>LEFT(F1365,FIND(".",F1365,6))</f>
        <v>Exif.Panasonic.</v>
      </c>
      <c r="D1365" s="5" t="str">
        <f>VLOOKUP(C1365,PrefixUebersetzung,2,FALSE)</f>
        <v>Exif.Panasonic.</v>
      </c>
      <c r="E1365" s="5" t="str">
        <f>MID(F1365,FIND(".",F1365,6)+1,99)</f>
        <v>TimeSincePowerOn</v>
      </c>
      <c r="F1365" s="5" t="s">
        <v>1167</v>
      </c>
      <c r="G1365" s="5" t="s">
        <v>9667</v>
      </c>
      <c r="H1365" s="6" t="s">
        <v>2965</v>
      </c>
      <c r="I1365" s="7" t="s">
        <v>4399</v>
      </c>
      <c r="J1365" s="14" t="s">
        <v>6648</v>
      </c>
      <c r="K1365" s="26"/>
      <c r="N1365" s="6"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c r="O1365" s="6" t="s">
        <v>8574</v>
      </c>
      <c r="P1365" s="6" t="s">
        <v>8574</v>
      </c>
    </row>
    <row r="1366" spans="1:17" x14ac:dyDescent="0.25">
      <c r="A1366" s="5" t="str">
        <f>IF(TRIM(I1366)="","",E1366)</f>
        <v>Title</v>
      </c>
      <c r="B1366" s="5" t="str">
        <f>IF(TRIM(J1366)="","",H1366)</f>
        <v>Title</v>
      </c>
      <c r="C1366" s="5" t="str">
        <f>LEFT(F1366,FIND(".",F1366,6))</f>
        <v>Exif.Panasonic.</v>
      </c>
      <c r="D1366" s="5" t="str">
        <f>VLOOKUP(C1366,PrefixUebersetzung,2,FALSE)</f>
        <v>Exif.Panasonic.</v>
      </c>
      <c r="E1366" s="5" t="str">
        <f>MID(F1366,FIND(".",F1366,6)+1,99)</f>
        <v>Title</v>
      </c>
      <c r="F1366" s="2" t="s">
        <v>7140</v>
      </c>
      <c r="G1366" s="5" t="s">
        <v>9669</v>
      </c>
      <c r="H1366" s="3" t="s">
        <v>7141</v>
      </c>
      <c r="I1366" s="7" t="s">
        <v>4528</v>
      </c>
      <c r="J1366" s="8" t="s">
        <v>4528</v>
      </c>
      <c r="K1366" s="26"/>
      <c r="L1366" s="6" t="str">
        <f>IFERROR(VLOOKUP(E1366,A:I,9, FALSE),"")</f>
        <v>Titel</v>
      </c>
      <c r="N1366" s="6"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6" t="s">
        <v>8574</v>
      </c>
      <c r="P1366" s="6" t="s">
        <v>8574</v>
      </c>
      <c r="Q1366" s="6" t="s">
        <v>4528</v>
      </c>
    </row>
    <row r="1367" spans="1:17" x14ac:dyDescent="0.25">
      <c r="A1367" s="5" t="str">
        <f>IF(TRIM(I1367)="","",E1367)</f>
        <v/>
      </c>
      <c r="B1367" s="5" t="str">
        <f>IF(TRIM(J1367)="","",H1367)</f>
        <v/>
      </c>
      <c r="C1367" s="5" t="str">
        <f>LEFT(F1367,FIND(".",F1367,6))</f>
        <v>Exif.Panasonic.</v>
      </c>
      <c r="D1367" s="5" t="str">
        <f>VLOOKUP(C1367,PrefixUebersetzung,2,FALSE)</f>
        <v>Exif.Panasonic.</v>
      </c>
      <c r="E1367" s="5" t="str">
        <f>MID(F1367,FIND(".",F1367,6)+1,99)</f>
        <v>TouchAE</v>
      </c>
      <c r="F1367" s="2" t="s">
        <v>7142</v>
      </c>
      <c r="G1367" s="5" t="s">
        <v>9664</v>
      </c>
      <c r="H1367" s="3" t="s">
        <v>7143</v>
      </c>
      <c r="I1367" s="2"/>
      <c r="J1367" s="33"/>
      <c r="K1367" s="26"/>
      <c r="N1367" s="6"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xml:space="preserve">Suffix not translated Description not translated </v>
      </c>
      <c r="O1367" s="6" t="s">
        <v>8574</v>
      </c>
      <c r="P1367" s="6" t="s">
        <v>8574</v>
      </c>
    </row>
    <row r="1368" spans="1:17" x14ac:dyDescent="0.25">
      <c r="A1368" s="5" t="str">
        <f>IF(TRIM(I1368)="","",E1368)</f>
        <v>Transform1</v>
      </c>
      <c r="B1368" s="5" t="str">
        <f>IF(TRIM(J1368)="","",H1368)</f>
        <v>Transform 1</v>
      </c>
      <c r="C1368" s="5" t="str">
        <f>LEFT(F1368,FIND(".",F1368,6))</f>
        <v>Exif.Panasonic.</v>
      </c>
      <c r="D1368" s="5" t="str">
        <f>VLOOKUP(C1368,PrefixUebersetzung,2,FALSE)</f>
        <v>Exif.Panasonic.</v>
      </c>
      <c r="E1368" s="5" t="str">
        <f>MID(F1368,FIND(".",F1368,6)+1,99)</f>
        <v>Transform1</v>
      </c>
      <c r="F1368" s="2" t="s">
        <v>7144</v>
      </c>
      <c r="G1368" s="5" t="s">
        <v>9669</v>
      </c>
      <c r="H1368" s="3" t="s">
        <v>7145</v>
      </c>
      <c r="I1368" s="7" t="s">
        <v>7704</v>
      </c>
      <c r="J1368" s="14" t="s">
        <v>7704</v>
      </c>
      <c r="K1368" s="26"/>
      <c r="N1368" s="6"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c r="O1368" s="6" t="s">
        <v>8574</v>
      </c>
      <c r="P1368" s="6" t="s">
        <v>8574</v>
      </c>
      <c r="Q1368" s="6" t="s">
        <v>9545</v>
      </c>
    </row>
    <row r="1369" spans="1:17" x14ac:dyDescent="0.25">
      <c r="A1369" s="5" t="str">
        <f>IF(TRIM(I1369)="","",E1369)</f>
        <v>Transform2</v>
      </c>
      <c r="B1369" s="5" t="str">
        <f>IF(TRIM(J1369)="","",H1369)</f>
        <v>Transform 2</v>
      </c>
      <c r="C1369" s="5" t="str">
        <f>LEFT(F1369,FIND(".",F1369,6))</f>
        <v>Exif.Panasonic.</v>
      </c>
      <c r="D1369" s="5" t="str">
        <f>VLOOKUP(C1369,PrefixUebersetzung,2,FALSE)</f>
        <v>Exif.Panasonic.</v>
      </c>
      <c r="E1369" s="5" t="str">
        <f>MID(F1369,FIND(".",F1369,6)+1,99)</f>
        <v>Transform2</v>
      </c>
      <c r="F1369" s="2" t="s">
        <v>7146</v>
      </c>
      <c r="G1369" s="5" t="s">
        <v>9669</v>
      </c>
      <c r="H1369" s="3" t="s">
        <v>7147</v>
      </c>
      <c r="I1369" s="7" t="s">
        <v>7705</v>
      </c>
      <c r="J1369" s="14" t="s">
        <v>7705</v>
      </c>
      <c r="K1369" s="26"/>
      <c r="N1369" s="6"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c r="O1369" s="6" t="s">
        <v>8574</v>
      </c>
      <c r="P1369" s="6" t="s">
        <v>8574</v>
      </c>
      <c r="Q1369" s="6" t="s">
        <v>9545</v>
      </c>
    </row>
    <row r="1370" spans="1:17" x14ac:dyDescent="0.25">
      <c r="A1370" s="5" t="str">
        <f>IF(TRIM(I1370)="","",E1370)</f>
        <v>TravelDay</v>
      </c>
      <c r="B1370" s="5" t="str">
        <f>IF(TRIM(J1370)="","",H1370)</f>
        <v>Travel day</v>
      </c>
      <c r="C1370" s="5" t="str">
        <f>LEFT(F1370,FIND(".",F1370,6))</f>
        <v>Exif.Panasonic.</v>
      </c>
      <c r="D1370" s="5" t="str">
        <f>VLOOKUP(C1370,PrefixUebersetzung,2,FALSE)</f>
        <v>Exif.Panasonic.</v>
      </c>
      <c r="E1370" s="5" t="str">
        <f>MID(F1370,FIND(".",F1370,6)+1,99)</f>
        <v>TravelDay</v>
      </c>
      <c r="F1370" s="5" t="s">
        <v>1168</v>
      </c>
      <c r="G1370" s="5" t="s">
        <v>9664</v>
      </c>
      <c r="H1370" s="6" t="s">
        <v>2966</v>
      </c>
      <c r="I1370" s="24" t="s">
        <v>4057</v>
      </c>
      <c r="J1370" s="8" t="s">
        <v>4057</v>
      </c>
      <c r="K1370" s="26"/>
      <c r="N1370" s="6"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6" t="s">
        <v>8574</v>
      </c>
      <c r="P1370" s="6" t="s">
        <v>8574</v>
      </c>
      <c r="Q1370" s="6" t="s">
        <v>4057</v>
      </c>
    </row>
    <row r="1371" spans="1:17" ht="30" x14ac:dyDescent="0.25">
      <c r="A1371" s="5" t="str">
        <f>IF(TRIM(I1371)="","",E1371)</f>
        <v>WBAdjustAB</v>
      </c>
      <c r="B1371" s="5" t="str">
        <f>IF(TRIM(J1371)="","",H1371)</f>
        <v>WB adjust AB. Positive is a shift toward blue.</v>
      </c>
      <c r="C1371" s="5" t="str">
        <f>LEFT(F1371,FIND(".",F1371,6))</f>
        <v>Exif.Panasonic.</v>
      </c>
      <c r="D1371" s="5" t="str">
        <f>VLOOKUP(C1371,PrefixUebersetzung,2,FALSE)</f>
        <v>Exif.Panasonic.</v>
      </c>
      <c r="E1371" s="5" t="str">
        <f>MID(F1371,FIND(".",F1371,6)+1,99)</f>
        <v>WBAdjustAB</v>
      </c>
      <c r="F1371" s="5" t="s">
        <v>1169</v>
      </c>
      <c r="G1371" s="5" t="s">
        <v>9664</v>
      </c>
      <c r="H1371" s="6" t="s">
        <v>2967</v>
      </c>
      <c r="I1371" s="7" t="s">
        <v>4400</v>
      </c>
      <c r="J1371" s="14" t="s">
        <v>5199</v>
      </c>
      <c r="K1371" s="26"/>
      <c r="N1371" s="6"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c r="O1371" s="6" t="s">
        <v>8574</v>
      </c>
      <c r="P1371" s="6" t="s">
        <v>8574</v>
      </c>
    </row>
    <row r="1372" spans="1:17" ht="30" x14ac:dyDescent="0.25">
      <c r="A1372" s="5" t="str">
        <f>IF(TRIM(I1372)="","",E1372)</f>
        <v>WBAdjustGM</v>
      </c>
      <c r="B1372" s="5" t="str">
        <f>IF(TRIM(J1372)="","",H1372)</f>
        <v>WBAdjustGM. Positive is a shift toward green.</v>
      </c>
      <c r="C1372" s="5" t="str">
        <f>LEFT(F1372,FIND(".",F1372,6))</f>
        <v>Exif.Panasonic.</v>
      </c>
      <c r="D1372" s="5" t="str">
        <f>VLOOKUP(C1372,PrefixUebersetzung,2,FALSE)</f>
        <v>Exif.Panasonic.</v>
      </c>
      <c r="E1372" s="5" t="str">
        <f>MID(F1372,FIND(".",F1372,6)+1,99)</f>
        <v>WBAdjustGM</v>
      </c>
      <c r="F1372" s="5" t="s">
        <v>1170</v>
      </c>
      <c r="G1372" s="5" t="s">
        <v>9664</v>
      </c>
      <c r="H1372" s="6" t="s">
        <v>2968</v>
      </c>
      <c r="I1372" s="7" t="s">
        <v>4401</v>
      </c>
      <c r="J1372" s="14" t="s">
        <v>5200</v>
      </c>
      <c r="K1372" s="26"/>
      <c r="N1372" s="6"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6" t="s">
        <v>8574</v>
      </c>
      <c r="P1372" s="6" t="s">
        <v>8574</v>
      </c>
    </row>
    <row r="1373" spans="1:17" x14ac:dyDescent="0.25">
      <c r="A1373" s="5" t="str">
        <f>IF(TRIM(I1373)="","",E1373)</f>
        <v>WBBlueLevel</v>
      </c>
      <c r="B1373" s="5" t="str">
        <f>IF(TRIM(J1373)="","",H1373)</f>
        <v>WB blue level</v>
      </c>
      <c r="C1373" s="5" t="str">
        <f>LEFT(F1373,FIND(".",F1373,6))</f>
        <v>Exif.Panasonic.</v>
      </c>
      <c r="D1373" s="5" t="str">
        <f>VLOOKUP(C1373,PrefixUebersetzung,2,FALSE)</f>
        <v>Exif.Panasonic.</v>
      </c>
      <c r="E1373" s="5" t="str">
        <f>MID(F1373,FIND(".",F1373,6)+1,99)</f>
        <v>WBBlueLevel</v>
      </c>
      <c r="F1373" s="5" t="s">
        <v>1171</v>
      </c>
      <c r="G1373" s="5" t="s">
        <v>9664</v>
      </c>
      <c r="H1373" s="6" t="s">
        <v>2969</v>
      </c>
      <c r="I1373" s="7" t="s">
        <v>4402</v>
      </c>
      <c r="J1373" s="14" t="s">
        <v>4402</v>
      </c>
      <c r="K1373" s="26"/>
      <c r="N1373" s="6"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6" t="s">
        <v>8574</v>
      </c>
      <c r="P1373" s="6" t="s">
        <v>8574</v>
      </c>
      <c r="Q1373" s="6" t="s">
        <v>9163</v>
      </c>
    </row>
    <row r="1374" spans="1:17" x14ac:dyDescent="0.25">
      <c r="A1374" s="5" t="str">
        <f>IF(TRIM(I1374)="","",E1374)</f>
        <v>WBGreenLevel</v>
      </c>
      <c r="B1374" s="5" t="str">
        <f>IF(TRIM(J1374)="","",H1374)</f>
        <v>WB green level</v>
      </c>
      <c r="C1374" s="5" t="str">
        <f>LEFT(F1374,FIND(".",F1374,6))</f>
        <v>Exif.Panasonic.</v>
      </c>
      <c r="D1374" s="5" t="str">
        <f>VLOOKUP(C1374,PrefixUebersetzung,2,FALSE)</f>
        <v>Exif.Panasonic.</v>
      </c>
      <c r="E1374" s="5" t="str">
        <f>MID(F1374,FIND(".",F1374,6)+1,99)</f>
        <v>WBGreenLevel</v>
      </c>
      <c r="F1374" s="5" t="s">
        <v>1172</v>
      </c>
      <c r="G1374" s="5" t="s">
        <v>9664</v>
      </c>
      <c r="H1374" s="6" t="s">
        <v>2970</v>
      </c>
      <c r="I1374" s="7" t="s">
        <v>4403</v>
      </c>
      <c r="J1374" s="14" t="s">
        <v>4403</v>
      </c>
      <c r="K1374" s="26"/>
      <c r="N1374" s="6"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c r="O1374" s="6" t="s">
        <v>8574</v>
      </c>
      <c r="P1374" s="6" t="s">
        <v>8574</v>
      </c>
      <c r="Q1374" s="6" t="s">
        <v>9163</v>
      </c>
    </row>
    <row r="1375" spans="1:17" x14ac:dyDescent="0.25">
      <c r="A1375" s="5" t="str">
        <f>IF(TRIM(I1375)="","",E1375)</f>
        <v>WBRedLevel</v>
      </c>
      <c r="B1375" s="5" t="str">
        <f>IF(TRIM(J1375)="","",H1375)</f>
        <v>WB red level</v>
      </c>
      <c r="C1375" s="5" t="str">
        <f>LEFT(F1375,FIND(".",F1375,6))</f>
        <v>Exif.Panasonic.</v>
      </c>
      <c r="D1375" s="5" t="str">
        <f>VLOOKUP(C1375,PrefixUebersetzung,2,FALSE)</f>
        <v>Exif.Panasonic.</v>
      </c>
      <c r="E1375" s="5" t="str">
        <f>MID(F1375,FIND(".",F1375,6)+1,99)</f>
        <v>WBRedLevel</v>
      </c>
      <c r="F1375" s="5" t="s">
        <v>1173</v>
      </c>
      <c r="G1375" s="5" t="s">
        <v>9664</v>
      </c>
      <c r="H1375" s="6" t="s">
        <v>2971</v>
      </c>
      <c r="I1375" s="7" t="s">
        <v>4404</v>
      </c>
      <c r="J1375" s="14" t="s">
        <v>4404</v>
      </c>
      <c r="K1375" s="26"/>
      <c r="N1375" s="6"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6" t="s">
        <v>8574</v>
      </c>
      <c r="P1375" s="6" t="s">
        <v>8574</v>
      </c>
      <c r="Q1375" s="6" t="s">
        <v>9163</v>
      </c>
    </row>
    <row r="1376" spans="1:17" x14ac:dyDescent="0.25">
      <c r="A1376" s="5" t="str">
        <f>IF(TRIM(I1376)="","",E1376)</f>
        <v/>
      </c>
      <c r="B1376" s="5" t="str">
        <f>IF(TRIM(J1376)="","",H1376)</f>
        <v/>
      </c>
      <c r="C1376" s="5" t="str">
        <f>LEFT(F1376,FIND(".",F1376,6))</f>
        <v>Exif.Panasonic.</v>
      </c>
      <c r="D1376" s="5" t="str">
        <f>VLOOKUP(C1376,PrefixUebersetzung,2,FALSE)</f>
        <v>Exif.Panasonic.</v>
      </c>
      <c r="E1376" s="5" t="str">
        <f>MID(F1376,FIND(".",F1376,6)+1,99)</f>
        <v>WhiteBalance</v>
      </c>
      <c r="F1376" s="5" t="s">
        <v>1174</v>
      </c>
      <c r="G1376" s="5" t="s">
        <v>9664</v>
      </c>
      <c r="H1376" s="6" t="s">
        <v>2263</v>
      </c>
      <c r="I1376" s="24"/>
      <c r="J1376" s="8"/>
      <c r="K1376" s="26"/>
      <c r="L1376" s="6" t="str">
        <f>IFERROR(VLOOKUP(E1376,A:I,9, FALSE),"")</f>
        <v>Weißabgleich</v>
      </c>
      <c r="M1376" s="6" t="str">
        <f>IFERROR(VLOOKUP(H1376,B:J,9,FALSE),"")</f>
        <v>Weißabgleich-Einstellung</v>
      </c>
      <c r="N1376" s="6"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row>
    <row r="1377" spans="1:17" x14ac:dyDescent="0.25">
      <c r="A1377" s="5" t="str">
        <f>IF(TRIM(I1377)="","",E1377)</f>
        <v/>
      </c>
      <c r="B1377" s="5" t="str">
        <f>IF(TRIM(J1377)="","",H1377)</f>
        <v>White balance adjustment</v>
      </c>
      <c r="C1377" s="5" t="str">
        <f>LEFT(F1377,FIND(".",F1377,6))</f>
        <v>Exif.Panasonic.</v>
      </c>
      <c r="D1377" s="5" t="str">
        <f>VLOOKUP(C1377,PrefixUebersetzung,2,FALSE)</f>
        <v>Exif.Panasonic.</v>
      </c>
      <c r="E1377" s="5" t="str">
        <f>MID(F1377,FIND(".",F1377,6)+1,99)</f>
        <v>WhiteBalanceBias</v>
      </c>
      <c r="F1377" s="5" t="s">
        <v>1175</v>
      </c>
      <c r="G1377" s="5" t="s">
        <v>9665</v>
      </c>
      <c r="H1377" s="6" t="s">
        <v>2972</v>
      </c>
      <c r="I1377" s="24"/>
      <c r="J1377" s="8" t="s">
        <v>4397</v>
      </c>
      <c r="K1377" s="26"/>
      <c r="L1377" s="6" t="str">
        <f>IFERROR(VLOOKUP(E1377,A:I,9, FALSE),"")</f>
        <v>Weißabgleich Korrektur</v>
      </c>
      <c r="N1377" s="6"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P1377" s="6" t="s">
        <v>8574</v>
      </c>
      <c r="Q1377" s="6" t="s">
        <v>9562</v>
      </c>
    </row>
    <row r="1378" spans="1:17" x14ac:dyDescent="0.25">
      <c r="A1378" s="5" t="str">
        <f>IF(TRIM(I1378)="","",E1378)</f>
        <v>WorldTimeLocation</v>
      </c>
      <c r="B1378" s="5" t="str">
        <f>IF(TRIM(J1378)="","",H1378)</f>
        <v>World time location</v>
      </c>
      <c r="C1378" s="5" t="str">
        <f>LEFT(F1378,FIND(".",F1378,6))</f>
        <v>Exif.Panasonic.</v>
      </c>
      <c r="D1378" s="5" t="str">
        <f>VLOOKUP(C1378,PrefixUebersetzung,2,FALSE)</f>
        <v>Exif.Panasonic.</v>
      </c>
      <c r="E1378" s="5" t="str">
        <f>MID(F1378,FIND(".",F1378,6)+1,99)</f>
        <v>WorldTimeLocation</v>
      </c>
      <c r="F1378" s="5" t="s">
        <v>1176</v>
      </c>
      <c r="G1378" s="5" t="s">
        <v>9664</v>
      </c>
      <c r="H1378" s="6" t="s">
        <v>2973</v>
      </c>
      <c r="I1378" s="7" t="s">
        <v>5201</v>
      </c>
      <c r="J1378" s="14" t="s">
        <v>5201</v>
      </c>
      <c r="K1378" s="26"/>
      <c r="N1378" s="6"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6" t="s">
        <v>8574</v>
      </c>
      <c r="P1378" s="6" t="s">
        <v>8574</v>
      </c>
      <c r="Q1378" s="6" t="s">
        <v>9134</v>
      </c>
    </row>
    <row r="1379" spans="1:17" x14ac:dyDescent="0.25">
      <c r="A1379" s="5" t="str">
        <f>IF(TRIM(I1379)="","",E1379)</f>
        <v>AEInfo</v>
      </c>
      <c r="B1379" s="5" t="str">
        <f>IF(TRIM(J1379)="","",H1379)</f>
        <v>AEInfo</v>
      </c>
      <c r="C1379" s="5" t="str">
        <f>LEFT(F1379,FIND(".",F1379,6))</f>
        <v>Exif.Pentax.</v>
      </c>
      <c r="D1379" s="5" t="str">
        <f>VLOOKUP(C1379,PrefixUebersetzung,2,FALSE)</f>
        <v>Exif.Pentax.</v>
      </c>
      <c r="E1379" s="5" t="str">
        <f>MID(F1379,FIND(".",F1379,6)+1,99)</f>
        <v>AEInfo</v>
      </c>
      <c r="F1379" s="5" t="s">
        <v>1177</v>
      </c>
      <c r="G1379" s="5" t="s">
        <v>9669</v>
      </c>
      <c r="H1379" s="6" t="s">
        <v>2974</v>
      </c>
      <c r="I1379" s="7" t="s">
        <v>4658</v>
      </c>
      <c r="J1379" s="14" t="s">
        <v>4658</v>
      </c>
      <c r="K1379" s="26"/>
      <c r="N1379" s="6"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6" t="s">
        <v>8574</v>
      </c>
      <c r="P1379" s="6" t="s">
        <v>8574</v>
      </c>
      <c r="Q1379" s="6" t="s">
        <v>9104</v>
      </c>
    </row>
    <row r="1380" spans="1:17" x14ac:dyDescent="0.25">
      <c r="A1380" s="5" t="str">
        <f>IF(TRIM(I1380)="","",E1380)</f>
        <v/>
      </c>
      <c r="B1380" s="5" t="str">
        <f>IF(TRIM(J1380)="","",H1380)</f>
        <v>AE lock</v>
      </c>
      <c r="C1380" s="5" t="str">
        <f>LEFT(F1380,FIND(".",F1380,6))</f>
        <v>Exif.Pentax.</v>
      </c>
      <c r="D1380" s="5" t="str">
        <f>VLOOKUP(C1380,PrefixUebersetzung,2,FALSE)</f>
        <v>Exif.Pentax.</v>
      </c>
      <c r="E1380" s="5" t="str">
        <f>MID(F1380,FIND(".",F1380,6)+1,99)</f>
        <v>AELock</v>
      </c>
      <c r="F1380" s="5" t="s">
        <v>1178</v>
      </c>
      <c r="G1380" s="5" t="s">
        <v>9664</v>
      </c>
      <c r="H1380" s="6" t="s">
        <v>2975</v>
      </c>
      <c r="I1380" s="5"/>
      <c r="J1380" s="8" t="s">
        <v>4375</v>
      </c>
      <c r="K1380" s="26"/>
      <c r="L1380" s="6" t="str">
        <f>IFERROR(VLOOKUP(E1380,A:I,9, FALSE),"")</f>
        <v>Belichtung speichern</v>
      </c>
      <c r="M1380" s="6" t="str">
        <f>IFERROR(VLOOKUP(H1380,B:J,9,FALSE),"")</f>
        <v>Belichtung speichern</v>
      </c>
      <c r="N1380" s="6"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P1380" s="6" t="s">
        <v>8574</v>
      </c>
      <c r="Q1380" s="6" t="s">
        <v>9100</v>
      </c>
    </row>
    <row r="1381" spans="1:17" x14ac:dyDescent="0.25">
      <c r="A1381" s="5" t="str">
        <f>IF(TRIM(I1381)="","",E1381)</f>
        <v>AEMeteringSegments</v>
      </c>
      <c r="B1381" s="5" t="str">
        <f>IF(TRIM(J1381)="","",H1381)</f>
        <v>AEMeteringSegments</v>
      </c>
      <c r="C1381" s="5" t="str">
        <f>LEFT(F1381,FIND(".",F1381,6))</f>
        <v>Exif.Pentax.</v>
      </c>
      <c r="D1381" s="5" t="str">
        <f>VLOOKUP(C1381,PrefixUebersetzung,2,FALSE)</f>
        <v>Exif.Pentax.</v>
      </c>
      <c r="E1381" s="5" t="str">
        <f>MID(F1381,FIND(".",F1381,6)+1,99)</f>
        <v>AEMeteringSegments</v>
      </c>
      <c r="F1381" s="5" t="s">
        <v>1179</v>
      </c>
      <c r="G1381" s="5" t="s">
        <v>9669</v>
      </c>
      <c r="H1381" s="6" t="s">
        <v>2976</v>
      </c>
      <c r="I1381" s="7" t="s">
        <v>4929</v>
      </c>
      <c r="J1381" s="14" t="s">
        <v>4929</v>
      </c>
      <c r="K1381" s="26"/>
      <c r="N1381" s="6"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6" t="s">
        <v>8574</v>
      </c>
      <c r="P1381" s="6" t="s">
        <v>8574</v>
      </c>
      <c r="Q1381" s="6" t="s">
        <v>2976</v>
      </c>
    </row>
    <row r="1382" spans="1:17" x14ac:dyDescent="0.25">
      <c r="A1382" s="5" t="str">
        <f>IF(TRIM(I1382)="","",E1382)</f>
        <v>AFAdjustment</v>
      </c>
      <c r="B1382" s="5" t="str">
        <f>IF(TRIM(J1382)="","",H1382)</f>
        <v>AF Adjustment</v>
      </c>
      <c r="C1382" s="5" t="str">
        <f>LEFT(F1382,FIND(".",F1382,6))</f>
        <v>Exif.Pentax.</v>
      </c>
      <c r="D1382" s="5" t="str">
        <f>VLOOKUP(C1382,PrefixUebersetzung,2,FALSE)</f>
        <v>Exif.Pentax.</v>
      </c>
      <c r="E1382" s="5" t="str">
        <f>MID(F1382,FIND(".",F1382,6)+1,99)</f>
        <v>AFAdjustment</v>
      </c>
      <c r="F1382" s="5" t="s">
        <v>1180</v>
      </c>
      <c r="G1382" s="5" t="s">
        <v>9669</v>
      </c>
      <c r="H1382" s="6" t="s">
        <v>2977</v>
      </c>
      <c r="I1382" s="24" t="s">
        <v>4058</v>
      </c>
      <c r="J1382" s="8" t="s">
        <v>4058</v>
      </c>
      <c r="K1382" s="26"/>
      <c r="N1382" s="6"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O1382" s="6" t="s">
        <v>8574</v>
      </c>
      <c r="P1382" s="6" t="s">
        <v>8574</v>
      </c>
      <c r="Q1382" s="6" t="s">
        <v>9105</v>
      </c>
    </row>
    <row r="1383" spans="1:17" x14ac:dyDescent="0.25">
      <c r="A1383" s="5" t="str">
        <f>IF(TRIM(I1383)="","",E1383)</f>
        <v/>
      </c>
      <c r="B1383" s="5" t="str">
        <f>IF(TRIM(J1383)="","",H1383)</f>
        <v>AFInfo</v>
      </c>
      <c r="C1383" s="5" t="str">
        <f>LEFT(F1383,FIND(".",F1383,6))</f>
        <v>Exif.Pentax.</v>
      </c>
      <c r="D1383" s="5" t="str">
        <f>VLOOKUP(C1383,PrefixUebersetzung,2,FALSE)</f>
        <v>Exif.Pentax.</v>
      </c>
      <c r="E1383" s="5" t="str">
        <f>MID(F1383,FIND(".",F1383,6)+1,99)</f>
        <v>AFInfo</v>
      </c>
      <c r="F1383" s="5" t="s">
        <v>1181</v>
      </c>
      <c r="G1383" s="5" t="s">
        <v>9669</v>
      </c>
      <c r="H1383" s="6" t="s">
        <v>2978</v>
      </c>
      <c r="I1383" s="7"/>
      <c r="J1383" s="14" t="s">
        <v>4193</v>
      </c>
      <c r="K1383" s="26"/>
      <c r="L1383" s="6" t="str">
        <f>IFERROR(VLOOKUP(E1383,A:I,9, FALSE),"")</f>
        <v>AF Information</v>
      </c>
      <c r="N1383" s="6"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P1383" s="6" t="s">
        <v>8574</v>
      </c>
      <c r="Q1383" s="6" t="s">
        <v>9104</v>
      </c>
    </row>
    <row r="1384" spans="1:17" x14ac:dyDescent="0.25">
      <c r="A1384" s="5" t="str">
        <f>IF(TRIM(I1384)="","",E1384)</f>
        <v/>
      </c>
      <c r="B1384" s="5" t="str">
        <f>IF(TRIM(J1384)="","",H1384)</f>
        <v>Selected AF point</v>
      </c>
      <c r="C1384" s="5" t="str">
        <f>LEFT(F1384,FIND(".",F1384,6))</f>
        <v>Exif.Pentax.</v>
      </c>
      <c r="D1384" s="5" t="str">
        <f>VLOOKUP(C1384,PrefixUebersetzung,2,FALSE)</f>
        <v>Exif.Pentax.</v>
      </c>
      <c r="E1384" s="5" t="str">
        <f>MID(F1384,FIND(".",F1384,6)+1,99)</f>
        <v>AFPoint</v>
      </c>
      <c r="F1384" s="5" t="s">
        <v>1182</v>
      </c>
      <c r="G1384" s="5" t="s">
        <v>9667</v>
      </c>
      <c r="H1384" s="6" t="s">
        <v>2979</v>
      </c>
      <c r="I1384" s="7"/>
      <c r="J1384" s="14" t="s">
        <v>3752</v>
      </c>
      <c r="K1384" s="26"/>
      <c r="L1384" s="6" t="str">
        <f>IFERROR(VLOOKUP(E1384,A:I,9, FALSE),"")</f>
        <v>AF Messfeld ausgewählt</v>
      </c>
      <c r="N1384" s="6"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P1384" s="6" t="s">
        <v>8574</v>
      </c>
      <c r="Q1384" s="6" t="s">
        <v>9121</v>
      </c>
    </row>
    <row r="1385" spans="1:17" x14ac:dyDescent="0.25">
      <c r="A1385" s="5" t="str">
        <f>IF(TRIM(I1385)="","",E1385)</f>
        <v>AFPointInFocus</v>
      </c>
      <c r="B1385" s="5" t="str">
        <f>IF(TRIM(J1385)="","",H1385)</f>
        <v>AF point in focus</v>
      </c>
      <c r="C1385" s="5" t="str">
        <f>LEFT(F1385,FIND(".",F1385,6))</f>
        <v>Exif.Pentax.</v>
      </c>
      <c r="D1385" s="5" t="str">
        <f>VLOOKUP(C1385,PrefixUebersetzung,2,FALSE)</f>
        <v>Exif.Pentax.</v>
      </c>
      <c r="E1385" s="5" t="str">
        <f>MID(F1385,FIND(".",F1385,6)+1,99)</f>
        <v>AFPointInFocus</v>
      </c>
      <c r="F1385" s="5" t="s">
        <v>1183</v>
      </c>
      <c r="G1385" s="5" t="s">
        <v>9667</v>
      </c>
      <c r="H1385" s="6" t="s">
        <v>2980</v>
      </c>
      <c r="I1385" s="7" t="s">
        <v>4930</v>
      </c>
      <c r="J1385" s="14" t="s">
        <v>4930</v>
      </c>
      <c r="K1385" s="26"/>
      <c r="N1385" s="6"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6" t="s">
        <v>8574</v>
      </c>
      <c r="P1385" s="6" t="s">
        <v>8574</v>
      </c>
      <c r="Q1385" s="6" t="s">
        <v>9113</v>
      </c>
    </row>
    <row r="1386" spans="1:17" x14ac:dyDescent="0.25">
      <c r="A1386" s="5" t="str">
        <f>IF(TRIM(I1386)="","",E1386)</f>
        <v>AutoBracketing</v>
      </c>
      <c r="B1386" s="5" t="str">
        <f>IF(TRIM(J1386)="","",H1386)</f>
        <v>AutoBracketing</v>
      </c>
      <c r="C1386" s="5" t="str">
        <f>LEFT(F1386,FIND(".",F1386,6))</f>
        <v>Exif.Pentax.</v>
      </c>
      <c r="D1386" s="5" t="str">
        <f>VLOOKUP(C1386,PrefixUebersetzung,2,FALSE)</f>
        <v>Exif.Pentax.</v>
      </c>
      <c r="E1386" s="5" t="str">
        <f>MID(F1386,FIND(".",F1386,6)+1,99)</f>
        <v>AutoBracketing</v>
      </c>
      <c r="F1386" s="5" t="s">
        <v>1184</v>
      </c>
      <c r="G1386" s="5" t="s">
        <v>9669</v>
      </c>
      <c r="H1386" s="6" t="s">
        <v>2981</v>
      </c>
      <c r="I1386" s="7" t="s">
        <v>5113</v>
      </c>
      <c r="J1386" s="14" t="s">
        <v>5113</v>
      </c>
      <c r="K1386" s="26"/>
      <c r="N1386" s="6"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c>
      <c r="O1386" s="6" t="s">
        <v>8574</v>
      </c>
      <c r="P1386" s="6" t="s">
        <v>8574</v>
      </c>
      <c r="Q1386" s="6" t="s">
        <v>9145</v>
      </c>
    </row>
    <row r="1387" spans="1:17" x14ac:dyDescent="0.25">
      <c r="A1387" s="5" t="str">
        <f>IF(TRIM(I1387)="","",E1387)</f>
        <v>BatteryInfo</v>
      </c>
      <c r="B1387" s="5" t="str">
        <f>IF(TRIM(J1387)="","",H1387)</f>
        <v>BatteryInfo</v>
      </c>
      <c r="C1387" s="5" t="str">
        <f>LEFT(F1387,FIND(".",F1387,6))</f>
        <v>Exif.Pentax.</v>
      </c>
      <c r="D1387" s="5" t="str">
        <f>VLOOKUP(C1387,PrefixUebersetzung,2,FALSE)</f>
        <v>Exif.Pentax.</v>
      </c>
      <c r="E1387" s="5" t="str">
        <f>MID(F1387,FIND(".",F1387,6)+1,99)</f>
        <v>BatteryInfo</v>
      </c>
      <c r="F1387" s="5" t="s">
        <v>1185</v>
      </c>
      <c r="G1387" s="5" t="s">
        <v>9669</v>
      </c>
      <c r="H1387" s="6" t="s">
        <v>2982</v>
      </c>
      <c r="I1387" s="7" t="s">
        <v>4931</v>
      </c>
      <c r="J1387" s="14" t="s">
        <v>4931</v>
      </c>
      <c r="K1387" s="26"/>
      <c r="N1387" s="6"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O1387" s="6" t="s">
        <v>8574</v>
      </c>
      <c r="P1387" s="6" t="s">
        <v>8574</v>
      </c>
      <c r="Q1387" s="6" t="s">
        <v>4931</v>
      </c>
    </row>
    <row r="1388" spans="1:17" x14ac:dyDescent="0.25">
      <c r="A1388" s="5" t="str">
        <f>IF(TRIM(I1388)="","",E1388)</f>
        <v>BlackPoint</v>
      </c>
      <c r="B1388" s="5" t="str">
        <f>IF(TRIM(J1388)="","",H1388)</f>
        <v>Black point</v>
      </c>
      <c r="C1388" s="5" t="str">
        <f>LEFT(F1388,FIND(".",F1388,6))</f>
        <v>Exif.Pentax.</v>
      </c>
      <c r="D1388" s="5" t="str">
        <f>VLOOKUP(C1388,PrefixUebersetzung,2,FALSE)</f>
        <v>Exif.Pentax.</v>
      </c>
      <c r="E1388" s="5" t="str">
        <f>MID(F1388,FIND(".",F1388,6)+1,99)</f>
        <v>BlackPoint</v>
      </c>
      <c r="F1388" s="5" t="s">
        <v>1186</v>
      </c>
      <c r="G1388" s="5" t="s">
        <v>9669</v>
      </c>
      <c r="H1388" s="6" t="s">
        <v>2983</v>
      </c>
      <c r="I1388" s="7" t="s">
        <v>4405</v>
      </c>
      <c r="J1388" s="14" t="s">
        <v>4405</v>
      </c>
      <c r="K1388" s="26"/>
      <c r="N1388" s="6"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6" t="s">
        <v>8574</v>
      </c>
      <c r="P1388" s="6" t="s">
        <v>8574</v>
      </c>
      <c r="Q1388" s="6" t="s">
        <v>4405</v>
      </c>
    </row>
    <row r="1389" spans="1:17" x14ac:dyDescent="0.25">
      <c r="A1389" s="5" t="str">
        <f>IF(TRIM(I1389)="","",E1389)</f>
        <v/>
      </c>
      <c r="B1389" s="5" t="str">
        <f>IF(TRIM(J1389)="","",H1389)</f>
        <v>Blue color balance</v>
      </c>
      <c r="C1389" s="5" t="str">
        <f>LEFT(F1389,FIND(".",F1389,6))</f>
        <v>Exif.Pentax.</v>
      </c>
      <c r="D1389" s="5" t="str">
        <f>VLOOKUP(C1389,PrefixUebersetzung,2,FALSE)</f>
        <v>Exif.Pentax.</v>
      </c>
      <c r="E1389" s="5" t="str">
        <f>MID(F1389,FIND(".",F1389,6)+1,99)</f>
        <v>BlueBalance</v>
      </c>
      <c r="F1389" s="5" t="s">
        <v>1187</v>
      </c>
      <c r="G1389" s="5" t="s">
        <v>9667</v>
      </c>
      <c r="H1389" s="6" t="s">
        <v>2984</v>
      </c>
      <c r="I1389" s="7"/>
      <c r="J1389" s="14" t="s">
        <v>3982</v>
      </c>
      <c r="K1389" s="26"/>
      <c r="L1389" s="6" t="str">
        <f>IFERROR(VLOOKUP(E1389,A:I,9, FALSE),"")</f>
        <v>Blauabgleich</v>
      </c>
      <c r="N1389" s="6"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P1389" s="6" t="s">
        <v>8574</v>
      </c>
      <c r="Q1389" s="6" t="s">
        <v>3982</v>
      </c>
    </row>
    <row r="1390" spans="1:17" x14ac:dyDescent="0.25">
      <c r="A1390" s="5" t="str">
        <f>IF(TRIM(I1390)="","",E1390)</f>
        <v/>
      </c>
      <c r="B1390" s="5" t="str">
        <f>IF(TRIM(J1390)="","",H1390)</f>
        <v>CameraInfo</v>
      </c>
      <c r="C1390" s="5" t="str">
        <f>LEFT(F1390,FIND(".",F1390,6))</f>
        <v>Exif.Pentax.</v>
      </c>
      <c r="D1390" s="5" t="str">
        <f>VLOOKUP(C1390,PrefixUebersetzung,2,FALSE)</f>
        <v>Exif.Pentax.</v>
      </c>
      <c r="E1390" s="5" t="str">
        <f>MID(F1390,FIND(".",F1390,6)+1,99)</f>
        <v>CameraInfo</v>
      </c>
      <c r="F1390" s="5" t="s">
        <v>1188</v>
      </c>
      <c r="G1390" s="5" t="s">
        <v>9669</v>
      </c>
      <c r="H1390" s="6" t="s">
        <v>2985</v>
      </c>
      <c r="I1390" s="7"/>
      <c r="J1390" s="14" t="s">
        <v>4837</v>
      </c>
      <c r="K1390" s="26"/>
      <c r="L1390" s="6" t="str">
        <f>IFERROR(VLOOKUP(E1390,A:I,9, FALSE),"")</f>
        <v>Kamerainformation</v>
      </c>
      <c r="N1390" s="6"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c r="P1390" s="6" t="s">
        <v>8574</v>
      </c>
      <c r="Q1390" s="6" t="s">
        <v>4837</v>
      </c>
    </row>
    <row r="1391" spans="1:17" x14ac:dyDescent="0.25">
      <c r="A1391" s="5" t="str">
        <f>IF(TRIM(I1391)="","",E1391)</f>
        <v>ColorInfo</v>
      </c>
      <c r="B1391" s="5" t="str">
        <f>IF(TRIM(J1391)="","",H1391)</f>
        <v>ColorInfo</v>
      </c>
      <c r="C1391" s="5" t="str">
        <f>LEFT(F1391,FIND(".",F1391,6))</f>
        <v>Exif.Pentax.</v>
      </c>
      <c r="D1391" s="5" t="str">
        <f>VLOOKUP(C1391,PrefixUebersetzung,2,FALSE)</f>
        <v>Exif.Pentax.</v>
      </c>
      <c r="E1391" s="5" t="str">
        <f>MID(F1391,FIND(".",F1391,6)+1,99)</f>
        <v>ColorInfo</v>
      </c>
      <c r="F1391" s="5" t="s">
        <v>1189</v>
      </c>
      <c r="G1391" s="5" t="s">
        <v>9669</v>
      </c>
      <c r="H1391" s="6" t="s">
        <v>2986</v>
      </c>
      <c r="I1391" s="7" t="s">
        <v>4406</v>
      </c>
      <c r="J1391" s="14" t="s">
        <v>4406</v>
      </c>
      <c r="K1391" s="26"/>
      <c r="N1391" s="6"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6" t="s">
        <v>8574</v>
      </c>
      <c r="P1391" s="6" t="s">
        <v>8574</v>
      </c>
      <c r="Q1391" s="6" t="s">
        <v>9209</v>
      </c>
    </row>
    <row r="1392" spans="1:17" x14ac:dyDescent="0.25">
      <c r="A1392" s="5" t="str">
        <f>IF(TRIM(I1392)="","",E1392)</f>
        <v/>
      </c>
      <c r="B1392" s="5" t="str">
        <f>IF(TRIM(J1392)="","",H1392)</f>
        <v/>
      </c>
      <c r="C1392" s="5" t="str">
        <f>LEFT(F1392,FIND(".",F1392,6))</f>
        <v>Exif.Pentax.</v>
      </c>
      <c r="D1392" s="5" t="str">
        <f>VLOOKUP(C1392,PrefixUebersetzung,2,FALSE)</f>
        <v>Exif.Pentax.</v>
      </c>
      <c r="E1392" s="5" t="str">
        <f>MID(F1392,FIND(".",F1392,6)+1,99)</f>
        <v>ColorSpace</v>
      </c>
      <c r="F1392" s="5" t="s">
        <v>1190</v>
      </c>
      <c r="G1392" s="5" t="s">
        <v>9664</v>
      </c>
      <c r="H1392" s="6" t="s">
        <v>2548</v>
      </c>
      <c r="K1392" s="26"/>
      <c r="L1392" s="6" t="str">
        <f>IFERROR(VLOOKUP(E1392,A:I,9, FALSE),"")</f>
        <v>Farbraum</v>
      </c>
      <c r="M1392" s="6" t="str">
        <f>IFERROR(VLOOKUP(H1392,B:J,9,FALSE),"")</f>
        <v>Farbraum</v>
      </c>
      <c r="N1392" s="6"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row>
    <row r="1393" spans="1:17" x14ac:dyDescent="0.25">
      <c r="A1393" s="5" t="str">
        <f>IF(TRIM(I1393)="","",E1393)</f>
        <v/>
      </c>
      <c r="B1393" s="5" t="str">
        <f>IF(TRIM(J1393)="","",H1393)</f>
        <v>Color temperature</v>
      </c>
      <c r="C1393" s="5" t="str">
        <f>LEFT(F1393,FIND(".",F1393,6))</f>
        <v>Exif.Pentax.</v>
      </c>
      <c r="D1393" s="5" t="str">
        <f>VLOOKUP(C1393,PrefixUebersetzung,2,FALSE)</f>
        <v>Exif.Pentax.</v>
      </c>
      <c r="E1393" s="5" t="str">
        <f>MID(F1393,FIND(".",F1393,6)+1,99)</f>
        <v>ColorTemperature</v>
      </c>
      <c r="F1393" s="5" t="s">
        <v>1191</v>
      </c>
      <c r="G1393" s="5" t="s">
        <v>9664</v>
      </c>
      <c r="H1393" s="6" t="s">
        <v>2529</v>
      </c>
      <c r="I1393" s="7"/>
      <c r="J1393" s="14" t="s">
        <v>3799</v>
      </c>
      <c r="K1393" s="26"/>
      <c r="L1393" s="6" t="str">
        <f>IFERROR(VLOOKUP(E1393,A:I,9, FALSE),"")</f>
        <v>Farbtemperatur</v>
      </c>
      <c r="M1393" s="6" t="str">
        <f>IFERROR(VLOOKUP(H1393,B:J,9,FALSE),"")</f>
        <v>Farbtemperatur</v>
      </c>
      <c r="N1393" s="6"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row>
    <row r="1394" spans="1:17" x14ac:dyDescent="0.25">
      <c r="A1394" s="5" t="str">
        <f>IF(TRIM(I1394)="","",E1394)</f>
        <v/>
      </c>
      <c r="B1394" s="5" t="str">
        <f>IF(TRIM(J1394)="","",H1394)</f>
        <v/>
      </c>
      <c r="C1394" s="5" t="str">
        <f>LEFT(F1394,FIND(".",F1394,6))</f>
        <v>Exif.Pentax.</v>
      </c>
      <c r="D1394" s="5" t="str">
        <f>VLOOKUP(C1394,PrefixUebersetzung,2,FALSE)</f>
        <v>Exif.Pentax.</v>
      </c>
      <c r="E1394" s="5" t="str">
        <f>MID(F1394,FIND(".",F1394,6)+1,99)</f>
        <v>Contrast</v>
      </c>
      <c r="F1394" s="5" t="s">
        <v>1192</v>
      </c>
      <c r="G1394" s="5" t="s">
        <v>9669</v>
      </c>
      <c r="H1394" s="6" t="s">
        <v>2549</v>
      </c>
      <c r="K1394" s="26"/>
      <c r="L1394" s="6" t="str">
        <f>IFERROR(VLOOKUP(E1394,A:I,9, FALSE),"")</f>
        <v>Kontrast</v>
      </c>
      <c r="M1394" s="6" t="str">
        <f>IFERROR(VLOOKUP(H1394,B:J,9,FALSE),"")</f>
        <v>Kontrast</v>
      </c>
      <c r="N1394" s="6"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c>
    </row>
    <row r="1395" spans="1:17" x14ac:dyDescent="0.25">
      <c r="A1395" s="5" t="str">
        <f>IF(TRIM(I1395)="","",E1395)</f>
        <v>CPUFirmwareVersion</v>
      </c>
      <c r="B1395" s="5" t="str">
        <f>IF(TRIM(J1395)="","",H1395)</f>
        <v>CPUFirmwareVersion</v>
      </c>
      <c r="C1395" s="5" t="str">
        <f>LEFT(F1395,FIND(".",F1395,6))</f>
        <v>Exif.Pentax.</v>
      </c>
      <c r="D1395" s="5" t="str">
        <f>VLOOKUP(C1395,PrefixUebersetzung,2,FALSE)</f>
        <v>Exif.Pentax.</v>
      </c>
      <c r="E1395" s="5" t="str">
        <f>MID(F1395,FIND(".",F1395,6)+1,99)</f>
        <v>CPUFirmwareVersion</v>
      </c>
      <c r="F1395" s="5" t="s">
        <v>1193</v>
      </c>
      <c r="G1395" s="5" t="s">
        <v>9670</v>
      </c>
      <c r="H1395" s="6" t="s">
        <v>2987</v>
      </c>
      <c r="I1395" s="7" t="s">
        <v>5076</v>
      </c>
      <c r="J1395" s="14" t="s">
        <v>5076</v>
      </c>
      <c r="K1395" s="26"/>
      <c r="N1395" s="6"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c>
      <c r="O1395" s="6" t="s">
        <v>8574</v>
      </c>
      <c r="P1395" s="6" t="s">
        <v>8574</v>
      </c>
      <c r="Q1395" s="6" t="s">
        <v>9178</v>
      </c>
    </row>
    <row r="1396" spans="1:17" x14ac:dyDescent="0.25">
      <c r="A1396" s="5" t="str">
        <f>IF(TRIM(I1396)="","",E1396)</f>
        <v>Date</v>
      </c>
      <c r="B1396" s="5" t="str">
        <f>IF(TRIM(J1396)="","",H1396)</f>
        <v>Date</v>
      </c>
      <c r="C1396" s="5" t="str">
        <f>LEFT(F1396,FIND(".",F1396,6))</f>
        <v>Exif.Pentax.</v>
      </c>
      <c r="D1396" s="5" t="str">
        <f>VLOOKUP(C1396,PrefixUebersetzung,2,FALSE)</f>
        <v>Exif.Pentax.</v>
      </c>
      <c r="E1396" s="5" t="str">
        <f>MID(F1396,FIND(".",F1396,6)+1,99)</f>
        <v>Date</v>
      </c>
      <c r="F1396" s="5" t="s">
        <v>1194</v>
      </c>
      <c r="G1396" s="5" t="s">
        <v>9669</v>
      </c>
      <c r="H1396" s="6" t="s">
        <v>2988</v>
      </c>
      <c r="I1396" s="24" t="s">
        <v>4059</v>
      </c>
      <c r="J1396" s="8" t="s">
        <v>4059</v>
      </c>
      <c r="K1396" s="26"/>
      <c r="L1396" s="6" t="str">
        <f>IFERROR(VLOOKUP(E1396,A:I,9, FALSE),"")</f>
        <v>Datum</v>
      </c>
      <c r="N1396" s="6"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c>
      <c r="O1396" s="6" t="s">
        <v>8574</v>
      </c>
      <c r="P1396" s="6" t="s">
        <v>8574</v>
      </c>
      <c r="Q1396" s="6" t="s">
        <v>4059</v>
      </c>
    </row>
    <row r="1397" spans="1:17" x14ac:dyDescent="0.25">
      <c r="A1397" s="5" t="str">
        <f>IF(TRIM(I1397)="","",E1397)</f>
        <v>Destination</v>
      </c>
      <c r="B1397" s="5" t="str">
        <f>IF(TRIM(J1397)="","",H1397)</f>
        <v>Destination</v>
      </c>
      <c r="C1397" s="5" t="str">
        <f>LEFT(F1397,FIND(".",F1397,6))</f>
        <v>Exif.Pentax.</v>
      </c>
      <c r="D1397" s="5" t="str">
        <f>VLOOKUP(C1397,PrefixUebersetzung,2,FALSE)</f>
        <v>Exif.Pentax.</v>
      </c>
      <c r="E1397" s="5" t="str">
        <f>MID(F1397,FIND(".",F1397,6)+1,99)</f>
        <v>Destination</v>
      </c>
      <c r="F1397" s="5" t="s">
        <v>1195</v>
      </c>
      <c r="G1397" s="5" t="s">
        <v>9669</v>
      </c>
      <c r="H1397" s="6" t="s">
        <v>2989</v>
      </c>
      <c r="I1397" s="7" t="s">
        <v>4496</v>
      </c>
      <c r="J1397" s="14" t="s">
        <v>4496</v>
      </c>
      <c r="K1397" s="26"/>
      <c r="L1397" s="6" t="str">
        <f>IFERROR(VLOOKUP(E1397,A:I,9, FALSE),"")</f>
        <v>Ziel</v>
      </c>
      <c r="N1397" s="6"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c>
      <c r="O1397" s="6" t="s">
        <v>8574</v>
      </c>
      <c r="P1397" s="6" t="s">
        <v>8574</v>
      </c>
      <c r="Q1397" s="6" t="s">
        <v>4496</v>
      </c>
    </row>
    <row r="1398" spans="1:17" x14ac:dyDescent="0.25">
      <c r="A1398" s="5" t="str">
        <f>IF(TRIM(I1398)="","",E1398)</f>
        <v>DestinationDST</v>
      </c>
      <c r="B1398" s="5" t="str">
        <f>IF(TRIM(J1398)="","",H1398)</f>
        <v>Whether day saving time is active in destination</v>
      </c>
      <c r="C1398" s="5" t="str">
        <f>LEFT(F1398,FIND(".",F1398,6))</f>
        <v>Exif.Pentax.</v>
      </c>
      <c r="D1398" s="5" t="str">
        <f>VLOOKUP(C1398,PrefixUebersetzung,2,FALSE)</f>
        <v>Exif.Pentax.</v>
      </c>
      <c r="E1398" s="5" t="str">
        <f>MID(F1398,FIND(".",F1398,6)+1,99)</f>
        <v>DestinationDST</v>
      </c>
      <c r="F1398" s="5" t="s">
        <v>1196</v>
      </c>
      <c r="G1398" s="5" t="s">
        <v>9669</v>
      </c>
      <c r="H1398" s="6" t="s">
        <v>2990</v>
      </c>
      <c r="I1398" s="7" t="s">
        <v>4407</v>
      </c>
      <c r="J1398" s="14" t="s">
        <v>5206</v>
      </c>
      <c r="K1398" s="26"/>
      <c r="N1398" s="6"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c>
      <c r="O1398" s="6" t="s">
        <v>8574</v>
      </c>
      <c r="P1398" s="6" t="s">
        <v>8574</v>
      </c>
      <c r="Q1398" s="6" t="s">
        <v>9555</v>
      </c>
    </row>
    <row r="1399" spans="1:17" x14ac:dyDescent="0.25">
      <c r="A1399" s="5" t="str">
        <f>IF(TRIM(I1399)="","",E1399)</f>
        <v>DigitalFilter</v>
      </c>
      <c r="B1399" s="5" t="str">
        <f>IF(TRIM(J1399)="","",H1399)</f>
        <v>Digital filter</v>
      </c>
      <c r="C1399" s="5" t="str">
        <f>LEFT(F1399,FIND(".",F1399,6))</f>
        <v>Exif.Pentax.</v>
      </c>
      <c r="D1399" s="5" t="str">
        <f>VLOOKUP(C1399,PrefixUebersetzung,2,FALSE)</f>
        <v>Exif.Pentax.</v>
      </c>
      <c r="E1399" s="5" t="str">
        <f>MID(F1399,FIND(".",F1399,6)+1,99)</f>
        <v>DigitalFilter</v>
      </c>
      <c r="F1399" s="5" t="s">
        <v>1197</v>
      </c>
      <c r="G1399" s="5" t="s">
        <v>9664</v>
      </c>
      <c r="H1399" s="6" t="s">
        <v>2991</v>
      </c>
      <c r="I1399" s="24" t="s">
        <v>4060</v>
      </c>
      <c r="J1399" s="8" t="s">
        <v>4060</v>
      </c>
      <c r="K1399" s="26"/>
      <c r="N1399" s="6"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c>
      <c r="O1399" s="6" t="s">
        <v>8574</v>
      </c>
      <c r="P1399" s="6" t="s">
        <v>8574</v>
      </c>
      <c r="Q1399" s="6" t="s">
        <v>9247</v>
      </c>
    </row>
    <row r="1400" spans="1:17" x14ac:dyDescent="0.25">
      <c r="A1400" s="5" t="str">
        <f>IF(TRIM(I1400)="","",E1400)</f>
        <v/>
      </c>
      <c r="B1400" s="5" t="str">
        <f>IF(TRIM(J1400)="","",H1400)</f>
        <v/>
      </c>
      <c r="C1400" s="5" t="str">
        <f>LEFT(F1400,FIND(".",F1400,6))</f>
        <v>Exif.Pentax.</v>
      </c>
      <c r="D1400" s="5" t="str">
        <f>VLOOKUP(C1400,PrefixUebersetzung,2,FALSE)</f>
        <v>Exif.Pentax.</v>
      </c>
      <c r="E1400" s="5" t="str">
        <f>MID(F1400,FIND(".",F1400,6)+1,99)</f>
        <v>DigitalZoom</v>
      </c>
      <c r="F1400" s="5" t="s">
        <v>1198</v>
      </c>
      <c r="G1400" s="5" t="s">
        <v>9667</v>
      </c>
      <c r="H1400" s="6" t="s">
        <v>2185</v>
      </c>
      <c r="I1400" s="24"/>
      <c r="J1400" s="8"/>
      <c r="K1400" s="26"/>
      <c r="L1400" s="6" t="str">
        <f>IFERROR(VLOOKUP(E1400,A:I,9, FALSE),"")</f>
        <v>Digitaler Zoom</v>
      </c>
      <c r="M1400" s="6" t="str">
        <f>IFERROR(VLOOKUP(H1400,B:J,9,FALSE),"")</f>
        <v>Digitaler Zoom</v>
      </c>
      <c r="N1400" s="6"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c>
    </row>
    <row r="1401" spans="1:17" x14ac:dyDescent="0.25">
      <c r="A1401" s="5" t="str">
        <f>IF(TRIM(I1401)="","",E1401)</f>
        <v/>
      </c>
      <c r="B1401" s="5" t="str">
        <f>IF(TRIM(J1401)="","",H1401)</f>
        <v/>
      </c>
      <c r="C1401" s="5" t="str">
        <f>LEFT(F1401,FIND(".",F1401,6))</f>
        <v>Exif.Pentax.</v>
      </c>
      <c r="D1401" s="5" t="str">
        <f>VLOOKUP(C1401,PrefixUebersetzung,2,FALSE)</f>
        <v>Exif.Pentax.</v>
      </c>
      <c r="E1401" s="5" t="str">
        <f>MID(F1401,FIND(".",F1401,6)+1,99)</f>
        <v>DriveMode</v>
      </c>
      <c r="F1401" s="5" t="s">
        <v>1199</v>
      </c>
      <c r="G1401" s="5" t="s">
        <v>9669</v>
      </c>
      <c r="H1401" s="6" t="s">
        <v>2583</v>
      </c>
      <c r="I1401" s="7"/>
      <c r="K1401" s="26"/>
      <c r="L1401" s="6" t="str">
        <f>IFERROR(VLOOKUP(E1401,A:I,9, FALSE),"")</f>
        <v>Betriebsart</v>
      </c>
      <c r="M1401" s="6" t="str">
        <f>IFERROR(VLOOKUP(H1401,B:J,9,FALSE),"")</f>
        <v>Betriebsart</v>
      </c>
      <c r="N1401" s="6"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c>
    </row>
    <row r="1402" spans="1:17" x14ac:dyDescent="0.25">
      <c r="A1402" s="5" t="str">
        <f>IF(TRIM(I1402)="","",E1402)</f>
        <v>DSPFirmwareVersion</v>
      </c>
      <c r="B1402" s="5" t="str">
        <f>IF(TRIM(J1402)="","",H1402)</f>
        <v>DSPFirmwareVersion</v>
      </c>
      <c r="C1402" s="5" t="str">
        <f>LEFT(F1402,FIND(".",F1402,6))</f>
        <v>Exif.Pentax.</v>
      </c>
      <c r="D1402" s="5" t="str">
        <f>VLOOKUP(C1402,PrefixUebersetzung,2,FALSE)</f>
        <v>Exif.Pentax.</v>
      </c>
      <c r="E1402" s="5" t="str">
        <f>MID(F1402,FIND(".",F1402,6)+1,99)</f>
        <v>DSPFirmwareVersion</v>
      </c>
      <c r="F1402" s="5" t="s">
        <v>1200</v>
      </c>
      <c r="G1402" s="5" t="s">
        <v>9670</v>
      </c>
      <c r="H1402" s="6" t="s">
        <v>2992</v>
      </c>
      <c r="I1402" s="7" t="s">
        <v>2992</v>
      </c>
      <c r="J1402" s="14" t="s">
        <v>2992</v>
      </c>
      <c r="K1402" s="26"/>
      <c r="N1402" s="6"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c>
      <c r="O1402" s="6" t="s">
        <v>8574</v>
      </c>
      <c r="P1402" s="6" t="s">
        <v>8574</v>
      </c>
      <c r="Q1402" s="6" t="s">
        <v>9235</v>
      </c>
    </row>
    <row r="1403" spans="1:17" x14ac:dyDescent="0.25">
      <c r="A1403" s="5" t="str">
        <f>IF(TRIM(I1403)="","",E1403)</f>
        <v>DynamicRangeExpansion</v>
      </c>
      <c r="B1403" s="5" t="str">
        <f>IF(TRIM(J1403)="","",H1403)</f>
        <v>Dynamic range expansion</v>
      </c>
      <c r="C1403" s="5" t="str">
        <f>LEFT(F1403,FIND(".",F1403,6))</f>
        <v>Exif.Pentax.</v>
      </c>
      <c r="D1403" s="5" t="str">
        <f>VLOOKUP(C1403,PrefixUebersetzung,2,FALSE)</f>
        <v>Exif.Pentax.</v>
      </c>
      <c r="E1403" s="5" t="str">
        <f>MID(F1403,FIND(".",F1403,6)+1,99)</f>
        <v>DynamicRangeExpansion</v>
      </c>
      <c r="F1403" s="5" t="s">
        <v>1201</v>
      </c>
      <c r="G1403" s="5" t="s">
        <v>9669</v>
      </c>
      <c r="H1403" s="6" t="s">
        <v>2993</v>
      </c>
      <c r="I1403" s="7" t="s">
        <v>8900</v>
      </c>
      <c r="J1403" s="31" t="s">
        <v>8900</v>
      </c>
      <c r="K1403" s="26"/>
      <c r="N1403" s="6"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c>
      <c r="O1403" s="6" t="s">
        <v>8574</v>
      </c>
      <c r="P1403" s="6" t="s">
        <v>8574</v>
      </c>
      <c r="Q1403" s="6" t="s">
        <v>9259</v>
      </c>
    </row>
    <row r="1404" spans="1:17" ht="30" x14ac:dyDescent="0.25">
      <c r="A1404" s="5" t="str">
        <f>IF(TRIM(I1404)="","",E1404)</f>
        <v>EffectiveLV</v>
      </c>
      <c r="B1404" s="5" t="str">
        <f>IF(TRIM(J1404)="","",H1404)</f>
        <v>Camera calculated light value, includes exposure compensation</v>
      </c>
      <c r="C1404" s="5" t="str">
        <f>LEFT(F1404,FIND(".",F1404,6))</f>
        <v>Exif.Pentax.</v>
      </c>
      <c r="D1404" s="5" t="str">
        <f>VLOOKUP(C1404,PrefixUebersetzung,2,FALSE)</f>
        <v>Exif.Pentax.</v>
      </c>
      <c r="E1404" s="5" t="str">
        <f>MID(F1404,FIND(".",F1404,6)+1,99)</f>
        <v>EffectiveLV</v>
      </c>
      <c r="F1404" s="5" t="s">
        <v>1202</v>
      </c>
      <c r="G1404" s="5" t="s">
        <v>9664</v>
      </c>
      <c r="H1404" s="6" t="s">
        <v>2994</v>
      </c>
      <c r="I1404" s="7" t="s">
        <v>4408</v>
      </c>
      <c r="J1404" s="14" t="s">
        <v>5202</v>
      </c>
      <c r="K1404" s="26"/>
      <c r="N1404" s="6"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c>
      <c r="O1404" s="6" t="s">
        <v>8574</v>
      </c>
      <c r="P1404" s="6" t="s">
        <v>8574</v>
      </c>
    </row>
    <row r="1405" spans="1:17" x14ac:dyDescent="0.25">
      <c r="A1405" s="5" t="str">
        <f>IF(TRIM(I1405)="","",E1405)</f>
        <v/>
      </c>
      <c r="B1405" s="5" t="str">
        <f>IF(TRIM(J1405)="","",H1405)</f>
        <v/>
      </c>
      <c r="C1405" s="5" t="str">
        <f>LEFT(F1405,FIND(".",F1405,6))</f>
        <v>Exif.Pentax.</v>
      </c>
      <c r="D1405" s="5" t="str">
        <f>VLOOKUP(C1405,PrefixUebersetzung,2,FALSE)</f>
        <v>Exif.Pentax.</v>
      </c>
      <c r="E1405" s="5" t="str">
        <f>MID(F1405,FIND(".",F1405,6)+1,99)</f>
        <v>ExposureCompensation</v>
      </c>
      <c r="F1405" s="5" t="s">
        <v>1203</v>
      </c>
      <c r="G1405" s="5" t="s">
        <v>9667</v>
      </c>
      <c r="H1405" s="6" t="s">
        <v>2550</v>
      </c>
      <c r="I1405" s="7"/>
      <c r="K1405" s="26"/>
      <c r="L1405" s="6" t="str">
        <f>IFERROR(VLOOKUP(E1405,A:I,9, FALSE),"")</f>
        <v>Belichtungskorrektur</v>
      </c>
      <c r="M1405" s="6" t="str">
        <f>IFERROR(VLOOKUP(H1405,B:J,9,FALSE),"")</f>
        <v>Belichtungskorrektur</v>
      </c>
      <c r="N1405" s="6"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c>
    </row>
    <row r="1406" spans="1:17" x14ac:dyDescent="0.25">
      <c r="A1406" s="5" t="str">
        <f>IF(TRIM(I1406)="","",E1406)</f>
        <v/>
      </c>
      <c r="B1406" s="5" t="str">
        <f>IF(TRIM(J1406)="","",H1406)</f>
        <v/>
      </c>
      <c r="C1406" s="5" t="str">
        <f>LEFT(F1406,FIND(".",F1406,6))</f>
        <v>Exif.Pentax.</v>
      </c>
      <c r="D1406" s="5" t="str">
        <f>VLOOKUP(C1406,PrefixUebersetzung,2,FALSE)</f>
        <v>Exif.Pentax.</v>
      </c>
      <c r="E1406" s="5" t="str">
        <f>MID(F1406,FIND(".",F1406,6)+1,99)</f>
        <v>ExposureTime</v>
      </c>
      <c r="F1406" s="5" t="s">
        <v>1204</v>
      </c>
      <c r="G1406" s="5" t="s">
        <v>9667</v>
      </c>
      <c r="H1406" s="6" t="s">
        <v>2554</v>
      </c>
      <c r="I1406" s="7"/>
      <c r="K1406" s="26"/>
      <c r="L1406" s="6" t="str">
        <f>IFERROR(VLOOKUP(E1406,A:I,9, FALSE),"")</f>
        <v>Belichtungszeit</v>
      </c>
      <c r="M1406" s="6" t="str">
        <f>IFERROR(VLOOKUP(H1406,B:J,9,FALSE),"")</f>
        <v>Belichtungszeit</v>
      </c>
      <c r="N1406" s="6"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c>
    </row>
    <row r="1407" spans="1:17" x14ac:dyDescent="0.25">
      <c r="A1407" s="5" t="str">
        <f>IF(TRIM(I1407)="","",E1407)</f>
        <v/>
      </c>
      <c r="B1407" s="5" t="str">
        <f>IF(TRIM(J1407)="","",H1407)</f>
        <v>Flash mode settings</v>
      </c>
      <c r="C1407" s="5" t="str">
        <f>LEFT(F1407,FIND(".",F1407,6))</f>
        <v>Exif.Pentax.</v>
      </c>
      <c r="D1407" s="5" t="str">
        <f>VLOOKUP(C1407,PrefixUebersetzung,2,FALSE)</f>
        <v>Exif.Pentax.</v>
      </c>
      <c r="E1407" s="5" t="str">
        <f>MID(F1407,FIND(".",F1407,6)+1,99)</f>
        <v>Flash</v>
      </c>
      <c r="F1407" s="5" t="s">
        <v>1205</v>
      </c>
      <c r="G1407" s="5" t="s">
        <v>9667</v>
      </c>
      <c r="H1407" s="6" t="s">
        <v>2995</v>
      </c>
      <c r="I1407" s="7"/>
      <c r="J1407" s="14" t="s">
        <v>5203</v>
      </c>
      <c r="K1407" s="26"/>
      <c r="L1407" s="6" t="str">
        <f>IFERROR(VLOOKUP(E1407,A:I,9, FALSE),"")</f>
        <v>Blitz</v>
      </c>
      <c r="N1407" s="6"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c r="P1407" s="6" t="s">
        <v>8574</v>
      </c>
      <c r="Q1407" s="6" t="s">
        <v>9318</v>
      </c>
    </row>
    <row r="1408" spans="1:17" x14ac:dyDescent="0.25">
      <c r="A1408" s="5" t="str">
        <f>IF(TRIM(I1408)="","",E1408)</f>
        <v>FlashADump</v>
      </c>
      <c r="B1408" s="5" t="str">
        <f>IF(TRIM(J1408)="","",H1408)</f>
        <v>FlashADump</v>
      </c>
      <c r="C1408" s="5" t="str">
        <f>LEFT(F1408,FIND(".",F1408,6))</f>
        <v>Exif.Pentax.</v>
      </c>
      <c r="D1408" s="5" t="str">
        <f>VLOOKUP(C1408,PrefixUebersetzung,2,FALSE)</f>
        <v>Exif.Pentax.</v>
      </c>
      <c r="E1408" s="5" t="str">
        <f>MID(F1408,FIND(".",F1408,6)+1,99)</f>
        <v>FlashADump</v>
      </c>
      <c r="F1408" s="5" t="s">
        <v>1206</v>
      </c>
      <c r="G1408" s="5" t="s">
        <v>9669</v>
      </c>
      <c r="H1408" s="6" t="s">
        <v>2996</v>
      </c>
      <c r="I1408" s="7" t="s">
        <v>5161</v>
      </c>
      <c r="J1408" s="14" t="s">
        <v>5161</v>
      </c>
      <c r="K1408" s="26"/>
      <c r="N1408" s="6"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c>
      <c r="O1408" s="6" t="s">
        <v>8574</v>
      </c>
      <c r="P1408" s="6" t="s">
        <v>8574</v>
      </c>
      <c r="Q1408" s="6" t="s">
        <v>2996</v>
      </c>
    </row>
    <row r="1409" spans="1:17" x14ac:dyDescent="0.25">
      <c r="A1409" s="5" t="str">
        <f>IF(TRIM(I1409)="","",E1409)</f>
        <v>FlashBDump</v>
      </c>
      <c r="B1409" s="5" t="str">
        <f>IF(TRIM(J1409)="","",H1409)</f>
        <v>FlashBDump</v>
      </c>
      <c r="C1409" s="5" t="str">
        <f>LEFT(F1409,FIND(".",F1409,6))</f>
        <v>Exif.Pentax.</v>
      </c>
      <c r="D1409" s="5" t="str">
        <f>VLOOKUP(C1409,PrefixUebersetzung,2,FALSE)</f>
        <v>Exif.Pentax.</v>
      </c>
      <c r="E1409" s="5" t="str">
        <f>MID(F1409,FIND(".",F1409,6)+1,99)</f>
        <v>FlashBDump</v>
      </c>
      <c r="F1409" s="5" t="s">
        <v>1207</v>
      </c>
      <c r="G1409" s="5" t="s">
        <v>9669</v>
      </c>
      <c r="H1409" s="6" t="s">
        <v>2997</v>
      </c>
      <c r="I1409" s="7" t="s">
        <v>5162</v>
      </c>
      <c r="J1409" s="14" t="s">
        <v>5162</v>
      </c>
      <c r="K1409" s="26"/>
      <c r="N1409" s="6"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c r="O1409" s="6" t="s">
        <v>8574</v>
      </c>
      <c r="P1409" s="6" t="s">
        <v>8574</v>
      </c>
      <c r="Q1409" s="6" t="s">
        <v>2997</v>
      </c>
    </row>
    <row r="1410" spans="1:17" x14ac:dyDescent="0.25">
      <c r="A1410" s="5" t="str">
        <f>IF(TRIM(I1410)="","",E1410)</f>
        <v>FlashExposureCompensation</v>
      </c>
      <c r="B1410" s="5" t="str">
        <f>IF(TRIM(J1410)="","",H1410)</f>
        <v/>
      </c>
      <c r="C1410" s="5" t="str">
        <f>LEFT(F1410,FIND(".",F1410,6))</f>
        <v>Exif.Pentax.</v>
      </c>
      <c r="D1410" s="5" t="str">
        <f>VLOOKUP(C1410,PrefixUebersetzung,2,FALSE)</f>
        <v>Exif.Pentax.</v>
      </c>
      <c r="E1410" s="5" t="str">
        <f>MID(F1410,FIND(".",F1410,6)+1,99)</f>
        <v>FlashExposureCompensation</v>
      </c>
      <c r="F1410" s="5" t="s">
        <v>1208</v>
      </c>
      <c r="G1410" s="5" t="s">
        <v>9668</v>
      </c>
      <c r="H1410" s="6" t="s">
        <v>2765</v>
      </c>
      <c r="I1410" s="24" t="s">
        <v>3992</v>
      </c>
      <c r="J1410" s="8"/>
      <c r="K1410" s="26"/>
      <c r="M1410" s="6" t="str">
        <f>IFERROR(VLOOKUP(H1410,B:J,9,FALSE),"")</f>
        <v>Blitzbelichtungskorrektur</v>
      </c>
      <c r="N1410" s="6"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c r="O1410" s="6" t="s">
        <v>8574</v>
      </c>
    </row>
    <row r="1411" spans="1:17" x14ac:dyDescent="0.25">
      <c r="A1411" s="5" t="str">
        <f>IF(TRIM(I1411)="","",E1411)</f>
        <v/>
      </c>
      <c r="B1411" s="5" t="str">
        <f>IF(TRIM(J1411)="","",H1411)</f>
        <v>FlashInfo</v>
      </c>
      <c r="C1411" s="5" t="str">
        <f>LEFT(F1411,FIND(".",F1411,6))</f>
        <v>Exif.Pentax.</v>
      </c>
      <c r="D1411" s="5" t="str">
        <f>VLOOKUP(C1411,PrefixUebersetzung,2,FALSE)</f>
        <v>Exif.Pentax.</v>
      </c>
      <c r="E1411" s="5" t="str">
        <f>MID(F1411,FIND(".",F1411,6)+1,99)</f>
        <v>FlashInfo</v>
      </c>
      <c r="F1411" s="5" t="s">
        <v>1209</v>
      </c>
      <c r="G1411" s="5" t="s">
        <v>9669</v>
      </c>
      <c r="H1411" s="6" t="s">
        <v>2998</v>
      </c>
      <c r="I1411" s="7"/>
      <c r="J1411" s="14" t="s">
        <v>4337</v>
      </c>
      <c r="K1411" s="26"/>
      <c r="L1411" s="6" t="str">
        <f>IFERROR(VLOOKUP(E1411,A:I,9, FALSE),"")</f>
        <v>Blitzinformation</v>
      </c>
      <c r="N1411" s="6"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c r="P1411" s="6" t="s">
        <v>8574</v>
      </c>
      <c r="Q1411" s="6" t="s">
        <v>4337</v>
      </c>
    </row>
    <row r="1412" spans="1:17" x14ac:dyDescent="0.25">
      <c r="A1412" s="5" t="str">
        <f>IF(TRIM(I1412)="","",E1412)</f>
        <v/>
      </c>
      <c r="B1412" s="5" t="str">
        <f>IF(TRIM(J1412)="","",H1412)</f>
        <v>F-Number</v>
      </c>
      <c r="C1412" s="5" t="str">
        <f>LEFT(F1412,FIND(".",F1412,6))</f>
        <v>Exif.Pentax.</v>
      </c>
      <c r="D1412" s="5" t="str">
        <f>VLOOKUP(C1412,PrefixUebersetzung,2,FALSE)</f>
        <v>Exif.Pentax.</v>
      </c>
      <c r="E1412" s="5" t="str">
        <f>MID(F1412,FIND(".",F1412,6)+1,99)</f>
        <v>FNumber</v>
      </c>
      <c r="F1412" s="5" t="s">
        <v>1210</v>
      </c>
      <c r="G1412" s="5" t="s">
        <v>9667</v>
      </c>
      <c r="H1412" s="6" t="s">
        <v>2999</v>
      </c>
      <c r="I1412" s="7"/>
      <c r="J1412" s="14" t="s">
        <v>4859</v>
      </c>
      <c r="K1412" s="26"/>
      <c r="L1412" s="6" t="str">
        <f>IFERROR(VLOOKUP(E1412,A:I,9, FALSE),"")</f>
        <v>Blendenzahl</v>
      </c>
      <c r="N1412" s="6"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c r="P1412" s="6" t="s">
        <v>8574</v>
      </c>
      <c r="Q1412" s="6" t="s">
        <v>9293</v>
      </c>
    </row>
    <row r="1413" spans="1:17" x14ac:dyDescent="0.25">
      <c r="A1413" s="5" t="str">
        <f>IF(TRIM(I1413)="","",E1413)</f>
        <v/>
      </c>
      <c r="B1413" s="5" t="str">
        <f>IF(TRIM(J1413)="","",H1413)</f>
        <v>FocalLength</v>
      </c>
      <c r="C1413" s="5" t="str">
        <f>LEFT(F1413,FIND(".",F1413,6))</f>
        <v>Exif.Pentax.</v>
      </c>
      <c r="D1413" s="5" t="str">
        <f>VLOOKUP(C1413,PrefixUebersetzung,2,FALSE)</f>
        <v>Exif.Pentax.</v>
      </c>
      <c r="E1413" s="5" t="str">
        <f>MID(F1413,FIND(".",F1413,6)+1,99)</f>
        <v>FocalLength</v>
      </c>
      <c r="F1413" s="5" t="s">
        <v>1211</v>
      </c>
      <c r="G1413" s="5" t="s">
        <v>9669</v>
      </c>
      <c r="H1413" s="6" t="s">
        <v>3000</v>
      </c>
      <c r="I1413" s="7"/>
      <c r="J1413" s="14" t="s">
        <v>3722</v>
      </c>
      <c r="K1413" s="26"/>
      <c r="L1413" s="6" t="str">
        <f>IFERROR(VLOOKUP(E1413,A:I,9, FALSE),"")</f>
        <v>Brennweite</v>
      </c>
      <c r="M1413" s="6" t="str">
        <f>IFERROR(VLOOKUP(H1413,B:J,9,FALSE),"")</f>
        <v>Brennweite</v>
      </c>
      <c r="N1413" s="6"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c r="P1413" s="6" t="s">
        <v>8574</v>
      </c>
      <c r="Q1413" s="6" t="s">
        <v>3722</v>
      </c>
    </row>
    <row r="1414" spans="1:17" x14ac:dyDescent="0.25">
      <c r="A1414" s="5" t="str">
        <f>IF(TRIM(I1414)="","",E1414)</f>
        <v/>
      </c>
      <c r="B1414" s="5" t="str">
        <f>IF(TRIM(J1414)="","",H1414)</f>
        <v>Focus mode settings</v>
      </c>
      <c r="C1414" s="5" t="str">
        <f>LEFT(F1414,FIND(".",F1414,6))</f>
        <v>Exif.Pentax.</v>
      </c>
      <c r="D1414" s="5" t="str">
        <f>VLOOKUP(C1414,PrefixUebersetzung,2,FALSE)</f>
        <v>Exif.Pentax.</v>
      </c>
      <c r="E1414" s="5" t="str">
        <f>MID(F1414,FIND(".",F1414,6)+1,99)</f>
        <v>Focus</v>
      </c>
      <c r="F1414" s="5" t="s">
        <v>1212</v>
      </c>
      <c r="G1414" s="5" t="s">
        <v>9667</v>
      </c>
      <c r="H1414" s="6" t="s">
        <v>3001</v>
      </c>
      <c r="I1414" s="7"/>
      <c r="J1414" s="14" t="s">
        <v>5204</v>
      </c>
      <c r="K1414" s="26"/>
      <c r="L1414" s="6" t="str">
        <f>IFERROR(VLOOKUP(E1414,A:I,9, FALSE),"")</f>
        <v>Fokusmodus</v>
      </c>
      <c r="N1414" s="6"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c r="P1414" s="6" t="s">
        <v>8574</v>
      </c>
      <c r="Q1414" s="6" t="s">
        <v>9140</v>
      </c>
    </row>
    <row r="1415" spans="1:17" x14ac:dyDescent="0.25">
      <c r="A1415" s="5" t="str">
        <f>IF(TRIM(I1415)="","",E1415)</f>
        <v/>
      </c>
      <c r="B1415" s="5" t="str">
        <f>IF(TRIM(J1415)="","",H1415)</f>
        <v/>
      </c>
      <c r="C1415" s="5" t="str">
        <f>LEFT(F1415,FIND(".",F1415,6))</f>
        <v>Exif.Pentax.</v>
      </c>
      <c r="D1415" s="5" t="str">
        <f>VLOOKUP(C1415,PrefixUebersetzung,2,FALSE)</f>
        <v>Exif.Pentax.</v>
      </c>
      <c r="E1415" s="5" t="str">
        <f>MID(F1415,FIND(".",F1415,6)+1,99)</f>
        <v>FrameNumber</v>
      </c>
      <c r="F1415" s="5" t="s">
        <v>1213</v>
      </c>
      <c r="G1415" s="5" t="s">
        <v>9669</v>
      </c>
      <c r="H1415" s="6" t="s">
        <v>2278</v>
      </c>
      <c r="I1415" s="7"/>
      <c r="K1415" s="26"/>
      <c r="L1415" s="6" t="str">
        <f>IFERROR(VLOOKUP(E1415,A:I,9, FALSE),"")</f>
        <v>Bildnummer</v>
      </c>
      <c r="M1415" s="6" t="str">
        <f>IFERROR(VLOOKUP(H1415,B:J,9,FALSE),"")</f>
        <v>Bildnummer</v>
      </c>
      <c r="N1415" s="6"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row>
    <row r="1416" spans="1:17" ht="30" x14ac:dyDescent="0.25">
      <c r="A1416" s="5" t="str">
        <f>IF(TRIM(I1416)="","",E1416)</f>
        <v/>
      </c>
      <c r="B1416" s="5" t="str">
        <f>IF(TRIM(J1416)="","",H1416)</f>
        <v/>
      </c>
      <c r="C1416" s="5" t="str">
        <f>LEFT(F1416,FIND(".",F1416,6))</f>
        <v>Exif.Pentax.</v>
      </c>
      <c r="D1416" s="5" t="str">
        <f>VLOOKUP(C1416,PrefixUebersetzung,2,FALSE)</f>
        <v>Exif.Pentax.</v>
      </c>
      <c r="E1416" s="5" t="str">
        <f>MID(F1416,FIND(".",F1416,6)+1,99)</f>
        <v>HighISONoiseReduction</v>
      </c>
      <c r="F1416" s="5" t="s">
        <v>1214</v>
      </c>
      <c r="G1416" s="5" t="s">
        <v>9670</v>
      </c>
      <c r="H1416" s="6" t="s">
        <v>3002</v>
      </c>
      <c r="I1416" s="7"/>
      <c r="K1416" s="26"/>
      <c r="L1416" s="6" t="str">
        <f>IFERROR(VLOOKUP(E1416,A:I,9, FALSE),"")</f>
        <v>Rauschunterdrück bei ISO+</v>
      </c>
      <c r="M1416" s="6" t="str">
        <f>IFERROR(VLOOKUP(H1416,B:J,9,FALSE),"")</f>
        <v>Rauschunterdrück bei hohen ISO-Werten</v>
      </c>
      <c r="N1416" s="6"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7" x14ac:dyDescent="0.25">
      <c r="A1417" s="5" t="str">
        <f>IF(TRIM(I1417)="","",E1417)</f>
        <v>Hometown</v>
      </c>
      <c r="B1417" s="5" t="str">
        <f>IF(TRIM(J1417)="","",H1417)</f>
        <v>Home town</v>
      </c>
      <c r="C1417" s="5" t="str">
        <f>LEFT(F1417,FIND(".",F1417,6))</f>
        <v>Exif.Pentax.</v>
      </c>
      <c r="D1417" s="5" t="str">
        <f>VLOOKUP(C1417,PrefixUebersetzung,2,FALSE)</f>
        <v>Exif.Pentax.</v>
      </c>
      <c r="E1417" s="5" t="str">
        <f>MID(F1417,FIND(".",F1417,6)+1,99)</f>
        <v>Hometown</v>
      </c>
      <c r="F1417" s="5" t="s">
        <v>1215</v>
      </c>
      <c r="G1417" s="5" t="s">
        <v>9669</v>
      </c>
      <c r="H1417" s="6" t="s">
        <v>3003</v>
      </c>
      <c r="I1417" s="24" t="s">
        <v>5078</v>
      </c>
      <c r="J1417" s="8" t="s">
        <v>5078</v>
      </c>
      <c r="K1417" s="26"/>
      <c r="N1417" s="6"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c r="O1417" s="6" t="s">
        <v>8574</v>
      </c>
      <c r="P1417" s="6" t="s">
        <v>8574</v>
      </c>
      <c r="Q1417" s="6" t="s">
        <v>9344</v>
      </c>
    </row>
    <row r="1418" spans="1:17" x14ac:dyDescent="0.25">
      <c r="A1418" s="5" t="str">
        <f>IF(TRIM(I1418)="","",E1418)</f>
        <v>HometownDST</v>
      </c>
      <c r="B1418" s="5" t="str">
        <f>IF(TRIM(J1418)="","",H1418)</f>
        <v>Whether day saving time is active in home town</v>
      </c>
      <c r="C1418" s="5" t="str">
        <f>LEFT(F1418,FIND(".",F1418,6))</f>
        <v>Exif.Pentax.</v>
      </c>
      <c r="D1418" s="5" t="str">
        <f>VLOOKUP(C1418,PrefixUebersetzung,2,FALSE)</f>
        <v>Exif.Pentax.</v>
      </c>
      <c r="E1418" s="5" t="str">
        <f>MID(F1418,FIND(".",F1418,6)+1,99)</f>
        <v>HometownDST</v>
      </c>
      <c r="F1418" s="5" t="s">
        <v>1216</v>
      </c>
      <c r="G1418" s="5" t="s">
        <v>9669</v>
      </c>
      <c r="H1418" s="6" t="s">
        <v>3004</v>
      </c>
      <c r="I1418" s="7" t="s">
        <v>4409</v>
      </c>
      <c r="J1418" s="14" t="s">
        <v>5205</v>
      </c>
      <c r="K1418" s="26"/>
      <c r="N1418" s="6"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c r="O1418" s="6" t="s">
        <v>8574</v>
      </c>
      <c r="P1418" s="6" t="s">
        <v>8574</v>
      </c>
      <c r="Q1418" s="6" t="s">
        <v>9556</v>
      </c>
    </row>
    <row r="1419" spans="1:17" x14ac:dyDescent="0.25">
      <c r="A1419" s="5" t="str">
        <f>IF(TRIM(I1419)="","",E1419)</f>
        <v>ImageAreaOffset</v>
      </c>
      <c r="B1419" s="5" t="str">
        <f>IF(TRIM(J1419)="","",H1419)</f>
        <v>Image area offset</v>
      </c>
      <c r="C1419" s="5" t="str">
        <f>LEFT(F1419,FIND(".",F1419,6))</f>
        <v>Exif.Pentax.</v>
      </c>
      <c r="D1419" s="5" t="str">
        <f>VLOOKUP(C1419,PrefixUebersetzung,2,FALSE)</f>
        <v>Exif.Pentax.</v>
      </c>
      <c r="E1419" s="5" t="str">
        <f>MID(F1419,FIND(".",F1419,6)+1,99)</f>
        <v>ImageAreaOffset</v>
      </c>
      <c r="F1419" s="5" t="s">
        <v>1217</v>
      </c>
      <c r="G1419" s="5" t="s">
        <v>9667</v>
      </c>
      <c r="H1419" s="6" t="s">
        <v>3005</v>
      </c>
      <c r="I1419" s="24" t="s">
        <v>4061</v>
      </c>
      <c r="J1419" s="8" t="s">
        <v>4061</v>
      </c>
      <c r="K1419" s="26"/>
      <c r="N1419" s="6"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c r="O1419" s="6" t="s">
        <v>8574</v>
      </c>
      <c r="P1419" s="6" t="s">
        <v>8574</v>
      </c>
      <c r="Q1419" s="6" t="s">
        <v>9356</v>
      </c>
    </row>
    <row r="1420" spans="1:17" x14ac:dyDescent="0.25">
      <c r="A1420" s="5" t="str">
        <f>IF(TRIM(I1420)="","",E1420)</f>
        <v/>
      </c>
      <c r="B1420" s="5" t="str">
        <f>IF(TRIM(J1420)="","",H1420)</f>
        <v/>
      </c>
      <c r="C1420" s="5" t="str">
        <f>LEFT(F1420,FIND(".",F1420,6))</f>
        <v>Exif.Pentax.</v>
      </c>
      <c r="D1420" s="5" t="str">
        <f>VLOOKUP(C1420,PrefixUebersetzung,2,FALSE)</f>
        <v>Exif.Pentax.</v>
      </c>
      <c r="E1420" s="5" t="str">
        <f>MID(F1420,FIND(".",F1420,6)+1,99)</f>
        <v>ImageProcessing</v>
      </c>
      <c r="F1420" s="5" t="s">
        <v>1218</v>
      </c>
      <c r="G1420" s="5" t="s">
        <v>9669</v>
      </c>
      <c r="H1420" s="6" t="s">
        <v>2644</v>
      </c>
      <c r="I1420" s="24"/>
      <c r="J1420" s="8"/>
      <c r="K1420" s="26"/>
      <c r="L1420" s="6" t="str">
        <f>IFERROR(VLOOKUP(E1420,A:I,9, FALSE),"")</f>
        <v>Bildverarbeitung</v>
      </c>
      <c r="M1420" s="6" t="str">
        <f>IFERROR(VLOOKUP(H1420,B:J,9,FALSE),"")</f>
        <v>Bildverarbeitung</v>
      </c>
      <c r="N1420" s="6"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row>
    <row r="1421" spans="1:17" x14ac:dyDescent="0.25">
      <c r="A1421" s="5" t="str">
        <f>IF(TRIM(I1421)="","",E1421)</f>
        <v>ImageTone</v>
      </c>
      <c r="B1421" s="5" t="str">
        <f>IF(TRIM(J1421)="","",H1421)</f>
        <v>Image tone</v>
      </c>
      <c r="C1421" s="5" t="str">
        <f>LEFT(F1421,FIND(".",F1421,6))</f>
        <v>Exif.Pentax.</v>
      </c>
      <c r="D1421" s="5" t="str">
        <f>VLOOKUP(C1421,PrefixUebersetzung,2,FALSE)</f>
        <v>Exif.Pentax.</v>
      </c>
      <c r="E1421" s="5" t="str">
        <f>MID(F1421,FIND(".",F1421,6)+1,99)</f>
        <v>ImageTone</v>
      </c>
      <c r="F1421" s="5" t="s">
        <v>1219</v>
      </c>
      <c r="G1421" s="5" t="s">
        <v>9664</v>
      </c>
      <c r="H1421" s="6" t="s">
        <v>3006</v>
      </c>
      <c r="I1421" s="24" t="s">
        <v>4410</v>
      </c>
      <c r="J1421" s="8" t="s">
        <v>4410</v>
      </c>
      <c r="K1421" s="26"/>
      <c r="N1421" s="6"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c r="O1421" s="6" t="s">
        <v>8574</v>
      </c>
      <c r="P1421" s="6" t="s">
        <v>8574</v>
      </c>
      <c r="Q1421" s="6" t="s">
        <v>9355</v>
      </c>
    </row>
    <row r="1422" spans="1:17" x14ac:dyDescent="0.25">
      <c r="A1422" s="5" t="str">
        <f>IF(TRIM(I1422)="","",E1422)</f>
        <v/>
      </c>
      <c r="B1422" s="5" t="str">
        <f>IF(TRIM(J1422)="","",H1422)</f>
        <v>ISO sensitivity settings</v>
      </c>
      <c r="C1422" s="5" t="str">
        <f>LEFT(F1422,FIND(".",F1422,6))</f>
        <v>Exif.Pentax.</v>
      </c>
      <c r="D1422" s="5" t="str">
        <f>VLOOKUP(C1422,PrefixUebersetzung,2,FALSE)</f>
        <v>Exif.Pentax.</v>
      </c>
      <c r="E1422" s="5" t="str">
        <f>MID(F1422,FIND(".",F1422,6)+1,99)</f>
        <v>ISO</v>
      </c>
      <c r="F1422" s="5" t="s">
        <v>1220</v>
      </c>
      <c r="G1422" s="5" t="s">
        <v>9667</v>
      </c>
      <c r="H1422" s="6" t="s">
        <v>3007</v>
      </c>
      <c r="I1422" s="7"/>
      <c r="J1422" s="31" t="s">
        <v>8901</v>
      </c>
      <c r="K1422" s="26"/>
      <c r="L1422" s="6" t="str">
        <f>IFERROR(VLOOKUP(E1422,A:I,9, FALSE),"")</f>
        <v>ISO</v>
      </c>
      <c r="N1422" s="6"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c r="P1422" s="6" t="s">
        <v>8574</v>
      </c>
      <c r="Q1422" s="6" t="s">
        <v>8901</v>
      </c>
    </row>
    <row r="1423" spans="1:17" x14ac:dyDescent="0.25">
      <c r="A1423" s="5" t="str">
        <f>IF(TRIM(I1423)="","",E1423)</f>
        <v/>
      </c>
      <c r="B1423" s="5" t="str">
        <f>IF(TRIM(J1423)="","",H1423)</f>
        <v>LensInfo</v>
      </c>
      <c r="C1423" s="5" t="str">
        <f>LEFT(F1423,FIND(".",F1423,6))</f>
        <v>Exif.Pentax.</v>
      </c>
      <c r="D1423" s="5" t="str">
        <f>VLOOKUP(C1423,PrefixUebersetzung,2,FALSE)</f>
        <v>Exif.Pentax.</v>
      </c>
      <c r="E1423" s="5" t="str">
        <f>MID(F1423,FIND(".",F1423,6)+1,99)</f>
        <v>LensInfo</v>
      </c>
      <c r="F1423" s="5" t="s">
        <v>1221</v>
      </c>
      <c r="G1423" s="5" t="s">
        <v>9669</v>
      </c>
      <c r="H1423" s="6" t="s">
        <v>3008</v>
      </c>
      <c r="I1423" s="7"/>
      <c r="J1423" s="14" t="s">
        <v>5126</v>
      </c>
      <c r="K1423" s="26"/>
      <c r="L1423" s="6" t="str">
        <f>IFERROR(VLOOKUP(E1423,A:I,9, FALSE),"")</f>
        <v>Objektiv Information</v>
      </c>
      <c r="N1423" s="6"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c r="P1423" s="6" t="s">
        <v>8574</v>
      </c>
      <c r="Q1423" s="6" t="s">
        <v>9394</v>
      </c>
    </row>
    <row r="1424" spans="1:17" x14ac:dyDescent="0.25">
      <c r="A1424" s="5" t="str">
        <f>IF(TRIM(I1424)="","",E1424)</f>
        <v/>
      </c>
      <c r="B1424" s="5" t="str">
        <f>IF(TRIM(J1424)="","",H1424)</f>
        <v/>
      </c>
      <c r="C1424" s="5" t="str">
        <f>LEFT(F1424,FIND(".",F1424,6))</f>
        <v>Exif.Pentax.</v>
      </c>
      <c r="D1424" s="5" t="str">
        <f>VLOOKUP(C1424,PrefixUebersetzung,2,FALSE)</f>
        <v>Exif.Pentax.</v>
      </c>
      <c r="E1424" s="5" t="str">
        <f>MID(F1424,FIND(".",F1424,6)+1,99)</f>
        <v>LensType</v>
      </c>
      <c r="F1424" s="5" t="s">
        <v>1222</v>
      </c>
      <c r="G1424" s="5" t="s">
        <v>9670</v>
      </c>
      <c r="H1424" s="6" t="s">
        <v>2201</v>
      </c>
      <c r="I1424" s="7"/>
      <c r="K1424" s="26"/>
      <c r="L1424" s="6" t="str">
        <f>IFERROR(VLOOKUP(E1424,A:I,9, FALSE),"")</f>
        <v>Objektiv Typ</v>
      </c>
      <c r="M1424" s="6" t="str">
        <f>IFERROR(VLOOKUP(H1424,B:J,9,FALSE),"")</f>
        <v>Objektiv Typ</v>
      </c>
      <c r="N1424" s="6"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row>
    <row r="1425" spans="1:17" x14ac:dyDescent="0.25">
      <c r="A1425" s="5" t="str">
        <f>IF(TRIM(I1425)="","",E1425)</f>
        <v/>
      </c>
      <c r="B1425" s="5" t="str">
        <f>IF(TRIM(J1425)="","",H1425)</f>
        <v/>
      </c>
      <c r="C1425" s="5" t="str">
        <f>LEFT(F1425,FIND(".",F1425,6))</f>
        <v>Exif.Pentax.</v>
      </c>
      <c r="D1425" s="5" t="str">
        <f>VLOOKUP(C1425,PrefixUebersetzung,2,FALSE)</f>
        <v>Exif.Pentax.</v>
      </c>
      <c r="E1425" s="5" t="str">
        <f>MID(F1425,FIND(".",F1425,6)+1,99)</f>
        <v>Location</v>
      </c>
      <c r="F1425" s="5" t="s">
        <v>1223</v>
      </c>
      <c r="G1425" s="5" t="s">
        <v>9669</v>
      </c>
      <c r="H1425" s="6" t="s">
        <v>3009</v>
      </c>
      <c r="I1425" s="7"/>
      <c r="K1425" s="26"/>
      <c r="L1425" s="6" t="str">
        <f>IFERROR(VLOOKUP(E1425,A:I,9, FALSE),"")</f>
        <v>Ort</v>
      </c>
      <c r="M1425" s="6" t="str">
        <f>IFERROR(VLOOKUP(H1425,B:J,9,FALSE),"")</f>
        <v>Ort</v>
      </c>
      <c r="N1425" s="6"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7" x14ac:dyDescent="0.25">
      <c r="A1426" s="5" t="str">
        <f>IF(TRIM(I1426)="","",E1426)</f>
        <v/>
      </c>
      <c r="B1426" s="5" t="str">
        <f>IF(TRIM(J1426)="","",H1426)</f>
        <v>MeteringMode</v>
      </c>
      <c r="C1426" s="5" t="str">
        <f>LEFT(F1426,FIND(".",F1426,6))</f>
        <v>Exif.Pentax.</v>
      </c>
      <c r="D1426" s="5" t="str">
        <f>VLOOKUP(C1426,PrefixUebersetzung,2,FALSE)</f>
        <v>Exif.Pentax.</v>
      </c>
      <c r="E1426" s="5" t="str">
        <f>MID(F1426,FIND(".",F1426,6)+1,99)</f>
        <v>MeteringMode</v>
      </c>
      <c r="F1426" s="5" t="s">
        <v>1224</v>
      </c>
      <c r="G1426" s="5" t="s">
        <v>9669</v>
      </c>
      <c r="H1426" s="6" t="s">
        <v>3010</v>
      </c>
      <c r="I1426" s="7"/>
      <c r="J1426" s="14" t="s">
        <v>3920</v>
      </c>
      <c r="K1426" s="26"/>
      <c r="L1426" s="6" t="str">
        <f>IFERROR(VLOOKUP(E1426,A:I,9, FALSE),"")</f>
        <v>Messmethode</v>
      </c>
      <c r="M1426" s="6" t="str">
        <f>IFERROR(VLOOKUP(H1426,B:J,9,FALSE),"")</f>
        <v>Messmethode</v>
      </c>
      <c r="N1426" s="6"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c r="P1426" s="6" t="s">
        <v>8574</v>
      </c>
      <c r="Q1426" s="6" t="s">
        <v>9242</v>
      </c>
    </row>
    <row r="1427" spans="1:17" x14ac:dyDescent="0.25">
      <c r="A1427" s="5" t="str">
        <f>IF(TRIM(I1427)="","",E1427)</f>
        <v>Mode</v>
      </c>
      <c r="B1427" s="5" t="str">
        <f>IF(TRIM(J1427)="","",H1427)</f>
        <v>Camera shooting mode</v>
      </c>
      <c r="C1427" s="5" t="str">
        <f>LEFT(F1427,FIND(".",F1427,6))</f>
        <v>Exif.Pentax.</v>
      </c>
      <c r="D1427" s="5" t="str">
        <f>VLOOKUP(C1427,PrefixUebersetzung,2,FALSE)</f>
        <v>Exif.Pentax.</v>
      </c>
      <c r="E1427" s="5" t="str">
        <f>MID(F1427,FIND(".",F1427,6)+1,99)</f>
        <v>Mode</v>
      </c>
      <c r="F1427" s="5" t="s">
        <v>1225</v>
      </c>
      <c r="G1427" s="5" t="s">
        <v>9664</v>
      </c>
      <c r="H1427" s="6" t="s">
        <v>3011</v>
      </c>
      <c r="I1427" s="7" t="s">
        <v>4078</v>
      </c>
      <c r="J1427" s="14" t="s">
        <v>4062</v>
      </c>
      <c r="K1427" s="26"/>
      <c r="L1427" s="6" t="str">
        <f>IFERROR(VLOOKUP(E1427,A:I,9, FALSE),"")</f>
        <v>Modus</v>
      </c>
      <c r="N1427" s="6"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c r="O1427" s="6" t="s">
        <v>8574</v>
      </c>
      <c r="P1427" s="6" t="s">
        <v>8574</v>
      </c>
      <c r="Q1427" s="6" t="s">
        <v>9191</v>
      </c>
    </row>
    <row r="1428" spans="1:17" x14ac:dyDescent="0.25">
      <c r="A1428" s="5" t="str">
        <f>IF(TRIM(I1428)="","",E1428)</f>
        <v/>
      </c>
      <c r="B1428" s="5" t="str">
        <f>IF(TRIM(J1428)="","",H1428)</f>
        <v>Pentax model identification</v>
      </c>
      <c r="C1428" s="5" t="str">
        <f>LEFT(F1428,FIND(".",F1428,6))</f>
        <v>Exif.Pentax.</v>
      </c>
      <c r="D1428" s="5" t="str">
        <f>VLOOKUP(C1428,PrefixUebersetzung,2,FALSE)</f>
        <v>Exif.Pentax.</v>
      </c>
      <c r="E1428" s="5" t="str">
        <f>MID(F1428,FIND(".",F1428,6)+1,99)</f>
        <v>ModelID</v>
      </c>
      <c r="F1428" s="5" t="s">
        <v>1226</v>
      </c>
      <c r="G1428" s="5" t="s">
        <v>9664</v>
      </c>
      <c r="H1428" s="6" t="s">
        <v>9619</v>
      </c>
      <c r="I1428" s="7"/>
      <c r="J1428" s="14" t="s">
        <v>5207</v>
      </c>
      <c r="K1428" s="26"/>
      <c r="L1428" s="6" t="str">
        <f>IFERROR(VLOOKUP(E1428,A:I,9, FALSE),"")</f>
        <v>Modell-Id</v>
      </c>
      <c r="N1428" s="6"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c r="P1428" s="6" t="s">
        <v>8574</v>
      </c>
    </row>
    <row r="1429" spans="1:17" x14ac:dyDescent="0.25">
      <c r="A1429" s="5" t="str">
        <f>IF(TRIM(I1429)="","",E1429)</f>
        <v/>
      </c>
      <c r="B1429" s="5" t="str">
        <f>IF(TRIM(J1429)="","",H1429)</f>
        <v/>
      </c>
      <c r="C1429" s="5" t="str">
        <f>LEFT(F1429,FIND(".",F1429,6))</f>
        <v>Exif.Pentax.</v>
      </c>
      <c r="D1429" s="5" t="str">
        <f>VLOOKUP(C1429,PrefixUebersetzung,2,FALSE)</f>
        <v>Exif.Pentax.</v>
      </c>
      <c r="E1429" s="5" t="str">
        <f>MID(F1429,FIND(".",F1429,6)+1,99)</f>
        <v>NoiseReduction</v>
      </c>
      <c r="F1429" s="5" t="s">
        <v>1227</v>
      </c>
      <c r="G1429" s="5" t="s">
        <v>9664</v>
      </c>
      <c r="H1429" s="6" t="s">
        <v>2563</v>
      </c>
      <c r="I1429" s="7"/>
      <c r="K1429" s="26"/>
      <c r="L1429" s="6" t="str">
        <f>IFERROR(VLOOKUP(E1429,A:I,9, FALSE),"")</f>
        <v xml:space="preserve">Rauschreduzierung </v>
      </c>
      <c r="M1429" s="6" t="str">
        <f>IFERROR(VLOOKUP(H1429,B:J,9,FALSE),"")</f>
        <v xml:space="preserve">Rauschreduzierung </v>
      </c>
      <c r="N1429" s="6"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7" x14ac:dyDescent="0.25">
      <c r="A1430" s="5" t="str">
        <f>IF(TRIM(I1430)="","",E1430)</f>
        <v/>
      </c>
      <c r="B1430" s="5" t="str">
        <f>IF(TRIM(J1430)="","",H1430)</f>
        <v/>
      </c>
      <c r="C1430" s="5" t="str">
        <f>LEFT(F1430,FIND(".",F1430,6))</f>
        <v>Exif.Pentax.</v>
      </c>
      <c r="D1430" s="5" t="str">
        <f>VLOOKUP(C1430,PrefixUebersetzung,2,FALSE)</f>
        <v>Exif.Pentax.</v>
      </c>
      <c r="E1430" s="5" t="str">
        <f>MID(F1430,FIND(".",F1430,6)+1,99)</f>
        <v>PictureMode</v>
      </c>
      <c r="F1430" s="5" t="s">
        <v>1228</v>
      </c>
      <c r="G1430" s="5" t="s">
        <v>9669</v>
      </c>
      <c r="H1430" s="6" t="s">
        <v>2827</v>
      </c>
      <c r="I1430" s="7"/>
      <c r="K1430" s="26"/>
      <c r="L1430" s="6" t="str">
        <f>IFERROR(VLOOKUP(E1430,A:I,9, FALSE),"")</f>
        <v>Bildmodus</v>
      </c>
      <c r="M1430" s="6" t="str">
        <f>IFERROR(VLOOKUP(H1430,B:J,9,FALSE),"")</f>
        <v>Bildmodus</v>
      </c>
      <c r="N1430" s="6"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7" x14ac:dyDescent="0.25">
      <c r="A1431" s="5" t="str">
        <f>IF(TRIM(I1431)="","",E1431)</f>
        <v>PreviewImageBorders</v>
      </c>
      <c r="B1431" s="5" t="str">
        <f>IF(TRIM(J1431)="","",H1431)</f>
        <v>Preview image borders</v>
      </c>
      <c r="C1431" s="5" t="str">
        <f>LEFT(F1431,FIND(".",F1431,6))</f>
        <v>Exif.Pentax.</v>
      </c>
      <c r="D1431" s="5" t="str">
        <f>VLOOKUP(C1431,PrefixUebersetzung,2,FALSE)</f>
        <v>Exif.Pentax.</v>
      </c>
      <c r="E1431" s="5" t="str">
        <f>MID(F1431,FIND(".",F1431,6)+1,99)</f>
        <v>PreviewImageBorders</v>
      </c>
      <c r="F1431" s="5" t="s">
        <v>1229</v>
      </c>
      <c r="G1431" s="5" t="s">
        <v>9670</v>
      </c>
      <c r="H1431" s="6" t="s">
        <v>3012</v>
      </c>
      <c r="I1431" s="24" t="s">
        <v>4063</v>
      </c>
      <c r="J1431" s="8" t="s">
        <v>4063</v>
      </c>
      <c r="K1431" s="26"/>
      <c r="N1431" s="6"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c r="O1431" s="6" t="s">
        <v>8574</v>
      </c>
      <c r="P1431" s="6" t="s">
        <v>8574</v>
      </c>
      <c r="Q1431" s="6" t="s">
        <v>9452</v>
      </c>
    </row>
    <row r="1432" spans="1:17" x14ac:dyDescent="0.25">
      <c r="A1432" s="5" t="str">
        <f>IF(TRIM(I1432)="","",E1432)</f>
        <v>PreviewLength</v>
      </c>
      <c r="B1432" s="5" t="str">
        <f>IF(TRIM(J1432)="","",H1432)</f>
        <v>Size of an IFD containing a preview image</v>
      </c>
      <c r="C1432" s="5" t="str">
        <f>LEFT(F1432,FIND(".",F1432,6))</f>
        <v>Exif.Pentax.</v>
      </c>
      <c r="D1432" s="5" t="str">
        <f>VLOOKUP(C1432,PrefixUebersetzung,2,FALSE)</f>
        <v>Exif.Pentax.</v>
      </c>
      <c r="E1432" s="5" t="str">
        <f>MID(F1432,FIND(".",F1432,6)+1,99)</f>
        <v>PreviewLength</v>
      </c>
      <c r="F1432" s="5" t="s">
        <v>1230</v>
      </c>
      <c r="G1432" s="5" t="s">
        <v>9669</v>
      </c>
      <c r="H1432" s="6" t="s">
        <v>3013</v>
      </c>
      <c r="I1432" s="7" t="s">
        <v>4932</v>
      </c>
      <c r="J1432" s="14" t="s">
        <v>5208</v>
      </c>
      <c r="K1432" s="26"/>
      <c r="N1432" s="6"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c r="O1432" s="6" t="s">
        <v>8574</v>
      </c>
      <c r="P1432" s="6" t="s">
        <v>8574</v>
      </c>
      <c r="Q1432" s="6" t="s">
        <v>9488</v>
      </c>
    </row>
    <row r="1433" spans="1:17" ht="30" x14ac:dyDescent="0.25">
      <c r="A1433" s="5" t="str">
        <f>IF(TRIM(I1433)="","",E1433)</f>
        <v>PreviewOffset</v>
      </c>
      <c r="B1433" s="5" t="str">
        <f>IF(TRIM(J1433)="","",H1433)</f>
        <v/>
      </c>
      <c r="C1433" s="5" t="str">
        <f>LEFT(F1433,FIND(".",F1433,6))</f>
        <v>Exif.Pentax.</v>
      </c>
      <c r="D1433" s="5" t="str">
        <f>VLOOKUP(C1433,PrefixUebersetzung,2,FALSE)</f>
        <v>Exif.Pentax.</v>
      </c>
      <c r="E1433" s="5" t="str">
        <f>MID(F1433,FIND(".",F1433,6)+1,99)</f>
        <v>PreviewOffset</v>
      </c>
      <c r="F1433" s="5" t="s">
        <v>1231</v>
      </c>
      <c r="G1433" s="5" t="s">
        <v>9669</v>
      </c>
      <c r="H1433" s="6" t="s">
        <v>2654</v>
      </c>
      <c r="I1433" s="7" t="s">
        <v>4933</v>
      </c>
      <c r="K1433" s="26"/>
      <c r="M1433" s="6" t="str">
        <f>IFERROR(VLOOKUP(H1433,B:J,9,FALSE),"")</f>
        <v>Offset zu einem IFD mit einem Vorschaubild</v>
      </c>
      <c r="N1433" s="6"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c r="O1433" s="6" t="s">
        <v>8574</v>
      </c>
    </row>
    <row r="1434" spans="1:17" x14ac:dyDescent="0.25">
      <c r="A1434" s="5" t="str">
        <f>IF(TRIM(I1434)="","",E1434)</f>
        <v>PreviewResolution</v>
      </c>
      <c r="B1434" s="5" t="str">
        <f>IF(TRIM(J1434)="","",H1434)</f>
        <v>Resolution of a preview image</v>
      </c>
      <c r="C1434" s="5" t="str">
        <f>LEFT(F1434,FIND(".",F1434,6))</f>
        <v>Exif.Pentax.</v>
      </c>
      <c r="D1434" s="5" t="str">
        <f>VLOOKUP(C1434,PrefixUebersetzung,2,FALSE)</f>
        <v>Exif.Pentax.</v>
      </c>
      <c r="E1434" s="5" t="str">
        <f>MID(F1434,FIND(".",F1434,6)+1,99)</f>
        <v>PreviewResolution</v>
      </c>
      <c r="F1434" s="5" t="s">
        <v>1232</v>
      </c>
      <c r="G1434" s="5" t="s">
        <v>9669</v>
      </c>
      <c r="H1434" s="6" t="s">
        <v>3014</v>
      </c>
      <c r="I1434" s="7" t="s">
        <v>4825</v>
      </c>
      <c r="J1434" s="14" t="s">
        <v>5209</v>
      </c>
      <c r="K1434" s="26"/>
      <c r="N1434" s="6"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c r="O1434" s="6" t="s">
        <v>8574</v>
      </c>
      <c r="P1434" s="6" t="s">
        <v>8574</v>
      </c>
      <c r="Q1434" s="6" t="s">
        <v>9473</v>
      </c>
    </row>
    <row r="1435" spans="1:17" x14ac:dyDescent="0.25">
      <c r="A1435" s="5" t="str">
        <f>IF(TRIM(I1435)="","",E1435)</f>
        <v/>
      </c>
      <c r="B1435" s="5" t="str">
        <f>IF(TRIM(J1435)="","",H1435)</f>
        <v>Image quality settings</v>
      </c>
      <c r="C1435" s="5" t="str">
        <f>LEFT(F1435,FIND(".",F1435,6))</f>
        <v>Exif.Pentax.</v>
      </c>
      <c r="D1435" s="5" t="str">
        <f>VLOOKUP(C1435,PrefixUebersetzung,2,FALSE)</f>
        <v>Exif.Pentax.</v>
      </c>
      <c r="E1435" s="5" t="str">
        <f>MID(F1435,FIND(".",F1435,6)+1,99)</f>
        <v>Quality</v>
      </c>
      <c r="F1435" s="5" t="s">
        <v>1233</v>
      </c>
      <c r="G1435" s="5" t="s">
        <v>9664</v>
      </c>
      <c r="H1435" s="6" t="s">
        <v>3015</v>
      </c>
      <c r="I1435" s="7"/>
      <c r="J1435" s="14" t="s">
        <v>4064</v>
      </c>
      <c r="K1435" s="26"/>
      <c r="L1435" s="6" t="str">
        <f>IFERROR(VLOOKUP(E1435,A:I,9, FALSE),"")</f>
        <v>Qualität</v>
      </c>
      <c r="N1435" s="6"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c r="P1435" s="6" t="s">
        <v>8574</v>
      </c>
      <c r="Q1435" s="6" t="s">
        <v>9353</v>
      </c>
    </row>
    <row r="1436" spans="1:17" x14ac:dyDescent="0.25">
      <c r="A1436" s="5" t="str">
        <f>IF(TRIM(I1436)="","",E1436)</f>
        <v>RawImageSize</v>
      </c>
      <c r="B1436" s="5" t="str">
        <f>IF(TRIM(J1436)="","",H1436)</f>
        <v>Raw image size</v>
      </c>
      <c r="C1436" s="5" t="str">
        <f>LEFT(F1436,FIND(".",F1436,6))</f>
        <v>Exif.Pentax.</v>
      </c>
      <c r="D1436" s="5" t="str">
        <f>VLOOKUP(C1436,PrefixUebersetzung,2,FALSE)</f>
        <v>Exif.Pentax.</v>
      </c>
      <c r="E1436" s="5" t="str">
        <f>MID(F1436,FIND(".",F1436,6)+1,99)</f>
        <v>RawImageSize</v>
      </c>
      <c r="F1436" s="5" t="s">
        <v>1234</v>
      </c>
      <c r="G1436" s="5" t="s">
        <v>9667</v>
      </c>
      <c r="H1436" s="6" t="s">
        <v>3016</v>
      </c>
      <c r="I1436" s="24" t="s">
        <v>4412</v>
      </c>
      <c r="J1436" s="14" t="s">
        <v>4065</v>
      </c>
      <c r="K1436" s="26"/>
      <c r="N1436" s="6"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c r="O1436" s="6" t="s">
        <v>8574</v>
      </c>
      <c r="P1436" s="6" t="s">
        <v>8574</v>
      </c>
      <c r="Q1436" s="6" t="s">
        <v>9331</v>
      </c>
    </row>
    <row r="1437" spans="1:17" x14ac:dyDescent="0.25">
      <c r="A1437" s="5" t="str">
        <f>IF(TRIM(I1437)="","",E1437)</f>
        <v/>
      </c>
      <c r="B1437" s="5" t="str">
        <f>IF(TRIM(J1437)="","",H1437)</f>
        <v>Red color balance</v>
      </c>
      <c r="C1437" s="5" t="str">
        <f>LEFT(F1437,FIND(".",F1437,6))</f>
        <v>Exif.Pentax.</v>
      </c>
      <c r="D1437" s="5" t="str">
        <f>VLOOKUP(C1437,PrefixUebersetzung,2,FALSE)</f>
        <v>Exif.Pentax.</v>
      </c>
      <c r="E1437" s="5" t="str">
        <f>MID(F1437,FIND(".",F1437,6)+1,99)</f>
        <v>RedBalance</v>
      </c>
      <c r="F1437" s="5" t="s">
        <v>1235</v>
      </c>
      <c r="G1437" s="5" t="s">
        <v>9667</v>
      </c>
      <c r="H1437" s="6" t="s">
        <v>3017</v>
      </c>
      <c r="I1437" s="7"/>
      <c r="J1437" s="14" t="s">
        <v>6644</v>
      </c>
      <c r="K1437" s="26"/>
      <c r="L1437" s="6" t="str">
        <f>IFERROR(VLOOKUP(E1437,A:I,9, FALSE),"")</f>
        <v>Rot-Abgleich</v>
      </c>
      <c r="N1437" s="6"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c r="P1437" s="6" t="s">
        <v>8574</v>
      </c>
      <c r="Q1437" s="6" t="s">
        <v>9206</v>
      </c>
    </row>
    <row r="1438" spans="1:17" x14ac:dyDescent="0.25">
      <c r="A1438" s="5" t="str">
        <f>IF(TRIM(I1438)="","",E1438)</f>
        <v/>
      </c>
      <c r="B1438" s="5" t="str">
        <f>IF(TRIM(J1438)="","",H1438)</f>
        <v/>
      </c>
      <c r="C1438" s="5" t="str">
        <f>LEFT(F1438,FIND(".",F1438,6))</f>
        <v>Exif.Pentax.</v>
      </c>
      <c r="D1438" s="5" t="str">
        <f>VLOOKUP(C1438,PrefixUebersetzung,2,FALSE)</f>
        <v>Exif.Pentax.</v>
      </c>
      <c r="E1438" s="5" t="str">
        <f>MID(F1438,FIND(".",F1438,6)+1,99)</f>
        <v>Saturation</v>
      </c>
      <c r="F1438" s="5" t="s">
        <v>1236</v>
      </c>
      <c r="G1438" s="5" t="s">
        <v>9669</v>
      </c>
      <c r="H1438" s="6" t="s">
        <v>2567</v>
      </c>
      <c r="I1438" s="24"/>
      <c r="J1438" s="8"/>
      <c r="K1438" s="26"/>
      <c r="L1438" s="6" t="str">
        <f>IFERROR(VLOOKUP(E1438,A:I,9, FALSE),"")</f>
        <v>Sättigung</v>
      </c>
      <c r="M1438" s="6" t="str">
        <f>IFERROR(VLOOKUP(H1438,B:J,9,FALSE),"")</f>
        <v>Sättigung</v>
      </c>
      <c r="N1438" s="6"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row>
    <row r="1439" spans="1:17" x14ac:dyDescent="0.25">
      <c r="A1439" s="5" t="str">
        <f>IF(TRIM(I1439)="","",E1439)</f>
        <v>SensitivityAdjust</v>
      </c>
      <c r="B1439" s="5" t="str">
        <f>IF(TRIM(J1439)="","",H1439)</f>
        <v>Sensitivity adjust</v>
      </c>
      <c r="C1439" s="5" t="str">
        <f>LEFT(F1439,FIND(".",F1439,6))</f>
        <v>Exif.Pentax.</v>
      </c>
      <c r="D1439" s="5" t="str">
        <f>VLOOKUP(C1439,PrefixUebersetzung,2,FALSE)</f>
        <v>Exif.Pentax.</v>
      </c>
      <c r="E1439" s="5" t="str">
        <f>MID(F1439,FIND(".",F1439,6)+1,99)</f>
        <v>SensitivityAdjust</v>
      </c>
      <c r="F1439" s="5" t="s">
        <v>1237</v>
      </c>
      <c r="G1439" s="5" t="s">
        <v>9667</v>
      </c>
      <c r="H1439" s="6" t="s">
        <v>3018</v>
      </c>
      <c r="I1439" s="24" t="s">
        <v>4934</v>
      </c>
      <c r="J1439" s="8" t="s">
        <v>4934</v>
      </c>
      <c r="K1439" s="26"/>
      <c r="N1439" s="6"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c r="O1439" s="6" t="s">
        <v>8574</v>
      </c>
      <c r="P1439" s="6" t="s">
        <v>8574</v>
      </c>
      <c r="Q1439" s="6" t="s">
        <v>9477</v>
      </c>
    </row>
    <row r="1440" spans="1:17" x14ac:dyDescent="0.25">
      <c r="A1440" s="5" t="str">
        <f>IF(TRIM(I1440)="","",E1440)</f>
        <v/>
      </c>
      <c r="B1440" s="5" t="str">
        <f>IF(TRIM(J1440)="","",H1440)</f>
        <v/>
      </c>
      <c r="C1440" s="5" t="str">
        <f>LEFT(F1440,FIND(".",F1440,6))</f>
        <v>Exif.Pentax.</v>
      </c>
      <c r="D1440" s="5" t="str">
        <f>VLOOKUP(C1440,PrefixUebersetzung,2,FALSE)</f>
        <v>Exif.Pentax.</v>
      </c>
      <c r="E1440" s="5" t="str">
        <f>MID(F1440,FIND(".",F1440,6)+1,99)</f>
        <v>SerialNumber</v>
      </c>
      <c r="F1440" s="5" t="s">
        <v>1238</v>
      </c>
      <c r="G1440" s="5" t="s">
        <v>9666</v>
      </c>
      <c r="H1440" s="6" t="s">
        <v>2663</v>
      </c>
      <c r="I1440" s="24"/>
      <c r="J1440" s="8"/>
      <c r="K1440" s="26"/>
      <c r="L1440" s="6" t="str">
        <f>IFERROR(VLOOKUP(E1440,A:I,9, FALSE),"")</f>
        <v>Seriennummer</v>
      </c>
      <c r="M1440" s="6" t="str">
        <f>IFERROR(VLOOKUP(H1440,B:J,9,FALSE),"")</f>
        <v>Seriennummer</v>
      </c>
      <c r="N1440" s="6"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row>
    <row r="1441" spans="1:17" ht="30" x14ac:dyDescent="0.25">
      <c r="A1441" s="5" t="str">
        <f>IF(TRIM(I1441)="","",E1441)</f>
        <v>ShakeReduction</v>
      </c>
      <c r="B1441" s="5" t="str">
        <f>IF(TRIM(J1441)="","",H1441)</f>
        <v>Shake reduction information</v>
      </c>
      <c r="C1441" s="5" t="str">
        <f>LEFT(F1441,FIND(".",F1441,6))</f>
        <v>Exif.Pentax.</v>
      </c>
      <c r="D1441" s="5" t="str">
        <f>VLOOKUP(C1441,PrefixUebersetzung,2,FALSE)</f>
        <v>Exif.Pentax.</v>
      </c>
      <c r="E1441" s="5" t="str">
        <f>MID(F1441,FIND(".",F1441,6)+1,99)</f>
        <v>ShakeReduction</v>
      </c>
      <c r="F1441" s="5" t="s">
        <v>1239</v>
      </c>
      <c r="G1441" s="5" t="s">
        <v>9669</v>
      </c>
      <c r="H1441" s="6" t="s">
        <v>3019</v>
      </c>
      <c r="I1441" s="7" t="s">
        <v>4660</v>
      </c>
      <c r="J1441" s="14" t="s">
        <v>5210</v>
      </c>
      <c r="K1441" s="26"/>
      <c r="N1441" s="6"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c r="O1441" s="6" t="s">
        <v>8574</v>
      </c>
      <c r="P1441" s="6" t="s">
        <v>8574</v>
      </c>
      <c r="Q1441" s="6" t="s">
        <v>9296</v>
      </c>
    </row>
    <row r="1442" spans="1:17" x14ac:dyDescent="0.25">
      <c r="A1442" s="5" t="str">
        <f>IF(TRIM(I1442)="","",E1442)</f>
        <v/>
      </c>
      <c r="B1442" s="5" t="str">
        <f>IF(TRIM(J1442)="","",H1442)</f>
        <v/>
      </c>
      <c r="C1442" s="5" t="str">
        <f>LEFT(F1442,FIND(".",F1442,6))</f>
        <v>Exif.Pentax.</v>
      </c>
      <c r="D1442" s="5" t="str">
        <f>VLOOKUP(C1442,PrefixUebersetzung,2,FALSE)</f>
        <v>Exif.Pentax.</v>
      </c>
      <c r="E1442" s="5" t="str">
        <f>MID(F1442,FIND(".",F1442,6)+1,99)</f>
        <v>Sharpness</v>
      </c>
      <c r="F1442" s="5" t="s">
        <v>1240</v>
      </c>
      <c r="G1442" s="5" t="s">
        <v>9669</v>
      </c>
      <c r="H1442" s="6" t="s">
        <v>2245</v>
      </c>
      <c r="I1442" s="7"/>
      <c r="K1442" s="26"/>
      <c r="L1442" s="6" t="str">
        <f>IFERROR(VLOOKUP(E1442,A:I,9, FALSE),"")</f>
        <v>Schärfe</v>
      </c>
      <c r="M1442" s="6" t="str">
        <f>IFERROR(VLOOKUP(H1442,B:J,9,FALSE),"")</f>
        <v>Schärfe</v>
      </c>
      <c r="N1442" s="6"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row>
    <row r="1443" spans="1:17" ht="30" x14ac:dyDescent="0.25">
      <c r="A1443" s="5" t="str">
        <f>IF(TRIM(I1443)="","",E1443)</f>
        <v/>
      </c>
      <c r="B1443" s="5" t="str">
        <f>IF(TRIM(J1443)="","",H1443)</f>
        <v>ShotInfo</v>
      </c>
      <c r="C1443" s="5" t="str">
        <f>LEFT(F1443,FIND(".",F1443,6))</f>
        <v>Exif.Pentax.</v>
      </c>
      <c r="D1443" s="5" t="str">
        <f>VLOOKUP(C1443,PrefixUebersetzung,2,FALSE)</f>
        <v>Exif.Pentax.</v>
      </c>
      <c r="E1443" s="5" t="str">
        <f>MID(F1443,FIND(".",F1443,6)+1,99)</f>
        <v>ShotInfo</v>
      </c>
      <c r="F1443" s="5" t="s">
        <v>1241</v>
      </c>
      <c r="G1443" s="5" t="s">
        <v>9669</v>
      </c>
      <c r="H1443" s="6" t="s">
        <v>3020</v>
      </c>
      <c r="I1443" s="7"/>
      <c r="J1443" s="14" t="s">
        <v>4889</v>
      </c>
      <c r="K1443" s="26"/>
      <c r="L1443" s="6" t="str">
        <f>IFERROR(VLOOKUP(E1443,A:I,9, FALSE),"")</f>
        <v>Aufnahmeinformationen</v>
      </c>
      <c r="N1443" s="6"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c r="P1443" s="6" t="s">
        <v>8574</v>
      </c>
      <c r="Q1443" s="6" t="s">
        <v>9346</v>
      </c>
    </row>
    <row r="1444" spans="1:17" x14ac:dyDescent="0.25">
      <c r="A1444" s="5" t="str">
        <f>IF(TRIM(I1444)="","",E1444)</f>
        <v/>
      </c>
      <c r="B1444" s="5" t="str">
        <f>IF(TRIM(J1444)="","",H1444)</f>
        <v/>
      </c>
      <c r="C1444" s="5" t="str">
        <f>LEFT(F1444,FIND(".",F1444,6))</f>
        <v>Exif.Pentax.</v>
      </c>
      <c r="D1444" s="5" t="str">
        <f>VLOOKUP(C1444,PrefixUebersetzung,2,FALSE)</f>
        <v>Exif.Pentax.</v>
      </c>
      <c r="E1444" s="5" t="str">
        <f>MID(F1444,FIND(".",F1444,6)+1,99)</f>
        <v>ShutterCount</v>
      </c>
      <c r="F1444" s="5" t="s">
        <v>1242</v>
      </c>
      <c r="G1444" s="5" t="s">
        <v>9669</v>
      </c>
      <c r="H1444" s="6" t="s">
        <v>2732</v>
      </c>
      <c r="I1444" s="7"/>
      <c r="K1444" s="26"/>
      <c r="L1444" s="6" t="str">
        <f>IFERROR(VLOOKUP(E1444,A:I,9, FALSE),"")</f>
        <v>Verschlusszähler</v>
      </c>
      <c r="M1444" s="6" t="str">
        <f>IFERROR(VLOOKUP(H1444,B:J,9,FALSE),"")</f>
        <v>Verschlusszähler</v>
      </c>
      <c r="N1444" s="6"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7" x14ac:dyDescent="0.25">
      <c r="A1445" s="5" t="str">
        <f>IF(TRIM(I1445)="","",E1445)</f>
        <v>Size</v>
      </c>
      <c r="B1445" s="5" t="str">
        <f>IF(TRIM(J1445)="","",H1445)</f>
        <v>Image size settings</v>
      </c>
      <c r="C1445" s="5" t="str">
        <f>LEFT(F1445,FIND(".",F1445,6))</f>
        <v>Exif.Pentax.</v>
      </c>
      <c r="D1445" s="5" t="str">
        <f>VLOOKUP(C1445,PrefixUebersetzung,2,FALSE)</f>
        <v>Exif.Pentax.</v>
      </c>
      <c r="E1445" s="5" t="str">
        <f>MID(F1445,FIND(".",F1445,6)+1,99)</f>
        <v>Size</v>
      </c>
      <c r="F1445" s="5" t="s">
        <v>1243</v>
      </c>
      <c r="G1445" s="5" t="s">
        <v>9667</v>
      </c>
      <c r="H1445" s="6" t="s">
        <v>3021</v>
      </c>
      <c r="I1445" s="7" t="s">
        <v>4413</v>
      </c>
      <c r="J1445" s="14" t="s">
        <v>4066</v>
      </c>
      <c r="K1445" s="26"/>
      <c r="N1445" s="6"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c r="O1445" s="6" t="s">
        <v>8574</v>
      </c>
      <c r="P1445" s="6" t="s">
        <v>8574</v>
      </c>
      <c r="Q1445" s="6" t="s">
        <v>9357</v>
      </c>
    </row>
    <row r="1446" spans="1:17" x14ac:dyDescent="0.25">
      <c r="A1446" s="5" t="str">
        <f>IF(TRIM(I1446)="","",E1446)</f>
        <v>Temperature</v>
      </c>
      <c r="B1446" s="5" t="str">
        <f>IF(TRIM(J1446)="","",H1446)</f>
        <v/>
      </c>
      <c r="C1446" s="5" t="str">
        <f>LEFT(F1446,FIND(".",F1446,6))</f>
        <v>Exif.Pentax.</v>
      </c>
      <c r="D1446" s="5" t="str">
        <f>VLOOKUP(C1446,PrefixUebersetzung,2,FALSE)</f>
        <v>Exif.Pentax.</v>
      </c>
      <c r="E1446" s="5" t="str">
        <f>MID(F1446,FIND(".",F1446,6)+1,99)</f>
        <v>Temperature</v>
      </c>
      <c r="F1446" s="5" t="s">
        <v>1244</v>
      </c>
      <c r="G1446" s="5" t="s">
        <v>9676</v>
      </c>
      <c r="H1446" s="6" t="s">
        <v>3022</v>
      </c>
      <c r="I1446" s="7" t="s">
        <v>4414</v>
      </c>
      <c r="K1446" s="26"/>
      <c r="L1446" s="6" t="str">
        <f>IFERROR(VLOOKUP(E1446,A:I,9, FALSE),"")</f>
        <v>Temperatur</v>
      </c>
      <c r="M1446" s="6" t="str">
        <f>IFERROR(VLOOKUP(H1446,B:J,9,FALSE),"")</f>
        <v>Kameratemperatur</v>
      </c>
      <c r="N1446" s="6"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c r="O1446" s="6" t="s">
        <v>8574</v>
      </c>
    </row>
    <row r="1447" spans="1:17" x14ac:dyDescent="0.25">
      <c r="A1447" s="5" t="str">
        <f>IF(TRIM(I1447)="","",E1447)</f>
        <v>Time</v>
      </c>
      <c r="B1447" s="5" t="str">
        <f>IF(TRIM(J1447)="","",H1447)</f>
        <v>Time</v>
      </c>
      <c r="C1447" s="5" t="str">
        <f>LEFT(F1447,FIND(".",F1447,6))</f>
        <v>Exif.Pentax.</v>
      </c>
      <c r="D1447" s="5" t="str">
        <f>VLOOKUP(C1447,PrefixUebersetzung,2,FALSE)</f>
        <v>Exif.Pentax.</v>
      </c>
      <c r="E1447" s="5" t="str">
        <f>MID(F1447,FIND(".",F1447,6)+1,99)</f>
        <v>Time</v>
      </c>
      <c r="F1447" s="5" t="s">
        <v>1245</v>
      </c>
      <c r="G1447" s="5" t="s">
        <v>9669</v>
      </c>
      <c r="H1447" s="6" t="s">
        <v>3023</v>
      </c>
      <c r="I1447" s="7" t="s">
        <v>4067</v>
      </c>
      <c r="J1447" s="14" t="s">
        <v>4067</v>
      </c>
      <c r="K1447" s="26"/>
      <c r="N1447" s="6"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c r="O1447" s="6" t="s">
        <v>8574</v>
      </c>
      <c r="P1447" s="6" t="s">
        <v>8574</v>
      </c>
      <c r="Q1447" s="6" t="s">
        <v>4067</v>
      </c>
    </row>
    <row r="1448" spans="1:17" ht="30" x14ac:dyDescent="0.25">
      <c r="A1448" s="5" t="str">
        <f>IF(TRIM(I1448)="","",E1448)</f>
        <v/>
      </c>
      <c r="B1448" s="5" t="str">
        <f>IF(TRIM(J1448)="","",H1448)</f>
        <v>Pentax Makernote version</v>
      </c>
      <c r="C1448" s="5" t="str">
        <f>LEFT(F1448,FIND(".",F1448,6))</f>
        <v>Exif.Pentax.</v>
      </c>
      <c r="D1448" s="5" t="str">
        <f>VLOOKUP(C1448,PrefixUebersetzung,2,FALSE)</f>
        <v>Exif.Pentax.</v>
      </c>
      <c r="E1448" s="5" t="str">
        <f>MID(F1448,FIND(".",F1448,6)+1,99)</f>
        <v>Version</v>
      </c>
      <c r="F1448" s="5" t="s">
        <v>1246</v>
      </c>
      <c r="G1448" s="5" t="s">
        <v>9669</v>
      </c>
      <c r="H1448" s="6" t="s">
        <v>3024</v>
      </c>
      <c r="I1448" s="7"/>
      <c r="J1448" s="14" t="s">
        <v>5222</v>
      </c>
      <c r="K1448" s="26"/>
      <c r="L1448" s="6" t="str">
        <f>IFERROR(VLOOKUP(E1448,A:I,9, FALSE),"")</f>
        <v>Version</v>
      </c>
      <c r="N1448" s="6"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c r="P1448" s="6" t="s">
        <v>8574</v>
      </c>
      <c r="Q1448" s="6" t="s">
        <v>9442</v>
      </c>
    </row>
    <row r="1449" spans="1:17" x14ac:dyDescent="0.25">
      <c r="A1449" s="5" t="str">
        <f>IF(TRIM(I1449)="","",E1449)</f>
        <v/>
      </c>
      <c r="B1449" s="5" t="str">
        <f>IF(TRIM(J1449)="","",H1449)</f>
        <v/>
      </c>
      <c r="C1449" s="5" t="str">
        <f>LEFT(F1449,FIND(".",F1449,6))</f>
        <v>Exif.Pentax.</v>
      </c>
      <c r="D1449" s="5" t="str">
        <f>VLOOKUP(C1449,PrefixUebersetzung,2,FALSE)</f>
        <v>Exif.Pentax.</v>
      </c>
      <c r="E1449" s="5" t="str">
        <f>MID(F1449,FIND(".",F1449,6)+1,99)</f>
        <v>WB_RGGBLevelsCloudy</v>
      </c>
      <c r="F1449" s="5" t="s">
        <v>1247</v>
      </c>
      <c r="G1449" s="5" t="s">
        <v>9669</v>
      </c>
      <c r="H1449" s="6" t="s">
        <v>3025</v>
      </c>
      <c r="I1449" s="7"/>
      <c r="K1449" s="26"/>
      <c r="N1449" s="6"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xml:space="preserve">Suffix not translated Description not translated </v>
      </c>
      <c r="O1449" s="6" t="s">
        <v>8574</v>
      </c>
      <c r="P1449" s="6" t="s">
        <v>8574</v>
      </c>
    </row>
    <row r="1450" spans="1:17" x14ac:dyDescent="0.25">
      <c r="A1450" s="5" t="str">
        <f>IF(TRIM(I1450)="","",E1450)</f>
        <v/>
      </c>
      <c r="B1450" s="5" t="str">
        <f>IF(TRIM(J1450)="","",H1450)</f>
        <v/>
      </c>
      <c r="C1450" s="5" t="str">
        <f>LEFT(F1450,FIND(".",F1450,6))</f>
        <v>Exif.Pentax.</v>
      </c>
      <c r="D1450" s="5" t="str">
        <f>VLOOKUP(C1450,PrefixUebersetzung,2,FALSE)</f>
        <v>Exif.Pentax.</v>
      </c>
      <c r="E1450" s="5" t="str">
        <f>MID(F1450,FIND(".",F1450,6)+1,99)</f>
        <v>WB_RGGBLevelsDaylight</v>
      </c>
      <c r="F1450" s="5" t="s">
        <v>1248</v>
      </c>
      <c r="G1450" s="5" t="s">
        <v>9669</v>
      </c>
      <c r="H1450" s="6" t="s">
        <v>3026</v>
      </c>
      <c r="I1450" s="7"/>
      <c r="K1450" s="26"/>
      <c r="N1450" s="6"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xml:space="preserve">Suffix not translated Description not translated </v>
      </c>
      <c r="O1450" s="6" t="s">
        <v>8574</v>
      </c>
      <c r="P1450" s="6" t="s">
        <v>8574</v>
      </c>
    </row>
    <row r="1451" spans="1:17" x14ac:dyDescent="0.25">
      <c r="A1451" s="5" t="str">
        <f>IF(TRIM(I1451)="","",E1451)</f>
        <v/>
      </c>
      <c r="B1451" s="5" t="str">
        <f>IF(TRIM(J1451)="","",H1451)</f>
        <v/>
      </c>
      <c r="C1451" s="5" t="str">
        <f>LEFT(F1451,FIND(".",F1451,6))</f>
        <v>Exif.Pentax.</v>
      </c>
      <c r="D1451" s="5" t="str">
        <f>VLOOKUP(C1451,PrefixUebersetzung,2,FALSE)</f>
        <v>Exif.Pentax.</v>
      </c>
      <c r="E1451" s="5" t="str">
        <f>MID(F1451,FIND(".",F1451,6)+1,99)</f>
        <v>WB_RGGBLevelsFlash</v>
      </c>
      <c r="F1451" s="5" t="s">
        <v>1249</v>
      </c>
      <c r="G1451" s="5" t="s">
        <v>9669</v>
      </c>
      <c r="H1451" s="6" t="s">
        <v>3027</v>
      </c>
      <c r="I1451" s="7"/>
      <c r="K1451" s="26"/>
      <c r="N1451" s="6"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c r="O1451" s="6" t="s">
        <v>8574</v>
      </c>
      <c r="P1451" s="6" t="s">
        <v>8574</v>
      </c>
    </row>
    <row r="1452" spans="1:17" x14ac:dyDescent="0.25">
      <c r="A1452" s="5" t="str">
        <f>IF(TRIM(I1452)="","",E1452)</f>
        <v/>
      </c>
      <c r="B1452" s="5" t="str">
        <f>IF(TRIM(J1452)="","",H1452)</f>
        <v/>
      </c>
      <c r="C1452" s="5" t="str">
        <f>LEFT(F1452,FIND(".",F1452,6))</f>
        <v>Exif.Pentax.</v>
      </c>
      <c r="D1452" s="5" t="str">
        <f>VLOOKUP(C1452,PrefixUebersetzung,2,FALSE)</f>
        <v>Exif.Pentax.</v>
      </c>
      <c r="E1452" s="5" t="str">
        <f>MID(F1452,FIND(".",F1452,6)+1,99)</f>
        <v>WB_RGGBLevelsFluorescentD</v>
      </c>
      <c r="F1452" s="5" t="s">
        <v>1250</v>
      </c>
      <c r="G1452" s="5" t="s">
        <v>9669</v>
      </c>
      <c r="H1452" s="6" t="s">
        <v>3028</v>
      </c>
      <c r="I1452" s="7"/>
      <c r="K1452" s="26"/>
      <c r="N1452" s="6"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xml:space="preserve">Suffix not translated Description not translated </v>
      </c>
      <c r="O1452" s="6" t="s">
        <v>8574</v>
      </c>
      <c r="P1452" s="6" t="s">
        <v>8574</v>
      </c>
    </row>
    <row r="1453" spans="1:17" x14ac:dyDescent="0.25">
      <c r="A1453" s="5" t="str">
        <f>IF(TRIM(I1453)="","",E1453)</f>
        <v/>
      </c>
      <c r="B1453" s="5" t="str">
        <f>IF(TRIM(J1453)="","",H1453)</f>
        <v/>
      </c>
      <c r="C1453" s="5" t="str">
        <f>LEFT(F1453,FIND(".",F1453,6))</f>
        <v>Exif.Pentax.</v>
      </c>
      <c r="D1453" s="5" t="str">
        <f>VLOOKUP(C1453,PrefixUebersetzung,2,FALSE)</f>
        <v>Exif.Pentax.</v>
      </c>
      <c r="E1453" s="5" t="str">
        <f>MID(F1453,FIND(".",F1453,6)+1,99)</f>
        <v>WB_RGGBLevelsFluorescentN</v>
      </c>
      <c r="F1453" s="5" t="s">
        <v>1251</v>
      </c>
      <c r="G1453" s="5" t="s">
        <v>9669</v>
      </c>
      <c r="H1453" s="6" t="s">
        <v>3029</v>
      </c>
      <c r="I1453" s="7"/>
      <c r="K1453" s="26"/>
      <c r="N1453" s="6"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xml:space="preserve">Suffix not translated Description not translated </v>
      </c>
      <c r="O1453" s="6" t="s">
        <v>8574</v>
      </c>
      <c r="P1453" s="6" t="s">
        <v>8574</v>
      </c>
    </row>
    <row r="1454" spans="1:17" x14ac:dyDescent="0.25">
      <c r="A1454" s="5" t="str">
        <f>IF(TRIM(I1454)="","",E1454)</f>
        <v/>
      </c>
      <c r="B1454" s="5" t="str">
        <f>IF(TRIM(J1454)="","",H1454)</f>
        <v/>
      </c>
      <c r="C1454" s="5" t="str">
        <f>LEFT(F1454,FIND(".",F1454,6))</f>
        <v>Exif.Pentax.</v>
      </c>
      <c r="D1454" s="5" t="str">
        <f>VLOOKUP(C1454,PrefixUebersetzung,2,FALSE)</f>
        <v>Exif.Pentax.</v>
      </c>
      <c r="E1454" s="5" t="str">
        <f>MID(F1454,FIND(".",F1454,6)+1,99)</f>
        <v>WB_RGGBLevelsFluorescentW</v>
      </c>
      <c r="F1454" s="5" t="s">
        <v>1252</v>
      </c>
      <c r="G1454" s="5" t="s">
        <v>9669</v>
      </c>
      <c r="H1454" s="6" t="s">
        <v>3030</v>
      </c>
      <c r="I1454" s="7"/>
      <c r="K1454" s="26"/>
      <c r="N1454" s="6"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xml:space="preserve">Suffix not translated Description not translated </v>
      </c>
      <c r="O1454" s="6" t="s">
        <v>8574</v>
      </c>
      <c r="P1454" s="6" t="s">
        <v>8574</v>
      </c>
    </row>
    <row r="1455" spans="1:17" x14ac:dyDescent="0.25">
      <c r="A1455" s="5" t="str">
        <f>IF(TRIM(I1455)="","",E1455)</f>
        <v/>
      </c>
      <c r="B1455" s="5" t="str">
        <f>IF(TRIM(J1455)="","",H1455)</f>
        <v/>
      </c>
      <c r="C1455" s="5" t="str">
        <f>LEFT(F1455,FIND(".",F1455,6))</f>
        <v>Exif.Pentax.</v>
      </c>
      <c r="D1455" s="5" t="str">
        <f>VLOOKUP(C1455,PrefixUebersetzung,2,FALSE)</f>
        <v>Exif.Pentax.</v>
      </c>
      <c r="E1455" s="5" t="str">
        <f>MID(F1455,FIND(".",F1455,6)+1,99)</f>
        <v>WB_RGGBLevelsShade</v>
      </c>
      <c r="F1455" s="5" t="s">
        <v>1253</v>
      </c>
      <c r="G1455" s="5" t="s">
        <v>9669</v>
      </c>
      <c r="H1455" s="6" t="s">
        <v>3031</v>
      </c>
      <c r="I1455" s="7"/>
      <c r="K1455" s="26"/>
      <c r="N1455" s="6"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xml:space="preserve">Suffix not translated Description not translated </v>
      </c>
      <c r="O1455" s="6" t="s">
        <v>8574</v>
      </c>
      <c r="P1455" s="6" t="s">
        <v>8574</v>
      </c>
    </row>
    <row r="1456" spans="1:17" x14ac:dyDescent="0.25">
      <c r="A1456" s="5" t="str">
        <f>IF(TRIM(I1456)="","",E1456)</f>
        <v/>
      </c>
      <c r="B1456" s="5" t="str">
        <f>IF(TRIM(J1456)="","",H1456)</f>
        <v/>
      </c>
      <c r="C1456" s="5" t="str">
        <f>LEFT(F1456,FIND(".",F1456,6))</f>
        <v>Exif.Pentax.</v>
      </c>
      <c r="D1456" s="5" t="str">
        <f>VLOOKUP(C1456,PrefixUebersetzung,2,FALSE)</f>
        <v>Exif.Pentax.</v>
      </c>
      <c r="E1456" s="5" t="str">
        <f>MID(F1456,FIND(".",F1456,6)+1,99)</f>
        <v>WB_RGGBLevelsTungsten</v>
      </c>
      <c r="F1456" s="5" t="s">
        <v>1254</v>
      </c>
      <c r="G1456" s="5" t="s">
        <v>9669</v>
      </c>
      <c r="H1456" s="6" t="s">
        <v>3032</v>
      </c>
      <c r="I1456" s="7"/>
      <c r="K1456" s="26"/>
      <c r="N1456" s="6"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xml:space="preserve">Suffix not translated Description not translated </v>
      </c>
      <c r="O1456" s="6" t="s">
        <v>8574</v>
      </c>
      <c r="P1456" s="6" t="s">
        <v>8574</v>
      </c>
    </row>
    <row r="1457" spans="1:17" x14ac:dyDescent="0.25">
      <c r="A1457" s="5" t="str">
        <f>IF(TRIM(I1457)="","",E1457)</f>
        <v/>
      </c>
      <c r="B1457" s="5" t="str">
        <f>IF(TRIM(J1457)="","",H1457)</f>
        <v/>
      </c>
      <c r="C1457" s="5" t="str">
        <f>LEFT(F1457,FIND(".",F1457,6))</f>
        <v>Exif.Pentax.</v>
      </c>
      <c r="D1457" s="5" t="str">
        <f>VLOOKUP(C1457,PrefixUebersetzung,2,FALSE)</f>
        <v>Exif.Pentax.</v>
      </c>
      <c r="E1457" s="5" t="str">
        <f>MID(F1457,FIND(".",F1457,6)+1,99)</f>
        <v>WhiteBalance</v>
      </c>
      <c r="F1457" s="2" t="s">
        <v>7148</v>
      </c>
      <c r="G1457" s="5" t="s">
        <v>9669</v>
      </c>
      <c r="H1457" s="3" t="s">
        <v>2250</v>
      </c>
      <c r="I1457" s="7"/>
      <c r="J1457" s="8"/>
      <c r="K1457" s="26"/>
      <c r="L1457" s="6" t="str">
        <f>IFERROR(VLOOKUP(E1457,A:I,9, FALSE),"")</f>
        <v>Weißabgleich</v>
      </c>
      <c r="M1457" s="6" t="str">
        <f>IFERROR(VLOOKUP(H1457,B:J,9,FALSE),"")</f>
        <v>Weißabgleich</v>
      </c>
      <c r="N1457" s="6"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row>
    <row r="1458" spans="1:17" x14ac:dyDescent="0.25">
      <c r="A1458" s="5" t="str">
        <f>IF(TRIM(I1458)="","",E1458)</f>
        <v>WhiteBalanceMode</v>
      </c>
      <c r="B1458" s="5" t="str">
        <f>IF(TRIM(J1458)="","",H1458)</f>
        <v/>
      </c>
      <c r="C1458" s="5" t="str">
        <f>LEFT(F1458,FIND(".",F1458,6))</f>
        <v>Exif.Pentax.</v>
      </c>
      <c r="D1458" s="5" t="str">
        <f>VLOOKUP(C1458,PrefixUebersetzung,2,FALSE)</f>
        <v>Exif.Pentax.</v>
      </c>
      <c r="E1458" s="5" t="str">
        <f>MID(F1458,FIND(".",F1458,6)+1,99)</f>
        <v>WhiteBalanceMode</v>
      </c>
      <c r="F1458" s="2" t="s">
        <v>7149</v>
      </c>
      <c r="G1458" s="5" t="s">
        <v>9669</v>
      </c>
      <c r="H1458" s="3" t="s">
        <v>2797</v>
      </c>
      <c r="I1458" s="24" t="s">
        <v>4935</v>
      </c>
      <c r="J1458" s="8"/>
      <c r="K1458" s="26"/>
      <c r="M1458" s="6" t="str">
        <f>IFERROR(VLOOKUP(H1458,B:J,9,FALSE),"")</f>
        <v>Weißabgleich Modus</v>
      </c>
      <c r="N1458" s="6"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c>
      <c r="O1458" s="6" t="s">
        <v>8574</v>
      </c>
    </row>
    <row r="1459" spans="1:17" x14ac:dyDescent="0.25">
      <c r="A1459" s="5" t="str">
        <f>IF(TRIM(I1459)="","",E1459)</f>
        <v/>
      </c>
      <c r="B1459" s="5" t="str">
        <f>IF(TRIM(J1459)="","",H1459)</f>
        <v>White point</v>
      </c>
      <c r="C1459" s="5" t="str">
        <f>LEFT(F1459,FIND(".",F1459,6))</f>
        <v>Exif.Pentax.</v>
      </c>
      <c r="D1459" s="5" t="str">
        <f>VLOOKUP(C1459,PrefixUebersetzung,2,FALSE)</f>
        <v>Exif.Pentax.</v>
      </c>
      <c r="E1459" s="5" t="str">
        <f>MID(F1459,FIND(".",F1459,6)+1,99)</f>
        <v>WhitePoint</v>
      </c>
      <c r="F1459" s="5" t="s">
        <v>1255</v>
      </c>
      <c r="G1459" s="5" t="s">
        <v>9669</v>
      </c>
      <c r="H1459" s="6" t="s">
        <v>3033</v>
      </c>
      <c r="I1459" s="7"/>
      <c r="J1459" s="14" t="s">
        <v>4068</v>
      </c>
      <c r="K1459" s="26"/>
      <c r="L1459" s="6" t="str">
        <f>IFERROR(VLOOKUP(E1459,A:I,9, FALSE),"")</f>
        <v>Weißpunkt</v>
      </c>
      <c r="N1459" s="6"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c r="P1459" s="6" t="s">
        <v>8574</v>
      </c>
      <c r="Q1459" s="6" t="s">
        <v>9561</v>
      </c>
    </row>
    <row r="1460" spans="1:17" x14ac:dyDescent="0.25">
      <c r="A1460" s="5" t="str">
        <f>IF(TRIM(I1460)="","",E1460)</f>
        <v>AmbientTemperature</v>
      </c>
      <c r="B1460" s="5" t="str">
        <f>IF(TRIM(J1460)="","",H1460)</f>
        <v>AmbientTemperature</v>
      </c>
      <c r="C1460" s="5" t="str">
        <f>LEFT(F1460,FIND(".",F1460,6))</f>
        <v>Exif.Photo.</v>
      </c>
      <c r="D1460" s="5" t="str">
        <f>VLOOKUP(C1460,PrefixUebersetzung,2,FALSE)</f>
        <v>Exif.Photo.</v>
      </c>
      <c r="E1460" s="5" t="str">
        <f>MID(F1460,FIND(".",F1460,6)+1,99)</f>
        <v>AmbientTemperature</v>
      </c>
      <c r="F1460" s="11" t="s">
        <v>8658</v>
      </c>
      <c r="G1460" s="5" t="s">
        <v>9672</v>
      </c>
      <c r="H1460" s="11" t="s">
        <v>8659</v>
      </c>
      <c r="I1460" s="7" t="s">
        <v>8602</v>
      </c>
      <c r="J1460" s="14" t="s">
        <v>8602</v>
      </c>
      <c r="K1460" s="26"/>
      <c r="L1460" s="6" t="str">
        <f>IFERROR(VLOOKUP(E1460,A:I,9, FALSE),"")</f>
        <v>Umgebungstemperatur</v>
      </c>
      <c r="N1460" s="6"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c r="O1460" s="6" t="s">
        <v>8574</v>
      </c>
      <c r="P1460" s="6" t="s">
        <v>8574</v>
      </c>
    </row>
    <row r="1461" spans="1:17" ht="30" x14ac:dyDescent="0.25">
      <c r="A1461" s="5" t="str">
        <f>IF(TRIM(I1461)="","",E1461)</f>
        <v/>
      </c>
      <c r="B1461" s="5" t="str">
        <f>IF(TRIM(J1461)="","",H1461)</f>
        <v>The lens aperture. The unit is the APEX value.</v>
      </c>
      <c r="C1461" s="5" t="str">
        <f>LEFT(F1461,FIND(".",F1461,6))</f>
        <v>Exif.Photo.</v>
      </c>
      <c r="D1461" s="5" t="str">
        <f>VLOOKUP(C1461,PrefixUebersetzung,2,FALSE)</f>
        <v>Exif.Photo.</v>
      </c>
      <c r="E1461" s="5" t="str">
        <f>MID(F1461,FIND(".",F1461,6)+1,99)</f>
        <v>ApertureValue</v>
      </c>
      <c r="F1461" s="5" t="s">
        <v>1256</v>
      </c>
      <c r="G1461" s="5" t="s">
        <v>9671</v>
      </c>
      <c r="H1461" s="6" t="s">
        <v>3034</v>
      </c>
      <c r="I1461" s="7"/>
      <c r="J1461" s="14" t="s">
        <v>4069</v>
      </c>
      <c r="K1461" s="26"/>
      <c r="L1461" s="6" t="str">
        <f>IFERROR(VLOOKUP(E1461,A:I,9, FALSE),"")</f>
        <v>Blende</v>
      </c>
      <c r="N1461" s="6"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c r="P1461" s="6" t="s">
        <v>8574</v>
      </c>
      <c r="Q1461" s="6" t="s">
        <v>9533</v>
      </c>
    </row>
    <row r="1462" spans="1:17" ht="45" x14ac:dyDescent="0.25">
      <c r="A1462" s="5" t="str">
        <f>IF(TRIM(I1462)="","",E1462)</f>
        <v>BodySerialNumber</v>
      </c>
      <c r="B1462" s="5" t="str">
        <f>IF(TRIM(J1462)="","",H1462)</f>
        <v>This tag records the serial number of the body of the camera that was used in photography as an ASCII string.</v>
      </c>
      <c r="C1462" s="5" t="str">
        <f>LEFT(F1462,FIND(".",F1462,6))</f>
        <v>Exif.Photo.</v>
      </c>
      <c r="D1462" s="5" t="str">
        <f>VLOOKUP(C1462,PrefixUebersetzung,2,FALSE)</f>
        <v>Exif.Photo.</v>
      </c>
      <c r="E1462" s="5" t="str">
        <f>MID(F1462,FIND(".",F1462,6)+1,99)</f>
        <v>BodySerialNumber</v>
      </c>
      <c r="F1462" s="5" t="s">
        <v>1257</v>
      </c>
      <c r="G1462" s="5" t="s">
        <v>9666</v>
      </c>
      <c r="H1462" s="6" t="s">
        <v>3035</v>
      </c>
      <c r="I1462" s="7" t="s">
        <v>4415</v>
      </c>
      <c r="J1462" s="14" t="s">
        <v>5211</v>
      </c>
      <c r="K1462" s="26"/>
      <c r="L1462" s="6" t="str">
        <f>IFERROR(VLOOKUP(E1462,A:I,9, FALSE),"")</f>
        <v>Gehäuse Seriennummer</v>
      </c>
      <c r="N1462" s="6"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c>
      <c r="O1462" s="6" t="s">
        <v>8574</v>
      </c>
      <c r="P1462" s="6" t="s">
        <v>8574</v>
      </c>
    </row>
    <row r="1463" spans="1:17" ht="45" x14ac:dyDescent="0.25">
      <c r="A1463" s="5" t="str">
        <f>IF(TRIM(I1463)="","",E1463)</f>
        <v/>
      </c>
      <c r="B1463" s="5" t="str">
        <f>IF(TRIM(J1463)="","",H1463)</f>
        <v>The value of brightness. The unit is the APEX value. Ordinarily it is given in the range of -99.99 to 99.99.</v>
      </c>
      <c r="C1463" s="5" t="str">
        <f>LEFT(F1463,FIND(".",F1463,6))</f>
        <v>Exif.Photo.</v>
      </c>
      <c r="D1463" s="5" t="str">
        <f>VLOOKUP(C1463,PrefixUebersetzung,2,FALSE)</f>
        <v>Exif.Photo.</v>
      </c>
      <c r="E1463" s="5" t="str">
        <f>MID(F1463,FIND(".",F1463,6)+1,99)</f>
        <v>BrightnessValue</v>
      </c>
      <c r="F1463" s="5" t="s">
        <v>1258</v>
      </c>
      <c r="G1463" s="5" t="s">
        <v>9672</v>
      </c>
      <c r="H1463" s="6" t="s">
        <v>3036</v>
      </c>
      <c r="I1463" s="7"/>
      <c r="J1463" s="14" t="s">
        <v>5212</v>
      </c>
      <c r="K1463" s="26"/>
      <c r="L1463" s="6" t="str">
        <f>IFERROR(VLOOKUP(E1463,A:I,9, FALSE),"")</f>
        <v>Helligkeitswert</v>
      </c>
      <c r="N1463" s="6"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c r="P1463" s="6" t="s">
        <v>8574</v>
      </c>
    </row>
    <row r="1464" spans="1:17" ht="30" x14ac:dyDescent="0.25">
      <c r="A1464" s="5" t="str">
        <f>IF(TRIM(I1464)="","",E1464)</f>
        <v>CameraOwnerName</v>
      </c>
      <c r="B1464" s="5" t="str">
        <f>IF(TRIM(J1464)="","",H1464)</f>
        <v>This tag records the owner of a camera used in photography as an ASCII string.</v>
      </c>
      <c r="C1464" s="5" t="str">
        <f>LEFT(F1464,FIND(".",F1464,6))</f>
        <v>Exif.Photo.</v>
      </c>
      <c r="D1464" s="5" t="str">
        <f>VLOOKUP(C1464,PrefixUebersetzung,2,FALSE)</f>
        <v>Exif.Photo.</v>
      </c>
      <c r="E1464" s="5" t="str">
        <f>MID(F1464,FIND(".",F1464,6)+1,99)</f>
        <v>CameraOwnerName</v>
      </c>
      <c r="F1464" s="5" t="s">
        <v>1259</v>
      </c>
      <c r="G1464" s="5" t="s">
        <v>9666</v>
      </c>
      <c r="H1464" s="6" t="s">
        <v>3037</v>
      </c>
      <c r="I1464" s="7" t="s">
        <v>4416</v>
      </c>
      <c r="J1464" s="14" t="s">
        <v>5213</v>
      </c>
      <c r="K1464" s="26"/>
      <c r="L1464" s="6" t="str">
        <f>IFERROR(VLOOKUP(E1464,A:I,9, FALSE),"")</f>
        <v>Name Kamerabesitzer</v>
      </c>
      <c r="N1464" s="6"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c r="O1464" s="6" t="s">
        <v>8574</v>
      </c>
      <c r="P1464" s="6" t="s">
        <v>8574</v>
      </c>
    </row>
    <row r="1465" spans="1:17" ht="60" x14ac:dyDescent="0.25">
      <c r="A1465" s="5" t="str">
        <f>IF(TRIM(I1465)="","",E1465)</f>
        <v/>
      </c>
      <c r="B1465" s="5" t="str">
        <f>IF(TRIM(J1465)="","",H1465)</f>
        <v>Indicates the color filter array (CFA) geometric pattern of the image sensor when a one-chip color area sensor is used. It does not apply to all sensing methods.</v>
      </c>
      <c r="C1465" s="5" t="str">
        <f>LEFT(F1465,FIND(".",F1465,6))</f>
        <v>Exif.Photo.</v>
      </c>
      <c r="D1465" s="5" t="str">
        <f>VLOOKUP(C1465,PrefixUebersetzung,2,FALSE)</f>
        <v>Exif.Photo.</v>
      </c>
      <c r="E1465" s="5" t="str">
        <f>MID(F1465,FIND(".",F1465,6)+1,99)</f>
        <v>CFAPattern</v>
      </c>
      <c r="F1465" s="5" t="s">
        <v>1260</v>
      </c>
      <c r="G1465" s="5" t="s">
        <v>9669</v>
      </c>
      <c r="H1465" s="6" t="s">
        <v>3038</v>
      </c>
      <c r="I1465" s="7"/>
      <c r="J1465" s="14" t="s">
        <v>5183</v>
      </c>
      <c r="K1465" s="26"/>
      <c r="L1465" s="6" t="str">
        <f>IFERROR(VLOOKUP(E1465,A:I,9, FALSE),"")</f>
        <v>CFA Pattern</v>
      </c>
      <c r="N1465" s="6"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c r="P1465" s="6" t="s">
        <v>8574</v>
      </c>
    </row>
    <row r="1466" spans="1:17" ht="120" x14ac:dyDescent="0.25">
      <c r="A1466" s="5" t="str">
        <f>IF(TRIM(I1466)="","",E1466)</f>
        <v/>
      </c>
      <c r="B1466" s="5" t="str">
        <f>IF(TRIM(J1466)="","",H1466)</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1466" s="5" t="str">
        <f>LEFT(F1466,FIND(".",F1466,6))</f>
        <v>Exif.Photo.</v>
      </c>
      <c r="D1466" s="5" t="str">
        <f>VLOOKUP(C1466,PrefixUebersetzung,2,FALSE)</f>
        <v>Exif.Photo.</v>
      </c>
      <c r="E1466" s="5" t="str">
        <f>MID(F1466,FIND(".",F1466,6)+1,99)</f>
        <v>ColorSpace</v>
      </c>
      <c r="F1466" s="5" t="s">
        <v>1261</v>
      </c>
      <c r="G1466" s="5" t="s">
        <v>9664</v>
      </c>
      <c r="H1466" s="6" t="s">
        <v>3039</v>
      </c>
      <c r="J1466" s="14" t="s">
        <v>6649</v>
      </c>
      <c r="K1466" s="26"/>
      <c r="L1466" s="6" t="str">
        <f>IFERROR(VLOOKUP(E1466,A:I,9, FALSE),"")</f>
        <v>Farbraum</v>
      </c>
      <c r="N1466" s="6"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c r="P1466" s="6" t="s">
        <v>8574</v>
      </c>
    </row>
    <row r="1467" spans="1:17" ht="165" x14ac:dyDescent="0.25">
      <c r="A1467" s="5" t="str">
        <f>IF(TRIM(I1467)="","",E1467)</f>
        <v>ComponentsConfiguration</v>
      </c>
      <c r="B1467" s="5" t="str">
        <f>IF(TRIM(J1467)="","",H1467)</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1467" s="5" t="str">
        <f>LEFT(F1467,FIND(".",F1467,6))</f>
        <v>Exif.Photo.</v>
      </c>
      <c r="D1467" s="5" t="str">
        <f>VLOOKUP(C1467,PrefixUebersetzung,2,FALSE)</f>
        <v>Exif.Photo.</v>
      </c>
      <c r="E1467" s="5" t="str">
        <f>MID(F1467,FIND(".",F1467,6)+1,99)</f>
        <v>ComponentsConfiguration</v>
      </c>
      <c r="F1467" s="5" t="s">
        <v>1262</v>
      </c>
      <c r="G1467" s="5" t="s">
        <v>9669</v>
      </c>
      <c r="H1467" s="6" t="s">
        <v>3040</v>
      </c>
      <c r="I1467" s="7" t="s">
        <v>4972</v>
      </c>
      <c r="J1467" s="14" t="s">
        <v>5214</v>
      </c>
      <c r="K1467" s="26"/>
      <c r="L1467" s="6" t="str">
        <f>IFERROR(VLOOKUP(E1467,A:I,9, FALSE),"")</f>
        <v>Komponentenkonfiguration</v>
      </c>
      <c r="N1467" s="6"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c r="O1467" s="6" t="s">
        <v>8574</v>
      </c>
      <c r="P1467" s="6" t="s">
        <v>8574</v>
      </c>
    </row>
    <row r="1468" spans="1:17" ht="60" x14ac:dyDescent="0.25">
      <c r="A1468" s="5" t="str">
        <f>IF(TRIM(I1468)="","",E1468)</f>
        <v/>
      </c>
      <c r="B1468" s="5" t="str">
        <f>IF(TRIM(J1468)="","",H1468)</f>
        <v>Information specific to compressed data. The compression mode used for a compressed image is indicated in unit bits per pixel.</v>
      </c>
      <c r="C1468" s="5" t="str">
        <f>LEFT(F1468,FIND(".",F1468,6))</f>
        <v>Exif.Photo.</v>
      </c>
      <c r="D1468" s="5" t="str">
        <f>VLOOKUP(C1468,PrefixUebersetzung,2,FALSE)</f>
        <v>Exif.Photo.</v>
      </c>
      <c r="E1468" s="5" t="str">
        <f>MID(F1468,FIND(".",F1468,6)+1,99)</f>
        <v>CompressedBitsPerPixel</v>
      </c>
      <c r="F1468" s="5" t="s">
        <v>1263</v>
      </c>
      <c r="G1468" s="5" t="s">
        <v>9671</v>
      </c>
      <c r="H1468" s="6" t="s">
        <v>3041</v>
      </c>
      <c r="I1468" s="7"/>
      <c r="J1468" s="14" t="s">
        <v>6650</v>
      </c>
      <c r="K1468" s="26"/>
      <c r="L1468" s="6" t="str">
        <f>IFERROR(VLOOKUP(E1468,A:I,9, FALSE),"")</f>
        <v>Komprimierte Bits je Pixel</v>
      </c>
      <c r="N1468" s="6"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c r="P1468" s="6" t="s">
        <v>8574</v>
      </c>
    </row>
    <row r="1469" spans="1:17" ht="45" x14ac:dyDescent="0.25">
      <c r="A1469" s="5" t="str">
        <f>IF(TRIM(I1469)="","",E1469)</f>
        <v/>
      </c>
      <c r="B1469" s="5" t="str">
        <f>IF(TRIM(J1469)="","",H1469)</f>
        <v>This tag indicates the direction of contrast processing applied by the camera when the image was shot.</v>
      </c>
      <c r="C1469" s="5" t="str">
        <f>LEFT(F1469,FIND(".",F1469,6))</f>
        <v>Exif.Photo.</v>
      </c>
      <c r="D1469" s="5" t="str">
        <f>VLOOKUP(C1469,PrefixUebersetzung,2,FALSE)</f>
        <v>Exif.Photo.</v>
      </c>
      <c r="E1469" s="5" t="str">
        <f>MID(F1469,FIND(".",F1469,6)+1,99)</f>
        <v>Contrast</v>
      </c>
      <c r="F1469" s="5" t="s">
        <v>1264</v>
      </c>
      <c r="G1469" s="5" t="s">
        <v>9664</v>
      </c>
      <c r="H1469" s="6" t="s">
        <v>3042</v>
      </c>
      <c r="J1469" s="14" t="s">
        <v>5311</v>
      </c>
      <c r="K1469" s="26"/>
      <c r="L1469" s="6" t="str">
        <f>IFERROR(VLOOKUP(E1469,A:I,9, FALSE),"")</f>
        <v>Kontrast</v>
      </c>
      <c r="N1469" s="6"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c r="P1469" s="6" t="s">
        <v>8574</v>
      </c>
    </row>
    <row r="1470" spans="1:17" ht="75" x14ac:dyDescent="0.25">
      <c r="A1470" s="5" t="str">
        <f>IF(TRIM(I1470)="","",E1470)</f>
        <v>CustomRendered</v>
      </c>
      <c r="B1470" s="5" t="str">
        <f>IF(TRIM(J1470)="","",H1470)</f>
        <v>This tag indicates the use of special processing on image data, such as rendering geared to output. When special processing is performed, the reader is expected to disable or minimize any further processing.</v>
      </c>
      <c r="C1470" s="5" t="str">
        <f>LEFT(F1470,FIND(".",F1470,6))</f>
        <v>Exif.Photo.</v>
      </c>
      <c r="D1470" s="5" t="str">
        <f>VLOOKUP(C1470,PrefixUebersetzung,2,FALSE)</f>
        <v>Exif.Photo.</v>
      </c>
      <c r="E1470" s="5" t="str">
        <f>MID(F1470,FIND(".",F1470,6)+1,99)</f>
        <v>CustomRendered</v>
      </c>
      <c r="F1470" s="5" t="s">
        <v>1265</v>
      </c>
      <c r="G1470" s="5" t="s">
        <v>9664</v>
      </c>
      <c r="H1470" s="6" t="s">
        <v>3043</v>
      </c>
      <c r="I1470" s="7" t="s">
        <v>4651</v>
      </c>
      <c r="J1470" s="14" t="s">
        <v>6651</v>
      </c>
      <c r="K1470" s="26"/>
      <c r="L1470" s="6" t="str">
        <f>IFERROR(VLOOKUP(E1470,A:I,9, FALSE),"")</f>
        <v>Benutzer-gerendert</v>
      </c>
      <c r="N1470" s="6"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c r="O1470" s="6" t="s">
        <v>8574</v>
      </c>
      <c r="P1470" s="6" t="s">
        <v>8574</v>
      </c>
    </row>
    <row r="1471" spans="1:17" ht="30" x14ac:dyDescent="0.25">
      <c r="A1471" s="5" t="str">
        <f>IF(TRIM(I1471)="","",E1471)</f>
        <v>DateTimeDigitized</v>
      </c>
      <c r="B1471" s="5" t="str">
        <f>IF(TRIM(J1471)="","",H1471)</f>
        <v>The date and time when the image was stored as digital data.</v>
      </c>
      <c r="C1471" s="5" t="str">
        <f>LEFT(F1471,FIND(".",F1471,6))</f>
        <v>Exif.Photo.</v>
      </c>
      <c r="D1471" s="5" t="str">
        <f>VLOOKUP(C1471,PrefixUebersetzung,2,FALSE)</f>
        <v>Exif.Photo.</v>
      </c>
      <c r="E1471" s="5" t="str">
        <f>MID(F1471,FIND(".",F1471,6)+1,99)</f>
        <v>DateTimeDigitized</v>
      </c>
      <c r="F1471" s="5" t="s">
        <v>1266</v>
      </c>
      <c r="G1471" s="5" t="s">
        <v>9666</v>
      </c>
      <c r="H1471" s="6" t="s">
        <v>3044</v>
      </c>
      <c r="I1471" s="7" t="s">
        <v>4417</v>
      </c>
      <c r="J1471" s="14" t="s">
        <v>5481</v>
      </c>
      <c r="K1471" s="26"/>
      <c r="L1471" s="6" t="str">
        <f>IFERROR(VLOOKUP(E1471,A:I,9, FALSE),"")</f>
        <v>Datum/Zeit Digitalisiert</v>
      </c>
      <c r="N1471" s="6"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c r="O1471" s="6" t="s">
        <v>8574</v>
      </c>
      <c r="P1471" s="6" t="s">
        <v>8574</v>
      </c>
    </row>
    <row r="1472" spans="1:17" ht="60" x14ac:dyDescent="0.25">
      <c r="A1472" s="5" t="str">
        <f>IF(TRIM(I1472)="","",E1472)</f>
        <v/>
      </c>
      <c r="B1472" s="5" t="str">
        <f>IF(TRIM(J1472)="","",H1472)</f>
        <v>The date and time when the original image data was generated. For a digital still camera the date and time the picture was taken are recorded.</v>
      </c>
      <c r="C1472" s="5" t="str">
        <f>LEFT(F1472,FIND(".",F1472,6))</f>
        <v>Exif.Photo.</v>
      </c>
      <c r="D1472" s="5" t="str">
        <f>VLOOKUP(C1472,PrefixUebersetzung,2,FALSE)</f>
        <v>Exif.Photo.</v>
      </c>
      <c r="E1472" s="5" t="str">
        <f>MID(F1472,FIND(".",F1472,6)+1,99)</f>
        <v>DateTimeOriginal</v>
      </c>
      <c r="F1472" s="5" t="s">
        <v>1267</v>
      </c>
      <c r="G1472" s="5" t="s">
        <v>9666</v>
      </c>
      <c r="H1472" s="6" t="s">
        <v>3045</v>
      </c>
      <c r="I1472" s="7"/>
      <c r="J1472" s="14" t="s">
        <v>5310</v>
      </c>
      <c r="K1472" s="26"/>
      <c r="L1472" s="6" t="str">
        <f>IFERROR(VLOOKUP(E1472,A:I,9, FALSE),"")</f>
        <v>Datum/Zeit original</v>
      </c>
      <c r="N1472" s="6"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c r="P1472" s="6" t="s">
        <v>8574</v>
      </c>
    </row>
    <row r="1473" spans="1:17" ht="60" x14ac:dyDescent="0.25">
      <c r="A1473" s="5" t="str">
        <f>IF(TRIM(I1473)="","",E1473)</f>
        <v>DeviceSettingDescription</v>
      </c>
      <c r="B1473" s="5" t="str">
        <f>IF(TRIM(J1473)="","",H1473)</f>
        <v>This tag indicates information on the picture-taking conditions of a particular camera model. The tag is used only to indicate the picture-taking conditions in the reader.</v>
      </c>
      <c r="C1473" s="5" t="str">
        <f>LEFT(F1473,FIND(".",F1473,6))</f>
        <v>Exif.Photo.</v>
      </c>
      <c r="D1473" s="5" t="str">
        <f>VLOOKUP(C1473,PrefixUebersetzung,2,FALSE)</f>
        <v>Exif.Photo.</v>
      </c>
      <c r="E1473" s="5" t="str">
        <f>MID(F1473,FIND(".",F1473,6)+1,99)</f>
        <v>DeviceSettingDescription</v>
      </c>
      <c r="F1473" s="5" t="s">
        <v>1268</v>
      </c>
      <c r="G1473" s="5" t="s">
        <v>9669</v>
      </c>
      <c r="H1473" s="6" t="s">
        <v>3046</v>
      </c>
      <c r="I1473" s="7" t="s">
        <v>4936</v>
      </c>
      <c r="J1473" s="14" t="s">
        <v>6652</v>
      </c>
      <c r="K1473" s="26"/>
      <c r="L1473" s="6" t="str">
        <f>IFERROR(VLOOKUP(E1473,A:I,9, FALSE),"")</f>
        <v>Geräteeinstellungen Beschreibung</v>
      </c>
      <c r="N1473" s="6"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c r="O1473" s="6" t="s">
        <v>8574</v>
      </c>
      <c r="P1473" s="6" t="s">
        <v>8574</v>
      </c>
    </row>
    <row r="1474" spans="1:17" ht="60" x14ac:dyDescent="0.25">
      <c r="A1474" s="5" t="str">
        <f>IF(TRIM(I1474)="","",E1474)</f>
        <v>DigitalZoomRatio</v>
      </c>
      <c r="B1474" s="5" t="str">
        <f>IF(TRIM(J1474)="","",H1474)</f>
        <v>This tag indicates the digital zoom ratio when the image was shot. If the numerator of the recorded value is 0, this indicates that digital zoom was not used.</v>
      </c>
      <c r="C1474" s="5" t="str">
        <f>LEFT(F1474,FIND(".",F1474,6))</f>
        <v>Exif.Photo.</v>
      </c>
      <c r="D1474" s="5" t="str">
        <f>VLOOKUP(C1474,PrefixUebersetzung,2,FALSE)</f>
        <v>Exif.Photo.</v>
      </c>
      <c r="E1474" s="5" t="str">
        <f>MID(F1474,FIND(".",F1474,6)+1,99)</f>
        <v>DigitalZoomRatio</v>
      </c>
      <c r="F1474" s="5" t="s">
        <v>1269</v>
      </c>
      <c r="G1474" s="5" t="s">
        <v>9671</v>
      </c>
      <c r="H1474" s="6" t="s">
        <v>3047</v>
      </c>
      <c r="I1474" s="7" t="s">
        <v>4418</v>
      </c>
      <c r="J1474" s="14" t="s">
        <v>6653</v>
      </c>
      <c r="K1474" s="26"/>
      <c r="L1474" s="6" t="str">
        <f>IFERROR(VLOOKUP(E1474,A:I,9, FALSE),"")</f>
        <v>Digital-Zoom-Faktor</v>
      </c>
      <c r="N1474" s="6"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c r="O1474" s="6" t="s">
        <v>8574</v>
      </c>
      <c r="P1474" s="6" t="s">
        <v>8574</v>
      </c>
    </row>
    <row r="1475" spans="1:17" ht="45" x14ac:dyDescent="0.25">
      <c r="A1475" s="5" t="str">
        <f>IF(TRIM(I1475)="","",E1475)</f>
        <v/>
      </c>
      <c r="B1475" s="5" t="str">
        <f>IF(TRIM(J1475)="","",H1475)</f>
        <v>The version of this standard supported. Nonexistence of this field is taken to mean nonconformance to the standard.</v>
      </c>
      <c r="C1475" s="5" t="str">
        <f>LEFT(F1475,FIND(".",F1475,6))</f>
        <v>Exif.Photo.</v>
      </c>
      <c r="D1475" s="5" t="str">
        <f>VLOOKUP(C1475,PrefixUebersetzung,2,FALSE)</f>
        <v>Exif.Photo.</v>
      </c>
      <c r="E1475" s="5" t="str">
        <f>MID(F1475,FIND(".",F1475,6)+1,99)</f>
        <v>ExifVersion</v>
      </c>
      <c r="F1475" s="5" t="s">
        <v>1270</v>
      </c>
      <c r="G1475" s="5" t="s">
        <v>9669</v>
      </c>
      <c r="H1475" s="6" t="s">
        <v>3048</v>
      </c>
      <c r="I1475" s="7"/>
      <c r="J1475" s="14" t="s">
        <v>5312</v>
      </c>
      <c r="K1475" s="26"/>
      <c r="L1475" s="6" t="str">
        <f>IFERROR(VLOOKUP(E1475,A:I,9, FALSE),"")</f>
        <v>Exif-Version</v>
      </c>
      <c r="N1475" s="6"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c r="P1475" s="6" t="s">
        <v>8574</v>
      </c>
    </row>
    <row r="1476" spans="1:17" ht="45" x14ac:dyDescent="0.25">
      <c r="A1476" s="5" t="str">
        <f>IF(TRIM(I1476)="","",E1476)</f>
        <v/>
      </c>
      <c r="B1476" s="5" t="str">
        <f>IF(TRIM(J1476)="","",H1476)</f>
        <v>The exposure bias. The units is the APEX value. Ordinarily it is given in the range of -99.99 to 99.99.</v>
      </c>
      <c r="C1476" s="5" t="str">
        <f>LEFT(F1476,FIND(".",F1476,6))</f>
        <v>Exif.Photo.</v>
      </c>
      <c r="D1476" s="5" t="str">
        <f>VLOOKUP(C1476,PrefixUebersetzung,2,FALSE)</f>
        <v>Exif.Photo.</v>
      </c>
      <c r="E1476" s="5" t="str">
        <f>MID(F1476,FIND(".",F1476,6)+1,99)</f>
        <v>ExposureBiasValue</v>
      </c>
      <c r="F1476" s="5" t="s">
        <v>1271</v>
      </c>
      <c r="G1476" s="5" t="s">
        <v>9672</v>
      </c>
      <c r="H1476" s="6" t="s">
        <v>3049</v>
      </c>
      <c r="I1476" s="7"/>
      <c r="J1476" s="14" t="s">
        <v>5313</v>
      </c>
      <c r="K1476" s="26"/>
      <c r="L1476" s="6" t="str">
        <f>IFERROR(VLOOKUP(E1476,A:I,9, FALSE),"")</f>
        <v>Belichtungskorrektur</v>
      </c>
      <c r="N1476" s="6"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c r="P1476" s="6" t="s">
        <v>8574</v>
      </c>
    </row>
    <row r="1477" spans="1:17" ht="30" x14ac:dyDescent="0.25">
      <c r="A1477" s="5" t="str">
        <f>IF(TRIM(I1477)="","",E1477)</f>
        <v/>
      </c>
      <c r="B1477" s="5" t="str">
        <f>IF(TRIM(J1477)="","",H1477)</f>
        <v>Indicates the exposure index selected on the camera or input device at the time the image is captured.</v>
      </c>
      <c r="C1477" s="5" t="str">
        <f>LEFT(F1477,FIND(".",F1477,6))</f>
        <v>Exif.Photo.</v>
      </c>
      <c r="D1477" s="5" t="str">
        <f>VLOOKUP(C1477,PrefixUebersetzung,2,FALSE)</f>
        <v>Exif.Photo.</v>
      </c>
      <c r="E1477" s="5" t="str">
        <f>MID(F1477,FIND(".",F1477,6)+1,99)</f>
        <v>ExposureIndex</v>
      </c>
      <c r="F1477" s="5" t="s">
        <v>1272</v>
      </c>
      <c r="G1477" s="5" t="s">
        <v>9671</v>
      </c>
      <c r="H1477" s="6" t="s">
        <v>3050</v>
      </c>
      <c r="I1477" s="7"/>
      <c r="J1477" s="14" t="s">
        <v>5314</v>
      </c>
      <c r="K1477" s="26"/>
      <c r="L1477" s="6" t="str">
        <f>IFERROR(VLOOKUP(E1477,A:I,9, FALSE),"")</f>
        <v>Belichtungsindex</v>
      </c>
      <c r="N1477" s="6"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c r="P1477" s="6" t="s">
        <v>8574</v>
      </c>
    </row>
    <row r="1478" spans="1:17" ht="60" x14ac:dyDescent="0.25">
      <c r="A1478" s="5" t="str">
        <f>IF(TRIM(I1478)="","",E1478)</f>
        <v/>
      </c>
      <c r="B1478" s="5" t="str">
        <f>IF(TRIM(J1478)="","",H1478)</f>
        <v>This tag indicates the exposure mode set when the image was shot. In auto-bracketing mode, the camera shoots a series of frames of the same scene at different exposure settings.</v>
      </c>
      <c r="C1478" s="5" t="str">
        <f>LEFT(F1478,FIND(".",F1478,6))</f>
        <v>Exif.Photo.</v>
      </c>
      <c r="D1478" s="5" t="str">
        <f>VLOOKUP(C1478,PrefixUebersetzung,2,FALSE)</f>
        <v>Exif.Photo.</v>
      </c>
      <c r="E1478" s="5" t="str">
        <f>MID(F1478,FIND(".",F1478,6)+1,99)</f>
        <v>ExposureMode</v>
      </c>
      <c r="F1478" s="5" t="s">
        <v>1273</v>
      </c>
      <c r="G1478" s="5" t="s">
        <v>9664</v>
      </c>
      <c r="H1478" s="6" t="s">
        <v>3051</v>
      </c>
      <c r="I1478" s="7"/>
      <c r="J1478" s="14" t="s">
        <v>5315</v>
      </c>
      <c r="K1478" s="26"/>
      <c r="L1478" s="6" t="str">
        <f>IFERROR(VLOOKUP(E1478,A:I,9, FALSE),"")</f>
        <v>Belichtungsmodus</v>
      </c>
      <c r="N1478" s="6"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c r="P1478" s="6" t="s">
        <v>8574</v>
      </c>
    </row>
    <row r="1479" spans="1:17" ht="45" x14ac:dyDescent="0.25">
      <c r="A1479" s="5" t="str">
        <f>IF(TRIM(I1479)="","",E1479)</f>
        <v/>
      </c>
      <c r="B1479" s="5" t="str">
        <f>IF(TRIM(J1479)="","",H1479)</f>
        <v/>
      </c>
      <c r="C1479" s="5" t="str">
        <f>LEFT(F1479,FIND(".",F1479,6))</f>
        <v>Exif.Photo.</v>
      </c>
      <c r="D1479" s="5" t="str">
        <f>VLOOKUP(C1479,PrefixUebersetzung,2,FALSE)</f>
        <v>Exif.Photo.</v>
      </c>
      <c r="E1479" s="5" t="str">
        <f>MID(F1479,FIND(".",F1479,6)+1,99)</f>
        <v>ExposureProgram</v>
      </c>
      <c r="F1479" s="5" t="s">
        <v>1274</v>
      </c>
      <c r="G1479" s="5" t="s">
        <v>9664</v>
      </c>
      <c r="H1479" s="6" t="s">
        <v>2374</v>
      </c>
      <c r="I1479" s="7"/>
      <c r="K1479" s="26"/>
      <c r="L1479" s="6" t="str">
        <f>IFERROR(VLOOKUP(E1479,A:I,9, FALSE),"")</f>
        <v>Belichtungsprogramm</v>
      </c>
      <c r="M1479" s="6" t="str">
        <f>IFERROR(VLOOKUP(H1479,B:J,9,FALSE),"")</f>
        <v>Durch die Kamera verwendetes Belichtungsprogramms während der Aufnahme.</v>
      </c>
      <c r="N1479" s="6"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row>
    <row r="1480" spans="1:17" x14ac:dyDescent="0.25">
      <c r="A1480" s="5" t="str">
        <f>IF(TRIM(I1480)="","",E1480)</f>
        <v/>
      </c>
      <c r="B1480" s="5" t="str">
        <f>IF(TRIM(J1480)="","",H1480)</f>
        <v>Exposure time, given in seconds (sec).</v>
      </c>
      <c r="C1480" s="5" t="str">
        <f>LEFT(F1480,FIND(".",F1480,6))</f>
        <v>Exif.Photo.</v>
      </c>
      <c r="D1480" s="5" t="str">
        <f>VLOOKUP(C1480,PrefixUebersetzung,2,FALSE)</f>
        <v>Exif.Photo.</v>
      </c>
      <c r="E1480" s="5" t="str">
        <f>MID(F1480,FIND(".",F1480,6)+1,99)</f>
        <v>ExposureTime</v>
      </c>
      <c r="F1480" s="5" t="s">
        <v>1275</v>
      </c>
      <c r="G1480" s="5" t="s">
        <v>9671</v>
      </c>
      <c r="H1480" s="6" t="s">
        <v>3052</v>
      </c>
      <c r="I1480" s="7"/>
      <c r="J1480" s="14" t="s">
        <v>5276</v>
      </c>
      <c r="K1480" s="26"/>
      <c r="L1480" s="6" t="str">
        <f>IFERROR(VLOOKUP(E1480,A:I,9, FALSE),"")</f>
        <v>Belichtungszeit</v>
      </c>
      <c r="N1480" s="6"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c r="P1480" s="6" t="s">
        <v>8574</v>
      </c>
      <c r="Q1480" s="6" t="s">
        <v>6368</v>
      </c>
    </row>
    <row r="1481" spans="1:17" ht="45" x14ac:dyDescent="0.25">
      <c r="A1481" s="5" t="str">
        <f>IF(TRIM(I1481)="","",E1481)</f>
        <v/>
      </c>
      <c r="B1481" s="5" t="str">
        <f>IF(TRIM(J1481)="","",H1481)</f>
        <v>Indicates the image source. If a DSC recorded the image, this tag value of this tag always be set to 3, indicating that the image was recorded on a DSC.</v>
      </c>
      <c r="C1481" s="5" t="str">
        <f>LEFT(F1481,FIND(".",F1481,6))</f>
        <v>Exif.Photo.</v>
      </c>
      <c r="D1481" s="5" t="str">
        <f>VLOOKUP(C1481,PrefixUebersetzung,2,FALSE)</f>
        <v>Exif.Photo.</v>
      </c>
      <c r="E1481" s="5" t="str">
        <f>MID(F1481,FIND(".",F1481,6)+1,99)</f>
        <v>FileSource</v>
      </c>
      <c r="F1481" s="5" t="s">
        <v>1276</v>
      </c>
      <c r="G1481" s="5" t="s">
        <v>9669</v>
      </c>
      <c r="H1481" s="6" t="s">
        <v>3053</v>
      </c>
      <c r="I1481" s="7"/>
      <c r="J1481" s="14" t="s">
        <v>5317</v>
      </c>
      <c r="K1481" s="26"/>
      <c r="L1481" s="6" t="str">
        <f>IFERROR(VLOOKUP(E1481,A:I,9, FALSE),"")</f>
        <v>Quelle der Datei</v>
      </c>
      <c r="N1481" s="6"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c r="P1481" s="6" t="s">
        <v>8574</v>
      </c>
    </row>
    <row r="1482" spans="1:17" ht="30" x14ac:dyDescent="0.25">
      <c r="A1482" s="5" t="str">
        <f>IF(TRIM(I1482)="","",E1482)</f>
        <v/>
      </c>
      <c r="B1482" s="5" t="str">
        <f>IF(TRIM(J1482)="","",H1482)</f>
        <v>This tag is recorded when an image is taken using a strobe light (flash).</v>
      </c>
      <c r="C1482" s="5" t="str">
        <f>LEFT(F1482,FIND(".",F1482,6))</f>
        <v>Exif.Photo.</v>
      </c>
      <c r="D1482" s="5" t="str">
        <f>VLOOKUP(C1482,PrefixUebersetzung,2,FALSE)</f>
        <v>Exif.Photo.</v>
      </c>
      <c r="E1482" s="5" t="str">
        <f>MID(F1482,FIND(".",F1482,6)+1,99)</f>
        <v>Flash</v>
      </c>
      <c r="F1482" s="5" t="s">
        <v>1277</v>
      </c>
      <c r="G1482" s="5" t="s">
        <v>9664</v>
      </c>
      <c r="H1482" s="6" t="s">
        <v>3054</v>
      </c>
      <c r="I1482" s="7"/>
      <c r="J1482" s="14" t="s">
        <v>6654</v>
      </c>
      <c r="K1482" s="26"/>
      <c r="L1482" s="6" t="str">
        <f>IFERROR(VLOOKUP(E1482,A:I,9, FALSE),"")</f>
        <v>Blitz</v>
      </c>
      <c r="N1482" s="6"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c r="P1482" s="6" t="s">
        <v>8574</v>
      </c>
    </row>
    <row r="1483" spans="1:17" ht="45" x14ac:dyDescent="0.25">
      <c r="A1483" s="5" t="str">
        <f>IF(TRIM(I1483)="","",E1483)</f>
        <v/>
      </c>
      <c r="B1483" s="5" t="str">
        <f>IF(TRIM(J1483)="","",H1483)</f>
        <v>Indicates the strobe energy at the time the image is captured, as measured in Beam Candle Power Seconds (BCPS).</v>
      </c>
      <c r="C1483" s="5" t="str">
        <f>LEFT(F1483,FIND(".",F1483,6))</f>
        <v>Exif.Photo.</v>
      </c>
      <c r="D1483" s="5" t="str">
        <f>VLOOKUP(C1483,PrefixUebersetzung,2,FALSE)</f>
        <v>Exif.Photo.</v>
      </c>
      <c r="E1483" s="5" t="str">
        <f>MID(F1483,FIND(".",F1483,6)+1,99)</f>
        <v>FlashEnergy</v>
      </c>
      <c r="F1483" s="5" t="s">
        <v>1278</v>
      </c>
      <c r="G1483" s="5" t="s">
        <v>9671</v>
      </c>
      <c r="H1483" s="6" t="s">
        <v>3055</v>
      </c>
      <c r="I1483" s="7"/>
      <c r="J1483" s="14" t="s">
        <v>6655</v>
      </c>
      <c r="K1483" s="26"/>
      <c r="L1483" s="6" t="str">
        <f>IFERROR(VLOOKUP(E1483,A:I,9, FALSE),"")</f>
        <v>Blitzenergie</v>
      </c>
      <c r="N1483" s="6"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P1483" s="6" t="s">
        <v>8574</v>
      </c>
    </row>
    <row r="1484" spans="1:17" ht="30" x14ac:dyDescent="0.25">
      <c r="A1484" s="5" t="str">
        <f>IF(TRIM(I1484)="","",E1484)</f>
        <v>FlashpixVersion</v>
      </c>
      <c r="B1484" s="5" t="str">
        <f>IF(TRIM(J1484)="","",H1484)</f>
        <v>The FlashPix format version supported by a FPXR file.</v>
      </c>
      <c r="C1484" s="5" t="str">
        <f>LEFT(F1484,FIND(".",F1484,6))</f>
        <v>Exif.Photo.</v>
      </c>
      <c r="D1484" s="5" t="str">
        <f>VLOOKUP(C1484,PrefixUebersetzung,2,FALSE)</f>
        <v>Exif.Photo.</v>
      </c>
      <c r="E1484" s="5" t="str">
        <f>MID(F1484,FIND(".",F1484,6)+1,99)</f>
        <v>FlashpixVersion</v>
      </c>
      <c r="F1484" s="5" t="s">
        <v>1279</v>
      </c>
      <c r="G1484" s="5" t="s">
        <v>9669</v>
      </c>
      <c r="H1484" s="6" t="s">
        <v>3056</v>
      </c>
      <c r="I1484" s="7" t="s">
        <v>4419</v>
      </c>
      <c r="J1484" s="14" t="s">
        <v>5482</v>
      </c>
      <c r="K1484" s="26"/>
      <c r="L1484" s="6" t="str">
        <f>IFERROR(VLOOKUP(E1484,A:I,9, FALSE),"")</f>
        <v>Flashpix-Version</v>
      </c>
      <c r="N1484" s="6"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c r="O1484" s="6" t="s">
        <v>8574</v>
      </c>
      <c r="P1484" s="6" t="s">
        <v>8574</v>
      </c>
      <c r="Q1484" s="6" t="s">
        <v>9518</v>
      </c>
    </row>
    <row r="1485" spans="1:17" x14ac:dyDescent="0.25">
      <c r="A1485" s="5" t="str">
        <f>IF(TRIM(I1485)="","",E1485)</f>
        <v/>
      </c>
      <c r="B1485" s="5" t="str">
        <f>IF(TRIM(J1485)="","",H1485)</f>
        <v/>
      </c>
      <c r="C1485" s="5" t="str">
        <f>LEFT(F1485,FIND(".",F1485,6))</f>
        <v>Exif.Photo.</v>
      </c>
      <c r="D1485" s="5" t="str">
        <f>VLOOKUP(C1485,PrefixUebersetzung,2,FALSE)</f>
        <v>Exif.Photo.</v>
      </c>
      <c r="E1485" s="5" t="str">
        <f>MID(F1485,FIND(".",F1485,6)+1,99)</f>
        <v>FNumber</v>
      </c>
      <c r="F1485" s="5" t="s">
        <v>1280</v>
      </c>
      <c r="G1485" s="5" t="s">
        <v>9671</v>
      </c>
      <c r="H1485" s="6" t="s">
        <v>2380</v>
      </c>
      <c r="I1485" s="7"/>
      <c r="K1485" s="26"/>
      <c r="L1485" s="6" t="str">
        <f>IFERROR(VLOOKUP(E1485,A:I,9, FALSE),"")</f>
        <v>Blendenzahl</v>
      </c>
      <c r="M1485" s="6" t="str">
        <f>IFERROR(VLOOKUP(H1485,B:J,9,FALSE),"")</f>
        <v>Blendenzahl</v>
      </c>
      <c r="N1485" s="6"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ht="45" x14ac:dyDescent="0.25">
      <c r="A1486" s="5" t="str">
        <f>IF(TRIM(I1486)="","",E1486)</f>
        <v/>
      </c>
      <c r="B1486" s="5" t="str">
        <f>IF(TRIM(J1486)="","",H1486)</f>
        <v>The actual focal length of the lens, in mm. Conversion is not made to the focal length of a 35 mm film camera.</v>
      </c>
      <c r="C1486" s="5" t="str">
        <f>LEFT(F1486,FIND(".",F1486,6))</f>
        <v>Exif.Photo.</v>
      </c>
      <c r="D1486" s="5" t="str">
        <f>VLOOKUP(C1486,PrefixUebersetzung,2,FALSE)</f>
        <v>Exif.Photo.</v>
      </c>
      <c r="E1486" s="5" t="str">
        <f>MID(F1486,FIND(".",F1486,6)+1,99)</f>
        <v>FocalLength</v>
      </c>
      <c r="F1486" s="5" t="s">
        <v>1281</v>
      </c>
      <c r="G1486" s="5" t="s">
        <v>9671</v>
      </c>
      <c r="H1486" s="6" t="s">
        <v>3057</v>
      </c>
      <c r="I1486" s="7"/>
      <c r="J1486" s="14" t="s">
        <v>6656</v>
      </c>
      <c r="K1486" s="26"/>
      <c r="L1486" s="6" t="str">
        <f>IFERROR(VLOOKUP(E1486,A:I,9, FALSE),"")</f>
        <v>Brennweite</v>
      </c>
      <c r="N1486" s="6"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P1486" s="6" t="s">
        <v>8574</v>
      </c>
    </row>
    <row r="1487" spans="1:17" ht="75" x14ac:dyDescent="0.25">
      <c r="A1487" s="5" t="str">
        <f>IF(TRIM(I1487)="","",E1487)</f>
        <v>FocalLengthIn35mmFilm</v>
      </c>
      <c r="B1487" s="5" t="str">
        <f>IF(TRIM(J1487)="","",H1487)</f>
        <v>This tag indicates the equivalent focal length assuming a 35mm film camera, in mm. A value of 0 means the focal length is unknown. Note that this tag differs from the &lt;FocalLength&gt; tag.</v>
      </c>
      <c r="C1487" s="5" t="str">
        <f>LEFT(F1487,FIND(".",F1487,6))</f>
        <v>Exif.Photo.</v>
      </c>
      <c r="D1487" s="5" t="str">
        <f>VLOOKUP(C1487,PrefixUebersetzung,2,FALSE)</f>
        <v>Exif.Photo.</v>
      </c>
      <c r="E1487" s="5" t="str">
        <f>MID(F1487,FIND(".",F1487,6)+1,99)</f>
        <v>FocalLengthIn35mmFilm</v>
      </c>
      <c r="F1487" s="5" t="s">
        <v>1282</v>
      </c>
      <c r="G1487" s="5" t="s">
        <v>9664</v>
      </c>
      <c r="H1487" s="6" t="s">
        <v>3058</v>
      </c>
      <c r="I1487" s="7" t="s">
        <v>4420</v>
      </c>
      <c r="J1487" s="14" t="s">
        <v>6657</v>
      </c>
      <c r="K1487" s="26"/>
      <c r="L1487" s="6" t="str">
        <f>IFERROR(VLOOKUP(E1487,A:I,9, FALSE),"")</f>
        <v>Brennweite 35mm äquiv</v>
      </c>
      <c r="N1487" s="6"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c r="O1487" s="6" t="s">
        <v>8574</v>
      </c>
      <c r="P1487" s="6" t="s">
        <v>8574</v>
      </c>
    </row>
    <row r="1488" spans="1:17" ht="60" x14ac:dyDescent="0.25">
      <c r="A1488" s="5" t="str">
        <f>IF(TRIM(I1488)="","",E1488)</f>
        <v/>
      </c>
      <c r="B1488" s="5" t="str">
        <f>IF(TRIM(J1488)="","",H1488)</f>
        <v>Indicates the unit for measuring &lt;FocalPlaneXResolution&gt; and &lt;FocalPlaneYResolution&gt;. This value is the same as the &lt;ResolutionUnit&gt;.</v>
      </c>
      <c r="C1488" s="5" t="str">
        <f>LEFT(F1488,FIND(".",F1488,6))</f>
        <v>Exif.Photo.</v>
      </c>
      <c r="D1488" s="5" t="str">
        <f>VLOOKUP(C1488,PrefixUebersetzung,2,FALSE)</f>
        <v>Exif.Photo.</v>
      </c>
      <c r="E1488" s="5" t="str">
        <f>MID(F1488,FIND(".",F1488,6)+1,99)</f>
        <v>FocalPlaneResolutionUnit</v>
      </c>
      <c r="F1488" s="5" t="s">
        <v>1283</v>
      </c>
      <c r="G1488" s="5" t="s">
        <v>9664</v>
      </c>
      <c r="H1488" s="6" t="s">
        <v>3059</v>
      </c>
      <c r="I1488" s="7"/>
      <c r="J1488" s="14" t="s">
        <v>5318</v>
      </c>
      <c r="K1488" s="26"/>
      <c r="L1488" s="6" t="str">
        <f>IFERROR(VLOOKUP(E1488,A:I,9, FALSE),"")</f>
        <v>Auflösung Brennebene Einheit</v>
      </c>
      <c r="N1488" s="6"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P1488" s="6" t="s">
        <v>8574</v>
      </c>
    </row>
    <row r="1489" spans="1:16" ht="45" x14ac:dyDescent="0.25">
      <c r="A1489" s="5" t="str">
        <f>IF(TRIM(I1489)="","",E1489)</f>
        <v/>
      </c>
      <c r="B1489" s="5" t="str">
        <f>IF(TRIM(J1489)="","",H1489)</f>
        <v>Indicates the number of pixels in the image width (X) direction per &lt;FocalPlaneResolutionUnit&gt; on the camera focal plane.</v>
      </c>
      <c r="C1489" s="5" t="str">
        <f>LEFT(F1489,FIND(".",F1489,6))</f>
        <v>Exif.Photo.</v>
      </c>
      <c r="D1489" s="5" t="str">
        <f>VLOOKUP(C1489,PrefixUebersetzung,2,FALSE)</f>
        <v>Exif.Photo.</v>
      </c>
      <c r="E1489" s="5" t="str">
        <f>MID(F1489,FIND(".",F1489,6)+1,99)</f>
        <v>FocalPlaneXResolution</v>
      </c>
      <c r="F1489" s="5" t="s">
        <v>1284</v>
      </c>
      <c r="G1489" s="5" t="s">
        <v>9671</v>
      </c>
      <c r="H1489" s="6" t="s">
        <v>3060</v>
      </c>
      <c r="I1489" s="7"/>
      <c r="J1489" s="14" t="s">
        <v>5319</v>
      </c>
      <c r="K1489" s="26"/>
      <c r="L1489" s="6" t="str">
        <f>IFERROR(VLOOKUP(E1489,A:I,9, FALSE),"")</f>
        <v>Auflösung Brennebene X</v>
      </c>
      <c r="N1489" s="6"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P1489" s="6" t="s">
        <v>8574</v>
      </c>
    </row>
    <row r="1490" spans="1:16" ht="45" x14ac:dyDescent="0.25">
      <c r="A1490" s="5" t="str">
        <f>IF(TRIM(I1490)="","",E1490)</f>
        <v/>
      </c>
      <c r="B1490" s="5" t="str">
        <f>IF(TRIM(J1490)="","",H1490)</f>
        <v>Indicates the number of pixels in the image height (V) direction per &lt;FocalPlaneResolutionUnit&gt; on the camera focal plane.</v>
      </c>
      <c r="C1490" s="5" t="str">
        <f>LEFT(F1490,FIND(".",F1490,6))</f>
        <v>Exif.Photo.</v>
      </c>
      <c r="D1490" s="5" t="str">
        <f>VLOOKUP(C1490,PrefixUebersetzung,2,FALSE)</f>
        <v>Exif.Photo.</v>
      </c>
      <c r="E1490" s="5" t="str">
        <f>MID(F1490,FIND(".",F1490,6)+1,99)</f>
        <v>FocalPlaneYResolution</v>
      </c>
      <c r="F1490" s="5" t="s">
        <v>1285</v>
      </c>
      <c r="G1490" s="5" t="s">
        <v>9671</v>
      </c>
      <c r="H1490" s="6" t="s">
        <v>3061</v>
      </c>
      <c r="I1490" s="7"/>
      <c r="J1490" s="14" t="s">
        <v>5320</v>
      </c>
      <c r="K1490" s="26"/>
      <c r="L1490" s="6" t="str">
        <f>IFERROR(VLOOKUP(E1490,A:I,9, FALSE),"")</f>
        <v>Auflösung Brennebene Y</v>
      </c>
      <c r="N1490" s="6"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P1490" s="6" t="s">
        <v>8574</v>
      </c>
    </row>
    <row r="1491" spans="1:16" ht="30" x14ac:dyDescent="0.25">
      <c r="A1491" s="5" t="str">
        <f>IF(TRIM(I1491)="","",E1491)</f>
        <v/>
      </c>
      <c r="B1491" s="5" t="str">
        <f>IF(TRIM(J1491)="","",H1491)</f>
        <v/>
      </c>
      <c r="C1491" s="5" t="str">
        <f>LEFT(F1491,FIND(".",F1491,6))</f>
        <v>Exif.Photo.</v>
      </c>
      <c r="D1491" s="5" t="str">
        <f>VLOOKUP(C1491,PrefixUebersetzung,2,FALSE)</f>
        <v>Exif.Photo.</v>
      </c>
      <c r="E1491" s="5" t="str">
        <f>MID(F1491,FIND(".",F1491,6)+1,99)</f>
        <v>GainControl</v>
      </c>
      <c r="F1491" s="5" t="s">
        <v>1286</v>
      </c>
      <c r="G1491" s="5" t="s">
        <v>9664</v>
      </c>
      <c r="H1491" s="6" t="s">
        <v>3062</v>
      </c>
      <c r="I1491" s="7"/>
      <c r="K1491" s="26"/>
      <c r="L1491" s="6" t="str">
        <f>IFERROR(VLOOKUP(E1491,A:I,9, FALSE),"")</f>
        <v/>
      </c>
      <c r="N1491" s="6"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xml:space="preserve">Suffix not translated Description not translated </v>
      </c>
      <c r="O1491" s="6" t="s">
        <v>8574</v>
      </c>
      <c r="P1491" s="6" t="s">
        <v>8574</v>
      </c>
    </row>
    <row r="1492" spans="1:16" ht="60" x14ac:dyDescent="0.25">
      <c r="A1492" s="5" t="str">
        <f>IF(TRIM(I1492)="","",E1492)</f>
        <v>ImageUniqueID</v>
      </c>
      <c r="B1492" s="5" t="str">
        <f>IF(TRIM(J1492)="","",H1492)</f>
        <v>This tag indicates an identifier assigned uniquely to each image. It is recorded as an ASCII string equivalent to hexadecimal notation and 128-bit fixed length.</v>
      </c>
      <c r="C1492" s="5" t="str">
        <f>LEFT(F1492,FIND(".",F1492,6))</f>
        <v>Exif.Photo.</v>
      </c>
      <c r="D1492" s="5" t="str">
        <f>VLOOKUP(C1492,PrefixUebersetzung,2,FALSE)</f>
        <v>Exif.Photo.</v>
      </c>
      <c r="E1492" s="5" t="str">
        <f>MID(F1492,FIND(".",F1492,6)+1,99)</f>
        <v>ImageUniqueID</v>
      </c>
      <c r="F1492" s="5" t="s">
        <v>1287</v>
      </c>
      <c r="G1492" s="5" t="s">
        <v>9666</v>
      </c>
      <c r="H1492" s="6" t="s">
        <v>3063</v>
      </c>
      <c r="I1492" s="7" t="s">
        <v>4940</v>
      </c>
      <c r="J1492" s="14" t="s">
        <v>5483</v>
      </c>
      <c r="K1492" s="26"/>
      <c r="L1492" s="6" t="str">
        <f>IFERROR(VLOOKUP(E1492,A:I,9, FALSE),"")</f>
        <v>Bildnummer eindeutig</v>
      </c>
      <c r="N1492" s="6"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6" t="s">
        <v>8574</v>
      </c>
      <c r="P1492" s="6" t="s">
        <v>8574</v>
      </c>
    </row>
    <row r="1493" spans="1:16" ht="105" x14ac:dyDescent="0.25">
      <c r="A1493" s="5" t="str">
        <f>IF(TRIM(I1493)="","",E1493)</f>
        <v/>
      </c>
      <c r="B1493" s="5" t="str">
        <f>IF(TRIM(J1493)="","",H1493)</f>
        <v/>
      </c>
      <c r="C1493" s="5" t="str">
        <f>LEFT(F1493,FIND(".",F1493,6))</f>
        <v>Exif.Photo.</v>
      </c>
      <c r="D1493" s="5" t="str">
        <f>VLOOKUP(C1493,PrefixUebersetzung,2,FALSE)</f>
        <v>Exif.Photo.</v>
      </c>
      <c r="E1493" s="5" t="str">
        <f>MID(F1493,FIND(".",F1493,6)+1,99)</f>
        <v>InteroperabilityTag</v>
      </c>
      <c r="F1493" s="5" t="s">
        <v>1288</v>
      </c>
      <c r="G1493" s="5" t="s">
        <v>9667</v>
      </c>
      <c r="H1493" s="6" t="s">
        <v>3064</v>
      </c>
      <c r="I1493" s="7"/>
      <c r="K1493" s="26"/>
      <c r="N1493" s="6"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6" t="s">
        <v>8574</v>
      </c>
      <c r="P1493" s="6" t="s">
        <v>8574</v>
      </c>
    </row>
    <row r="1494" spans="1:16" ht="75" x14ac:dyDescent="0.25">
      <c r="A1494" s="5" t="str">
        <f>IF(TRIM(I1494)="","",E1494)</f>
        <v/>
      </c>
      <c r="B1494" s="5" t="str">
        <f>IF(TRIM(J1494)="","",H1494)</f>
        <v>This tag indicates the ISO speed value of a camera or input device that is defined in ISO 12232. When recording this tag, the PhotographicSensitivity and SensitivityType tags shall also be recorded.</v>
      </c>
      <c r="C1494" s="5" t="str">
        <f>LEFT(F1494,FIND(".",F1494,6))</f>
        <v>Exif.Photo.</v>
      </c>
      <c r="D1494" s="5" t="str">
        <f>VLOOKUP(C1494,PrefixUebersetzung,2,FALSE)</f>
        <v>Exif.Photo.</v>
      </c>
      <c r="E1494" s="5" t="str">
        <f>MID(F1494,FIND(".",F1494,6)+1,99)</f>
        <v>ISOSpeed</v>
      </c>
      <c r="F1494" s="5" t="s">
        <v>1289</v>
      </c>
      <c r="G1494" s="5" t="s">
        <v>9667</v>
      </c>
      <c r="H1494" s="6" t="s">
        <v>3065</v>
      </c>
      <c r="I1494" s="7"/>
      <c r="J1494" s="14" t="s">
        <v>5321</v>
      </c>
      <c r="K1494" s="26"/>
      <c r="L1494" s="6" t="str">
        <f>IFERROR(VLOOKUP(E1494,A:I,9, FALSE),"")</f>
        <v>ISO-Empfindlichkeit</v>
      </c>
      <c r="N1494" s="6"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P1494" s="6" t="s">
        <v>8574</v>
      </c>
    </row>
    <row r="1495" spans="1:16" ht="75" x14ac:dyDescent="0.25">
      <c r="A1495" s="5" t="str">
        <f>IF(TRIM(I1495)="","",E1495)</f>
        <v/>
      </c>
      <c r="B1495" s="5" t="str">
        <f>IF(TRIM(J1495)="","",H1495)</f>
        <v>This tag indicates the ISO speed latitude yyy value of a camera or input device that is defined in ISO 12232. However, this tag shall not be recorded without ISOSpeed and ISOSpeedLatitudezzz.</v>
      </c>
      <c r="C1495" s="5" t="str">
        <f>LEFT(F1495,FIND(".",F1495,6))</f>
        <v>Exif.Photo.</v>
      </c>
      <c r="D1495" s="5" t="str">
        <f>VLOOKUP(C1495,PrefixUebersetzung,2,FALSE)</f>
        <v>Exif.Photo.</v>
      </c>
      <c r="E1495" s="5" t="str">
        <f>MID(F1495,FIND(".",F1495,6)+1,99)</f>
        <v>ISOSpeedLatitudeyyy</v>
      </c>
      <c r="F1495" s="5" t="s">
        <v>1290</v>
      </c>
      <c r="G1495" s="5" t="s">
        <v>9667</v>
      </c>
      <c r="H1495" s="6" t="s">
        <v>3066</v>
      </c>
      <c r="I1495" s="7"/>
      <c r="J1495" s="14" t="s">
        <v>8811</v>
      </c>
      <c r="K1495" s="26"/>
      <c r="L1495" s="6" t="str">
        <f>IFERROR(VLOOKUP(E1495,A:I,9, FALSE),"")</f>
        <v/>
      </c>
      <c r="N1495" s="6"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xml:space="preserve">Suffix not translated </v>
      </c>
      <c r="O1495" s="6" t="s">
        <v>8574</v>
      </c>
      <c r="P1495" s="6" t="s">
        <v>8574</v>
      </c>
    </row>
    <row r="1496" spans="1:16" ht="75" x14ac:dyDescent="0.25">
      <c r="A1496" s="5" t="str">
        <f>IF(TRIM(I1496)="","",E1496)</f>
        <v/>
      </c>
      <c r="B1496" s="5" t="str">
        <f>IF(TRIM(J1496)="","",H1496)</f>
        <v>This tag indicates the ISO speed latitude zzz value of a camera or input device that is defined in ISO 12232. However, this tag shall not be recorded without ISOSpeed and ISOSpeedLatitudeyyy.</v>
      </c>
      <c r="C1496" s="5" t="str">
        <f>LEFT(F1496,FIND(".",F1496,6))</f>
        <v>Exif.Photo.</v>
      </c>
      <c r="D1496" s="5" t="str">
        <f>VLOOKUP(C1496,PrefixUebersetzung,2,FALSE)</f>
        <v>Exif.Photo.</v>
      </c>
      <c r="E1496" s="5" t="str">
        <f>MID(F1496,FIND(".",F1496,6)+1,99)</f>
        <v>ISOSpeedLatitudezzz</v>
      </c>
      <c r="F1496" s="5" t="s">
        <v>1291</v>
      </c>
      <c r="G1496" s="5" t="s">
        <v>9667</v>
      </c>
      <c r="H1496" s="6" t="s">
        <v>3067</v>
      </c>
      <c r="I1496" s="7"/>
      <c r="J1496" s="14" t="s">
        <v>8812</v>
      </c>
      <c r="K1496" s="26"/>
      <c r="L1496" s="6" t="str">
        <f>IFERROR(VLOOKUP(E1496,A:I,9, FALSE),"")</f>
        <v/>
      </c>
      <c r="N1496" s="6"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xml:space="preserve">Suffix not translated </v>
      </c>
      <c r="O1496" s="6" t="s">
        <v>8574</v>
      </c>
      <c r="P1496" s="6" t="s">
        <v>8574</v>
      </c>
    </row>
    <row r="1497" spans="1:16" ht="45" x14ac:dyDescent="0.25">
      <c r="A1497" s="5" t="str">
        <f>IF(TRIM(I1497)="","",E1497)</f>
        <v/>
      </c>
      <c r="B1497" s="5" t="str">
        <f>IF(TRIM(J1497)="","",H1497)</f>
        <v/>
      </c>
      <c r="C1497" s="5" t="str">
        <f>LEFT(F1497,FIND(".",F1497,6))</f>
        <v>Exif.Photo.</v>
      </c>
      <c r="D1497" s="5" t="str">
        <f>VLOOKUP(C1497,PrefixUebersetzung,2,FALSE)</f>
        <v>Exif.Photo.</v>
      </c>
      <c r="E1497" s="5" t="str">
        <f>MID(F1497,FIND(".",F1497,6)+1,99)</f>
        <v>ISOSpeedRatings</v>
      </c>
      <c r="F1497" s="5" t="s">
        <v>1292</v>
      </c>
      <c r="G1497" s="5" t="s">
        <v>9664</v>
      </c>
      <c r="H1497" s="9" t="s">
        <v>2404</v>
      </c>
      <c r="I1497" s="7"/>
      <c r="K1497" s="26"/>
      <c r="L1497" s="6" t="str">
        <f>IFERROR(VLOOKUP(E1497,A:I,9, FALSE),"")</f>
        <v>ISO-Empfindlichkeit/Bewertung</v>
      </c>
      <c r="M1497" s="6" t="str">
        <f>IFERROR(VLOOKUP(H1497,B:J,9,FALSE),"")</f>
        <v>ISO-Empfindlichkeit/Bewertung der Kamera oder des Eingabegerätes, wie in ISO 12232 spezifiziert.</v>
      </c>
      <c r="N1497" s="6"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row>
    <row r="1498" spans="1:16" x14ac:dyDescent="0.25">
      <c r="A1498" s="5" t="str">
        <f>IF(TRIM(I1498)="","",E1498)</f>
        <v>LensMake</v>
      </c>
      <c r="B1498" s="5" t="str">
        <f>IF(TRIM(J1498)="","",H1498)</f>
        <v>This tag records the lens manufactor as an ASCII string.</v>
      </c>
      <c r="C1498" s="5" t="str">
        <f>LEFT(F1498,FIND(".",F1498,6))</f>
        <v>Exif.Photo.</v>
      </c>
      <c r="D1498" s="5" t="str">
        <f>VLOOKUP(C1498,PrefixUebersetzung,2,FALSE)</f>
        <v>Exif.Photo.</v>
      </c>
      <c r="E1498" s="5" t="str">
        <f>MID(F1498,FIND(".",F1498,6)+1,99)</f>
        <v>LensMake</v>
      </c>
      <c r="F1498" s="5" t="s">
        <v>1293</v>
      </c>
      <c r="G1498" s="5" t="s">
        <v>9666</v>
      </c>
      <c r="H1498" s="6" t="s">
        <v>3068</v>
      </c>
      <c r="I1498" s="7" t="s">
        <v>5129</v>
      </c>
      <c r="J1498" s="14" t="s">
        <v>5484</v>
      </c>
      <c r="K1498" s="26"/>
      <c r="L1498" s="6" t="str">
        <f>IFERROR(VLOOKUP(E1498,A:I,9, FALSE),"")</f>
        <v>Objektiv Hersteller</v>
      </c>
      <c r="N1498" s="6"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c r="O1498" s="6" t="s">
        <v>8574</v>
      </c>
      <c r="P1498" s="6" t="s">
        <v>8574</v>
      </c>
    </row>
    <row r="1499" spans="1:16" ht="30" x14ac:dyDescent="0.25">
      <c r="A1499" s="5" t="str">
        <f>IF(TRIM(I1499)="","",E1499)</f>
        <v/>
      </c>
      <c r="B1499" s="5" t="str">
        <f>IF(TRIM(J1499)="","",H1499)</f>
        <v>This tag records the lens's model name and model number as an ASCII string.</v>
      </c>
      <c r="C1499" s="5" t="str">
        <f>LEFT(F1499,FIND(".",F1499,6))</f>
        <v>Exif.Photo.</v>
      </c>
      <c r="D1499" s="5" t="str">
        <f>VLOOKUP(C1499,PrefixUebersetzung,2,FALSE)</f>
        <v>Exif.Photo.</v>
      </c>
      <c r="E1499" s="5" t="str">
        <f>MID(F1499,FIND(".",F1499,6)+1,99)</f>
        <v>LensModel</v>
      </c>
      <c r="F1499" s="5" t="s">
        <v>1294</v>
      </c>
      <c r="G1499" s="5" t="s">
        <v>9666</v>
      </c>
      <c r="H1499" s="6" t="s">
        <v>3069</v>
      </c>
      <c r="I1499" s="5"/>
      <c r="J1499" s="14" t="s">
        <v>5322</v>
      </c>
      <c r="K1499" s="26"/>
      <c r="L1499" s="6" t="str">
        <f>IFERROR(VLOOKUP(E1499,A:I,9, FALSE),"")</f>
        <v>Objektiv Modell</v>
      </c>
      <c r="N1499" s="6"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P1499" s="6" t="s">
        <v>8574</v>
      </c>
    </row>
    <row r="1500" spans="1:16" ht="45" x14ac:dyDescent="0.25">
      <c r="A1500" s="5" t="str">
        <f>IF(TRIM(I1500)="","",E1500)</f>
        <v/>
      </c>
      <c r="B1500" s="5" t="str">
        <f>IF(TRIM(J1500)="","",H1500)</f>
        <v>This tag records the serial number of the interchangeable lens that was used in photography as an ASCII string.</v>
      </c>
      <c r="C1500" s="5" t="str">
        <f>LEFT(F1500,FIND(".",F1500,6))</f>
        <v>Exif.Photo.</v>
      </c>
      <c r="D1500" s="5" t="str">
        <f>VLOOKUP(C1500,PrefixUebersetzung,2,FALSE)</f>
        <v>Exif.Photo.</v>
      </c>
      <c r="E1500" s="5" t="str">
        <f>MID(F1500,FIND(".",F1500,6)+1,99)</f>
        <v>LensSerialNumber</v>
      </c>
      <c r="F1500" s="5" t="s">
        <v>1295</v>
      </c>
      <c r="G1500" s="5" t="s">
        <v>9666</v>
      </c>
      <c r="H1500" s="6" t="s">
        <v>3070</v>
      </c>
      <c r="I1500" s="7"/>
      <c r="J1500" s="14" t="s">
        <v>5323</v>
      </c>
      <c r="K1500" s="26"/>
      <c r="L1500" s="6" t="str">
        <f>IFERROR(VLOOKUP(E1500,A:I,9, FALSE),"")</f>
        <v>Objektiv Seriennummer</v>
      </c>
      <c r="N1500" s="6"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c r="P1500" s="6" t="s">
        <v>8574</v>
      </c>
    </row>
    <row r="1501" spans="1:16" ht="105" x14ac:dyDescent="0.25">
      <c r="A1501" s="5" t="str">
        <f>IF(TRIM(I1501)="","",E1501)</f>
        <v>LensSpecification</v>
      </c>
      <c r="B1501" s="5" t="str">
        <f>IF(TRIM(J1501)="","",H1501)</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1501" s="5" t="str">
        <f>LEFT(F1501,FIND(".",F1501,6))</f>
        <v>Exif.Photo.</v>
      </c>
      <c r="D1501" s="5" t="str">
        <f>VLOOKUP(C1501,PrefixUebersetzung,2,FALSE)</f>
        <v>Exif.Photo.</v>
      </c>
      <c r="E1501" s="5" t="str">
        <f>MID(F1501,FIND(".",F1501,6)+1,99)</f>
        <v>LensSpecification</v>
      </c>
      <c r="F1501" s="5" t="s">
        <v>1296</v>
      </c>
      <c r="G1501" s="5" t="s">
        <v>9671</v>
      </c>
      <c r="H1501" s="6" t="s">
        <v>3071</v>
      </c>
      <c r="I1501" s="7" t="s">
        <v>5132</v>
      </c>
      <c r="J1501" s="14" t="s">
        <v>6658</v>
      </c>
      <c r="K1501" s="26"/>
      <c r="L1501" s="6" t="str">
        <f>IFERROR(VLOOKUP(E1501,A:I,9, FALSE),"")</f>
        <v>Objektiv Spezifikation</v>
      </c>
      <c r="N1501" s="6"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c r="O1501" s="6" t="s">
        <v>8574</v>
      </c>
      <c r="P1501" s="6" t="s">
        <v>8574</v>
      </c>
    </row>
    <row r="1502" spans="1:16" x14ac:dyDescent="0.25">
      <c r="A1502" s="5" t="str">
        <f>IF(TRIM(I1502)="","",E1502)</f>
        <v/>
      </c>
      <c r="B1502" s="5" t="str">
        <f>IF(TRIM(J1502)="","",H1502)</f>
        <v/>
      </c>
      <c r="C1502" s="5" t="str">
        <f>LEFT(F1502,FIND(".",F1502,6))</f>
        <v>Exif.Photo.</v>
      </c>
      <c r="D1502" s="5" t="str">
        <f>VLOOKUP(C1502,PrefixUebersetzung,2,FALSE)</f>
        <v>Exif.Photo.</v>
      </c>
      <c r="E1502" s="5" t="str">
        <f>MID(F1502,FIND(".",F1502,6)+1,99)</f>
        <v>LightSource</v>
      </c>
      <c r="F1502" s="5" t="s">
        <v>1297</v>
      </c>
      <c r="G1502" s="5" t="s">
        <v>9664</v>
      </c>
      <c r="H1502" s="6" t="s">
        <v>2415</v>
      </c>
      <c r="I1502" s="7"/>
      <c r="K1502" s="26"/>
      <c r="L1502" s="6" t="str">
        <f>IFERROR(VLOOKUP(E1502,A:I,9, FALSE),"")</f>
        <v>Lichtquelle</v>
      </c>
      <c r="M1502" s="6" t="str">
        <f>IFERROR(VLOOKUP(H1502,B:J,9,FALSE),"")</f>
        <v>Die Art der Lichtquelle.</v>
      </c>
      <c r="N1502" s="6"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row>
    <row r="1503" spans="1:16" ht="45" x14ac:dyDescent="0.25">
      <c r="A1503" s="5" t="str">
        <f>IF(TRIM(I1503)="","",E1503)</f>
        <v>MakerNote</v>
      </c>
      <c r="B1503" s="5" t="str">
        <f>IF(TRIM(J1503)="","",H1503)</f>
        <v>A tag for manufacturers of Exif writers to record any desired information. The contents are up to the manufacturer.</v>
      </c>
      <c r="C1503" s="5" t="str">
        <f>LEFT(F1503,FIND(".",F1503,6))</f>
        <v>Exif.Photo.</v>
      </c>
      <c r="D1503" s="5" t="str">
        <f>VLOOKUP(C1503,PrefixUebersetzung,2,FALSE)</f>
        <v>Exif.Photo.</v>
      </c>
      <c r="E1503" s="5" t="str">
        <f>MID(F1503,FIND(".",F1503,6)+1,99)</f>
        <v>MakerNote</v>
      </c>
      <c r="F1503" s="5" t="s">
        <v>1298</v>
      </c>
      <c r="G1503" s="5" t="s">
        <v>9669</v>
      </c>
      <c r="H1503" s="6" t="s">
        <v>3072</v>
      </c>
      <c r="I1503" s="7" t="s">
        <v>4659</v>
      </c>
      <c r="J1503" s="14" t="s">
        <v>5485</v>
      </c>
      <c r="K1503" s="26"/>
      <c r="N1503" s="6"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c>
      <c r="O1503" s="6" t="s">
        <v>8574</v>
      </c>
      <c r="P1503" s="6" t="s">
        <v>8574</v>
      </c>
    </row>
    <row r="1504" spans="1:16" ht="75" x14ac:dyDescent="0.25">
      <c r="A1504" s="5" t="str">
        <f>IF(TRIM(I1504)="","",E1504)</f>
        <v/>
      </c>
      <c r="B1504" s="5" t="str">
        <f>IF(TRIM(J1504)="","",H1504)</f>
        <v>The smallest F number of the lens. The unit is the APEX value. Ordinarily it is given in the range of 00.00 to 99.99, but it is not limited to this range.</v>
      </c>
      <c r="C1504" s="5" t="str">
        <f>LEFT(F1504,FIND(".",F1504,6))</f>
        <v>Exif.Photo.</v>
      </c>
      <c r="D1504" s="5" t="str">
        <f>VLOOKUP(C1504,PrefixUebersetzung,2,FALSE)</f>
        <v>Exif.Photo.</v>
      </c>
      <c r="E1504" s="5" t="str">
        <f>MID(F1504,FIND(".",F1504,6)+1,99)</f>
        <v>MaxApertureValue</v>
      </c>
      <c r="F1504" s="5" t="s">
        <v>1299</v>
      </c>
      <c r="G1504" s="5" t="s">
        <v>9671</v>
      </c>
      <c r="H1504" s="6" t="s">
        <v>3073</v>
      </c>
      <c r="I1504" s="7"/>
      <c r="J1504" s="14" t="s">
        <v>5324</v>
      </c>
      <c r="K1504" s="26"/>
      <c r="L1504" s="6" t="str">
        <f>IFERROR(VLOOKUP(E1504,A:I,9, FALSE),"")</f>
        <v>Blende größte</v>
      </c>
      <c r="N1504" s="6"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P1504" s="6" t="s">
        <v>8574</v>
      </c>
    </row>
    <row r="1505" spans="1:17" x14ac:dyDescent="0.25">
      <c r="A1505" s="5" t="str">
        <f>IF(TRIM(I1505)="","",E1505)</f>
        <v/>
      </c>
      <c r="B1505" s="5" t="str">
        <f>IF(TRIM(J1505)="","",H1505)</f>
        <v/>
      </c>
      <c r="C1505" s="5" t="str">
        <f>LEFT(F1505,FIND(".",F1505,6))</f>
        <v>Exif.Photo.</v>
      </c>
      <c r="D1505" s="5" t="str">
        <f>VLOOKUP(C1505,PrefixUebersetzung,2,FALSE)</f>
        <v>Exif.Photo.</v>
      </c>
      <c r="E1505" s="5" t="str">
        <f>MID(F1505,FIND(".",F1505,6)+1,99)</f>
        <v>MeteringMode</v>
      </c>
      <c r="F1505" s="5" t="s">
        <v>1300</v>
      </c>
      <c r="G1505" s="5" t="s">
        <v>9664</v>
      </c>
      <c r="H1505" s="6" t="s">
        <v>2423</v>
      </c>
      <c r="I1505" s="7"/>
      <c r="K1505" s="26"/>
      <c r="L1505" s="6" t="str">
        <f>IFERROR(VLOOKUP(E1505,A:I,9, FALSE),"")</f>
        <v>Messmethode</v>
      </c>
      <c r="M1505" s="6" t="str">
        <f>IFERROR(VLOOKUP(H1505,B:J,9,FALSE),"")</f>
        <v>Messmethode</v>
      </c>
      <c r="N1505" s="6"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row>
    <row r="1506" spans="1:17" ht="60" x14ac:dyDescent="0.25">
      <c r="A1506" s="5" t="str">
        <f>IF(TRIM(I1506)="","",E1506)</f>
        <v/>
      </c>
      <c r="B1506" s="5" t="str">
        <f>IF(TRIM(J1506)="","",H1506)</f>
        <v>Indicates the Opto-Electoric Conversion Function (OECF) specified in ISO 14524. &lt;OECF&gt; is the relationship between the camera optical input and the image values.</v>
      </c>
      <c r="C1506" s="5" t="str">
        <f>LEFT(F1506,FIND(".",F1506,6))</f>
        <v>Exif.Photo.</v>
      </c>
      <c r="D1506" s="5" t="str">
        <f>VLOOKUP(C1506,PrefixUebersetzung,2,FALSE)</f>
        <v>Exif.Photo.</v>
      </c>
      <c r="E1506" s="5" t="str">
        <f>MID(F1506,FIND(".",F1506,6)+1,99)</f>
        <v>OECF</v>
      </c>
      <c r="F1506" s="5" t="s">
        <v>1301</v>
      </c>
      <c r="G1506" s="5" t="s">
        <v>9669</v>
      </c>
      <c r="H1506" s="6" t="s">
        <v>3074</v>
      </c>
      <c r="I1506" s="7"/>
      <c r="J1506" s="14" t="s">
        <v>5325</v>
      </c>
      <c r="K1506" s="26"/>
      <c r="L1506" s="6" t="str">
        <f>IFERROR(VLOOKUP(E1506,A:I,9, FALSE),"")</f>
        <v>OECF</v>
      </c>
      <c r="N1506" s="6"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P1506" s="6" t="s">
        <v>8574</v>
      </c>
    </row>
    <row r="1507" spans="1:17" ht="105" x14ac:dyDescent="0.25">
      <c r="A1507" s="5" t="str">
        <f>IF(TRIM(I1507)="","",E1507)</f>
        <v>PixelXDimension</v>
      </c>
      <c r="B1507" s="5" t="str">
        <f>IF(TRIM(J1507)="","",H1507)</f>
        <v>Information specific to compressed data. When a compressed file is recorded, the valid width of the meaningful image must be recorded in this tag, whether or not there is padding data or a restart marker. This tag should not exist in an uncompressed file.</v>
      </c>
      <c r="C1507" s="5" t="str">
        <f>LEFT(F1507,FIND(".",F1507,6))</f>
        <v>Exif.Photo.</v>
      </c>
      <c r="D1507" s="5" t="str">
        <f>VLOOKUP(C1507,PrefixUebersetzung,2,FALSE)</f>
        <v>Exif.Photo.</v>
      </c>
      <c r="E1507" s="5" t="str">
        <f>MID(F1507,FIND(".",F1507,6)+1,99)</f>
        <v>PixelXDimension</v>
      </c>
      <c r="F1507" s="5" t="s">
        <v>1302</v>
      </c>
      <c r="G1507" s="5" t="s">
        <v>9667</v>
      </c>
      <c r="H1507" s="6" t="s">
        <v>3075</v>
      </c>
      <c r="I1507" s="7" t="s">
        <v>4536</v>
      </c>
      <c r="J1507" s="14" t="s">
        <v>6659</v>
      </c>
      <c r="K1507" s="26"/>
      <c r="L1507" s="6" t="str">
        <f>IFERROR(VLOOKUP(E1507,A:I,9, FALSE),"")</f>
        <v>Bildbreite in Pixel</v>
      </c>
      <c r="N1507" s="6"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c r="O1507" s="6" t="s">
        <v>8574</v>
      </c>
      <c r="P1507" s="6" t="s">
        <v>8574</v>
      </c>
    </row>
    <row r="1508" spans="1:17" ht="150" x14ac:dyDescent="0.25">
      <c r="A1508" s="5" t="str">
        <f>IF(TRIM(I1508)="","",E1508)</f>
        <v>PixelYDimension</v>
      </c>
      <c r="B1508" s="5" t="str">
        <f>IF(TRIM(J1508)="","",H1508)</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1508" s="5" t="str">
        <f>LEFT(F1508,FIND(".",F1508,6))</f>
        <v>Exif.Photo.</v>
      </c>
      <c r="D1508" s="5" t="str">
        <f>VLOOKUP(C1508,PrefixUebersetzung,2,FALSE)</f>
        <v>Exif.Photo.</v>
      </c>
      <c r="E1508" s="5" t="str">
        <f>MID(F1508,FIND(".",F1508,6)+1,99)</f>
        <v>PixelYDimension</v>
      </c>
      <c r="F1508" s="5" t="s">
        <v>1303</v>
      </c>
      <c r="G1508" s="5" t="s">
        <v>9667</v>
      </c>
      <c r="H1508" s="6" t="s">
        <v>3076</v>
      </c>
      <c r="I1508" s="7" t="s">
        <v>4535</v>
      </c>
      <c r="J1508" s="14" t="s">
        <v>6660</v>
      </c>
      <c r="K1508" s="26"/>
      <c r="L1508" s="6" t="str">
        <f>IFERROR(VLOOKUP(E1508,A:I,9, FALSE),"")</f>
        <v>Bildhöhe in Pixel</v>
      </c>
      <c r="N1508" s="6"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6" t="s">
        <v>8574</v>
      </c>
      <c r="P1508" s="6" t="s">
        <v>8574</v>
      </c>
    </row>
    <row r="1509" spans="1:17" ht="75" x14ac:dyDescent="0.25">
      <c r="A1509" s="5" t="str">
        <f>IF(TRIM(I1509)="","",E1509)</f>
        <v>RecommendedExposureIndex</v>
      </c>
      <c r="B1509" s="5" t="str">
        <f>IF(TRIM(J1509)="","",H1509)</f>
        <v>This tag indicates the recommended exposure index value of a camera or input device defined in ISO 12232. When recording this tag, the PhotographicSensitivity and SensitivityType tags shall also be recorded.</v>
      </c>
      <c r="C1509" s="5" t="str">
        <f>LEFT(F1509,FIND(".",F1509,6))</f>
        <v>Exif.Photo.</v>
      </c>
      <c r="D1509" s="5" t="str">
        <f>VLOOKUP(C1509,PrefixUebersetzung,2,FALSE)</f>
        <v>Exif.Photo.</v>
      </c>
      <c r="E1509" s="5" t="str">
        <f>MID(F1509,FIND(".",F1509,6)+1,99)</f>
        <v>RecommendedExposureIndex</v>
      </c>
      <c r="F1509" s="5" t="s">
        <v>1304</v>
      </c>
      <c r="G1509" s="5" t="s">
        <v>9667</v>
      </c>
      <c r="H1509" s="6" t="s">
        <v>3077</v>
      </c>
      <c r="I1509" s="7" t="s">
        <v>5122</v>
      </c>
      <c r="J1509" s="14" t="s">
        <v>5486</v>
      </c>
      <c r="K1509" s="26"/>
      <c r="L1509" s="6" t="str">
        <f>IFERROR(VLOOKUP(E1509,A:I,9, FALSE),"")</f>
        <v>Belichtungsindex empfohlen</v>
      </c>
      <c r="N1509" s="6"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c r="O1509" s="6" t="s">
        <v>8574</v>
      </c>
      <c r="P1509" s="6" t="s">
        <v>8574</v>
      </c>
    </row>
    <row r="1510" spans="1:17" ht="90" x14ac:dyDescent="0.25">
      <c r="A1510" s="5" t="str">
        <f>IF(TRIM(I1510)="","",E1510)</f>
        <v>RelatedSoundFile</v>
      </c>
      <c r="B1510" s="5" t="str">
        <f>IF(TRIM(J1510)="","",H1510)</f>
        <v>This tag is used to record the name of an audio file related to the image data. The only relational information recorded here is the Exif audio file name and extension (an ASCII string consisting of 8 characters + '.' + 3 characters). The path is not recorded.</v>
      </c>
      <c r="C1510" s="5" t="str">
        <f>LEFT(F1510,FIND(".",F1510,6))</f>
        <v>Exif.Photo.</v>
      </c>
      <c r="D1510" s="5" t="str">
        <f>VLOOKUP(C1510,PrefixUebersetzung,2,FALSE)</f>
        <v>Exif.Photo.</v>
      </c>
      <c r="E1510" s="5" t="str">
        <f>MID(F1510,FIND(".",F1510,6)+1,99)</f>
        <v>RelatedSoundFile</v>
      </c>
      <c r="F1510" s="5" t="s">
        <v>1305</v>
      </c>
      <c r="G1510" s="5" t="s">
        <v>9666</v>
      </c>
      <c r="H1510" s="6" t="s">
        <v>3078</v>
      </c>
      <c r="I1510" s="7" t="s">
        <v>5069</v>
      </c>
      <c r="J1510" s="14" t="s">
        <v>6661</v>
      </c>
      <c r="K1510" s="26"/>
      <c r="L1510" s="6" t="str">
        <f>IFERROR(VLOOKUP(E1510,A:I,9, FALSE),"")</f>
        <v>Audio Datei</v>
      </c>
      <c r="N1510" s="6"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c r="O1510" s="6" t="s">
        <v>8574</v>
      </c>
      <c r="P1510" s="6" t="s">
        <v>8574</v>
      </c>
    </row>
    <row r="1511" spans="1:17" ht="45" x14ac:dyDescent="0.25">
      <c r="A1511" s="5" t="str">
        <f>IF(TRIM(I1511)="","",E1511)</f>
        <v/>
      </c>
      <c r="B1511" s="5" t="str">
        <f>IF(TRIM(J1511)="","",H1511)</f>
        <v>This tag indicates the direction of saturation processing applied by the camera when the image was shot.</v>
      </c>
      <c r="C1511" s="5" t="str">
        <f>LEFT(F1511,FIND(".",F1511,6))</f>
        <v>Exif.Photo.</v>
      </c>
      <c r="D1511" s="5" t="str">
        <f>VLOOKUP(C1511,PrefixUebersetzung,2,FALSE)</f>
        <v>Exif.Photo.</v>
      </c>
      <c r="E1511" s="5" t="str">
        <f>MID(F1511,FIND(".",F1511,6)+1,99)</f>
        <v>Saturation</v>
      </c>
      <c r="F1511" s="5" t="s">
        <v>1306</v>
      </c>
      <c r="G1511" s="5" t="s">
        <v>9664</v>
      </c>
      <c r="H1511" s="6" t="s">
        <v>3079</v>
      </c>
      <c r="I1511" s="7"/>
      <c r="J1511" s="14" t="s">
        <v>5326</v>
      </c>
      <c r="K1511" s="26"/>
      <c r="L1511" s="6" t="str">
        <f>IFERROR(VLOOKUP(E1511,A:I,9, FALSE),"")</f>
        <v>Sättigung</v>
      </c>
      <c r="N1511" s="6"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c r="P1511" s="6" t="s">
        <v>8574</v>
      </c>
    </row>
    <row r="1512" spans="1:17" ht="75" x14ac:dyDescent="0.25">
      <c r="A1512" s="5" t="str">
        <f>IF(TRIM(I1512)="","",E1512)</f>
        <v>SceneCaptureType</v>
      </c>
      <c r="B1512" s="5" t="str">
        <f>IF(TRIM(J1512)="","",H1512)</f>
        <v>This tag indicates the type of scene that was shot. It can also be used to record the mode in which the image was shot. Note that this differs from the &lt;SceneType&gt; tag.</v>
      </c>
      <c r="C1512" s="5" t="str">
        <f>LEFT(F1512,FIND(".",F1512,6))</f>
        <v>Exif.Photo.</v>
      </c>
      <c r="D1512" s="5" t="str">
        <f>VLOOKUP(C1512,PrefixUebersetzung,2,FALSE)</f>
        <v>Exif.Photo.</v>
      </c>
      <c r="E1512" s="5" t="str">
        <f>MID(F1512,FIND(".",F1512,6)+1,99)</f>
        <v>SceneCaptureType</v>
      </c>
      <c r="F1512" s="5" t="s">
        <v>1307</v>
      </c>
      <c r="G1512" s="5" t="s">
        <v>9664</v>
      </c>
      <c r="H1512" s="6" t="s">
        <v>3080</v>
      </c>
      <c r="I1512" s="7" t="s">
        <v>4421</v>
      </c>
      <c r="J1512" s="14" t="s">
        <v>5487</v>
      </c>
      <c r="K1512" s="26"/>
      <c r="L1512" s="6" t="str">
        <f>IFERROR(VLOOKUP(E1512,A:I,9, FALSE),"")</f>
        <v>Typ Aufnahmeszene</v>
      </c>
      <c r="N1512" s="6"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c r="O1512" s="6" t="s">
        <v>8574</v>
      </c>
      <c r="P1512" s="6" t="s">
        <v>8574</v>
      </c>
    </row>
    <row r="1513" spans="1:17" ht="60" x14ac:dyDescent="0.25">
      <c r="A1513" s="5" t="str">
        <f>IF(TRIM(I1513)="","",E1513)</f>
        <v>SceneType</v>
      </c>
      <c r="B1513" s="5" t="str">
        <f>IF(TRIM(J1513)="","",H1513)</f>
        <v>Indicates the type of scene. If a DSC recorded the image, this tag value must always be set to 1, indicating that the image was directly photographed.</v>
      </c>
      <c r="C1513" s="5" t="str">
        <f>LEFT(F1513,FIND(".",F1513,6))</f>
        <v>Exif.Photo.</v>
      </c>
      <c r="D1513" s="5" t="str">
        <f>VLOOKUP(C1513,PrefixUebersetzung,2,FALSE)</f>
        <v>Exif.Photo.</v>
      </c>
      <c r="E1513" s="5" t="str">
        <f>MID(F1513,FIND(".",F1513,6)+1,99)</f>
        <v>SceneType</v>
      </c>
      <c r="F1513" s="5" t="s">
        <v>1308</v>
      </c>
      <c r="G1513" s="5" t="s">
        <v>9669</v>
      </c>
      <c r="H1513" s="6" t="s">
        <v>3081</v>
      </c>
      <c r="I1513" s="7" t="s">
        <v>4422</v>
      </c>
      <c r="J1513" s="14" t="s">
        <v>5488</v>
      </c>
      <c r="K1513" s="26"/>
      <c r="L1513" s="6" t="str">
        <f>IFERROR(VLOOKUP(E1513,A:I,9, FALSE),"")</f>
        <v>Typ Szene</v>
      </c>
      <c r="N1513" s="6"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c r="O1513" s="6" t="s">
        <v>8574</v>
      </c>
      <c r="P1513" s="6" t="s">
        <v>8574</v>
      </c>
    </row>
    <row r="1514" spans="1:17" ht="30" x14ac:dyDescent="0.25">
      <c r="A1514" s="5" t="str">
        <f>IF(TRIM(I1514)="","",E1514)</f>
        <v/>
      </c>
      <c r="B1514" s="5" t="str">
        <f>IF(TRIM(J1514)="","",H1514)</f>
        <v>Indicates the image sensor type on the camera or input device.</v>
      </c>
      <c r="C1514" s="5" t="str">
        <f>LEFT(F1514,FIND(".",F1514,6))</f>
        <v>Exif.Photo.</v>
      </c>
      <c r="D1514" s="5" t="str">
        <f>VLOOKUP(C1514,PrefixUebersetzung,2,FALSE)</f>
        <v>Exif.Photo.</v>
      </c>
      <c r="E1514" s="5" t="str">
        <f>MID(F1514,FIND(".",F1514,6)+1,99)</f>
        <v>SensingMethod</v>
      </c>
      <c r="F1514" s="5" t="s">
        <v>1309</v>
      </c>
      <c r="G1514" s="5" t="s">
        <v>9664</v>
      </c>
      <c r="H1514" s="6" t="s">
        <v>3082</v>
      </c>
      <c r="I1514" s="7"/>
      <c r="J1514" s="14" t="s">
        <v>5327</v>
      </c>
      <c r="K1514" s="26"/>
      <c r="L1514" s="6" t="str">
        <f>IFERROR(VLOOKUP(E1514,A:I,9, FALSE),"")</f>
        <v>Bildsensor Typ</v>
      </c>
      <c r="N1514" s="6"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c r="P1514" s="6" t="s">
        <v>8574</v>
      </c>
      <c r="Q1514" s="6" t="s">
        <v>9372</v>
      </c>
    </row>
    <row r="1515" spans="1:17" ht="105" x14ac:dyDescent="0.25">
      <c r="A1515" s="5" t="str">
        <f>IF(TRIM(I1515)="","",E1515)</f>
        <v>SensitivityType</v>
      </c>
      <c r="B1515" s="5" t="str">
        <f>IF(TRIM(J1515)="","",H1515)</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1515" s="5" t="str">
        <f>LEFT(F1515,FIND(".",F1515,6))</f>
        <v>Exif.Photo.</v>
      </c>
      <c r="D1515" s="5" t="str">
        <f>VLOOKUP(C1515,PrefixUebersetzung,2,FALSE)</f>
        <v>Exif.Photo.</v>
      </c>
      <c r="E1515" s="5" t="str">
        <f>MID(F1515,FIND(".",F1515,6)+1,99)</f>
        <v>SensitivityType</v>
      </c>
      <c r="F1515" s="5" t="s">
        <v>1310</v>
      </c>
      <c r="G1515" s="5" t="s">
        <v>9664</v>
      </c>
      <c r="H1515" s="6" t="s">
        <v>9620</v>
      </c>
      <c r="I1515" s="9" t="s">
        <v>9622</v>
      </c>
      <c r="J1515" s="9" t="s">
        <v>9621</v>
      </c>
      <c r="K1515" s="26"/>
      <c r="L1515" s="6" t="str">
        <f>IFERROR(VLOOKUP(E1515,A:I,9, FALSE),"")</f>
        <v>Empfindlichkeitstyp</v>
      </c>
      <c r="N1515" s="6"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c r="O1515" s="6" t="s">
        <v>8574</v>
      </c>
      <c r="P1515" s="6" t="s">
        <v>8574</v>
      </c>
    </row>
    <row r="1516" spans="1:17" ht="45" x14ac:dyDescent="0.25">
      <c r="A1516" s="5" t="str">
        <f>IF(TRIM(I1516)="","",E1516)</f>
        <v/>
      </c>
      <c r="B1516" s="5" t="str">
        <f>IF(TRIM(J1516)="","",H1516)</f>
        <v>This tag indicates the direction of sharpness processing applied by the camera when the image was shot.</v>
      </c>
      <c r="C1516" s="5" t="str">
        <f>LEFT(F1516,FIND(".",F1516,6))</f>
        <v>Exif.Photo.</v>
      </c>
      <c r="D1516" s="5" t="str">
        <f>VLOOKUP(C1516,PrefixUebersetzung,2,FALSE)</f>
        <v>Exif.Photo.</v>
      </c>
      <c r="E1516" s="5" t="str">
        <f>MID(F1516,FIND(".",F1516,6)+1,99)</f>
        <v>Sharpness</v>
      </c>
      <c r="F1516" s="5" t="s">
        <v>1311</v>
      </c>
      <c r="G1516" s="5" t="s">
        <v>9664</v>
      </c>
      <c r="H1516" s="6" t="s">
        <v>3083</v>
      </c>
      <c r="I1516" s="7"/>
      <c r="J1516" s="14" t="s">
        <v>6662</v>
      </c>
      <c r="K1516" s="26"/>
      <c r="L1516" s="6" t="str">
        <f>IFERROR(VLOOKUP(E1516,A:I,9, FALSE),"")</f>
        <v>Schärfe</v>
      </c>
      <c r="N1516" s="6"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c>
      <c r="P1516" s="6" t="s">
        <v>8574</v>
      </c>
    </row>
    <row r="1517" spans="1:17" ht="30" x14ac:dyDescent="0.25">
      <c r="A1517" s="5" t="str">
        <f>IF(TRIM(I1517)="","",E1517)</f>
        <v/>
      </c>
      <c r="B1517" s="5" t="str">
        <f>IF(TRIM(J1517)="","",H1517)</f>
        <v>Shutter speed. The unit is the APEX (Additive System of Photographic Exposure) setting.</v>
      </c>
      <c r="C1517" s="5" t="str">
        <f>LEFT(F1517,FIND(".",F1517,6))</f>
        <v>Exif.Photo.</v>
      </c>
      <c r="D1517" s="5" t="str">
        <f>VLOOKUP(C1517,PrefixUebersetzung,2,FALSE)</f>
        <v>Exif.Photo.</v>
      </c>
      <c r="E1517" s="5" t="str">
        <f>MID(F1517,FIND(".",F1517,6)+1,99)</f>
        <v>ShutterSpeedValue</v>
      </c>
      <c r="F1517" s="5" t="s">
        <v>1312</v>
      </c>
      <c r="G1517" s="5" t="s">
        <v>9672</v>
      </c>
      <c r="H1517" s="6" t="s">
        <v>3084</v>
      </c>
      <c r="I1517" s="7"/>
      <c r="J1517" s="14" t="s">
        <v>5328</v>
      </c>
      <c r="K1517" s="26"/>
      <c r="L1517" s="6" t="str">
        <f>IFERROR(VLOOKUP(E1517,A:I,9, FALSE),"")</f>
        <v>Verschlusszeit</v>
      </c>
      <c r="N1517" s="6"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P1517" s="6" t="s">
        <v>8574</v>
      </c>
    </row>
    <row r="1518" spans="1:17" ht="60" x14ac:dyDescent="0.25">
      <c r="A1518" s="5" t="str">
        <f>IF(TRIM(I1518)="","",E1518)</f>
        <v/>
      </c>
      <c r="B1518" s="5" t="str">
        <f>IF(TRIM(J1518)="","",H1518)</f>
        <v/>
      </c>
      <c r="C1518" s="5" t="str">
        <f>LEFT(F1518,FIND(".",F1518,6))</f>
        <v>Exif.Photo.</v>
      </c>
      <c r="D1518" s="5" t="str">
        <f>VLOOKUP(C1518,PrefixUebersetzung,2,FALSE)</f>
        <v>Exif.Photo.</v>
      </c>
      <c r="E1518" s="5" t="str">
        <f>MID(F1518,FIND(".",F1518,6)+1,99)</f>
        <v>SpatialFrequencyResponse</v>
      </c>
      <c r="F1518" s="5" t="s">
        <v>1313</v>
      </c>
      <c r="G1518" s="5" t="s">
        <v>9669</v>
      </c>
      <c r="H1518" s="6" t="s">
        <v>3085</v>
      </c>
      <c r="I1518" s="7"/>
      <c r="K1518" s="26"/>
      <c r="L1518" s="6" t="str">
        <f>IFERROR(VLOOKUP(E1518,A:I,9, FALSE),"")</f>
        <v/>
      </c>
      <c r="N1518" s="6"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xml:space="preserve">Suffix not translated Description not translated </v>
      </c>
      <c r="P1518" s="6" t="s">
        <v>8574</v>
      </c>
    </row>
    <row r="1519" spans="1:17" ht="60" x14ac:dyDescent="0.25">
      <c r="A1519" s="5" t="str">
        <f>IF(TRIM(I1519)="","",E1519)</f>
        <v/>
      </c>
      <c r="B1519" s="5" t="str">
        <f>IF(TRIM(J1519)="","",H1519)</f>
        <v>Indicates the spectral sensitivity of each channel of the camera used. The tag value is an ASCII string compatible with the standard developed by the ASTM Technical Committee.</v>
      </c>
      <c r="C1519" s="5" t="str">
        <f>LEFT(F1519,FIND(".",F1519,6))</f>
        <v>Exif.Photo.</v>
      </c>
      <c r="D1519" s="5" t="str">
        <f>VLOOKUP(C1519,PrefixUebersetzung,2,FALSE)</f>
        <v>Exif.Photo.</v>
      </c>
      <c r="E1519" s="5" t="str">
        <f>MID(F1519,FIND(".",F1519,6)+1,99)</f>
        <v>SpectralSensitivity</v>
      </c>
      <c r="F1519" s="5" t="s">
        <v>1314</v>
      </c>
      <c r="G1519" s="5" t="s">
        <v>9666</v>
      </c>
      <c r="H1519" s="6" t="s">
        <v>3086</v>
      </c>
      <c r="I1519" s="7"/>
      <c r="J1519" s="14" t="s">
        <v>5329</v>
      </c>
      <c r="K1519" s="26"/>
      <c r="L1519" s="6" t="str">
        <f>IFERROR(VLOOKUP(E1519,A:I,9, FALSE),"")</f>
        <v>Spektrale Empfindlichkeit</v>
      </c>
      <c r="N1519" s="6"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P1519" s="6" t="s">
        <v>8574</v>
      </c>
    </row>
    <row r="1520" spans="1:17" ht="75" x14ac:dyDescent="0.25">
      <c r="A1520" s="5" t="str">
        <f>IF(TRIM(I1520)="","",E1520)</f>
        <v>StandardOutputSensitivity</v>
      </c>
      <c r="B1520" s="5" t="str">
        <f>IF(TRIM(J1520)="","",H1520)</f>
        <v>This tag indicates the standard output sensitivity value of a camera or input device defined in ISO 12232. When recording this tag, the PhotographicSensitivity and SensitivityType tags shall also be recorded.</v>
      </c>
      <c r="C1520" s="5" t="str">
        <f>LEFT(F1520,FIND(".",F1520,6))</f>
        <v>Exif.Photo.</v>
      </c>
      <c r="D1520" s="5" t="str">
        <f>VLOOKUP(C1520,PrefixUebersetzung,2,FALSE)</f>
        <v>Exif.Photo.</v>
      </c>
      <c r="E1520" s="5" t="str">
        <f>MID(F1520,FIND(".",F1520,6)+1,99)</f>
        <v>StandardOutputSensitivity</v>
      </c>
      <c r="F1520" s="5" t="s">
        <v>1315</v>
      </c>
      <c r="G1520" s="5" t="s">
        <v>9667</v>
      </c>
      <c r="H1520" s="6" t="s">
        <v>3087</v>
      </c>
      <c r="I1520" s="7" t="s">
        <v>4423</v>
      </c>
      <c r="J1520" s="14" t="s">
        <v>5489</v>
      </c>
      <c r="K1520" s="26"/>
      <c r="N1520" s="6"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O1520" s="6" t="s">
        <v>8574</v>
      </c>
      <c r="P1520" s="6" t="s">
        <v>8574</v>
      </c>
    </row>
    <row r="1521" spans="1:17" ht="30" x14ac:dyDescent="0.25">
      <c r="A1521" s="5" t="str">
        <f>IF(TRIM(I1521)="","",E1521)</f>
        <v>SubjectArea</v>
      </c>
      <c r="B1521" s="5" t="str">
        <f>IF(TRIM(J1521)="","",H1521)</f>
        <v>This tag indicates the location and area of the main subject in the overall scene.</v>
      </c>
      <c r="C1521" s="5" t="str">
        <f>LEFT(F1521,FIND(".",F1521,6))</f>
        <v>Exif.Photo.</v>
      </c>
      <c r="D1521" s="5" t="str">
        <f>VLOOKUP(C1521,PrefixUebersetzung,2,FALSE)</f>
        <v>Exif.Photo.</v>
      </c>
      <c r="E1521" s="5" t="str">
        <f>MID(F1521,FIND(".",F1521,6)+1,99)</f>
        <v>SubjectArea</v>
      </c>
      <c r="F1521" s="5" t="s">
        <v>1316</v>
      </c>
      <c r="G1521" s="5" t="s">
        <v>9664</v>
      </c>
      <c r="H1521" s="6" t="s">
        <v>3088</v>
      </c>
      <c r="I1521" s="7" t="s">
        <v>4537</v>
      </c>
      <c r="J1521" s="14" t="s">
        <v>5490</v>
      </c>
      <c r="K1521" s="26"/>
      <c r="L1521" s="6" t="str">
        <f>IFERROR(VLOOKUP(E1521,A:I,9, FALSE),"")</f>
        <v>Motivumgebung</v>
      </c>
      <c r="N1521" s="6"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6" t="s">
        <v>8574</v>
      </c>
      <c r="P1521" s="6" t="s">
        <v>8574</v>
      </c>
    </row>
    <row r="1522" spans="1:17" ht="30" x14ac:dyDescent="0.25">
      <c r="A1522" s="5" t="str">
        <f>IF(TRIM(I1522)="","",E1522)</f>
        <v/>
      </c>
      <c r="B1522" s="5" t="str">
        <f>IF(TRIM(J1522)="","",H1522)</f>
        <v/>
      </c>
      <c r="C1522" s="5" t="str">
        <f>LEFT(F1522,FIND(".",F1522,6))</f>
        <v>Exif.Photo.</v>
      </c>
      <c r="D1522" s="5" t="str">
        <f>VLOOKUP(C1522,PrefixUebersetzung,2,FALSE)</f>
        <v>Exif.Photo.</v>
      </c>
      <c r="E1522" s="5" t="str">
        <f>MID(F1522,FIND(".",F1522,6)+1,99)</f>
        <v>SubjectDistance</v>
      </c>
      <c r="F1522" s="5" t="s">
        <v>1317</v>
      </c>
      <c r="G1522" s="5" t="s">
        <v>9671</v>
      </c>
      <c r="H1522" s="6" t="s">
        <v>2487</v>
      </c>
      <c r="I1522" s="7"/>
      <c r="K1522" s="26"/>
      <c r="L1522" s="6" t="str">
        <f>IFERROR(VLOOKUP(E1522,A:I,9, FALSE),"")</f>
        <v>Motivabstand</v>
      </c>
      <c r="M1522" s="6" t="str">
        <f>IFERROR(VLOOKUP(H1522,B:J,9,FALSE),"")</f>
        <v>Der Abstand zum Motiv, in Metern angegeben.</v>
      </c>
      <c r="N1522" s="6"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row>
    <row r="1523" spans="1:17" ht="30" x14ac:dyDescent="0.25">
      <c r="A1523" s="5" t="str">
        <f>IF(TRIM(I1523)="","",E1523)</f>
        <v>SubjectDistanceRange</v>
      </c>
      <c r="B1523" s="5" t="str">
        <f>IF(TRIM(J1523)="","",H1523)</f>
        <v>This tag indicates the distance to the subject.</v>
      </c>
      <c r="C1523" s="5" t="str">
        <f>LEFT(F1523,FIND(".",F1523,6))</f>
        <v>Exif.Photo.</v>
      </c>
      <c r="D1523" s="5" t="str">
        <f>VLOOKUP(C1523,PrefixUebersetzung,2,FALSE)</f>
        <v>Exif.Photo.</v>
      </c>
      <c r="E1523" s="5" t="str">
        <f>MID(F1523,FIND(".",F1523,6)+1,99)</f>
        <v>SubjectDistanceRange</v>
      </c>
      <c r="F1523" s="5" t="s">
        <v>1318</v>
      </c>
      <c r="G1523" s="5" t="s">
        <v>9664</v>
      </c>
      <c r="H1523" s="6" t="s">
        <v>3089</v>
      </c>
      <c r="I1523" s="7" t="s">
        <v>4424</v>
      </c>
      <c r="J1523" s="14" t="s">
        <v>5491</v>
      </c>
      <c r="K1523" s="26"/>
      <c r="L1523" s="6" t="str">
        <f>IFERROR(VLOOKUP(E1523,A:I,9, FALSE),"")</f>
        <v>Motivabstandbereich</v>
      </c>
      <c r="N1523" s="6"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O1523" s="6" t="s">
        <v>8574</v>
      </c>
      <c r="P1523" s="6" t="s">
        <v>8574</v>
      </c>
      <c r="Q1523" s="6" t="s">
        <v>9541</v>
      </c>
    </row>
    <row r="1524" spans="1:17" ht="90" x14ac:dyDescent="0.25">
      <c r="A1524" s="5" t="str">
        <f>IF(TRIM(I1524)="","",E1524)</f>
        <v/>
      </c>
      <c r="B1524" s="5" t="str">
        <f>IF(TRIM(J1524)="","",H1524)</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1524" s="5" t="str">
        <f>LEFT(F1524,FIND(".",F1524,6))</f>
        <v>Exif.Photo.</v>
      </c>
      <c r="D1524" s="5" t="str">
        <f>VLOOKUP(C1524,PrefixUebersetzung,2,FALSE)</f>
        <v>Exif.Photo.</v>
      </c>
      <c r="E1524" s="5" t="str">
        <f>MID(F1524,FIND(".",F1524,6)+1,99)</f>
        <v>SubjectLocation</v>
      </c>
      <c r="F1524" s="5" t="s">
        <v>1319</v>
      </c>
      <c r="G1524" s="5" t="s">
        <v>9664</v>
      </c>
      <c r="H1524" s="6" t="s">
        <v>3090</v>
      </c>
      <c r="I1524" s="7"/>
      <c r="J1524" s="14" t="s">
        <v>5330</v>
      </c>
      <c r="K1524" s="26"/>
      <c r="L1524" s="6" t="str">
        <f>IFERROR(VLOOKUP(E1524,A:I,9, FALSE),"")</f>
        <v>Motivort</v>
      </c>
      <c r="N1524" s="6"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P1524" s="6" t="s">
        <v>8574</v>
      </c>
    </row>
    <row r="1525" spans="1:17" ht="30" x14ac:dyDescent="0.25">
      <c r="A1525" s="5" t="str">
        <f>IF(TRIM(I1525)="","",E1525)</f>
        <v>SubSecTime</v>
      </c>
      <c r="B1525" s="5" t="str">
        <f>IF(TRIM(J1525)="","",H1525)</f>
        <v>A tag used to record fractions of seconds for the &lt;DateTime&gt; tag.</v>
      </c>
      <c r="C1525" s="5" t="str">
        <f>LEFT(F1525,FIND(".",F1525,6))</f>
        <v>Exif.Photo.</v>
      </c>
      <c r="D1525" s="5" t="str">
        <f>VLOOKUP(C1525,PrefixUebersetzung,2,FALSE)</f>
        <v>Exif.Photo.</v>
      </c>
      <c r="E1525" s="5" t="str">
        <f>MID(F1525,FIND(".",F1525,6)+1,99)</f>
        <v>SubSecTime</v>
      </c>
      <c r="F1525" s="5" t="s">
        <v>1320</v>
      </c>
      <c r="G1525" s="5" t="s">
        <v>9666</v>
      </c>
      <c r="H1525" s="6" t="s">
        <v>3091</v>
      </c>
      <c r="I1525" s="7" t="s">
        <v>4425</v>
      </c>
      <c r="J1525" s="14" t="s">
        <v>5492</v>
      </c>
      <c r="K1525" s="26"/>
      <c r="N1525" s="6"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O1525" s="6" t="s">
        <v>8574</v>
      </c>
      <c r="P1525" s="6" t="s">
        <v>8574</v>
      </c>
    </row>
    <row r="1526" spans="1:17" ht="30" x14ac:dyDescent="0.25">
      <c r="A1526" s="5" t="str">
        <f>IF(TRIM(I1526)="","",E1526)</f>
        <v>SubSecTimeDigitized</v>
      </c>
      <c r="B1526" s="5" t="str">
        <f>IF(TRIM(J1526)="","",H1526)</f>
        <v>A tag used to record fractions of seconds for the &lt;DateTimeDigitized&gt; tag.</v>
      </c>
      <c r="C1526" s="5" t="str">
        <f>LEFT(F1526,FIND(".",F1526,6))</f>
        <v>Exif.Photo.</v>
      </c>
      <c r="D1526" s="5" t="str">
        <f>VLOOKUP(C1526,PrefixUebersetzung,2,FALSE)</f>
        <v>Exif.Photo.</v>
      </c>
      <c r="E1526" s="5" t="str">
        <f>MID(F1526,FIND(".",F1526,6)+1,99)</f>
        <v>SubSecTimeDigitized</v>
      </c>
      <c r="F1526" s="5" t="s">
        <v>1321</v>
      </c>
      <c r="G1526" s="5" t="s">
        <v>9666</v>
      </c>
      <c r="H1526" s="6" t="s">
        <v>3092</v>
      </c>
      <c r="I1526" s="7" t="s">
        <v>4942</v>
      </c>
      <c r="J1526" s="14" t="s">
        <v>5493</v>
      </c>
      <c r="K1526" s="26"/>
      <c r="N1526" s="6"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c r="O1526" s="6" t="s">
        <v>8574</v>
      </c>
      <c r="P1526" s="6" t="s">
        <v>8574</v>
      </c>
    </row>
    <row r="1527" spans="1:17" ht="30" x14ac:dyDescent="0.25">
      <c r="A1527" s="5" t="str">
        <f>IF(TRIM(I1527)="","",E1527)</f>
        <v>SubSecTimeOriginal</v>
      </c>
      <c r="B1527" s="5" t="str">
        <f>IF(TRIM(J1527)="","",H1527)</f>
        <v>A tag used to record fractions of seconds for the &lt;DateTimeOriginal&gt; tag.</v>
      </c>
      <c r="C1527" s="5" t="str">
        <f>LEFT(F1527,FIND(".",F1527,6))</f>
        <v>Exif.Photo.</v>
      </c>
      <c r="D1527" s="5" t="str">
        <f>VLOOKUP(C1527,PrefixUebersetzung,2,FALSE)</f>
        <v>Exif.Photo.</v>
      </c>
      <c r="E1527" s="5" t="str">
        <f>MID(F1527,FIND(".",F1527,6)+1,99)</f>
        <v>SubSecTimeOriginal</v>
      </c>
      <c r="F1527" s="5" t="s">
        <v>1322</v>
      </c>
      <c r="G1527" s="5" t="s">
        <v>9666</v>
      </c>
      <c r="H1527" s="6" t="s">
        <v>3093</v>
      </c>
      <c r="I1527" s="7" t="s">
        <v>4943</v>
      </c>
      <c r="J1527" s="14" t="s">
        <v>5494</v>
      </c>
      <c r="K1527" s="26"/>
      <c r="N1527" s="6"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c r="O1527" s="6" t="s">
        <v>8574</v>
      </c>
      <c r="P1527" s="6" t="s">
        <v>8574</v>
      </c>
    </row>
    <row r="1528" spans="1:17" ht="75" x14ac:dyDescent="0.25">
      <c r="A1528" s="5" t="str">
        <f>IF(TRIM(I1528)="","",E1528)</f>
        <v>UserComment</v>
      </c>
      <c r="B1528" s="5" t="str">
        <f>IF(TRIM(J1528)="","",H1528)</f>
        <v>A tag for Exif users to write keywords or comments on the image besides those in &lt;ImageDescription&gt;, and without the character code limitations of the &lt;ImageDescription&gt; tag.</v>
      </c>
      <c r="C1528" s="5" t="str">
        <f>LEFT(F1528,FIND(".",F1528,6))</f>
        <v>Exif.Photo.</v>
      </c>
      <c r="D1528" s="5" t="str">
        <f>VLOOKUP(C1528,PrefixUebersetzung,2,FALSE)</f>
        <v>Exif.Photo.</v>
      </c>
      <c r="E1528" s="5" t="str">
        <f>MID(F1528,FIND(".",F1528,6)+1,99)</f>
        <v>UserComment</v>
      </c>
      <c r="F1528" s="5" t="s">
        <v>1323</v>
      </c>
      <c r="G1528" s="5" t="s">
        <v>9673</v>
      </c>
      <c r="H1528" s="6" t="s">
        <v>3094</v>
      </c>
      <c r="I1528" s="7" t="s">
        <v>4426</v>
      </c>
      <c r="J1528" s="14" t="s">
        <v>6663</v>
      </c>
      <c r="K1528" s="26"/>
      <c r="L1528" s="6" t="str">
        <f>IFERROR(VLOOKUP(E1528,A:I,9, FALSE),"")</f>
        <v>Benutzerkommentar</v>
      </c>
      <c r="N1528" s="6"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O1528" s="6" t="s">
        <v>8574</v>
      </c>
      <c r="P1528" s="6" t="s">
        <v>8574</v>
      </c>
    </row>
    <row r="1529" spans="1:17" ht="30" x14ac:dyDescent="0.25">
      <c r="A1529" s="5" t="str">
        <f>IF(TRIM(I1529)="","",E1529)</f>
        <v/>
      </c>
      <c r="B1529" s="5" t="str">
        <f>IF(TRIM(J1529)="","",H1529)</f>
        <v>This tag indicates the white balance mode set when the image was shot.</v>
      </c>
      <c r="C1529" s="5" t="str">
        <f>LEFT(F1529,FIND(".",F1529,6))</f>
        <v>Exif.Photo.</v>
      </c>
      <c r="D1529" s="5" t="str">
        <f>VLOOKUP(C1529,PrefixUebersetzung,2,FALSE)</f>
        <v>Exif.Photo.</v>
      </c>
      <c r="E1529" s="5" t="str">
        <f>MID(F1529,FIND(".",F1529,6)+1,99)</f>
        <v>WhiteBalance</v>
      </c>
      <c r="F1529" s="5" t="s">
        <v>1324</v>
      </c>
      <c r="G1529" s="5" t="s">
        <v>9664</v>
      </c>
      <c r="H1529" s="6" t="s">
        <v>3095</v>
      </c>
      <c r="I1529" s="7"/>
      <c r="J1529" s="14" t="s">
        <v>5331</v>
      </c>
      <c r="K1529" s="26"/>
      <c r="L1529" s="6" t="str">
        <f>IFERROR(VLOOKUP(E1529,A:I,9, FALSE),"")</f>
        <v>Weißabgleich</v>
      </c>
      <c r="N1529" s="6"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P1529" s="6" t="s">
        <v>8574</v>
      </c>
    </row>
    <row r="1530" spans="1:17" x14ac:dyDescent="0.25">
      <c r="A1530" s="5" t="str">
        <f>IF(TRIM(I1530)="","",E1530)</f>
        <v/>
      </c>
      <c r="B1530" s="5" t="str">
        <f>IF(TRIM(J1530)="","",H1530)</f>
        <v/>
      </c>
      <c r="C1530" s="5" t="str">
        <f>LEFT(F1530,FIND(".",F1530,6))</f>
        <v>Exif.Samsung2.</v>
      </c>
      <c r="D1530" s="5" t="str">
        <f>VLOOKUP(C1530,PrefixUebersetzung,2,FALSE)</f>
        <v>Exif.Samsung2.</v>
      </c>
      <c r="E1530" s="5" t="str">
        <f>MID(F1530,FIND(".",F1530,6)+1,99)</f>
        <v>CameraTemperature</v>
      </c>
      <c r="F1530" s="5" t="s">
        <v>1325</v>
      </c>
      <c r="G1530" s="5" t="s">
        <v>9672</v>
      </c>
      <c r="H1530" s="6" t="s">
        <v>3022</v>
      </c>
      <c r="I1530" s="7"/>
      <c r="K1530" s="26"/>
      <c r="L1530" s="6" t="str">
        <f>IFERROR(VLOOKUP(E1530,A:I,9, FALSE),"")</f>
        <v>Kameratemperatur</v>
      </c>
      <c r="M1530" s="6" t="str">
        <f>IFERROR(VLOOKUP(H1530,B:J,9,FALSE),"")</f>
        <v>Kameratemperatur</v>
      </c>
      <c r="N1530" s="6"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row>
    <row r="1531" spans="1:17" x14ac:dyDescent="0.25">
      <c r="A1531" s="5" t="str">
        <f>IF(TRIM(I1531)="","",E1531)</f>
        <v/>
      </c>
      <c r="B1531" s="5" t="str">
        <f>IF(TRIM(J1531)="","",H1531)</f>
        <v/>
      </c>
      <c r="C1531" s="5" t="str">
        <f>LEFT(F1531,FIND(".",F1531,6))</f>
        <v>Exif.Samsung2.</v>
      </c>
      <c r="D1531" s="5" t="str">
        <f>VLOOKUP(C1531,PrefixUebersetzung,2,FALSE)</f>
        <v>Exif.Samsung2.</v>
      </c>
      <c r="E1531" s="5" t="str">
        <f>MID(F1531,FIND(".",F1531,6)+1,99)</f>
        <v>ColorMatrix</v>
      </c>
      <c r="F1531" s="5" t="s">
        <v>1326</v>
      </c>
      <c r="G1531" s="5" t="s">
        <v>9668</v>
      </c>
      <c r="H1531" s="6" t="s">
        <v>2755</v>
      </c>
      <c r="I1531" s="7"/>
      <c r="K1531" s="26"/>
      <c r="L1531" s="6" t="str">
        <f>IFERROR(VLOOKUP(E1531,A:I,9, FALSE),"")</f>
        <v>Farbmatrix</v>
      </c>
      <c r="M1531" s="6" t="str">
        <f>IFERROR(VLOOKUP(H1531,B:J,9,FALSE),"")</f>
        <v>Farbmatrix</v>
      </c>
      <c r="N1531" s="6"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x14ac:dyDescent="0.25">
      <c r="A1532" s="5" t="str">
        <f>IF(TRIM(I1532)="","",E1532)</f>
        <v>ColorMatrixAdobeRGB</v>
      </c>
      <c r="B1532" s="5" t="str">
        <f>IF(TRIM(J1532)="","",H1532)</f>
        <v>Color matrix Adobe RGB</v>
      </c>
      <c r="C1532" s="5" t="str">
        <f>LEFT(F1532,FIND(".",F1532,6))</f>
        <v>Exif.Samsung2.</v>
      </c>
      <c r="D1532" s="5" t="str">
        <f>VLOOKUP(C1532,PrefixUebersetzung,2,FALSE)</f>
        <v>Exif.Samsung2.</v>
      </c>
      <c r="E1532" s="5" t="str">
        <f>MID(F1532,FIND(".",F1532,6)+1,99)</f>
        <v>ColorMatrixAdobeRGB</v>
      </c>
      <c r="F1532" s="5" t="s">
        <v>1327</v>
      </c>
      <c r="G1532" s="5" t="s">
        <v>9668</v>
      </c>
      <c r="H1532" s="6" t="s">
        <v>3096</v>
      </c>
      <c r="I1532" s="7" t="s">
        <v>4428</v>
      </c>
      <c r="J1532" s="14" t="s">
        <v>4428</v>
      </c>
      <c r="K1532" s="26"/>
      <c r="N1532" s="6"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c r="O1532" s="6" t="s">
        <v>8574</v>
      </c>
      <c r="P1532" s="6" t="s">
        <v>8574</v>
      </c>
    </row>
    <row r="1533" spans="1:17" x14ac:dyDescent="0.25">
      <c r="A1533" s="5" t="str">
        <f>IF(TRIM(I1533)="","",E1533)</f>
        <v>ColorMatrixSRGB</v>
      </c>
      <c r="B1533" s="5" t="str">
        <f>IF(TRIM(J1533)="","",H1533)</f>
        <v>Color matrix sRGB</v>
      </c>
      <c r="C1533" s="5" t="str">
        <f>LEFT(F1533,FIND(".",F1533,6))</f>
        <v>Exif.Samsung2.</v>
      </c>
      <c r="D1533" s="5" t="str">
        <f>VLOOKUP(C1533,PrefixUebersetzung,2,FALSE)</f>
        <v>Exif.Samsung2.</v>
      </c>
      <c r="E1533" s="5" t="str">
        <f>MID(F1533,FIND(".",F1533,6)+1,99)</f>
        <v>ColorMatrixSRGB</v>
      </c>
      <c r="F1533" s="5" t="s">
        <v>1328</v>
      </c>
      <c r="G1533" s="5" t="s">
        <v>9668</v>
      </c>
      <c r="H1533" s="6" t="s">
        <v>3097</v>
      </c>
      <c r="I1533" s="7" t="s">
        <v>4429</v>
      </c>
      <c r="J1533" s="14" t="s">
        <v>4429</v>
      </c>
      <c r="K1533" s="26"/>
      <c r="N1533" s="6"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c r="O1533" s="6" t="s">
        <v>8574</v>
      </c>
      <c r="P1533" s="6" t="s">
        <v>8574</v>
      </c>
    </row>
    <row r="1534" spans="1:17" x14ac:dyDescent="0.25">
      <c r="A1534" s="5" t="str">
        <f>IF(TRIM(I1534)="","",E1534)</f>
        <v/>
      </c>
      <c r="B1534" s="5" t="str">
        <f>IF(TRIM(J1534)="","",H1534)</f>
        <v/>
      </c>
      <c r="C1534" s="5" t="str">
        <f>LEFT(F1534,FIND(".",F1534,6))</f>
        <v>Exif.Samsung2.</v>
      </c>
      <c r="D1534" s="5" t="str">
        <f>VLOOKUP(C1534,PrefixUebersetzung,2,FALSE)</f>
        <v>Exif.Samsung2.</v>
      </c>
      <c r="E1534" s="5" t="str">
        <f>MID(F1534,FIND(".",F1534,6)+1,99)</f>
        <v>ColorSpace</v>
      </c>
      <c r="F1534" s="5" t="s">
        <v>1329</v>
      </c>
      <c r="G1534" s="5" t="s">
        <v>9664</v>
      </c>
      <c r="H1534" s="6" t="s">
        <v>2548</v>
      </c>
      <c r="K1534" s="26"/>
      <c r="L1534" s="6" t="str">
        <f>IFERROR(VLOOKUP(E1534,A:I,9, FALSE),"")</f>
        <v>Farbraum</v>
      </c>
      <c r="M1534" s="6" t="str">
        <f>IFERROR(VLOOKUP(H1534,B:J,9,FALSE),"")</f>
        <v>Farbraum</v>
      </c>
      <c r="N1534" s="6"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row>
    <row r="1535" spans="1:17" x14ac:dyDescent="0.25">
      <c r="A1535" s="5" t="str">
        <f>IF(TRIM(I1535)="","",E1535)</f>
        <v>EncryptionKey</v>
      </c>
      <c r="B1535" s="5" t="str">
        <f>IF(TRIM(J1535)="","",H1535)</f>
        <v>Encryption key</v>
      </c>
      <c r="C1535" s="5" t="str">
        <f>LEFT(F1535,FIND(".",F1535,6))</f>
        <v>Exif.Samsung2.</v>
      </c>
      <c r="D1535" s="5" t="str">
        <f>VLOOKUP(C1535,PrefixUebersetzung,2,FALSE)</f>
        <v>Exif.Samsung2.</v>
      </c>
      <c r="E1535" s="5" t="str">
        <f>MID(F1535,FIND(".",F1535,6)+1,99)</f>
        <v>EncryptionKey</v>
      </c>
      <c r="F1535" s="5" t="s">
        <v>1330</v>
      </c>
      <c r="G1535" s="5" t="s">
        <v>9667</v>
      </c>
      <c r="H1535" s="6" t="s">
        <v>3098</v>
      </c>
      <c r="I1535" s="7" t="s">
        <v>4661</v>
      </c>
      <c r="J1535" s="14" t="s">
        <v>4661</v>
      </c>
      <c r="K1535" s="26"/>
      <c r="N1535" s="6"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O1535" s="6" t="s">
        <v>8574</v>
      </c>
      <c r="P1535" s="6" t="s">
        <v>8574</v>
      </c>
    </row>
    <row r="1536" spans="1:17" x14ac:dyDescent="0.25">
      <c r="A1536" s="5" t="str">
        <f>IF(TRIM(I1536)="","",E1536)</f>
        <v/>
      </c>
      <c r="B1536" s="5" t="str">
        <f>IF(TRIM(J1536)="","",H1536)</f>
        <v/>
      </c>
      <c r="C1536" s="5" t="str">
        <f>LEFT(F1536,FIND(".",F1536,6))</f>
        <v>Exif.Samsung2.</v>
      </c>
      <c r="D1536" s="5" t="str">
        <f>VLOOKUP(C1536,PrefixUebersetzung,2,FALSE)</f>
        <v>Exif.Samsung2.</v>
      </c>
      <c r="E1536" s="5" t="str">
        <f>MID(F1536,FIND(".",F1536,6)+1,99)</f>
        <v>ExposureBiasValue</v>
      </c>
      <c r="F1536" s="5" t="s">
        <v>1331</v>
      </c>
      <c r="G1536" s="5" t="s">
        <v>9672</v>
      </c>
      <c r="H1536" s="6" t="s">
        <v>2914</v>
      </c>
      <c r="I1536" s="7"/>
      <c r="K1536" s="26"/>
      <c r="L1536" s="6" t="str">
        <f>IFERROR(VLOOKUP(E1536,A:I,9, FALSE),"")</f>
        <v>Belichtungskorrektur</v>
      </c>
      <c r="M1536" s="6" t="str">
        <f>IFERROR(VLOOKUP(H1536,B:J,9,FALSE),"")</f>
        <v>Belichtungskorrektur</v>
      </c>
      <c r="N1536" s="6"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5" t="str">
        <f>IF(TRIM(I1537)="","",E1537)</f>
        <v/>
      </c>
      <c r="B1537" s="5" t="str">
        <f>IF(TRIM(J1537)="","",H1537)</f>
        <v/>
      </c>
      <c r="C1537" s="5" t="str">
        <f>LEFT(F1537,FIND(".",F1537,6))</f>
        <v>Exif.Samsung2.</v>
      </c>
      <c r="D1537" s="5" t="str">
        <f>VLOOKUP(C1537,PrefixUebersetzung,2,FALSE)</f>
        <v>Exif.Samsung2.</v>
      </c>
      <c r="E1537" s="5" t="str">
        <f>MID(F1537,FIND(".",F1537,6)+1,99)</f>
        <v>ExposureTime</v>
      </c>
      <c r="F1537" s="5" t="s">
        <v>1332</v>
      </c>
      <c r="G1537" s="5" t="s">
        <v>9671</v>
      </c>
      <c r="H1537" s="6" t="s">
        <v>2554</v>
      </c>
      <c r="I1537" s="7"/>
      <c r="K1537" s="26"/>
      <c r="L1537" s="6" t="str">
        <f>IFERROR(VLOOKUP(E1537,A:I,9, FALSE),"")</f>
        <v>Belichtungszeit</v>
      </c>
      <c r="M1537" s="6" t="str">
        <f>IFERROR(VLOOKUP(H1537,B:J,9,FALSE),"")</f>
        <v>Belichtungszeit</v>
      </c>
      <c r="N1537" s="6"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row>
    <row r="1538" spans="1:17" x14ac:dyDescent="0.25">
      <c r="A1538" s="5" t="str">
        <f>IF(TRIM(I1538)="","",E1538)</f>
        <v>FirmwareName</v>
      </c>
      <c r="B1538" s="5" t="str">
        <f>IF(TRIM(J1538)="","",H1538)</f>
        <v>Firmware name</v>
      </c>
      <c r="C1538" s="5" t="str">
        <f>LEFT(F1538,FIND(".",F1538,6))</f>
        <v>Exif.Samsung2.</v>
      </c>
      <c r="D1538" s="5" t="str">
        <f>VLOOKUP(C1538,PrefixUebersetzung,2,FALSE)</f>
        <v>Exif.Samsung2.</v>
      </c>
      <c r="E1538" s="5" t="str">
        <f>MID(F1538,FIND(".",F1538,6)+1,99)</f>
        <v>FirmwareName</v>
      </c>
      <c r="F1538" s="5" t="s">
        <v>1333</v>
      </c>
      <c r="G1538" s="5" t="s">
        <v>9666</v>
      </c>
      <c r="H1538" s="6" t="s">
        <v>3099</v>
      </c>
      <c r="I1538" s="7" t="s">
        <v>4430</v>
      </c>
      <c r="J1538" s="14" t="s">
        <v>4430</v>
      </c>
      <c r="K1538" s="26"/>
      <c r="N1538" s="6"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6" t="s">
        <v>8574</v>
      </c>
      <c r="P1538" s="6" t="s">
        <v>8574</v>
      </c>
    </row>
    <row r="1539" spans="1:17" x14ac:dyDescent="0.25">
      <c r="A1539" s="5" t="str">
        <f>IF(TRIM(I1539)="","",E1539)</f>
        <v/>
      </c>
      <c r="B1539" s="5" t="str">
        <f>IF(TRIM(J1539)="","",H1539)</f>
        <v/>
      </c>
      <c r="C1539" s="5" t="str">
        <f>LEFT(F1539,FIND(".",F1539,6))</f>
        <v>Exif.Samsung2.</v>
      </c>
      <c r="D1539" s="5" t="str">
        <f>VLOOKUP(C1539,PrefixUebersetzung,2,FALSE)</f>
        <v>Exif.Samsung2.</v>
      </c>
      <c r="E1539" s="5" t="str">
        <f>MID(F1539,FIND(".",F1539,6)+1,99)</f>
        <v>FNumber</v>
      </c>
      <c r="F1539" s="5" t="s">
        <v>1334</v>
      </c>
      <c r="G1539" s="5" t="s">
        <v>9671</v>
      </c>
      <c r="H1539" s="6" t="s">
        <v>2380</v>
      </c>
      <c r="I1539" s="7"/>
      <c r="K1539" s="26"/>
      <c r="L1539" s="6" t="str">
        <f>IFERROR(VLOOKUP(E1539,A:I,9, FALSE),"")</f>
        <v>Blendenzahl</v>
      </c>
      <c r="M1539" s="6" t="str">
        <f>IFERROR(VLOOKUP(H1539,B:J,9,FALSE),"")</f>
        <v>Blendenzahl</v>
      </c>
      <c r="N1539" s="6"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row>
    <row r="1540" spans="1:17" x14ac:dyDescent="0.25">
      <c r="A1540" s="5" t="str">
        <f>IF(TRIM(I1540)="","",E1540)</f>
        <v>FocalLengthIn35mmFormat</v>
      </c>
      <c r="B1540" s="5" t="str">
        <f>IF(TRIM(J1540)="","",H1540)</f>
        <v>Focal length in 35mm format</v>
      </c>
      <c r="C1540" s="5" t="str">
        <f>LEFT(F1540,FIND(".",F1540,6))</f>
        <v>Exif.Samsung2.</v>
      </c>
      <c r="D1540" s="5" t="str">
        <f>VLOOKUP(C1540,PrefixUebersetzung,2,FALSE)</f>
        <v>Exif.Samsung2.</v>
      </c>
      <c r="E1540" s="5" t="str">
        <f>MID(F1540,FIND(".",F1540,6)+1,99)</f>
        <v>FocalLengthIn35mmFormat</v>
      </c>
      <c r="F1540" s="5" t="s">
        <v>1335</v>
      </c>
      <c r="G1540" s="5" t="s">
        <v>9667</v>
      </c>
      <c r="H1540" s="6" t="s">
        <v>3100</v>
      </c>
      <c r="I1540" s="24" t="s">
        <v>4070</v>
      </c>
      <c r="J1540" s="8" t="s">
        <v>4070</v>
      </c>
      <c r="K1540" s="26"/>
      <c r="N1540" s="6"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c r="O1540" s="6" t="s">
        <v>8574</v>
      </c>
      <c r="P1540" s="6" t="s">
        <v>8574</v>
      </c>
    </row>
    <row r="1541" spans="1:17" x14ac:dyDescent="0.25">
      <c r="A1541" s="5" t="str">
        <f>IF(TRIM(I1541)="","",E1541)</f>
        <v/>
      </c>
      <c r="B1541" s="5" t="str">
        <f>IF(TRIM(J1541)="","",H1541)</f>
        <v/>
      </c>
      <c r="C1541" s="5" t="str">
        <f>LEFT(F1541,FIND(".",F1541,6))</f>
        <v>Exif.Samsung2.</v>
      </c>
      <c r="D1541" s="5" t="str">
        <f>VLOOKUP(C1541,PrefixUebersetzung,2,FALSE)</f>
        <v>Exif.Samsung2.</v>
      </c>
      <c r="E1541" s="5" t="str">
        <f>MID(F1541,FIND(".",F1541,6)+1,99)</f>
        <v>ISO</v>
      </c>
      <c r="F1541" s="5" t="s">
        <v>1336</v>
      </c>
      <c r="G1541" s="5" t="s">
        <v>9667</v>
      </c>
      <c r="H1541" s="6" t="s">
        <v>2707</v>
      </c>
      <c r="I1541" s="7"/>
      <c r="K1541" s="26"/>
      <c r="L1541" s="6" t="str">
        <f>IFERROR(VLOOKUP(E1541,A:I,9, FALSE),"")</f>
        <v>ISO</v>
      </c>
      <c r="M1541" s="6" t="str">
        <f>IFERROR(VLOOKUP(H1541,B:J,9,FALSE),"")</f>
        <v>ISO</v>
      </c>
      <c r="N1541" s="6"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row>
    <row r="1542" spans="1:17" x14ac:dyDescent="0.25">
      <c r="A1542" s="5" t="str">
        <f>IF(TRIM(I1542)="","",E1542)</f>
        <v>LensFirmware</v>
      </c>
      <c r="B1542" s="5" t="str">
        <f>IF(TRIM(J1542)="","",H1542)</f>
        <v>Lens firmware</v>
      </c>
      <c r="C1542" s="5" t="str">
        <f>LEFT(F1542,FIND(".",F1542,6))</f>
        <v>Exif.Samsung2.</v>
      </c>
      <c r="D1542" s="5" t="str">
        <f>VLOOKUP(C1542,PrefixUebersetzung,2,FALSE)</f>
        <v>Exif.Samsung2.</v>
      </c>
      <c r="E1542" s="5" t="str">
        <f>MID(F1542,FIND(".",F1542,6)+1,99)</f>
        <v>LensFirmware</v>
      </c>
      <c r="F1542" s="5" t="s">
        <v>1337</v>
      </c>
      <c r="G1542" s="5" t="s">
        <v>9666</v>
      </c>
      <c r="H1542" s="6" t="s">
        <v>3101</v>
      </c>
      <c r="I1542" s="24" t="s">
        <v>4944</v>
      </c>
      <c r="J1542" s="8" t="s">
        <v>4944</v>
      </c>
      <c r="K1542" s="26"/>
      <c r="N1542" s="6"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c r="O1542" s="6" t="s">
        <v>8574</v>
      </c>
      <c r="P1542" s="6" t="s">
        <v>8574</v>
      </c>
    </row>
    <row r="1543" spans="1:17" x14ac:dyDescent="0.25">
      <c r="A1543" s="5" t="str">
        <f>IF(TRIM(I1543)="","",E1543)</f>
        <v/>
      </c>
      <c r="B1543" s="5" t="str">
        <f>IF(TRIM(J1543)="","",H1543)</f>
        <v/>
      </c>
      <c r="C1543" s="5" t="str">
        <f>LEFT(F1543,FIND(".",F1543,6))</f>
        <v>Exif.Samsung2.</v>
      </c>
      <c r="D1543" s="5" t="str">
        <f>VLOOKUP(C1543,PrefixUebersetzung,2,FALSE)</f>
        <v>Exif.Samsung2.</v>
      </c>
      <c r="E1543" s="5" t="str">
        <f>MID(F1543,FIND(".",F1543,6)+1,99)</f>
        <v>LensType</v>
      </c>
      <c r="F1543" s="5" t="s">
        <v>1338</v>
      </c>
      <c r="G1543" s="5" t="s">
        <v>9664</v>
      </c>
      <c r="H1543" s="6" t="s">
        <v>2201</v>
      </c>
      <c r="I1543" s="7"/>
      <c r="K1543" s="26"/>
      <c r="L1543" s="6" t="str">
        <f>IFERROR(VLOOKUP(E1543,A:I,9, FALSE),"")</f>
        <v>Objektiv Typ</v>
      </c>
      <c r="M1543" s="6" t="str">
        <f>IFERROR(VLOOKUP(H1543,B:J,9,FALSE),"")</f>
        <v>Objektiv Typ</v>
      </c>
      <c r="N1543" s="6"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row>
    <row r="1544" spans="1:17" x14ac:dyDescent="0.25">
      <c r="A1544" s="5" t="str">
        <f>IF(TRIM(I1544)="","",E1544)</f>
        <v>LocalLocationName</v>
      </c>
      <c r="B1544" s="5" t="str">
        <f>IF(TRIM(J1544)="","",H1544)</f>
        <v>Local location name</v>
      </c>
      <c r="C1544" s="5" t="str">
        <f>LEFT(F1544,FIND(".",F1544,6))</f>
        <v>Exif.Samsung2.</v>
      </c>
      <c r="D1544" s="5" t="str">
        <f>VLOOKUP(C1544,PrefixUebersetzung,2,FALSE)</f>
        <v>Exif.Samsung2.</v>
      </c>
      <c r="E1544" s="5" t="str">
        <f>MID(F1544,FIND(".",F1544,6)+1,99)</f>
        <v>LocalLocationName</v>
      </c>
      <c r="F1544" s="5" t="s">
        <v>1339</v>
      </c>
      <c r="G1544" s="5" t="s">
        <v>9666</v>
      </c>
      <c r="H1544" s="6" t="s">
        <v>3102</v>
      </c>
      <c r="I1544" s="24" t="s">
        <v>4071</v>
      </c>
      <c r="J1544" s="8" t="s">
        <v>4071</v>
      </c>
      <c r="K1544" s="26"/>
      <c r="N1544" s="6"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6" t="s">
        <v>8574</v>
      </c>
      <c r="P1544" s="6" t="s">
        <v>8574</v>
      </c>
    </row>
    <row r="1545" spans="1:17" x14ac:dyDescent="0.25">
      <c r="A1545" s="5" t="str">
        <f>IF(TRIM(I1545)="","",E1545)</f>
        <v>LocationName</v>
      </c>
      <c r="B1545" s="5" t="str">
        <f>IF(TRIM(J1545)="","",H1545)</f>
        <v>Location name</v>
      </c>
      <c r="C1545" s="5" t="str">
        <f>LEFT(F1545,FIND(".",F1545,6))</f>
        <v>Exif.Samsung2.</v>
      </c>
      <c r="D1545" s="5" t="str">
        <f>VLOOKUP(C1545,PrefixUebersetzung,2,FALSE)</f>
        <v>Exif.Samsung2.</v>
      </c>
      <c r="E1545" s="5" t="str">
        <f>MID(F1545,FIND(".",F1545,6)+1,99)</f>
        <v>LocationName</v>
      </c>
      <c r="F1545" s="5" t="s">
        <v>1340</v>
      </c>
      <c r="G1545" s="5" t="s">
        <v>9666</v>
      </c>
      <c r="H1545" s="6" t="s">
        <v>3103</v>
      </c>
      <c r="I1545" s="24" t="s">
        <v>4431</v>
      </c>
      <c r="J1545" s="8" t="s">
        <v>4431</v>
      </c>
      <c r="K1545" s="26"/>
      <c r="L1545" s="6" t="str">
        <f>IFERROR(VLOOKUP(E1545,A:I,9, FALSE),"")</f>
        <v>Ortsname</v>
      </c>
      <c r="N1545" s="6"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6" t="s">
        <v>8574</v>
      </c>
      <c r="P1545" s="6" t="s">
        <v>8574</v>
      </c>
      <c r="Q1545" s="6" t="s">
        <v>4431</v>
      </c>
    </row>
    <row r="1546" spans="1:17" x14ac:dyDescent="0.25">
      <c r="A1546" s="5" t="str">
        <f>IF(TRIM(I1546)="","",E1546)</f>
        <v/>
      </c>
      <c r="B1546" s="5" t="str">
        <f>IF(TRIM(J1546)="","",H1546)</f>
        <v/>
      </c>
      <c r="C1546" s="5" t="str">
        <f>LEFT(F1546,FIND(".",F1546,6))</f>
        <v>Exif.Samsung2.</v>
      </c>
      <c r="D1546" s="5" t="str">
        <f>VLOOKUP(C1546,PrefixUebersetzung,2,FALSE)</f>
        <v>Exif.Samsung2.</v>
      </c>
      <c r="E1546" s="5" t="str">
        <f>MID(F1546,FIND(".",F1546,6)+1,99)</f>
        <v>PictureWizard</v>
      </c>
      <c r="F1546" s="5" t="s">
        <v>1341</v>
      </c>
      <c r="G1546" s="5" t="s">
        <v>9664</v>
      </c>
      <c r="H1546" s="6" t="s">
        <v>3104</v>
      </c>
      <c r="I1546" s="7"/>
      <c r="K1546" s="26"/>
      <c r="N1546" s="6"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xml:space="preserve">Suffix not translated Description not translated </v>
      </c>
      <c r="O1546" s="6" t="s">
        <v>8574</v>
      </c>
      <c r="P1546" s="6" t="s">
        <v>8574</v>
      </c>
    </row>
    <row r="1547" spans="1:17" ht="30" x14ac:dyDescent="0.25">
      <c r="A1547" s="5" t="str">
        <f>IF(TRIM(I1547)="","",E1547)</f>
        <v/>
      </c>
      <c r="B1547" s="5" t="str">
        <f>IF(TRIM(J1547)="","",H1547)</f>
        <v/>
      </c>
      <c r="C1547" s="5" t="str">
        <f>LEFT(F1547,FIND(".",F1547,6))</f>
        <v>Exif.Samsung2.</v>
      </c>
      <c r="D1547" s="5" t="str">
        <f>VLOOKUP(C1547,PrefixUebersetzung,2,FALSE)</f>
        <v>Exif.Samsung2.</v>
      </c>
      <c r="E1547" s="5" t="str">
        <f>MID(F1547,FIND(".",F1547,6)+1,99)</f>
        <v>Preview</v>
      </c>
      <c r="F1547" s="5" t="s">
        <v>1342</v>
      </c>
      <c r="G1547" s="5" t="s">
        <v>9667</v>
      </c>
      <c r="H1547" s="6" t="s">
        <v>2654</v>
      </c>
      <c r="I1547" s="5"/>
      <c r="K1547" s="26"/>
      <c r="L1547" s="6" t="str">
        <f>IFERROR(VLOOKUP(E1547,A:I,9, FALSE),"")</f>
        <v>Vorschau</v>
      </c>
      <c r="M1547" s="6" t="str">
        <f>IFERROR(VLOOKUP(H1547,B:J,9,FALSE),"")</f>
        <v>Offset zu einem IFD mit einem Vorschaubild</v>
      </c>
      <c r="N1547" s="6"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row>
    <row r="1548" spans="1:17" x14ac:dyDescent="0.25">
      <c r="A1548" s="5" t="str">
        <f>IF(TRIM(I1548)="","",E1548)</f>
        <v>SensorAreas</v>
      </c>
      <c r="B1548" s="5" t="str">
        <f>IF(TRIM(J1548)="","",H1548)</f>
        <v>Sensor areas</v>
      </c>
      <c r="C1548" s="5" t="str">
        <f>LEFT(F1548,FIND(".",F1548,6))</f>
        <v>Exif.Samsung2.</v>
      </c>
      <c r="D1548" s="5" t="str">
        <f>VLOOKUP(C1548,PrefixUebersetzung,2,FALSE)</f>
        <v>Exif.Samsung2.</v>
      </c>
      <c r="E1548" s="5" t="str">
        <f>MID(F1548,FIND(".",F1548,6)+1,99)</f>
        <v>SensorAreas</v>
      </c>
      <c r="F1548" s="5" t="s">
        <v>1343</v>
      </c>
      <c r="G1548" s="5" t="s">
        <v>9667</v>
      </c>
      <c r="H1548" s="6" t="s">
        <v>3105</v>
      </c>
      <c r="I1548" s="24" t="s">
        <v>5139</v>
      </c>
      <c r="J1548" s="14" t="s">
        <v>4072</v>
      </c>
      <c r="K1548" s="26"/>
      <c r="N1548" s="6"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O1548" s="6" t="s">
        <v>8574</v>
      </c>
      <c r="P1548" s="6" t="s">
        <v>8574</v>
      </c>
    </row>
    <row r="1549" spans="1:17" x14ac:dyDescent="0.25">
      <c r="A1549" s="5" t="str">
        <f>IF(TRIM(I1549)="","",E1549)</f>
        <v/>
      </c>
      <c r="B1549" s="5" t="str">
        <f>IF(TRIM(J1549)="","",H1549)</f>
        <v/>
      </c>
      <c r="C1549" s="5" t="str">
        <f>LEFT(F1549,FIND(".",F1549,6))</f>
        <v>Exif.Samsung2.</v>
      </c>
      <c r="D1549" s="5" t="str">
        <f>VLOOKUP(C1549,PrefixUebersetzung,2,FALSE)</f>
        <v>Exif.Samsung2.</v>
      </c>
      <c r="E1549" s="5" t="str">
        <f>MID(F1549,FIND(".",F1549,6)+1,99)</f>
        <v>SmartRange</v>
      </c>
      <c r="F1549" s="5" t="s">
        <v>1344</v>
      </c>
      <c r="G1549" s="5" t="s">
        <v>9664</v>
      </c>
      <c r="H1549" s="6" t="s">
        <v>3106</v>
      </c>
      <c r="I1549" s="7"/>
      <c r="K1549" s="26"/>
      <c r="N1549" s="6"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xml:space="preserve">Suffix not translated Description not translated </v>
      </c>
      <c r="O1549" s="6" t="s">
        <v>8574</v>
      </c>
      <c r="P1549" s="6" t="s">
        <v>8574</v>
      </c>
    </row>
    <row r="1550" spans="1:17" x14ac:dyDescent="0.25">
      <c r="A1550" s="5" t="str">
        <f>IF(TRIM(I1550)="","",E1550)</f>
        <v>ToneCurve1</v>
      </c>
      <c r="B1550" s="5" t="str">
        <f>IF(TRIM(J1550)="","",H1550)</f>
        <v>Tone curve 1</v>
      </c>
      <c r="C1550" s="5" t="str">
        <f>LEFT(F1550,FIND(".",F1550,6))</f>
        <v>Exif.Samsung2.</v>
      </c>
      <c r="D1550" s="5" t="str">
        <f>VLOOKUP(C1550,PrefixUebersetzung,2,FALSE)</f>
        <v>Exif.Samsung2.</v>
      </c>
      <c r="E1550" s="5" t="str">
        <f>MID(F1550,FIND(".",F1550,6)+1,99)</f>
        <v>ToneCurve1</v>
      </c>
      <c r="F1550" s="5" t="s">
        <v>1345</v>
      </c>
      <c r="G1550" s="5" t="s">
        <v>9667</v>
      </c>
      <c r="H1550" s="6" t="s">
        <v>3107</v>
      </c>
      <c r="I1550" s="7" t="s">
        <v>5094</v>
      </c>
      <c r="J1550" s="14" t="s">
        <v>4073</v>
      </c>
      <c r="K1550" s="26"/>
      <c r="N1550" s="6"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6" t="s">
        <v>8574</v>
      </c>
      <c r="P1550" s="6" t="s">
        <v>8574</v>
      </c>
    </row>
    <row r="1551" spans="1:17" x14ac:dyDescent="0.25">
      <c r="A1551" s="5" t="str">
        <f>IF(TRIM(I1551)="","",E1551)</f>
        <v>ToneCurve2</v>
      </c>
      <c r="B1551" s="5" t="str">
        <f>IF(TRIM(J1551)="","",H1551)</f>
        <v>Tone curve 2</v>
      </c>
      <c r="C1551" s="5" t="str">
        <f>LEFT(F1551,FIND(".",F1551,6))</f>
        <v>Exif.Samsung2.</v>
      </c>
      <c r="D1551" s="5" t="str">
        <f>VLOOKUP(C1551,PrefixUebersetzung,2,FALSE)</f>
        <v>Exif.Samsung2.</v>
      </c>
      <c r="E1551" s="5" t="str">
        <f>MID(F1551,FIND(".",F1551,6)+1,99)</f>
        <v>ToneCurve2</v>
      </c>
      <c r="F1551" s="5" t="s">
        <v>1346</v>
      </c>
      <c r="G1551" s="5" t="s">
        <v>9667</v>
      </c>
      <c r="H1551" s="6" t="s">
        <v>3108</v>
      </c>
      <c r="I1551" s="7" t="s">
        <v>5095</v>
      </c>
      <c r="J1551" s="14" t="s">
        <v>4074</v>
      </c>
      <c r="K1551" s="26"/>
      <c r="N1551" s="6"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c r="O1551" s="6" t="s">
        <v>8574</v>
      </c>
      <c r="P1551" s="6" t="s">
        <v>8574</v>
      </c>
    </row>
    <row r="1552" spans="1:17" x14ac:dyDescent="0.25">
      <c r="A1552" s="5" t="str">
        <f>IF(TRIM(I1552)="","",E1552)</f>
        <v>ToneCurve3</v>
      </c>
      <c r="B1552" s="5" t="str">
        <f>IF(TRIM(J1552)="","",H1552)</f>
        <v>Tone curve 3</v>
      </c>
      <c r="C1552" s="5" t="str">
        <f>LEFT(F1552,FIND(".",F1552,6))</f>
        <v>Exif.Samsung2.</v>
      </c>
      <c r="D1552" s="5" t="str">
        <f>VLOOKUP(C1552,PrefixUebersetzung,2,FALSE)</f>
        <v>Exif.Samsung2.</v>
      </c>
      <c r="E1552" s="5" t="str">
        <f>MID(F1552,FIND(".",F1552,6)+1,99)</f>
        <v>ToneCurve3</v>
      </c>
      <c r="F1552" s="5" t="s">
        <v>1347</v>
      </c>
      <c r="G1552" s="5" t="s">
        <v>9667</v>
      </c>
      <c r="H1552" s="6" t="s">
        <v>3109</v>
      </c>
      <c r="I1552" s="7" t="s">
        <v>5096</v>
      </c>
      <c r="J1552" s="14" t="s">
        <v>4075</v>
      </c>
      <c r="K1552" s="26"/>
      <c r="N1552" s="6"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O1552" s="6" t="s">
        <v>8574</v>
      </c>
      <c r="P1552" s="6" t="s">
        <v>8574</v>
      </c>
    </row>
    <row r="1553" spans="1:17" x14ac:dyDescent="0.25">
      <c r="A1553" s="5" t="str">
        <f>IF(TRIM(I1553)="","",E1553)</f>
        <v>ToneCurve4</v>
      </c>
      <c r="B1553" s="5" t="str">
        <f>IF(TRIM(J1553)="","",H1553)</f>
        <v>Tone curve 4</v>
      </c>
      <c r="C1553" s="5" t="str">
        <f>LEFT(F1553,FIND(".",F1553,6))</f>
        <v>Exif.Samsung2.</v>
      </c>
      <c r="D1553" s="5" t="str">
        <f>VLOOKUP(C1553,PrefixUebersetzung,2,FALSE)</f>
        <v>Exif.Samsung2.</v>
      </c>
      <c r="E1553" s="5" t="str">
        <f>MID(F1553,FIND(".",F1553,6)+1,99)</f>
        <v>ToneCurve4</v>
      </c>
      <c r="F1553" s="5" t="s">
        <v>1348</v>
      </c>
      <c r="G1553" s="5" t="s">
        <v>9667</v>
      </c>
      <c r="H1553" s="6" t="s">
        <v>3110</v>
      </c>
      <c r="I1553" s="7" t="s">
        <v>5097</v>
      </c>
      <c r="J1553" s="14" t="s">
        <v>4076</v>
      </c>
      <c r="K1553" s="26"/>
      <c r="N1553" s="6"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c r="O1553" s="6" t="s">
        <v>8574</v>
      </c>
      <c r="P1553" s="6" t="s">
        <v>8574</v>
      </c>
    </row>
    <row r="1554" spans="1:17" x14ac:dyDescent="0.25">
      <c r="A1554" s="5" t="str">
        <f>IF(TRIM(I1554)="","",E1554)</f>
        <v/>
      </c>
      <c r="B1554" s="5" t="str">
        <f>IF(TRIM(J1554)="","",H1554)</f>
        <v/>
      </c>
      <c r="C1554" s="5" t="str">
        <f>LEFT(F1554,FIND(".",F1554,6))</f>
        <v>Exif.Samsung2.</v>
      </c>
      <c r="D1554" s="5" t="str">
        <f>VLOOKUP(C1554,PrefixUebersetzung,2,FALSE)</f>
        <v>Exif.Samsung2.</v>
      </c>
      <c r="E1554" s="5" t="str">
        <f>MID(F1554,FIND(".",F1554,6)+1,99)</f>
        <v>Version</v>
      </c>
      <c r="F1554" s="5" t="s">
        <v>1349</v>
      </c>
      <c r="G1554" s="5" t="s">
        <v>9669</v>
      </c>
      <c r="H1554" s="6" t="s">
        <v>3111</v>
      </c>
      <c r="I1554" s="7"/>
      <c r="K1554" s="26"/>
      <c r="L1554" s="6" t="str">
        <f>IFERROR(VLOOKUP(E1554,A:I,9, FALSE),"")</f>
        <v>Version</v>
      </c>
      <c r="M1554" s="6" t="str">
        <f>IFERROR(VLOOKUP(H1554,B:J,9,FALSE),"")</f>
        <v>Herstellernotiz Version</v>
      </c>
      <c r="N1554" s="6"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c>
    </row>
    <row r="1555" spans="1:17" x14ac:dyDescent="0.25">
      <c r="A1555" s="5" t="str">
        <f>IF(TRIM(I1555)="","",E1555)</f>
        <v>WB_RGGBLevelsAuto</v>
      </c>
      <c r="B1555" s="5" t="str">
        <f>IF(TRIM(J1555)="","",H1555)</f>
        <v>WB RGGB levels auto</v>
      </c>
      <c r="C1555" s="5" t="str">
        <f>LEFT(F1555,FIND(".",F1555,6))</f>
        <v>Exif.Samsung2.</v>
      </c>
      <c r="D1555" s="5" t="str">
        <f>VLOOKUP(C1555,PrefixUebersetzung,2,FALSE)</f>
        <v>Exif.Samsung2.</v>
      </c>
      <c r="E1555" s="5" t="str">
        <f>MID(F1555,FIND(".",F1555,6)+1,99)</f>
        <v>WB_RGGBLevelsAuto</v>
      </c>
      <c r="F1555" s="5" t="s">
        <v>1350</v>
      </c>
      <c r="G1555" s="5" t="s">
        <v>9667</v>
      </c>
      <c r="H1555" s="6" t="s">
        <v>3112</v>
      </c>
      <c r="I1555" s="7" t="s">
        <v>4432</v>
      </c>
      <c r="J1555" s="14" t="s">
        <v>4432</v>
      </c>
      <c r="K1555" s="26"/>
      <c r="N1555" s="6"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c r="O1555" s="6" t="s">
        <v>8574</v>
      </c>
      <c r="P1555" s="6" t="s">
        <v>8574</v>
      </c>
    </row>
    <row r="1556" spans="1:17" x14ac:dyDescent="0.25">
      <c r="A1556" s="5" t="str">
        <f>IF(TRIM(I1556)="","",E1556)</f>
        <v>WB_RGGBLevelsBlack</v>
      </c>
      <c r="B1556" s="5" t="str">
        <f>IF(TRIM(J1556)="","",H1556)</f>
        <v>WB RGGB levels black</v>
      </c>
      <c r="C1556" s="5" t="str">
        <f>LEFT(F1556,FIND(".",F1556,6))</f>
        <v>Exif.Samsung2.</v>
      </c>
      <c r="D1556" s="5" t="str">
        <f>VLOOKUP(C1556,PrefixUebersetzung,2,FALSE)</f>
        <v>Exif.Samsung2.</v>
      </c>
      <c r="E1556" s="5" t="str">
        <f>MID(F1556,FIND(".",F1556,6)+1,99)</f>
        <v>WB_RGGBLevelsBlack</v>
      </c>
      <c r="F1556" s="5" t="s">
        <v>1351</v>
      </c>
      <c r="G1556" s="5" t="s">
        <v>9668</v>
      </c>
      <c r="H1556" s="6" t="s">
        <v>3113</v>
      </c>
      <c r="I1556" s="7" t="s">
        <v>4433</v>
      </c>
      <c r="J1556" s="14" t="s">
        <v>4433</v>
      </c>
      <c r="K1556" s="26"/>
      <c r="N1556" s="6"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6" t="s">
        <v>8574</v>
      </c>
      <c r="P1556" s="6" t="s">
        <v>8574</v>
      </c>
    </row>
    <row r="1557" spans="1:17" x14ac:dyDescent="0.25">
      <c r="A1557" s="5" t="str">
        <f>IF(TRIM(I1557)="","",E1557)</f>
        <v>WB_RGGBLevelsIlluminator1</v>
      </c>
      <c r="B1557" s="5" t="str">
        <f>IF(TRIM(J1557)="","",H1557)</f>
        <v>WB RGGB levels illuminator1</v>
      </c>
      <c r="C1557" s="5" t="str">
        <f>LEFT(F1557,FIND(".",F1557,6))</f>
        <v>Exif.Samsung2.</v>
      </c>
      <c r="D1557" s="5" t="str">
        <f>VLOOKUP(C1557,PrefixUebersetzung,2,FALSE)</f>
        <v>Exif.Samsung2.</v>
      </c>
      <c r="E1557" s="5" t="str">
        <f>MID(F1557,FIND(".",F1557,6)+1,99)</f>
        <v>WB_RGGBLevelsIlluminator1</v>
      </c>
      <c r="F1557" s="5" t="s">
        <v>1352</v>
      </c>
      <c r="G1557" s="5" t="s">
        <v>9667</v>
      </c>
      <c r="H1557" s="6" t="s">
        <v>3114</v>
      </c>
      <c r="I1557" s="7" t="s">
        <v>4435</v>
      </c>
      <c r="J1557" s="14" t="s">
        <v>4435</v>
      </c>
      <c r="K1557" s="26"/>
      <c r="N1557" s="6"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O1557" s="6" t="s">
        <v>8574</v>
      </c>
      <c r="P1557" s="6" t="s">
        <v>8574</v>
      </c>
    </row>
    <row r="1558" spans="1:17" x14ac:dyDescent="0.25">
      <c r="A1558" s="5" t="str">
        <f>IF(TRIM(I1558)="","",E1558)</f>
        <v>WB_RGGBLevelsIlluminator2</v>
      </c>
      <c r="B1558" s="5" t="str">
        <f>IF(TRIM(J1558)="","",H1558)</f>
        <v>WB RGGB levels illuminator2</v>
      </c>
      <c r="C1558" s="5" t="str">
        <f>LEFT(F1558,FIND(".",F1558,6))</f>
        <v>Exif.Samsung2.</v>
      </c>
      <c r="D1558" s="5" t="str">
        <f>VLOOKUP(C1558,PrefixUebersetzung,2,FALSE)</f>
        <v>Exif.Samsung2.</v>
      </c>
      <c r="E1558" s="5" t="str">
        <f>MID(F1558,FIND(".",F1558,6)+1,99)</f>
        <v>WB_RGGBLevelsIlluminator2</v>
      </c>
      <c r="F1558" s="5" t="s">
        <v>1353</v>
      </c>
      <c r="G1558" s="5" t="s">
        <v>9667</v>
      </c>
      <c r="H1558" s="6" t="s">
        <v>3115</v>
      </c>
      <c r="I1558" s="7" t="s">
        <v>4434</v>
      </c>
      <c r="J1558" s="14" t="s">
        <v>4434</v>
      </c>
      <c r="K1558" s="26"/>
      <c r="N1558" s="6"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6" t="s">
        <v>8574</v>
      </c>
      <c r="P1558" s="6" t="s">
        <v>8574</v>
      </c>
    </row>
    <row r="1559" spans="1:17" ht="30" x14ac:dyDescent="0.25">
      <c r="A1559" s="5" t="str">
        <f>IF(TRIM(I1559)="","",E1559)</f>
        <v>WB_RGGBLevelsUncorrected</v>
      </c>
      <c r="B1559" s="5" t="str">
        <f>IF(TRIM(J1559)="","",H1559)</f>
        <v>WB RGGB levels not corrected for WB_RGGBLevelsBlack</v>
      </c>
      <c r="C1559" s="5" t="str">
        <f>LEFT(F1559,FIND(".",F1559,6))</f>
        <v>Exif.Samsung2.</v>
      </c>
      <c r="D1559" s="5" t="str">
        <f>VLOOKUP(C1559,PrefixUebersetzung,2,FALSE)</f>
        <v>Exif.Samsung2.</v>
      </c>
      <c r="E1559" s="5" t="str">
        <f>MID(F1559,FIND(".",F1559,6)+1,99)</f>
        <v>WB_RGGBLevelsUncorrected</v>
      </c>
      <c r="F1559" s="5" t="s">
        <v>1354</v>
      </c>
      <c r="G1559" s="5" t="s">
        <v>9667</v>
      </c>
      <c r="H1559" s="6" t="s">
        <v>3116</v>
      </c>
      <c r="I1559" s="7" t="s">
        <v>4436</v>
      </c>
      <c r="J1559" s="14" t="s">
        <v>5216</v>
      </c>
      <c r="K1559" s="26"/>
      <c r="N1559" s="6"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O1559" s="6" t="s">
        <v>8574</v>
      </c>
      <c r="P1559" s="6" t="s">
        <v>8574</v>
      </c>
    </row>
    <row r="1560" spans="1:17" x14ac:dyDescent="0.25">
      <c r="A1560" s="5" t="str">
        <f>IF(TRIM(I1560)="","",E1560)</f>
        <v/>
      </c>
      <c r="B1560" s="5" t="str">
        <f>IF(TRIM(J1560)="","",H1560)</f>
        <v>Color</v>
      </c>
      <c r="C1560" s="5" t="str">
        <f>LEFT(F1560,FIND(".",F1560,6))</f>
        <v>Exif.SamsungPictureWizard.</v>
      </c>
      <c r="D1560" s="5" t="str">
        <f>VLOOKUP(C1560,PrefixUebersetzung,2,FALSE)</f>
        <v>Exif.SamsungPictureWizard.</v>
      </c>
      <c r="E1560" s="5" t="str">
        <f>MID(F1560,FIND(".",F1560,6)+1,99)</f>
        <v>Color</v>
      </c>
      <c r="F1560" s="5" t="s">
        <v>1355</v>
      </c>
      <c r="G1560" s="5" t="s">
        <v>9664</v>
      </c>
      <c r="H1560" s="6" t="s">
        <v>3117</v>
      </c>
      <c r="I1560" s="24"/>
      <c r="J1560" s="8" t="s">
        <v>4077</v>
      </c>
      <c r="K1560" s="26"/>
      <c r="L1560" s="6" t="str">
        <f>IFERROR(VLOOKUP(E1560,A:I,9, FALSE),"")</f>
        <v>Farbe</v>
      </c>
      <c r="N1560" s="6"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c r="P1560" s="6" t="s">
        <v>8574</v>
      </c>
      <c r="Q1560" s="6" t="s">
        <v>4077</v>
      </c>
    </row>
    <row r="1561" spans="1:17" x14ac:dyDescent="0.25">
      <c r="A1561" s="5" t="str">
        <f>IF(TRIM(I1561)="","",E1561)</f>
        <v/>
      </c>
      <c r="B1561" s="5" t="str">
        <f>IF(TRIM(J1561)="","",H1561)</f>
        <v/>
      </c>
      <c r="C1561" s="5" t="str">
        <f>LEFT(F1561,FIND(".",F1561,6))</f>
        <v>Exif.SamsungPictureWizard.</v>
      </c>
      <c r="D1561" s="5" t="str">
        <f>VLOOKUP(C1561,PrefixUebersetzung,2,FALSE)</f>
        <v>Exif.SamsungPictureWizard.</v>
      </c>
      <c r="E1561" s="5" t="str">
        <f>MID(F1561,FIND(".",F1561,6)+1,99)</f>
        <v>Contrast</v>
      </c>
      <c r="F1561" s="5" t="s">
        <v>1356</v>
      </c>
      <c r="G1561" s="5" t="s">
        <v>9664</v>
      </c>
      <c r="H1561" s="6" t="s">
        <v>2549</v>
      </c>
      <c r="K1561" s="26"/>
      <c r="L1561" s="6" t="str">
        <f>IFERROR(VLOOKUP(E1561,A:I,9, FALSE),"")</f>
        <v>Kontrast</v>
      </c>
      <c r="M1561" s="6" t="str">
        <f>IFERROR(VLOOKUP(H1561,B:J,9,FALSE),"")</f>
        <v>Kontrast</v>
      </c>
      <c r="N1561" s="6"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row>
    <row r="1562" spans="1:17" x14ac:dyDescent="0.25">
      <c r="A1562" s="5" t="str">
        <f>IF(TRIM(I1562)="","",E1562)</f>
        <v/>
      </c>
      <c r="B1562" s="5" t="str">
        <f>IF(TRIM(J1562)="","",H1562)</f>
        <v>Mode</v>
      </c>
      <c r="C1562" s="5" t="str">
        <f>LEFT(F1562,FIND(".",F1562,6))</f>
        <v>Exif.SamsungPictureWizard.</v>
      </c>
      <c r="D1562" s="5" t="str">
        <f>VLOOKUP(C1562,PrefixUebersetzung,2,FALSE)</f>
        <v>Exif.SamsungPictureWizard.</v>
      </c>
      <c r="E1562" s="5" t="str">
        <f>MID(F1562,FIND(".",F1562,6)+1,99)</f>
        <v>Mode</v>
      </c>
      <c r="F1562" s="5" t="s">
        <v>1357</v>
      </c>
      <c r="G1562" s="5" t="s">
        <v>9664</v>
      </c>
      <c r="H1562" s="6" t="s">
        <v>3118</v>
      </c>
      <c r="I1562" s="24"/>
      <c r="J1562" s="8" t="s">
        <v>4078</v>
      </c>
      <c r="K1562" s="26"/>
      <c r="L1562" s="6" t="str">
        <f>IFERROR(VLOOKUP(E1562,A:I,9, FALSE),"")</f>
        <v>Modus</v>
      </c>
      <c r="N1562" s="6"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c r="P1562" s="6" t="s">
        <v>8574</v>
      </c>
    </row>
    <row r="1563" spans="1:17" x14ac:dyDescent="0.25">
      <c r="A1563" s="5" t="str">
        <f>IF(TRIM(I1563)="","",E1563)</f>
        <v/>
      </c>
      <c r="B1563" s="5" t="str">
        <f>IF(TRIM(J1563)="","",H1563)</f>
        <v/>
      </c>
      <c r="C1563" s="5" t="str">
        <f>LEFT(F1563,FIND(".",F1563,6))</f>
        <v>Exif.SamsungPictureWizard.</v>
      </c>
      <c r="D1563" s="5" t="str">
        <f>VLOOKUP(C1563,PrefixUebersetzung,2,FALSE)</f>
        <v>Exif.SamsungPictureWizard.</v>
      </c>
      <c r="E1563" s="5" t="str">
        <f>MID(F1563,FIND(".",F1563,6)+1,99)</f>
        <v>Saturation</v>
      </c>
      <c r="F1563" s="5" t="s">
        <v>1358</v>
      </c>
      <c r="G1563" s="5" t="s">
        <v>9664</v>
      </c>
      <c r="H1563" s="6" t="s">
        <v>2567</v>
      </c>
      <c r="I1563" s="24"/>
      <c r="J1563" s="8"/>
      <c r="K1563" s="26"/>
      <c r="L1563" s="6" t="str">
        <f>IFERROR(VLOOKUP(E1563,A:I,9, FALSE),"")</f>
        <v>Sättigung</v>
      </c>
      <c r="M1563" s="6" t="str">
        <f>IFERROR(VLOOKUP(H1563,B:J,9,FALSE),"")</f>
        <v>Sättigung</v>
      </c>
      <c r="N1563" s="6"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5" t="str">
        <f>IF(TRIM(I1564)="","",E1564)</f>
        <v/>
      </c>
      <c r="B1564" s="5" t="str">
        <f>IF(TRIM(J1564)="","",H1564)</f>
        <v/>
      </c>
      <c r="C1564" s="5" t="str">
        <f>LEFT(F1564,FIND(".",F1564,6))</f>
        <v>Exif.SamsungPictureWizard.</v>
      </c>
      <c r="D1564" s="5" t="str">
        <f>VLOOKUP(C1564,PrefixUebersetzung,2,FALSE)</f>
        <v>Exif.SamsungPictureWizard.</v>
      </c>
      <c r="E1564" s="5" t="str">
        <f>MID(F1564,FIND(".",F1564,6)+1,99)</f>
        <v>Sharpness</v>
      </c>
      <c r="F1564" s="5" t="s">
        <v>1359</v>
      </c>
      <c r="G1564" s="5" t="s">
        <v>9664</v>
      </c>
      <c r="H1564" s="6" t="s">
        <v>2245</v>
      </c>
      <c r="I1564" s="24"/>
      <c r="J1564" s="8"/>
      <c r="K1564" s="26"/>
      <c r="L1564" s="6" t="str">
        <f>IFERROR(VLOOKUP(E1564,A:I,9, FALSE),"")</f>
        <v>Schärfe</v>
      </c>
      <c r="M1564" s="6" t="str">
        <f>IFERROR(VLOOKUP(H1564,B:J,9,FALSE),"")</f>
        <v>Schärfe</v>
      </c>
      <c r="N1564" s="6"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5" t="str">
        <f>IF(TRIM(I1565)="","",E1565)</f>
        <v>AdjustmentMode</v>
      </c>
      <c r="B1565" s="5" t="str">
        <f>IF(TRIM(J1565)="","",H1565)</f>
        <v>Adjustment mode</v>
      </c>
      <c r="C1565" s="5" t="str">
        <f>LEFT(F1565,FIND(".",F1565,6))</f>
        <v>Exif.Sigma.</v>
      </c>
      <c r="D1565" s="5" t="str">
        <f>VLOOKUP(C1565,PrefixUebersetzung,2,FALSE)</f>
        <v>Exif.Sigma.</v>
      </c>
      <c r="E1565" s="5" t="str">
        <f>MID(F1565,FIND(".",F1565,6)+1,99)</f>
        <v>AdjustmentMode</v>
      </c>
      <c r="F1565" s="5" t="s">
        <v>1360</v>
      </c>
      <c r="G1565" s="5" t="s">
        <v>9666</v>
      </c>
      <c r="H1565" s="6" t="s">
        <v>3119</v>
      </c>
      <c r="I1565" s="24" t="s">
        <v>4079</v>
      </c>
      <c r="J1565" s="8" t="s">
        <v>4079</v>
      </c>
      <c r="K1565" s="26"/>
      <c r="N1565" s="6"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c r="O1565" s="6" t="s">
        <v>8574</v>
      </c>
      <c r="P1565" s="6" t="s">
        <v>8574</v>
      </c>
      <c r="Q1565" s="6" t="s">
        <v>9128</v>
      </c>
    </row>
    <row r="1566" spans="1:17" x14ac:dyDescent="0.25">
      <c r="A1566" s="5" t="str">
        <f>IF(TRIM(I1566)="","",E1566)</f>
        <v>AutoBracket</v>
      </c>
      <c r="B1566" s="5" t="str">
        <f>IF(TRIM(J1566)="","",H1566)</f>
        <v>Auto bracket</v>
      </c>
      <c r="C1566" s="5" t="str">
        <f>LEFT(F1566,FIND(".",F1566,6))</f>
        <v>Exif.Sigma.</v>
      </c>
      <c r="D1566" s="5" t="str">
        <f>VLOOKUP(C1566,PrefixUebersetzung,2,FALSE)</f>
        <v>Exif.Sigma.</v>
      </c>
      <c r="E1566" s="5" t="str">
        <f>MID(F1566,FIND(".",F1566,6)+1,99)</f>
        <v>AutoBracket</v>
      </c>
      <c r="F1566" s="5" t="s">
        <v>1361</v>
      </c>
      <c r="G1566" s="5" t="s">
        <v>9666</v>
      </c>
      <c r="H1566" s="6" t="s">
        <v>3120</v>
      </c>
      <c r="I1566" s="7" t="s">
        <v>5113</v>
      </c>
      <c r="J1566" s="14" t="s">
        <v>5113</v>
      </c>
      <c r="K1566" s="26"/>
      <c r="N1566" s="6"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c r="O1566" s="6" t="s">
        <v>8574</v>
      </c>
      <c r="P1566" s="6" t="s">
        <v>8574</v>
      </c>
      <c r="Q1566" s="6" t="s">
        <v>9145</v>
      </c>
    </row>
    <row r="1567" spans="1:17" x14ac:dyDescent="0.25">
      <c r="A1567" s="5" t="str">
        <f>IF(TRIM(I1567)="","",E1567)</f>
        <v>AutofocusMode</v>
      </c>
      <c r="B1567" s="5" t="str">
        <f>IF(TRIM(J1567)="","",H1567)</f>
        <v>Autofocus mode</v>
      </c>
      <c r="C1567" s="5" t="str">
        <f>LEFT(F1567,FIND(".",F1567,6))</f>
        <v>Exif.Sigma.</v>
      </c>
      <c r="D1567" s="5" t="str">
        <f>VLOOKUP(C1567,PrefixUebersetzung,2,FALSE)</f>
        <v>Exif.Sigma.</v>
      </c>
      <c r="E1567" s="5" t="str">
        <f>MID(F1567,FIND(".",F1567,6)+1,99)</f>
        <v>AutofocusMode</v>
      </c>
      <c r="F1567" s="5" t="s">
        <v>1362</v>
      </c>
      <c r="G1567" s="5" t="s">
        <v>9666</v>
      </c>
      <c r="H1567" s="6" t="s">
        <v>3121</v>
      </c>
      <c r="I1567" s="24" t="s">
        <v>4030</v>
      </c>
      <c r="J1567" s="8" t="s">
        <v>5217</v>
      </c>
      <c r="K1567" s="26"/>
      <c r="N1567" s="6"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c r="O1567" s="6" t="s">
        <v>8574</v>
      </c>
      <c r="P1567" s="6" t="s">
        <v>8574</v>
      </c>
      <c r="Q1567" s="6" t="s">
        <v>9151</v>
      </c>
    </row>
    <row r="1568" spans="1:17" x14ac:dyDescent="0.25">
      <c r="A1568" s="5" t="str">
        <f>IF(TRIM(I1568)="","",E1568)</f>
        <v>ColorAdjustment</v>
      </c>
      <c r="B1568" s="5" t="str">
        <f>IF(TRIM(J1568)="","",H1568)</f>
        <v>Color adjustment</v>
      </c>
      <c r="C1568" s="5" t="str">
        <f>LEFT(F1568,FIND(".",F1568,6))</f>
        <v>Exif.Sigma.</v>
      </c>
      <c r="D1568" s="5" t="str">
        <f>VLOOKUP(C1568,PrefixUebersetzung,2,FALSE)</f>
        <v>Exif.Sigma.</v>
      </c>
      <c r="E1568" s="5" t="str">
        <f>MID(F1568,FIND(".",F1568,6)+1,99)</f>
        <v>ColorAdjustment</v>
      </c>
      <c r="F1568" s="5" t="s">
        <v>1363</v>
      </c>
      <c r="G1568" s="5" t="s">
        <v>9666</v>
      </c>
      <c r="H1568" s="6" t="s">
        <v>3122</v>
      </c>
      <c r="I1568" s="24" t="s">
        <v>4080</v>
      </c>
      <c r="J1568" s="14" t="s">
        <v>4080</v>
      </c>
      <c r="K1568" s="26"/>
      <c r="N1568" s="6"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c r="O1568" s="6" t="s">
        <v>8574</v>
      </c>
      <c r="P1568" s="6" t="s">
        <v>8574</v>
      </c>
      <c r="Q1568" s="6" t="s">
        <v>9203</v>
      </c>
    </row>
    <row r="1569" spans="1:17" x14ac:dyDescent="0.25">
      <c r="A1569" s="5" t="str">
        <f>IF(TRIM(I1569)="","",E1569)</f>
        <v/>
      </c>
      <c r="B1569" s="5" t="str">
        <f>IF(TRIM(J1569)="","",H1569)</f>
        <v/>
      </c>
      <c r="C1569" s="5" t="str">
        <f>LEFT(F1569,FIND(".",F1569,6))</f>
        <v>Exif.Sigma.</v>
      </c>
      <c r="D1569" s="5" t="str">
        <f>VLOOKUP(C1569,PrefixUebersetzung,2,FALSE)</f>
        <v>Exif.Sigma.</v>
      </c>
      <c r="E1569" s="5" t="str">
        <f>MID(F1569,FIND(".",F1569,6)+1,99)</f>
        <v>ColorSpace</v>
      </c>
      <c r="F1569" s="5" t="s">
        <v>1364</v>
      </c>
      <c r="G1569" s="5" t="s">
        <v>9666</v>
      </c>
      <c r="H1569" s="6" t="s">
        <v>2548</v>
      </c>
      <c r="K1569" s="26"/>
      <c r="L1569" s="6" t="str">
        <f>IFERROR(VLOOKUP(E1569,A:I,9, FALSE),"")</f>
        <v>Farbraum</v>
      </c>
      <c r="M1569" s="6" t="str">
        <f>IFERROR(VLOOKUP(H1569,B:J,9,FALSE),"")</f>
        <v>Farbraum</v>
      </c>
      <c r="N1569" s="6"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row>
    <row r="1570" spans="1:17" x14ac:dyDescent="0.25">
      <c r="A1570" s="5" t="str">
        <f>IF(TRIM(I1570)="","",E1570)</f>
        <v/>
      </c>
      <c r="B1570" s="5" t="str">
        <f>IF(TRIM(J1570)="","",H1570)</f>
        <v/>
      </c>
      <c r="C1570" s="5" t="str">
        <f>LEFT(F1570,FIND(".",F1570,6))</f>
        <v>Exif.Sigma.</v>
      </c>
      <c r="D1570" s="5" t="str">
        <f>VLOOKUP(C1570,PrefixUebersetzung,2,FALSE)</f>
        <v>Exif.Sigma.</v>
      </c>
      <c r="E1570" s="5" t="str">
        <f>MID(F1570,FIND(".",F1570,6)+1,99)</f>
        <v>Contrast</v>
      </c>
      <c r="F1570" s="5" t="s">
        <v>1365</v>
      </c>
      <c r="G1570" s="5" t="s">
        <v>9666</v>
      </c>
      <c r="H1570" s="6" t="s">
        <v>2549</v>
      </c>
      <c r="K1570" s="26"/>
      <c r="L1570" s="6" t="str">
        <f>IFERROR(VLOOKUP(E1570,A:I,9, FALSE),"")</f>
        <v>Kontrast</v>
      </c>
      <c r="M1570" s="6" t="str">
        <f>IFERROR(VLOOKUP(H1570,B:J,9,FALSE),"")</f>
        <v>Kontrast</v>
      </c>
      <c r="N1570" s="6"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row>
    <row r="1571" spans="1:17" x14ac:dyDescent="0.25">
      <c r="A1571" s="5" t="str">
        <f>IF(TRIM(I1571)="","",E1571)</f>
        <v/>
      </c>
      <c r="B1571" s="5" t="str">
        <f>IF(TRIM(J1571)="","",H1571)</f>
        <v/>
      </c>
      <c r="C1571" s="5" t="str">
        <f>LEFT(F1571,FIND(".",F1571,6))</f>
        <v>Exif.Sigma.</v>
      </c>
      <c r="D1571" s="5" t="str">
        <f>VLOOKUP(C1571,PrefixUebersetzung,2,FALSE)</f>
        <v>Exif.Sigma.</v>
      </c>
      <c r="E1571" s="5" t="str">
        <f>MID(F1571,FIND(".",F1571,6)+1,99)</f>
        <v>DriveMode</v>
      </c>
      <c r="F1571" s="5" t="s">
        <v>1366</v>
      </c>
      <c r="G1571" s="5" t="s">
        <v>9666</v>
      </c>
      <c r="H1571" s="6" t="s">
        <v>2583</v>
      </c>
      <c r="I1571" s="7"/>
      <c r="K1571" s="26"/>
      <c r="L1571" s="6" t="str">
        <f>IFERROR(VLOOKUP(E1571,A:I,9, FALSE),"")</f>
        <v>Betriebsart</v>
      </c>
      <c r="M1571" s="6" t="str">
        <f>IFERROR(VLOOKUP(H1571,B:J,9,FALSE),"")</f>
        <v>Betriebsart</v>
      </c>
      <c r="N1571" s="6"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row>
    <row r="1572" spans="1:17" x14ac:dyDescent="0.25">
      <c r="A1572" s="5" t="str">
        <f>IF(TRIM(I1572)="","",E1572)</f>
        <v>Exposure</v>
      </c>
      <c r="B1572" s="5" t="str">
        <f>IF(TRIM(J1572)="","",H1572)</f>
        <v>Exposure</v>
      </c>
      <c r="C1572" s="5" t="str">
        <f>LEFT(F1572,FIND(".",F1572,6))</f>
        <v>Exif.Sigma.</v>
      </c>
      <c r="D1572" s="5" t="str">
        <f>VLOOKUP(C1572,PrefixUebersetzung,2,FALSE)</f>
        <v>Exif.Sigma.</v>
      </c>
      <c r="E1572" s="5" t="str">
        <f>MID(F1572,FIND(".",F1572,6)+1,99)</f>
        <v>Exposure</v>
      </c>
      <c r="F1572" s="5" t="s">
        <v>1367</v>
      </c>
      <c r="G1572" s="5" t="s">
        <v>9666</v>
      </c>
      <c r="H1572" s="6" t="s">
        <v>3123</v>
      </c>
      <c r="I1572" s="24" t="s">
        <v>4081</v>
      </c>
      <c r="J1572" s="8" t="s">
        <v>4081</v>
      </c>
      <c r="K1572" s="26"/>
      <c r="L1572" s="6" t="str">
        <f>IFERROR(VLOOKUP(E1572,A:I,9, FALSE),"")</f>
        <v>Belichtung</v>
      </c>
      <c r="N1572" s="6"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O1572" s="6" t="s">
        <v>8574</v>
      </c>
      <c r="P1572" s="6" t="s">
        <v>8574</v>
      </c>
      <c r="Q1572" s="6" t="s">
        <v>4081</v>
      </c>
    </row>
    <row r="1573" spans="1:17" x14ac:dyDescent="0.25">
      <c r="A1573" s="5" t="str">
        <f>IF(TRIM(I1573)="","",E1573)</f>
        <v/>
      </c>
      <c r="B1573" s="5" t="str">
        <f>IF(TRIM(J1573)="","",H1573)</f>
        <v/>
      </c>
      <c r="C1573" s="5" t="str">
        <f>LEFT(F1573,FIND(".",F1573,6))</f>
        <v>Exif.Sigma.</v>
      </c>
      <c r="D1573" s="5" t="str">
        <f>VLOOKUP(C1573,PrefixUebersetzung,2,FALSE)</f>
        <v>Exif.Sigma.</v>
      </c>
      <c r="E1573" s="5" t="str">
        <f>MID(F1573,FIND(".",F1573,6)+1,99)</f>
        <v>ExposureMode</v>
      </c>
      <c r="F1573" s="5" t="s">
        <v>1368</v>
      </c>
      <c r="G1573" s="5" t="s">
        <v>9666</v>
      </c>
      <c r="H1573" s="6" t="s">
        <v>2552</v>
      </c>
      <c r="I1573" s="24"/>
      <c r="J1573" s="8"/>
      <c r="K1573" s="26"/>
      <c r="L1573" s="6" t="str">
        <f>IFERROR(VLOOKUP(E1573,A:I,9, FALSE),"")</f>
        <v>Belichtungsmodus</v>
      </c>
      <c r="M1573" s="6" t="str">
        <f>IFERROR(VLOOKUP(H1573,B:J,9,FALSE),"")</f>
        <v>Belichtungsmodus</v>
      </c>
      <c r="N1573" s="6"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row>
    <row r="1574" spans="1:17" x14ac:dyDescent="0.25">
      <c r="A1574" s="5" t="str">
        <f>IF(TRIM(I1574)="","",E1574)</f>
        <v/>
      </c>
      <c r="B1574" s="5" t="str">
        <f>IF(TRIM(J1574)="","",H1574)</f>
        <v/>
      </c>
      <c r="C1574" s="5" t="str">
        <f>LEFT(F1574,FIND(".",F1574,6))</f>
        <v>Exif.Sigma.</v>
      </c>
      <c r="D1574" s="5" t="str">
        <f>VLOOKUP(C1574,PrefixUebersetzung,2,FALSE)</f>
        <v>Exif.Sigma.</v>
      </c>
      <c r="E1574" s="5" t="str">
        <f>MID(F1574,FIND(".",F1574,6)+1,99)</f>
        <v>FillLight</v>
      </c>
      <c r="F1574" s="5" t="s">
        <v>1369</v>
      </c>
      <c r="G1574" s="5" t="s">
        <v>9666</v>
      </c>
      <c r="H1574" s="6" t="s">
        <v>3124</v>
      </c>
      <c r="I1574" s="7"/>
      <c r="K1574" s="26"/>
      <c r="L1574" s="6" t="str">
        <f>IFERROR(VLOOKUP(E1574,A:I,9, FALSE),"")</f>
        <v/>
      </c>
      <c r="N1574" s="6"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xml:space="preserve">Suffix not translated Description not translated </v>
      </c>
      <c r="O1574" s="6" t="s">
        <v>8574</v>
      </c>
      <c r="P1574" s="6" t="s">
        <v>8574</v>
      </c>
    </row>
    <row r="1575" spans="1:17" x14ac:dyDescent="0.25">
      <c r="A1575" s="5" t="str">
        <f>IF(TRIM(I1575)="","",E1575)</f>
        <v/>
      </c>
      <c r="B1575" s="5" t="str">
        <f>IF(TRIM(J1575)="","",H1575)</f>
        <v>Firmware</v>
      </c>
      <c r="C1575" s="5" t="str">
        <f>LEFT(F1575,FIND(".",F1575,6))</f>
        <v>Exif.Sigma.</v>
      </c>
      <c r="D1575" s="5" t="str">
        <f>VLOOKUP(C1575,PrefixUebersetzung,2,FALSE)</f>
        <v>Exif.Sigma.</v>
      </c>
      <c r="E1575" s="5" t="str">
        <f>MID(F1575,FIND(".",F1575,6)+1,99)</f>
        <v>Firmware</v>
      </c>
      <c r="F1575" s="5" t="s">
        <v>1370</v>
      </c>
      <c r="G1575" s="5" t="s">
        <v>9666</v>
      </c>
      <c r="H1575" s="6" t="s">
        <v>3125</v>
      </c>
      <c r="I1575" s="7"/>
      <c r="J1575" s="14" t="s">
        <v>3125</v>
      </c>
      <c r="K1575" s="26"/>
      <c r="L1575" s="6" t="str">
        <f>IFERROR(VLOOKUP(E1575,A:I,9, FALSE),"")</f>
        <v>Firmware</v>
      </c>
      <c r="M1575" s="6" t="str">
        <f>IFERROR(VLOOKUP(H1575,B:J,9,FALSE),"")</f>
        <v>Firmware</v>
      </c>
      <c r="N1575" s="6"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c r="Q1575" s="6" t="s">
        <v>3125</v>
      </c>
    </row>
    <row r="1576" spans="1:17" x14ac:dyDescent="0.25">
      <c r="A1576" s="5" t="str">
        <f>IF(TRIM(I1576)="","",E1576)</f>
        <v>FocusSetting</v>
      </c>
      <c r="B1576" s="5" t="str">
        <f>IF(TRIM(J1576)="","",H1576)</f>
        <v>Focus setting</v>
      </c>
      <c r="C1576" s="5" t="str">
        <f>LEFT(F1576,FIND(".",F1576,6))</f>
        <v>Exif.Sigma.</v>
      </c>
      <c r="D1576" s="5" t="str">
        <f>VLOOKUP(C1576,PrefixUebersetzung,2,FALSE)</f>
        <v>Exif.Sigma.</v>
      </c>
      <c r="E1576" s="5" t="str">
        <f>MID(F1576,FIND(".",F1576,6)+1,99)</f>
        <v>FocusSetting</v>
      </c>
      <c r="F1576" s="5" t="s">
        <v>1371</v>
      </c>
      <c r="G1576" s="5" t="s">
        <v>9666</v>
      </c>
      <c r="H1576" s="6" t="s">
        <v>3126</v>
      </c>
      <c r="I1576" s="24" t="s">
        <v>4945</v>
      </c>
      <c r="J1576" s="8" t="s">
        <v>4945</v>
      </c>
      <c r="K1576" s="26"/>
      <c r="N1576" s="6"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c r="O1576" s="6" t="s">
        <v>8574</v>
      </c>
      <c r="P1576" s="6" t="s">
        <v>8574</v>
      </c>
      <c r="Q1576" s="6" t="s">
        <v>4945</v>
      </c>
    </row>
    <row r="1577" spans="1:17" x14ac:dyDescent="0.25">
      <c r="A1577" s="5" t="str">
        <f>IF(TRIM(I1577)="","",E1577)</f>
        <v>Highlight</v>
      </c>
      <c r="B1577" s="5" t="str">
        <f>IF(TRIM(J1577)="","",H1577)</f>
        <v>Highlight</v>
      </c>
      <c r="C1577" s="5" t="str">
        <f>LEFT(F1577,FIND(".",F1577,6))</f>
        <v>Exif.Sigma.</v>
      </c>
      <c r="D1577" s="5" t="str">
        <f>VLOOKUP(C1577,PrefixUebersetzung,2,FALSE)</f>
        <v>Exif.Sigma.</v>
      </c>
      <c r="E1577" s="5" t="str">
        <f>MID(F1577,FIND(".",F1577,6)+1,99)</f>
        <v>Highlight</v>
      </c>
      <c r="F1577" s="5" t="s">
        <v>1372</v>
      </c>
      <c r="G1577" s="5" t="s">
        <v>9666</v>
      </c>
      <c r="H1577" s="6" t="s">
        <v>3127</v>
      </c>
      <c r="I1577" s="7" t="s">
        <v>5152</v>
      </c>
      <c r="J1577" s="14" t="s">
        <v>5152</v>
      </c>
      <c r="K1577" s="26"/>
      <c r="N1577" s="6"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6" t="s">
        <v>8574</v>
      </c>
      <c r="P1577" s="6" t="s">
        <v>8574</v>
      </c>
      <c r="Q1577" s="6" t="s">
        <v>9343</v>
      </c>
    </row>
    <row r="1578" spans="1:17" x14ac:dyDescent="0.25">
      <c r="A1578" s="5" t="str">
        <f>IF(TRIM(I1578)="","",E1578)</f>
        <v>LensRange</v>
      </c>
      <c r="B1578" s="5" t="str">
        <f>IF(TRIM(J1578)="","",H1578)</f>
        <v>Lens focal length range</v>
      </c>
      <c r="C1578" s="5" t="str">
        <f>LEFT(F1578,FIND(".",F1578,6))</f>
        <v>Exif.Sigma.</v>
      </c>
      <c r="D1578" s="5" t="str">
        <f>VLOOKUP(C1578,PrefixUebersetzung,2,FALSE)</f>
        <v>Exif.Sigma.</v>
      </c>
      <c r="E1578" s="5" t="str">
        <f>MID(F1578,FIND(".",F1578,6)+1,99)</f>
        <v>LensRange</v>
      </c>
      <c r="F1578" s="5" t="s">
        <v>1373</v>
      </c>
      <c r="G1578" s="5" t="s">
        <v>9666</v>
      </c>
      <c r="H1578" s="6" t="s">
        <v>3128</v>
      </c>
      <c r="I1578" s="24" t="s">
        <v>4082</v>
      </c>
      <c r="J1578" s="8" t="s">
        <v>4082</v>
      </c>
      <c r="K1578" s="26"/>
      <c r="N1578" s="6"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O1578" s="6" t="s">
        <v>8574</v>
      </c>
      <c r="P1578" s="6" t="s">
        <v>8574</v>
      </c>
      <c r="Q1578" s="6" t="s">
        <v>9398</v>
      </c>
    </row>
    <row r="1579" spans="1:17" x14ac:dyDescent="0.25">
      <c r="A1579" s="5" t="str">
        <f>IF(TRIM(I1579)="","",E1579)</f>
        <v/>
      </c>
      <c r="B1579" s="5" t="str">
        <f>IF(TRIM(J1579)="","",H1579)</f>
        <v/>
      </c>
      <c r="C1579" s="5" t="str">
        <f>LEFT(F1579,FIND(".",F1579,6))</f>
        <v>Exif.Sigma.</v>
      </c>
      <c r="D1579" s="5" t="str">
        <f>VLOOKUP(C1579,PrefixUebersetzung,2,FALSE)</f>
        <v>Exif.Sigma.</v>
      </c>
      <c r="E1579" s="5" t="str">
        <f>MID(F1579,FIND(".",F1579,6)+1,99)</f>
        <v>MeteringMode</v>
      </c>
      <c r="F1579" s="5" t="s">
        <v>1374</v>
      </c>
      <c r="G1579" s="5" t="s">
        <v>9666</v>
      </c>
      <c r="H1579" s="6" t="s">
        <v>2562</v>
      </c>
      <c r="I1579" s="24"/>
      <c r="J1579" s="8"/>
      <c r="K1579" s="26"/>
      <c r="L1579" s="6" t="str">
        <f>IFERROR(VLOOKUP(E1579,A:I,9, FALSE),"")</f>
        <v>Messmethode</v>
      </c>
      <c r="M1579" s="6" t="str">
        <f>IFERROR(VLOOKUP(H1579,B:J,9,FALSE),"")</f>
        <v>Messmethode</v>
      </c>
      <c r="N1579" s="6"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row>
    <row r="1580" spans="1:17" x14ac:dyDescent="0.25">
      <c r="A1580" s="5" t="str">
        <f>IF(TRIM(I1580)="","",E1580)</f>
        <v/>
      </c>
      <c r="B1580" s="5" t="str">
        <f>IF(TRIM(J1580)="","",H1580)</f>
        <v/>
      </c>
      <c r="C1580" s="5" t="str">
        <f>LEFT(F1580,FIND(".",F1580,6))</f>
        <v>Exif.Sigma.</v>
      </c>
      <c r="D1580" s="5" t="str">
        <f>VLOOKUP(C1580,PrefixUebersetzung,2,FALSE)</f>
        <v>Exif.Sigma.</v>
      </c>
      <c r="E1580" s="5" t="str">
        <f>MID(F1580,FIND(".",F1580,6)+1,99)</f>
        <v>Quality</v>
      </c>
      <c r="F1580" s="5" t="s">
        <v>1375</v>
      </c>
      <c r="G1580" s="5" t="s">
        <v>9666</v>
      </c>
      <c r="H1580" s="6" t="s">
        <v>2208</v>
      </c>
      <c r="I1580" s="24"/>
      <c r="J1580" s="8"/>
      <c r="K1580" s="26"/>
      <c r="L1580" s="6" t="str">
        <f>IFERROR(VLOOKUP(E1580,A:I,9, FALSE),"")</f>
        <v>Qualität</v>
      </c>
      <c r="M1580" s="6" t="str">
        <f>IFERROR(VLOOKUP(H1580,B:J,9,FALSE),"")</f>
        <v>Qualität</v>
      </c>
      <c r="N1580" s="6"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row>
    <row r="1581" spans="1:17" x14ac:dyDescent="0.25">
      <c r="A1581" s="5" t="str">
        <f>IF(TRIM(I1581)="","",E1581)</f>
        <v>ResolutionMode</v>
      </c>
      <c r="B1581" s="5" t="str">
        <f>IF(TRIM(J1581)="","",H1581)</f>
        <v>Resolution mode</v>
      </c>
      <c r="C1581" s="5" t="str">
        <f>LEFT(F1581,FIND(".",F1581,6))</f>
        <v>Exif.Sigma.</v>
      </c>
      <c r="D1581" s="5" t="str">
        <f>VLOOKUP(C1581,PrefixUebersetzung,2,FALSE)</f>
        <v>Exif.Sigma.</v>
      </c>
      <c r="E1581" s="5" t="str">
        <f>MID(F1581,FIND(".",F1581,6)+1,99)</f>
        <v>ResolutionMode</v>
      </c>
      <c r="F1581" s="5" t="s">
        <v>1376</v>
      </c>
      <c r="G1581" s="5" t="s">
        <v>9666</v>
      </c>
      <c r="H1581" s="6" t="s">
        <v>3129</v>
      </c>
      <c r="I1581" s="7" t="s">
        <v>5112</v>
      </c>
      <c r="J1581" s="14" t="s">
        <v>5112</v>
      </c>
      <c r="K1581" s="26"/>
      <c r="N1581" s="6"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c r="O1581" s="6" t="s">
        <v>8574</v>
      </c>
      <c r="P1581" s="6" t="s">
        <v>8574</v>
      </c>
      <c r="Q1581" s="6" t="s">
        <v>9376</v>
      </c>
    </row>
    <row r="1582" spans="1:17" x14ac:dyDescent="0.25">
      <c r="A1582" s="5" t="str">
        <f>IF(TRIM(I1582)="","",E1582)</f>
        <v/>
      </c>
      <c r="B1582" s="5" t="str">
        <f>IF(TRIM(J1582)="","",H1582)</f>
        <v/>
      </c>
      <c r="C1582" s="5" t="str">
        <f>LEFT(F1582,FIND(".",F1582,6))</f>
        <v>Exif.Sigma.</v>
      </c>
      <c r="D1582" s="5" t="str">
        <f>VLOOKUP(C1582,PrefixUebersetzung,2,FALSE)</f>
        <v>Exif.Sigma.</v>
      </c>
      <c r="E1582" s="5" t="str">
        <f>MID(F1582,FIND(".",F1582,6)+1,99)</f>
        <v>Saturation</v>
      </c>
      <c r="F1582" s="5" t="s">
        <v>1377</v>
      </c>
      <c r="G1582" s="5" t="s">
        <v>9666</v>
      </c>
      <c r="H1582" s="6" t="s">
        <v>2567</v>
      </c>
      <c r="I1582" s="24"/>
      <c r="J1582" s="8"/>
      <c r="K1582" s="26"/>
      <c r="L1582" s="6" t="str">
        <f>IFERROR(VLOOKUP(E1582,A:I,9, FALSE),"")</f>
        <v>Sättigung</v>
      </c>
      <c r="M1582" s="6" t="str">
        <f>IFERROR(VLOOKUP(H1582,B:J,9,FALSE),"")</f>
        <v>Sättigung</v>
      </c>
      <c r="N1582" s="6"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row>
    <row r="1583" spans="1:17" x14ac:dyDescent="0.25">
      <c r="A1583" s="5" t="str">
        <f>IF(TRIM(I1583)="","",E1583)</f>
        <v/>
      </c>
      <c r="B1583" s="5" t="str">
        <f>IF(TRIM(J1583)="","",H1583)</f>
        <v/>
      </c>
      <c r="C1583" s="5" t="str">
        <f>LEFT(F1583,FIND(".",F1583,6))</f>
        <v>Exif.Sigma.</v>
      </c>
      <c r="D1583" s="5" t="str">
        <f>VLOOKUP(C1583,PrefixUebersetzung,2,FALSE)</f>
        <v>Exif.Sigma.</v>
      </c>
      <c r="E1583" s="5" t="str">
        <f>MID(F1583,FIND(".",F1583,6)+1,99)</f>
        <v>SerialNumber</v>
      </c>
      <c r="F1583" s="5" t="s">
        <v>1378</v>
      </c>
      <c r="G1583" s="5" t="s">
        <v>9666</v>
      </c>
      <c r="H1583" s="6" t="s">
        <v>2159</v>
      </c>
      <c r="I1583" s="7"/>
      <c r="J1583" s="8"/>
      <c r="K1583" s="26"/>
      <c r="L1583" s="6" t="str">
        <f>IFERROR(VLOOKUP(E1583,A:I,9, FALSE),"")</f>
        <v>Seriennummer</v>
      </c>
      <c r="M1583" s="6" t="str">
        <f>IFERROR(VLOOKUP(H1583,B:J,9,FALSE),"")</f>
        <v>Kamera-Seriennummer</v>
      </c>
      <c r="N1583" s="6"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row>
    <row r="1584" spans="1:17" x14ac:dyDescent="0.25">
      <c r="A1584" s="5" t="str">
        <f>IF(TRIM(I1584)="","",E1584)</f>
        <v>Shadow</v>
      </c>
      <c r="B1584" s="5" t="str">
        <f>IF(TRIM(J1584)="","",H1584)</f>
        <v>Shadow</v>
      </c>
      <c r="C1584" s="5" t="str">
        <f>LEFT(F1584,FIND(".",F1584,6))</f>
        <v>Exif.Sigma.</v>
      </c>
      <c r="D1584" s="5" t="str">
        <f>VLOOKUP(C1584,PrefixUebersetzung,2,FALSE)</f>
        <v>Exif.Sigma.</v>
      </c>
      <c r="E1584" s="5" t="str">
        <f>MID(F1584,FIND(".",F1584,6)+1,99)</f>
        <v>Shadow</v>
      </c>
      <c r="F1584" s="5" t="s">
        <v>1379</v>
      </c>
      <c r="G1584" s="5" t="s">
        <v>9666</v>
      </c>
      <c r="H1584" s="6" t="s">
        <v>3130</v>
      </c>
      <c r="I1584" s="24" t="s">
        <v>4083</v>
      </c>
      <c r="J1584" s="8" t="s">
        <v>4083</v>
      </c>
      <c r="K1584" s="26"/>
      <c r="N1584" s="6"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6" t="s">
        <v>8574</v>
      </c>
      <c r="P1584" s="6" t="s">
        <v>8574</v>
      </c>
      <c r="Q1584" s="6" t="s">
        <v>4083</v>
      </c>
    </row>
    <row r="1585" spans="1:17" x14ac:dyDescent="0.25">
      <c r="A1585" s="5" t="str">
        <f>IF(TRIM(I1585)="","",E1585)</f>
        <v/>
      </c>
      <c r="B1585" s="5" t="str">
        <f>IF(TRIM(J1585)="","",H1585)</f>
        <v/>
      </c>
      <c r="C1585" s="5" t="str">
        <f>LEFT(F1585,FIND(".",F1585,6))</f>
        <v>Exif.Sigma.</v>
      </c>
      <c r="D1585" s="5" t="str">
        <f>VLOOKUP(C1585,PrefixUebersetzung,2,FALSE)</f>
        <v>Exif.Sigma.</v>
      </c>
      <c r="E1585" s="5" t="str">
        <f>MID(F1585,FIND(".",F1585,6)+1,99)</f>
        <v>Sharpness</v>
      </c>
      <c r="F1585" s="5" t="s">
        <v>1380</v>
      </c>
      <c r="G1585" s="5" t="s">
        <v>9666</v>
      </c>
      <c r="H1585" s="6" t="s">
        <v>2245</v>
      </c>
      <c r="I1585" s="24"/>
      <c r="J1585" s="8"/>
      <c r="K1585" s="26"/>
      <c r="L1585" s="6" t="str">
        <f>IFERROR(VLOOKUP(E1585,A:I,9, FALSE),"")</f>
        <v>Schärfe</v>
      </c>
      <c r="M1585" s="6" t="str">
        <f>IFERROR(VLOOKUP(H1585,B:J,9,FALSE),"")</f>
        <v>Schärfe</v>
      </c>
      <c r="N1585" s="6"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row>
    <row r="1586" spans="1:17" x14ac:dyDescent="0.25">
      <c r="A1586" s="5" t="str">
        <f>IF(TRIM(I1586)="","",E1586)</f>
        <v/>
      </c>
      <c r="B1586" s="5" t="str">
        <f>IF(TRIM(J1586)="","",H1586)</f>
        <v/>
      </c>
      <c r="C1586" s="5" t="str">
        <f>LEFT(F1586,FIND(".",F1586,6))</f>
        <v>Exif.Sigma.</v>
      </c>
      <c r="D1586" s="5" t="str">
        <f>VLOOKUP(C1586,PrefixUebersetzung,2,FALSE)</f>
        <v>Exif.Sigma.</v>
      </c>
      <c r="E1586" s="5" t="str">
        <f>MID(F1586,FIND(".",F1586,6)+1,99)</f>
        <v>Software</v>
      </c>
      <c r="F1586" s="5" t="s">
        <v>1381</v>
      </c>
      <c r="G1586" s="5" t="s">
        <v>9666</v>
      </c>
      <c r="H1586" s="6" t="s">
        <v>2790</v>
      </c>
      <c r="I1586" s="7"/>
      <c r="K1586" s="26"/>
      <c r="L1586" s="6" t="str">
        <f>IFERROR(VLOOKUP(E1586,A:I,9, FALSE),"")</f>
        <v>Software</v>
      </c>
      <c r="M1586" s="6" t="str">
        <f>IFERROR(VLOOKUP(H1586,B:J,9,FALSE),"")</f>
        <v>Software</v>
      </c>
      <c r="N1586" s="6"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row>
    <row r="1587" spans="1:17" x14ac:dyDescent="0.25">
      <c r="A1587" s="5" t="str">
        <f>IF(TRIM(I1587)="","",E1587)</f>
        <v/>
      </c>
      <c r="B1587" s="5" t="str">
        <f>IF(TRIM(J1587)="","",H1587)</f>
        <v/>
      </c>
      <c r="C1587" s="5" t="str">
        <f>LEFT(F1587,FIND(".",F1587,6))</f>
        <v>Exif.Sigma.</v>
      </c>
      <c r="D1587" s="5" t="str">
        <f>VLOOKUP(C1587,PrefixUebersetzung,2,FALSE)</f>
        <v>Exif.Sigma.</v>
      </c>
      <c r="E1587" s="5" t="str">
        <f>MID(F1587,FIND(".",F1587,6)+1,99)</f>
        <v>WhiteBalance</v>
      </c>
      <c r="F1587" s="5" t="s">
        <v>1382</v>
      </c>
      <c r="G1587" s="5" t="s">
        <v>9666</v>
      </c>
      <c r="H1587" s="6" t="s">
        <v>2250</v>
      </c>
      <c r="I1587" s="24"/>
      <c r="K1587" s="26"/>
      <c r="L1587" s="6" t="str">
        <f>IFERROR(VLOOKUP(E1587,A:I,9, FALSE),"")</f>
        <v>Weißabgleich</v>
      </c>
      <c r="M1587" s="6" t="str">
        <f>IFERROR(VLOOKUP(H1587,B:J,9,FALSE),"")</f>
        <v>Weißabgleich</v>
      </c>
      <c r="N1587" s="6"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5" t="str">
        <f>IF(TRIM(I1588)="","",E1588)</f>
        <v/>
      </c>
      <c r="B1588" s="5" t="str">
        <f>IF(TRIM(J1588)="","",H1588)</f>
        <v/>
      </c>
      <c r="C1588" s="5" t="str">
        <f>LEFT(F1588,FIND(".",F1588,6))</f>
        <v>Exif.Sony1.</v>
      </c>
      <c r="D1588" s="5" t="str">
        <f>VLOOKUP(C1588,PrefixUebersetzung,2,FALSE)</f>
        <v>Exif.Sony1.</v>
      </c>
      <c r="E1588" s="5" t="str">
        <f>MID(F1588,FIND(".",F1588,6)+1,99)</f>
        <v>0x0116</v>
      </c>
      <c r="F1588" s="5" t="s">
        <v>1383</v>
      </c>
      <c r="G1588" s="5" t="s">
        <v>9669</v>
      </c>
      <c r="H1588" s="6" t="s">
        <v>2138</v>
      </c>
      <c r="I1588" s="7"/>
      <c r="K1588" s="26"/>
      <c r="M1588" s="6" t="str">
        <f>IFERROR(VLOOKUP(H1588,B:J,9,FALSE),"")</f>
        <v>Unbekannt</v>
      </c>
      <c r="N1588" s="6"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xml:space="preserve">Suffix not translated </v>
      </c>
      <c r="O1588" s="6" t="s">
        <v>8574</v>
      </c>
    </row>
    <row r="1589" spans="1:17" x14ac:dyDescent="0.25">
      <c r="A1589" s="5" t="str">
        <f>IF(TRIM(I1589)="","",E1589)</f>
        <v/>
      </c>
      <c r="B1589" s="5" t="str">
        <f>IF(TRIM(J1589)="","",H1589)</f>
        <v/>
      </c>
      <c r="C1589" s="5" t="str">
        <f>LEFT(F1589,FIND(".",F1589,6))</f>
        <v>Exif.Sony1.</v>
      </c>
      <c r="D1589" s="5" t="str">
        <f>VLOOKUP(C1589,PrefixUebersetzung,2,FALSE)</f>
        <v>Exif.Sony1.</v>
      </c>
      <c r="E1589" s="5" t="str">
        <f>MID(F1589,FIND(".",F1589,6)+1,99)</f>
        <v>0x2000</v>
      </c>
      <c r="F1589" s="5" t="s">
        <v>1384</v>
      </c>
      <c r="G1589" s="5" t="s">
        <v>9669</v>
      </c>
      <c r="H1589" s="6" t="s">
        <v>2138</v>
      </c>
      <c r="I1589" s="7"/>
      <c r="K1589" s="26"/>
      <c r="M1589" s="6" t="str">
        <f>IFERROR(VLOOKUP(H1589,B:J,9,FALSE),"")</f>
        <v>Unbekannt</v>
      </c>
      <c r="N1589" s="6"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xml:space="preserve">Suffix not translated </v>
      </c>
      <c r="O1589" s="6" t="s">
        <v>8574</v>
      </c>
    </row>
    <row r="1590" spans="1:17" x14ac:dyDescent="0.25">
      <c r="A1590" s="5" t="str">
        <f>IF(TRIM(I1590)="","",E1590)</f>
        <v/>
      </c>
      <c r="B1590" s="5" t="str">
        <f>IF(TRIM(J1590)="","",H1590)</f>
        <v/>
      </c>
      <c r="C1590" s="5" t="str">
        <f>LEFT(F1590,FIND(".",F1590,6))</f>
        <v>Exif.Sony1.</v>
      </c>
      <c r="D1590" s="5" t="str">
        <f>VLOOKUP(C1590,PrefixUebersetzung,2,FALSE)</f>
        <v>Exif.Sony1.</v>
      </c>
      <c r="E1590" s="5" t="str">
        <f>MID(F1590,FIND(".",F1590,6)+1,99)</f>
        <v>0x2002</v>
      </c>
      <c r="F1590" s="5" t="s">
        <v>1385</v>
      </c>
      <c r="G1590" s="5" t="s">
        <v>9667</v>
      </c>
      <c r="H1590" s="6" t="s">
        <v>2138</v>
      </c>
      <c r="I1590" s="7"/>
      <c r="K1590" s="26"/>
      <c r="M1590" s="6" t="str">
        <f>IFERROR(VLOOKUP(H1590,B:J,9,FALSE),"")</f>
        <v>Unbekannt</v>
      </c>
      <c r="N1590" s="6"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xml:space="preserve">Suffix not translated </v>
      </c>
      <c r="O1590" s="6" t="s">
        <v>8574</v>
      </c>
    </row>
    <row r="1591" spans="1:17" x14ac:dyDescent="0.25">
      <c r="A1591" s="5" t="str">
        <f>IF(TRIM(I1591)="","",E1591)</f>
        <v/>
      </c>
      <c r="B1591" s="5" t="str">
        <f>IF(TRIM(J1591)="","",H1591)</f>
        <v/>
      </c>
      <c r="C1591" s="5" t="str">
        <f>LEFT(F1591,FIND(".",F1591,6))</f>
        <v>Exif.Sony1.</v>
      </c>
      <c r="D1591" s="5" t="str">
        <f>VLOOKUP(C1591,PrefixUebersetzung,2,FALSE)</f>
        <v>Exif.Sony1.</v>
      </c>
      <c r="E1591" s="5" t="str">
        <f>MID(F1591,FIND(".",F1591,6)+1,99)</f>
        <v>0x2003</v>
      </c>
      <c r="F1591" s="5" t="s">
        <v>1386</v>
      </c>
      <c r="G1591" s="5" t="s">
        <v>9666</v>
      </c>
      <c r="H1591" s="6" t="s">
        <v>2138</v>
      </c>
      <c r="I1591" s="7"/>
      <c r="K1591" s="26"/>
      <c r="M1591" s="6" t="str">
        <f>IFERROR(VLOOKUP(H1591,B:J,9,FALSE),"")</f>
        <v>Unbekannt</v>
      </c>
      <c r="N1591" s="6"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xml:space="preserve">Suffix not translated </v>
      </c>
      <c r="O1591" s="6" t="s">
        <v>8574</v>
      </c>
    </row>
    <row r="1592" spans="1:17" x14ac:dyDescent="0.25">
      <c r="A1592" s="5" t="str">
        <f>IF(TRIM(I1592)="","",E1592)</f>
        <v/>
      </c>
      <c r="B1592" s="5" t="str">
        <f>IF(TRIM(J1592)="","",H1592)</f>
        <v/>
      </c>
      <c r="C1592" s="5" t="str">
        <f>LEFT(F1592,FIND(".",F1592,6))</f>
        <v>Exif.Sony1.</v>
      </c>
      <c r="D1592" s="5" t="str">
        <f>VLOOKUP(C1592,PrefixUebersetzung,2,FALSE)</f>
        <v>Exif.Sony1.</v>
      </c>
      <c r="E1592" s="5" t="str">
        <f>MID(F1592,FIND(".",F1592,6)+1,99)</f>
        <v>0x2006</v>
      </c>
      <c r="F1592" s="5" t="s">
        <v>1387</v>
      </c>
      <c r="G1592" s="5" t="s">
        <v>9668</v>
      </c>
      <c r="H1592" s="6" t="s">
        <v>2138</v>
      </c>
      <c r="I1592" s="7"/>
      <c r="K1592" s="26"/>
      <c r="M1592" s="6" t="str">
        <f>IFERROR(VLOOKUP(H1592,B:J,9,FALSE),"")</f>
        <v>Unbekannt</v>
      </c>
      <c r="N1592" s="6"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xml:space="preserve">Suffix not translated </v>
      </c>
      <c r="O1592" s="6" t="s">
        <v>8574</v>
      </c>
    </row>
    <row r="1593" spans="1:17" x14ac:dyDescent="0.25">
      <c r="A1593" s="5" t="str">
        <f>IF(TRIM(I1593)="","",E1593)</f>
        <v/>
      </c>
      <c r="B1593" s="5" t="str">
        <f>IF(TRIM(J1593)="","",H1593)</f>
        <v/>
      </c>
      <c r="C1593" s="5" t="str">
        <f>LEFT(F1593,FIND(".",F1593,6))</f>
        <v>Exif.Sony1.</v>
      </c>
      <c r="D1593" s="5" t="str">
        <f>VLOOKUP(C1593,PrefixUebersetzung,2,FALSE)</f>
        <v>Exif.Sony1.</v>
      </c>
      <c r="E1593" s="5" t="str">
        <f>MID(F1593,FIND(".",F1593,6)+1,99)</f>
        <v>0x2007</v>
      </c>
      <c r="F1593" s="5" t="s">
        <v>1388</v>
      </c>
      <c r="G1593" s="5" t="s">
        <v>9668</v>
      </c>
      <c r="H1593" s="6" t="s">
        <v>2138</v>
      </c>
      <c r="I1593" s="7"/>
      <c r="K1593" s="26"/>
      <c r="M1593" s="6" t="str">
        <f>IFERROR(VLOOKUP(H1593,B:J,9,FALSE),"")</f>
        <v>Unbekannt</v>
      </c>
      <c r="N1593" s="6"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xml:space="preserve">Suffix not translated </v>
      </c>
      <c r="O1593" s="6" t="s">
        <v>8574</v>
      </c>
    </row>
    <row r="1594" spans="1:17" x14ac:dyDescent="0.25">
      <c r="A1594" s="5" t="str">
        <f>IF(TRIM(I1594)="","",E1594)</f>
        <v/>
      </c>
      <c r="B1594" s="5" t="str">
        <f>IF(TRIM(J1594)="","",H1594)</f>
        <v/>
      </c>
      <c r="C1594" s="5" t="str">
        <f>LEFT(F1594,FIND(".",F1594,6))</f>
        <v>Exif.Sony1.</v>
      </c>
      <c r="D1594" s="5" t="str">
        <f>VLOOKUP(C1594,PrefixUebersetzung,2,FALSE)</f>
        <v>Exif.Sony1.</v>
      </c>
      <c r="E1594" s="5" t="str">
        <f>MID(F1594,FIND(".",F1594,6)+1,99)</f>
        <v>0x2008</v>
      </c>
      <c r="F1594" s="5" t="s">
        <v>1389</v>
      </c>
      <c r="G1594" s="5" t="s">
        <v>9668</v>
      </c>
      <c r="H1594" s="6" t="s">
        <v>2138</v>
      </c>
      <c r="I1594" s="7"/>
      <c r="K1594" s="26"/>
      <c r="M1594" s="6" t="str">
        <f>IFERROR(VLOOKUP(H1594,B:J,9,FALSE),"")</f>
        <v>Unbekannt</v>
      </c>
      <c r="N1594" s="6"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xml:space="preserve">Suffix not translated </v>
      </c>
      <c r="O1594" s="6" t="s">
        <v>8574</v>
      </c>
    </row>
    <row r="1595" spans="1:17" x14ac:dyDescent="0.25">
      <c r="A1595" s="5" t="str">
        <f>IF(TRIM(I1595)="","",E1595)</f>
        <v/>
      </c>
      <c r="B1595" s="5" t="str">
        <f>IF(TRIM(J1595)="","",H1595)</f>
        <v/>
      </c>
      <c r="C1595" s="5" t="str">
        <f>LEFT(F1595,FIND(".",F1595,6))</f>
        <v>Exif.Sony1.</v>
      </c>
      <c r="D1595" s="5" t="str">
        <f>VLOOKUP(C1595,PrefixUebersetzung,2,FALSE)</f>
        <v>Exif.Sony1.</v>
      </c>
      <c r="E1595" s="5" t="str">
        <f>MID(F1595,FIND(".",F1595,6)+1,99)</f>
        <v>0x2009</v>
      </c>
      <c r="F1595" s="5" t="s">
        <v>1390</v>
      </c>
      <c r="G1595" s="5" t="s">
        <v>9664</v>
      </c>
      <c r="H1595" s="6" t="s">
        <v>2138</v>
      </c>
      <c r="I1595" s="7"/>
      <c r="K1595" s="26"/>
      <c r="M1595" s="6" t="str">
        <f>IFERROR(VLOOKUP(H1595,B:J,9,FALSE),"")</f>
        <v>Unbekannt</v>
      </c>
      <c r="N1595" s="6"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v>
      </c>
      <c r="O1595" s="6" t="s">
        <v>8574</v>
      </c>
    </row>
    <row r="1596" spans="1:17" x14ac:dyDescent="0.25">
      <c r="A1596" s="5" t="str">
        <f>IF(TRIM(I1596)="","",E1596)</f>
        <v>AFIlluminator</v>
      </c>
      <c r="B1596" s="5" t="str">
        <f>IF(TRIM(J1596)="","",H1596)</f>
        <v>AF Illuminator</v>
      </c>
      <c r="C1596" s="5" t="str">
        <f>LEFT(F1596,FIND(".",F1596,6))</f>
        <v>Exif.Sony1.</v>
      </c>
      <c r="D1596" s="5" t="str">
        <f>VLOOKUP(C1596,PrefixUebersetzung,2,FALSE)</f>
        <v>Exif.Sony1.</v>
      </c>
      <c r="E1596" s="5" t="str">
        <f>MID(F1596,FIND(".",F1596,6)+1,99)</f>
        <v>AFIlluminator</v>
      </c>
      <c r="F1596" s="5" t="s">
        <v>1391</v>
      </c>
      <c r="G1596" s="5" t="s">
        <v>9664</v>
      </c>
      <c r="H1596" s="6" t="s">
        <v>3131</v>
      </c>
      <c r="I1596" s="24" t="s">
        <v>4946</v>
      </c>
      <c r="J1596" s="8" t="s">
        <v>4946</v>
      </c>
      <c r="K1596" s="26"/>
      <c r="L1596" s="6" t="str">
        <f>IFERROR(VLOOKUP(E1596,A:I,9, FALSE),"")</f>
        <v>AF Hilfslicht</v>
      </c>
      <c r="M1596" s="6" t="str">
        <f>IFERROR(VLOOKUP(H1596,B:J,9,FALSE),"")</f>
        <v>AF Hilfslicht</v>
      </c>
      <c r="N1596" s="6"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O1596" s="6" t="s">
        <v>8574</v>
      </c>
      <c r="P1596" s="6" t="s">
        <v>8574</v>
      </c>
    </row>
    <row r="1597" spans="1:17" x14ac:dyDescent="0.25">
      <c r="A1597" s="5" t="str">
        <f>IF(TRIM(I1597)="","",E1597)</f>
        <v/>
      </c>
      <c r="B1597" s="5" t="str">
        <f>IF(TRIM(J1597)="","",H1597)</f>
        <v/>
      </c>
      <c r="C1597" s="5" t="str">
        <f>LEFT(F1597,FIND(".",F1597,6))</f>
        <v>Exif.Sony1.</v>
      </c>
      <c r="D1597" s="5" t="str">
        <f>VLOOKUP(C1597,PrefixUebersetzung,2,FALSE)</f>
        <v>Exif.Sony1.</v>
      </c>
      <c r="E1597" s="5" t="str">
        <f>MID(F1597,FIND(".",F1597,6)+1,99)</f>
        <v>AFMode</v>
      </c>
      <c r="F1597" s="5" t="s">
        <v>1392</v>
      </c>
      <c r="G1597" s="5" t="s">
        <v>9664</v>
      </c>
      <c r="H1597" s="6" t="s">
        <v>3132</v>
      </c>
      <c r="I1597" s="24"/>
      <c r="J1597" s="8"/>
      <c r="K1597" s="26"/>
      <c r="L1597" s="6" t="str">
        <f>IFERROR(VLOOKUP(E1597,A:I,9, FALSE),"")</f>
        <v>AF Modus</v>
      </c>
      <c r="M1597" s="6" t="str">
        <f>IFERROR(VLOOKUP(H1597,B:J,9,FALSE),"")</f>
        <v>AF Modus</v>
      </c>
      <c r="N1597" s="6"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5" t="str">
        <f>IF(TRIM(I1598)="","",E1598)</f>
        <v/>
      </c>
      <c r="B1598" s="5" t="str">
        <f>IF(TRIM(J1598)="","",H1598)</f>
        <v/>
      </c>
      <c r="C1598" s="5" t="str">
        <f>LEFT(F1598,FIND(".",F1598,6))</f>
        <v>Exif.Sony1.</v>
      </c>
      <c r="D1598" s="5" t="str">
        <f>VLOOKUP(C1598,PrefixUebersetzung,2,FALSE)</f>
        <v>Exif.Sony1.</v>
      </c>
      <c r="E1598" s="5" t="str">
        <f>MID(F1598,FIND(".",F1598,6)+1,99)</f>
        <v>AntiBlur</v>
      </c>
      <c r="F1598" s="5" t="s">
        <v>1393</v>
      </c>
      <c r="G1598" s="5" t="s">
        <v>9664</v>
      </c>
      <c r="H1598" s="6" t="s">
        <v>3133</v>
      </c>
      <c r="I1598" s="7"/>
      <c r="K1598" s="26"/>
      <c r="N1598" s="6"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xml:space="preserve">Suffix not translated Description not translated </v>
      </c>
      <c r="O1598" s="6" t="s">
        <v>8574</v>
      </c>
      <c r="P1598" s="6" t="s">
        <v>8574</v>
      </c>
    </row>
    <row r="1599" spans="1:17" x14ac:dyDescent="0.25">
      <c r="A1599" s="5" t="str">
        <f>IF(TRIM(I1599)="","",E1599)</f>
        <v>AutoHDR</v>
      </c>
      <c r="B1599" s="5" t="str">
        <f>IF(TRIM(J1599)="","",H1599)</f>
        <v>High Definition Range Mode</v>
      </c>
      <c r="C1599" s="5" t="str">
        <f>LEFT(F1599,FIND(".",F1599,6))</f>
        <v>Exif.Sony1.</v>
      </c>
      <c r="D1599" s="5" t="str">
        <f>VLOOKUP(C1599,PrefixUebersetzung,2,FALSE)</f>
        <v>Exif.Sony1.</v>
      </c>
      <c r="E1599" s="5" t="str">
        <f>MID(F1599,FIND(".",F1599,6)+1,99)</f>
        <v>AutoHDR</v>
      </c>
      <c r="F1599" s="5" t="s">
        <v>1394</v>
      </c>
      <c r="G1599" s="5" t="s">
        <v>9667</v>
      </c>
      <c r="H1599" s="6" t="s">
        <v>3134</v>
      </c>
      <c r="I1599" s="7" t="s">
        <v>4437</v>
      </c>
      <c r="J1599" s="14" t="s">
        <v>5218</v>
      </c>
      <c r="K1599" s="26"/>
      <c r="N1599" s="6"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c>
      <c r="O1599" s="6" t="s">
        <v>8574</v>
      </c>
      <c r="P1599" s="6" t="s">
        <v>8574</v>
      </c>
    </row>
    <row r="1600" spans="1:17" x14ac:dyDescent="0.25">
      <c r="A1600" s="5" t="str">
        <f>IF(TRIM(I1600)="","",E1600)</f>
        <v/>
      </c>
      <c r="B1600" s="5" t="str">
        <f>IF(TRIM(J1600)="","",H1600)</f>
        <v>Camera Settings</v>
      </c>
      <c r="C1600" s="5" t="str">
        <f>LEFT(F1600,FIND(".",F1600,6))</f>
        <v>Exif.Sony1.</v>
      </c>
      <c r="D1600" s="5" t="str">
        <f>VLOOKUP(C1600,PrefixUebersetzung,2,FALSE)</f>
        <v>Exif.Sony1.</v>
      </c>
      <c r="E1600" s="5" t="str">
        <f>MID(F1600,FIND(".",F1600,6)+1,99)</f>
        <v>CameraSettings</v>
      </c>
      <c r="F1600" s="5" t="s">
        <v>1395</v>
      </c>
      <c r="G1600" s="5" t="s">
        <v>9669</v>
      </c>
      <c r="H1600" s="6" t="s">
        <v>3135</v>
      </c>
      <c r="I1600" s="24"/>
      <c r="J1600" s="8" t="s">
        <v>4838</v>
      </c>
      <c r="K1600" s="26"/>
      <c r="L1600" s="6" t="str">
        <f>IFERROR(VLOOKUP(E1600,A:I,9, FALSE),"")</f>
        <v>Kameraeinstellungen</v>
      </c>
      <c r="N1600" s="6"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c r="P1600" s="6" t="s">
        <v>8574</v>
      </c>
      <c r="Q1600" s="6" t="s">
        <v>4838</v>
      </c>
    </row>
    <row r="1601" spans="1:17" ht="30" x14ac:dyDescent="0.25">
      <c r="A1601" s="5" t="str">
        <f>IF(TRIM(I1601)="","",E1601)</f>
        <v/>
      </c>
      <c r="B1601" s="5" t="str">
        <f>IF(TRIM(J1601)="","",H1601)</f>
        <v/>
      </c>
      <c r="C1601" s="5" t="str">
        <f>LEFT(F1601,FIND(".",F1601,6))</f>
        <v>Exif.Sony1.</v>
      </c>
      <c r="D1601" s="5" t="str">
        <f>VLOOKUP(C1601,PrefixUebersetzung,2,FALSE)</f>
        <v>Exif.Sony1.</v>
      </c>
      <c r="E1601" s="5" t="str">
        <f>MID(F1601,FIND(".",F1601,6)+1,99)</f>
        <v>ColorCompensationFilter</v>
      </c>
      <c r="F1601" s="5" t="s">
        <v>1396</v>
      </c>
      <c r="G1601" s="5" t="s">
        <v>9667</v>
      </c>
      <c r="H1601" s="6" t="s">
        <v>2527</v>
      </c>
      <c r="I1601" s="24"/>
      <c r="K1601" s="26"/>
      <c r="L1601" s="6" t="str">
        <f>IFERROR(VLOOKUP(E1601,A:I,9, FALSE),"")</f>
        <v>Farbkompensationsfilter</v>
      </c>
      <c r="M1601" s="6" t="str">
        <f>IFERROR(VLOOKUP(H1601,B:J,9,FALSE),"")</f>
        <v>Farbkompensationsfilter: negativ ist grün, positiv ist magenta</v>
      </c>
      <c r="N1601" s="6"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row>
    <row r="1602" spans="1:17" x14ac:dyDescent="0.25">
      <c r="A1602" s="5" t="str">
        <f>IF(TRIM(I1602)="","",E1602)</f>
        <v/>
      </c>
      <c r="B1602" s="5" t="str">
        <f>IF(TRIM(J1602)="","",H1602)</f>
        <v/>
      </c>
      <c r="C1602" s="5" t="str">
        <f>LEFT(F1602,FIND(".",F1602,6))</f>
        <v>Exif.Sony1.</v>
      </c>
      <c r="D1602" s="5" t="str">
        <f>VLOOKUP(C1602,PrefixUebersetzung,2,FALSE)</f>
        <v>Exif.Sony1.</v>
      </c>
      <c r="E1602" s="5" t="str">
        <f>MID(F1602,FIND(".",F1602,6)+1,99)</f>
        <v>ColorMode</v>
      </c>
      <c r="F1602" s="5" t="s">
        <v>1397</v>
      </c>
      <c r="G1602" s="5" t="s">
        <v>9667</v>
      </c>
      <c r="H1602" s="6" t="s">
        <v>3136</v>
      </c>
      <c r="I1602" s="24"/>
      <c r="J1602" s="8"/>
      <c r="K1602" s="26"/>
      <c r="L1602" s="6" t="str">
        <f>IFERROR(VLOOKUP(E1602,A:I,9, FALSE),"")</f>
        <v>Farbmodus</v>
      </c>
      <c r="M1602" s="6" t="str">
        <f>IFERROR(VLOOKUP(H1602,B:J,9,FALSE),"")</f>
        <v>Farbmodus</v>
      </c>
      <c r="N1602" s="6"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row>
    <row r="1603" spans="1:17" x14ac:dyDescent="0.25">
      <c r="A1603" s="5" t="str">
        <f>IF(TRIM(I1603)="","",E1603)</f>
        <v>ColorReproduction</v>
      </c>
      <c r="B1603" s="5" t="str">
        <f>IF(TRIM(J1603)="","",H1603)</f>
        <v>Color Reproduction</v>
      </c>
      <c r="C1603" s="5" t="str">
        <f>LEFT(F1603,FIND(".",F1603,6))</f>
        <v>Exif.Sony1.</v>
      </c>
      <c r="D1603" s="5" t="str">
        <f>VLOOKUP(C1603,PrefixUebersetzung,2,FALSE)</f>
        <v>Exif.Sony1.</v>
      </c>
      <c r="E1603" s="5" t="str">
        <f>MID(F1603,FIND(".",F1603,6)+1,99)</f>
        <v>ColorReproduction</v>
      </c>
      <c r="F1603" s="5" t="s">
        <v>1398</v>
      </c>
      <c r="G1603" s="5" t="s">
        <v>9666</v>
      </c>
      <c r="H1603" s="6" t="s">
        <v>3137</v>
      </c>
      <c r="I1603" s="24" t="s">
        <v>4084</v>
      </c>
      <c r="J1603" s="8" t="s">
        <v>4084</v>
      </c>
      <c r="K1603" s="26"/>
      <c r="N1603" s="6"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O1603" s="6" t="s">
        <v>8574</v>
      </c>
      <c r="P1603" s="6" t="s">
        <v>8574</v>
      </c>
      <c r="Q1603" s="6" t="s">
        <v>9165</v>
      </c>
    </row>
    <row r="1604" spans="1:17" x14ac:dyDescent="0.25">
      <c r="A1604" s="5" t="str">
        <f>IF(TRIM(I1604)="","",E1604)</f>
        <v/>
      </c>
      <c r="B1604" s="5" t="str">
        <f>IF(TRIM(J1604)="","",H1604)</f>
        <v/>
      </c>
      <c r="C1604" s="5" t="str">
        <f>LEFT(F1604,FIND(".",F1604,6))</f>
        <v>Exif.Sony1.</v>
      </c>
      <c r="D1604" s="5" t="str">
        <f>VLOOKUP(C1604,PrefixUebersetzung,2,FALSE)</f>
        <v>Exif.Sony1.</v>
      </c>
      <c r="E1604" s="5" t="str">
        <f>MID(F1604,FIND(".",F1604,6)+1,99)</f>
        <v>ColorTemperature</v>
      </c>
      <c r="F1604" s="5" t="s">
        <v>1399</v>
      </c>
      <c r="G1604" s="5" t="s">
        <v>9667</v>
      </c>
      <c r="H1604" s="6" t="s">
        <v>2240</v>
      </c>
      <c r="I1604" s="24"/>
      <c r="J1604" s="8"/>
      <c r="K1604" s="26"/>
      <c r="L1604" s="6" t="str">
        <f>IFERROR(VLOOKUP(E1604,A:I,9, FALSE),"")</f>
        <v>Farbtemperatur</v>
      </c>
      <c r="M1604" s="6" t="str">
        <f>IFERROR(VLOOKUP(H1604,B:J,9,FALSE),"")</f>
        <v>Farbtemperatur</v>
      </c>
      <c r="N1604" s="6"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row>
    <row r="1605" spans="1:17" x14ac:dyDescent="0.25">
      <c r="A1605" s="5" t="str">
        <f>IF(TRIM(I1605)="","",E1605)</f>
        <v/>
      </c>
      <c r="B1605" s="5" t="str">
        <f>IF(TRIM(J1605)="","",H1605)</f>
        <v/>
      </c>
      <c r="C1605" s="5" t="str">
        <f>LEFT(F1605,FIND(".",F1605,6))</f>
        <v>Exif.Sony1.</v>
      </c>
      <c r="D1605" s="5" t="str">
        <f>VLOOKUP(C1605,PrefixUebersetzung,2,FALSE)</f>
        <v>Exif.Sony1.</v>
      </c>
      <c r="E1605" s="5" t="str">
        <f>MID(F1605,FIND(".",F1605,6)+1,99)</f>
        <v>Contrast</v>
      </c>
      <c r="F1605" s="5" t="s">
        <v>1400</v>
      </c>
      <c r="G1605" s="5" t="s">
        <v>9668</v>
      </c>
      <c r="H1605" s="6" t="s">
        <v>2549</v>
      </c>
      <c r="K1605" s="26"/>
      <c r="L1605" s="6" t="str">
        <f>IFERROR(VLOOKUP(E1605,A:I,9, FALSE),"")</f>
        <v>Kontrast</v>
      </c>
      <c r="M1605" s="6" t="str">
        <f>IFERROR(VLOOKUP(H1605,B:J,9,FALSE),"")</f>
        <v>Kontrast</v>
      </c>
      <c r="N1605" s="6"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row>
    <row r="1606" spans="1:17" ht="30" x14ac:dyDescent="0.25">
      <c r="A1606" s="5" t="str">
        <f>IF(TRIM(I1606)="","",E1606)</f>
        <v>DynamicRangeOptimizer</v>
      </c>
      <c r="B1606" s="5" t="str">
        <f>IF(TRIM(J1606)="","",H1606)</f>
        <v>Dynamic Range Optimizer</v>
      </c>
      <c r="C1606" s="5" t="str">
        <f>LEFT(F1606,FIND(".",F1606,6))</f>
        <v>Exif.Sony1.</v>
      </c>
      <c r="D1606" s="5" t="str">
        <f>VLOOKUP(C1606,PrefixUebersetzung,2,FALSE)</f>
        <v>Exif.Sony1.</v>
      </c>
      <c r="E1606" s="5" t="str">
        <f>MID(F1606,FIND(".",F1606,6)+1,99)</f>
        <v>DynamicRangeOptimizer</v>
      </c>
      <c r="F1606" s="5" t="s">
        <v>1401</v>
      </c>
      <c r="G1606" s="5" t="s">
        <v>9667</v>
      </c>
      <c r="H1606" s="6" t="s">
        <v>3138</v>
      </c>
      <c r="I1606" s="7" t="s">
        <v>4438</v>
      </c>
      <c r="J1606" s="14" t="s">
        <v>4438</v>
      </c>
      <c r="K1606" s="26"/>
      <c r="L1606" s="6" t="str">
        <f>IFERROR(VLOOKUP(E1606,A:I,9, FALSE),"")</f>
        <v>Dynamikbereich-Optimierer</v>
      </c>
      <c r="N1606" s="6"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c>
      <c r="O1606" s="6" t="s">
        <v>8574</v>
      </c>
      <c r="P1606" s="6" t="s">
        <v>8574</v>
      </c>
      <c r="Q1606" s="6" t="s">
        <v>9258</v>
      </c>
    </row>
    <row r="1607" spans="1:17" x14ac:dyDescent="0.25">
      <c r="A1607" s="5" t="str">
        <f>IF(TRIM(I1607)="","",E1607)</f>
        <v/>
      </c>
      <c r="B1607" s="5" t="str">
        <f>IF(TRIM(J1607)="","",H1607)</f>
        <v/>
      </c>
      <c r="C1607" s="5" t="str">
        <f>LEFT(F1607,FIND(".",F1607,6))</f>
        <v>Exif.Sony1.</v>
      </c>
      <c r="D1607" s="5" t="str">
        <f>VLOOKUP(C1607,PrefixUebersetzung,2,FALSE)</f>
        <v>Exif.Sony1.</v>
      </c>
      <c r="E1607" s="5" t="str">
        <f>MID(F1607,FIND(".",F1607,6)+1,99)</f>
        <v>ExposureMode</v>
      </c>
      <c r="F1607" s="5" t="s">
        <v>1402</v>
      </c>
      <c r="G1607" s="5" t="s">
        <v>9664</v>
      </c>
      <c r="H1607" s="6" t="s">
        <v>3139</v>
      </c>
      <c r="I1607" s="24"/>
      <c r="K1607" s="26"/>
      <c r="L1607" s="6" t="str">
        <f>IFERROR(VLOOKUP(E1607,A:I,9, FALSE),"")</f>
        <v>Belichtungsmodus</v>
      </c>
      <c r="M1607" s="6" t="str">
        <f>IFERROR(VLOOKUP(H1607,B:J,9,FALSE),"")</f>
        <v>Belichtungsmodus</v>
      </c>
      <c r="N1607" s="6"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c>
    </row>
    <row r="1608" spans="1:17" x14ac:dyDescent="0.25">
      <c r="A1608" s="5" t="str">
        <f>IF(TRIM(I1608)="","",E1608)</f>
        <v>FileFormat</v>
      </c>
      <c r="B1608" s="5" t="str">
        <f>IF(TRIM(J1608)="","",H1608)</f>
        <v>File Format</v>
      </c>
      <c r="C1608" s="5" t="str">
        <f>LEFT(F1608,FIND(".",F1608,6))</f>
        <v>Exif.Sony1.</v>
      </c>
      <c r="D1608" s="5" t="str">
        <f>VLOOKUP(C1608,PrefixUebersetzung,2,FALSE)</f>
        <v>Exif.Sony1.</v>
      </c>
      <c r="E1608" s="5" t="str">
        <f>MID(F1608,FIND(".",F1608,6)+1,99)</f>
        <v>FileFormat</v>
      </c>
      <c r="F1608" s="5" t="s">
        <v>1403</v>
      </c>
      <c r="G1608" s="5" t="s">
        <v>9670</v>
      </c>
      <c r="H1608" s="6" t="s">
        <v>3140</v>
      </c>
      <c r="I1608" s="7" t="s">
        <v>4439</v>
      </c>
      <c r="J1608" s="14" t="s">
        <v>4439</v>
      </c>
      <c r="K1608" s="26"/>
      <c r="L1608" s="6" t="str">
        <f>IFERROR(VLOOKUP(E1608,A:I,9, FALSE),"")</f>
        <v>Dateiformat</v>
      </c>
      <c r="N1608" s="6"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6" t="s">
        <v>8574</v>
      </c>
      <c r="P1608" s="6" t="s">
        <v>8574</v>
      </c>
      <c r="Q1608" s="6" t="s">
        <v>4439</v>
      </c>
    </row>
    <row r="1609" spans="1:17" ht="30" x14ac:dyDescent="0.25">
      <c r="A1609" s="5" t="str">
        <f>IF(TRIM(I1609)="","",E1609)</f>
        <v/>
      </c>
      <c r="B1609" s="5" t="str">
        <f>IF(TRIM(J1609)="","",H1609)</f>
        <v/>
      </c>
      <c r="C1609" s="5" t="str">
        <f>LEFT(F1609,FIND(".",F1609,6))</f>
        <v>Exif.Sony1.</v>
      </c>
      <c r="D1609" s="5" t="str">
        <f>VLOOKUP(C1609,PrefixUebersetzung,2,FALSE)</f>
        <v>Exif.Sony1.</v>
      </c>
      <c r="E1609" s="5" t="str">
        <f>MID(F1609,FIND(".",F1609,6)+1,99)</f>
        <v>FlashExposureComp</v>
      </c>
      <c r="F1609" s="5" t="s">
        <v>1404</v>
      </c>
      <c r="G1609" s="5" t="s">
        <v>9672</v>
      </c>
      <c r="H1609" s="6" t="s">
        <v>2531</v>
      </c>
      <c r="I1609" s="5"/>
      <c r="J1609" s="8"/>
      <c r="K1609" s="26"/>
      <c r="L1609" s="6" t="str">
        <f>IFERROR(VLOOKUP(E1609,A:I,9, FALSE),"")</f>
        <v>Blitzbelichtungskorrektur</v>
      </c>
      <c r="M1609" s="6" t="str">
        <f>IFERROR(VLOOKUP(H1609,B:J,9,FALSE),"")</f>
        <v>Blitzbelichtungskorrektur in EV</v>
      </c>
      <c r="N1609" s="6"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row>
    <row r="1610" spans="1:17" x14ac:dyDescent="0.25">
      <c r="A1610" s="5" t="str">
        <f>IF(TRIM(I1610)="","",E1610)</f>
        <v/>
      </c>
      <c r="B1610" s="5" t="str">
        <f>IF(TRIM(J1610)="","",H1610)</f>
        <v/>
      </c>
      <c r="C1610" s="5" t="str">
        <f>LEFT(F1610,FIND(".",F1610,6))</f>
        <v>Exif.Sony1.</v>
      </c>
      <c r="D1610" s="5" t="str">
        <f>VLOOKUP(C1610,PrefixUebersetzung,2,FALSE)</f>
        <v>Exif.Sony1.</v>
      </c>
      <c r="E1610" s="5" t="str">
        <f>MID(F1610,FIND(".",F1610,6)+1,99)</f>
        <v>FlashLevel</v>
      </c>
      <c r="F1610" s="5" t="s">
        <v>1405</v>
      </c>
      <c r="G1610" s="5" t="s">
        <v>9665</v>
      </c>
      <c r="H1610" s="6" t="s">
        <v>3141</v>
      </c>
      <c r="I1610" s="7"/>
      <c r="K1610" s="26"/>
      <c r="L1610" s="6" t="str">
        <f>IFERROR(VLOOKUP(E1610,A:I,9, FALSE),"")</f>
        <v>Blitzleitzahl</v>
      </c>
      <c r="M1610" s="6" t="str">
        <f>IFERROR(VLOOKUP(H1610,B:J,9,FALSE),"")</f>
        <v>Blitzleitzahl</v>
      </c>
      <c r="N1610" s="6"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c>
    </row>
    <row r="1611" spans="1:17" x14ac:dyDescent="0.25">
      <c r="A1611" s="5" t="str">
        <f>IF(TRIM(I1611)="","",E1611)</f>
        <v/>
      </c>
      <c r="B1611" s="5" t="str">
        <f>IF(TRIM(J1611)="","",H1611)</f>
        <v/>
      </c>
      <c r="C1611" s="5" t="str">
        <f>LEFT(F1611,FIND(".",F1611,6))</f>
        <v>Exif.Sony1.</v>
      </c>
      <c r="D1611" s="5" t="str">
        <f>VLOOKUP(C1611,PrefixUebersetzung,2,FALSE)</f>
        <v>Exif.Sony1.</v>
      </c>
      <c r="E1611" s="5" t="str">
        <f>MID(F1611,FIND(".",F1611,6)+1,99)</f>
        <v>FocusMode</v>
      </c>
      <c r="F1611" s="5" t="s">
        <v>1406</v>
      </c>
      <c r="G1611" s="5" t="s">
        <v>9664</v>
      </c>
      <c r="H1611" s="6" t="s">
        <v>3142</v>
      </c>
      <c r="I1611" s="7"/>
      <c r="K1611" s="26"/>
      <c r="L1611" s="6" t="str">
        <f>IFERROR(VLOOKUP(E1611,A:I,9, FALSE),"")</f>
        <v>Fokusmodus</v>
      </c>
      <c r="M1611" s="6" t="str">
        <f>IFERROR(VLOOKUP(H1611,B:J,9,FALSE),"")</f>
        <v>Fokusmodus</v>
      </c>
      <c r="N1611" s="6"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row>
    <row r="1612" spans="1:17" x14ac:dyDescent="0.25">
      <c r="A1612" s="5" t="str">
        <f>IF(TRIM(I1612)="","",E1612)</f>
        <v>FullImageSize</v>
      </c>
      <c r="B1612" s="5" t="str">
        <f>IF(TRIM(J1612)="","",H1612)</f>
        <v>Full Image Size</v>
      </c>
      <c r="C1612" s="5" t="str">
        <f>LEFT(F1612,FIND(".",F1612,6))</f>
        <v>Exif.Sony1.</v>
      </c>
      <c r="D1612" s="5" t="str">
        <f>VLOOKUP(C1612,PrefixUebersetzung,2,FALSE)</f>
        <v>Exif.Sony1.</v>
      </c>
      <c r="E1612" s="5" t="str">
        <f>MID(F1612,FIND(".",F1612,6)+1,99)</f>
        <v>FullImageSize</v>
      </c>
      <c r="F1612" s="5" t="s">
        <v>1407</v>
      </c>
      <c r="G1612" s="5" t="s">
        <v>9667</v>
      </c>
      <c r="H1612" s="6" t="s">
        <v>3143</v>
      </c>
      <c r="I1612" s="24" t="s">
        <v>4085</v>
      </c>
      <c r="J1612" s="8" t="s">
        <v>4085</v>
      </c>
      <c r="K1612" s="26"/>
      <c r="N1612" s="6"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c r="O1612" s="6" t="s">
        <v>8574</v>
      </c>
      <c r="P1612" s="6" t="s">
        <v>8574</v>
      </c>
      <c r="Q1612" s="6" t="s">
        <v>9331</v>
      </c>
    </row>
    <row r="1613" spans="1:17" x14ac:dyDescent="0.25">
      <c r="A1613" s="5" t="str">
        <f>IF(TRIM(I1613)="","",E1613)</f>
        <v/>
      </c>
      <c r="B1613" s="5" t="str">
        <f>IF(TRIM(J1613)="","",H1613)</f>
        <v/>
      </c>
      <c r="C1613" s="5" t="str">
        <f>LEFT(F1613,FIND(".",F1613,6))</f>
        <v>Exif.Sony1.</v>
      </c>
      <c r="D1613" s="5" t="str">
        <f>VLOOKUP(C1613,PrefixUebersetzung,2,FALSE)</f>
        <v>Exif.Sony1.</v>
      </c>
      <c r="E1613" s="5" t="str">
        <f>MID(F1613,FIND(".",F1613,6)+1,99)</f>
        <v>ImageStabilization</v>
      </c>
      <c r="F1613" s="5" t="s">
        <v>1408</v>
      </c>
      <c r="G1613" s="5" t="s">
        <v>9667</v>
      </c>
      <c r="H1613" s="6" t="s">
        <v>2198</v>
      </c>
      <c r="I1613" s="24"/>
      <c r="J1613" s="8"/>
      <c r="K1613" s="26"/>
      <c r="L1613" s="6" t="str">
        <f>IFERROR(VLOOKUP(E1613,A:I,9, FALSE),"")</f>
        <v>Bildstabilisierung</v>
      </c>
      <c r="M1613" s="6" t="str">
        <f>IFERROR(VLOOKUP(H1613,B:J,9,FALSE),"")</f>
        <v>Bildstabilisierung</v>
      </c>
      <c r="N1613" s="6"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5" t="str">
        <f>IF(TRIM(I1614)="","",E1614)</f>
        <v/>
      </c>
      <c r="B1614" s="5" t="str">
        <f>IF(TRIM(J1614)="","",H1614)</f>
        <v/>
      </c>
      <c r="C1614" s="5" t="str">
        <f>LEFT(F1614,FIND(".",F1614,6))</f>
        <v>Exif.Sony1.</v>
      </c>
      <c r="D1614" s="5" t="str">
        <f>VLOOKUP(C1614,PrefixUebersetzung,2,FALSE)</f>
        <v>Exif.Sony1.</v>
      </c>
      <c r="E1614" s="5" t="str">
        <f>MID(F1614,FIND(".",F1614,6)+1,99)</f>
        <v>IntelligentAuto</v>
      </c>
      <c r="F1614" s="5" t="s">
        <v>1409</v>
      </c>
      <c r="G1614" s="5" t="s">
        <v>9664</v>
      </c>
      <c r="H1614" s="6" t="s">
        <v>3144</v>
      </c>
      <c r="I1614" s="7"/>
      <c r="K1614" s="26"/>
      <c r="N1614" s="6"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xml:space="preserve">Suffix not translated Description not translated </v>
      </c>
      <c r="O1614" s="6" t="s">
        <v>8574</v>
      </c>
      <c r="P1614" s="6" t="s">
        <v>8574</v>
      </c>
    </row>
    <row r="1615" spans="1:17" x14ac:dyDescent="0.25">
      <c r="A1615" s="5" t="str">
        <f>IF(TRIM(I1615)="","",E1615)</f>
        <v>JPEGQuality</v>
      </c>
      <c r="B1615" s="5" t="str">
        <f>IF(TRIM(J1615)="","",H1615)</f>
        <v>JPEG Quality</v>
      </c>
      <c r="C1615" s="5" t="str">
        <f>LEFT(F1615,FIND(".",F1615,6))</f>
        <v>Exif.Sony1.</v>
      </c>
      <c r="D1615" s="5" t="str">
        <f>VLOOKUP(C1615,PrefixUebersetzung,2,FALSE)</f>
        <v>Exif.Sony1.</v>
      </c>
      <c r="E1615" s="5" t="str">
        <f>MID(F1615,FIND(".",F1615,6)+1,99)</f>
        <v>JPEGQuality</v>
      </c>
      <c r="F1615" s="5" t="s">
        <v>1410</v>
      </c>
      <c r="G1615" s="5" t="s">
        <v>9664</v>
      </c>
      <c r="H1615" s="6" t="s">
        <v>3145</v>
      </c>
      <c r="I1615" s="24" t="s">
        <v>5079</v>
      </c>
      <c r="J1615" s="8" t="s">
        <v>5079</v>
      </c>
      <c r="K1615" s="26"/>
      <c r="N1615" s="6"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c r="O1615" s="6" t="s">
        <v>8574</v>
      </c>
      <c r="P1615" s="6" t="s">
        <v>8574</v>
      </c>
      <c r="Q1615" s="6" t="s">
        <v>9381</v>
      </c>
    </row>
    <row r="1616" spans="1:17" x14ac:dyDescent="0.25">
      <c r="A1616" s="5" t="str">
        <f>IF(TRIM(I1616)="","",E1616)</f>
        <v/>
      </c>
      <c r="B1616" s="5" t="str">
        <f>IF(TRIM(J1616)="","",H1616)</f>
        <v/>
      </c>
      <c r="C1616" s="5" t="str">
        <f>LEFT(F1616,FIND(".",F1616,6))</f>
        <v>Exif.Sony1.</v>
      </c>
      <c r="D1616" s="5" t="str">
        <f>VLOOKUP(C1616,PrefixUebersetzung,2,FALSE)</f>
        <v>Exif.Sony1.</v>
      </c>
      <c r="E1616" s="5" t="str">
        <f>MID(F1616,FIND(".",F1616,6)+1,99)</f>
        <v>LensID</v>
      </c>
      <c r="F1616" s="5" t="s">
        <v>1411</v>
      </c>
      <c r="G1616" s="5" t="s">
        <v>9667</v>
      </c>
      <c r="H1616" s="6" t="s">
        <v>2534</v>
      </c>
      <c r="I1616" s="24"/>
      <c r="J1616" s="8"/>
      <c r="K1616" s="26"/>
      <c r="L1616" s="6" t="str">
        <f>IFERROR(VLOOKUP(E1616,A:I,9, FALSE),"")</f>
        <v>Objektiv Kennung</v>
      </c>
      <c r="M1616" s="6" t="str">
        <f>IFERROR(VLOOKUP(H1616,B:J,9,FALSE),"")</f>
        <v>Objektiv Kennung</v>
      </c>
      <c r="N1616" s="6"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c>
    </row>
    <row r="1617" spans="1:17" ht="30" x14ac:dyDescent="0.25">
      <c r="A1617" s="5" t="str">
        <f>IF(TRIM(I1617)="","",E1617)</f>
        <v>LongExposureNoiseReduction</v>
      </c>
      <c r="B1617" s="5" t="str">
        <f>IF(TRIM(J1617)="","",H1617)</f>
        <v/>
      </c>
      <c r="C1617" s="5" t="str">
        <f>LEFT(F1617,FIND(".",F1617,6))</f>
        <v>Exif.Sony1.</v>
      </c>
      <c r="D1617" s="5" t="str">
        <f>VLOOKUP(C1617,PrefixUebersetzung,2,FALSE)</f>
        <v>Exif.Sony1.</v>
      </c>
      <c r="E1617" s="5" t="str">
        <f>MID(F1617,FIND(".",F1617,6)+1,99)</f>
        <v>LongExposureNoiseReduction</v>
      </c>
      <c r="F1617" s="5" t="s">
        <v>1412</v>
      </c>
      <c r="G1617" s="5" t="s">
        <v>9664</v>
      </c>
      <c r="H1617" s="6" t="s">
        <v>3146</v>
      </c>
      <c r="I1617" s="24" t="s">
        <v>3744</v>
      </c>
      <c r="J1617" s="8"/>
      <c r="K1617" s="26"/>
      <c r="L1617" s="6" t="str">
        <f>IFERROR(VLOOKUP(E1617,A:I,9, FALSE),"")</f>
        <v>Rauschreduzierung bei Langzeitbelichtung</v>
      </c>
      <c r="M1617" s="6" t="str">
        <f>IFERROR(VLOOKUP(H1617,B:J,9,FALSE),"")</f>
        <v>Rauschreduzierung bei Langzeitbelichtung</v>
      </c>
      <c r="N1617" s="6"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c>
      <c r="O1617" s="6" t="s">
        <v>8574</v>
      </c>
    </row>
    <row r="1618" spans="1:17" x14ac:dyDescent="0.25">
      <c r="A1618" s="5" t="str">
        <f>IF(TRIM(I1618)="","",E1618)</f>
        <v/>
      </c>
      <c r="B1618" s="5" t="str">
        <f>IF(TRIM(J1618)="","",H1618)</f>
        <v>Macro</v>
      </c>
      <c r="C1618" s="5" t="str">
        <f>LEFT(F1618,FIND(".",F1618,6))</f>
        <v>Exif.Sony1.</v>
      </c>
      <c r="D1618" s="5" t="str">
        <f>VLOOKUP(C1618,PrefixUebersetzung,2,FALSE)</f>
        <v>Exif.Sony1.</v>
      </c>
      <c r="E1618" s="5" t="str">
        <f>MID(F1618,FIND(".",F1618,6)+1,99)</f>
        <v>Macro</v>
      </c>
      <c r="F1618" s="5" t="s">
        <v>1413</v>
      </c>
      <c r="G1618" s="5" t="s">
        <v>9664</v>
      </c>
      <c r="H1618" s="6" t="s">
        <v>3147</v>
      </c>
      <c r="I1618" s="7"/>
      <c r="J1618" s="14" t="s">
        <v>4198</v>
      </c>
      <c r="K1618" s="26"/>
      <c r="L1618" s="6" t="str">
        <f>IFERROR(VLOOKUP(E1618,A:I,9, FALSE),"")</f>
        <v>Makro</v>
      </c>
      <c r="N1618" s="6"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c>
      <c r="P1618" s="6" t="s">
        <v>8574</v>
      </c>
      <c r="Q1618" s="6" t="s">
        <v>3147</v>
      </c>
    </row>
    <row r="1619" spans="1:17" x14ac:dyDescent="0.25">
      <c r="A1619" s="5" t="str">
        <f>IF(TRIM(I1619)="","",E1619)</f>
        <v>MinoltaMakerNote</v>
      </c>
      <c r="B1619" s="5" t="str">
        <f>IF(TRIM(J1619)="","",H1619)</f>
        <v>Minolta MakerNote</v>
      </c>
      <c r="C1619" s="5" t="str">
        <f>LEFT(F1619,FIND(".",F1619,6))</f>
        <v>Exif.Sony1.</v>
      </c>
      <c r="D1619" s="5" t="str">
        <f>VLOOKUP(C1619,PrefixUebersetzung,2,FALSE)</f>
        <v>Exif.Sony1.</v>
      </c>
      <c r="E1619" s="5" t="str">
        <f>MID(F1619,FIND(".",F1619,6)+1,99)</f>
        <v>MinoltaMakerNote</v>
      </c>
      <c r="F1619" s="5" t="s">
        <v>1414</v>
      </c>
      <c r="G1619" s="5" t="s">
        <v>9669</v>
      </c>
      <c r="H1619" s="6" t="s">
        <v>3148</v>
      </c>
      <c r="I1619" s="7" t="s">
        <v>4947</v>
      </c>
      <c r="J1619" s="14" t="s">
        <v>4947</v>
      </c>
      <c r="K1619" s="26"/>
      <c r="N1619" s="6"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c>
      <c r="O1619" s="6" t="s">
        <v>8574</v>
      </c>
      <c r="P1619" s="6" t="s">
        <v>8574</v>
      </c>
      <c r="Q1619" s="6" t="s">
        <v>3936</v>
      </c>
    </row>
    <row r="1620" spans="1:17" x14ac:dyDescent="0.25">
      <c r="A1620" s="5" t="str">
        <f>IF(TRIM(I1620)="","",E1620)</f>
        <v/>
      </c>
      <c r="B1620" s="5" t="str">
        <f>IF(TRIM(J1620)="","",H1620)</f>
        <v/>
      </c>
      <c r="C1620" s="5" t="str">
        <f>LEFT(F1620,FIND(".",F1620,6))</f>
        <v>Exif.Sony1.</v>
      </c>
      <c r="D1620" s="5" t="str">
        <f>VLOOKUP(C1620,PrefixUebersetzung,2,FALSE)</f>
        <v>Exif.Sony1.</v>
      </c>
      <c r="E1620" s="5" t="str">
        <f>MID(F1620,FIND(".",F1620,6)+1,99)</f>
        <v>MultiBurstImageHeight</v>
      </c>
      <c r="F1620" s="5" t="s">
        <v>1415</v>
      </c>
      <c r="G1620" s="5" t="s">
        <v>9664</v>
      </c>
      <c r="H1620" s="6" t="s">
        <v>3149</v>
      </c>
      <c r="I1620" s="7"/>
      <c r="J1620" s="30"/>
      <c r="K1620" s="26"/>
      <c r="N1620" s="6"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O1620" s="6" t="s">
        <v>8574</v>
      </c>
      <c r="P1620" s="6" t="s">
        <v>8574</v>
      </c>
    </row>
    <row r="1621" spans="1:17" x14ac:dyDescent="0.25">
      <c r="A1621" s="5" t="str">
        <f>IF(TRIM(I1621)="","",E1621)</f>
        <v/>
      </c>
      <c r="B1621" s="5" t="str">
        <f>IF(TRIM(J1621)="","",H1621)</f>
        <v/>
      </c>
      <c r="C1621" s="5" t="str">
        <f>LEFT(F1621,FIND(".",F1621,6))</f>
        <v>Exif.Sony1.</v>
      </c>
      <c r="D1621" s="5" t="str">
        <f>VLOOKUP(C1621,PrefixUebersetzung,2,FALSE)</f>
        <v>Exif.Sony1.</v>
      </c>
      <c r="E1621" s="5" t="str">
        <f>MID(F1621,FIND(".",F1621,6)+1,99)</f>
        <v>MultiBurstImageWidth</v>
      </c>
      <c r="F1621" s="5" t="s">
        <v>1416</v>
      </c>
      <c r="G1621" s="5" t="s">
        <v>9664</v>
      </c>
      <c r="H1621" s="6" t="s">
        <v>3150</v>
      </c>
      <c r="I1621" s="7"/>
      <c r="J1621" s="30"/>
      <c r="K1621" s="26"/>
      <c r="N1621" s="6"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6" t="s">
        <v>8574</v>
      </c>
      <c r="P1621" s="6" t="s">
        <v>8574</v>
      </c>
    </row>
    <row r="1622" spans="1:17" x14ac:dyDescent="0.25">
      <c r="A1622" s="5" t="str">
        <f>IF(TRIM(I1622)="","",E1622)</f>
        <v/>
      </c>
      <c r="B1622" s="5" t="str">
        <f>IF(TRIM(J1622)="","",H1622)</f>
        <v/>
      </c>
      <c r="C1622" s="5" t="str">
        <f>LEFT(F1622,FIND(".",F1622,6))</f>
        <v>Exif.Sony1.</v>
      </c>
      <c r="D1622" s="5" t="str">
        <f>VLOOKUP(C1622,PrefixUebersetzung,2,FALSE)</f>
        <v>Exif.Sony1.</v>
      </c>
      <c r="E1622" s="5" t="str">
        <f>MID(F1622,FIND(".",F1622,6)+1,99)</f>
        <v>MultiBurstMode</v>
      </c>
      <c r="F1622" s="5" t="s">
        <v>1417</v>
      </c>
      <c r="G1622" s="5" t="s">
        <v>9669</v>
      </c>
      <c r="H1622" s="6" t="s">
        <v>3151</v>
      </c>
      <c r="I1622" s="7"/>
      <c r="J1622" s="30"/>
      <c r="K1622" s="26"/>
      <c r="N1622" s="6"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6" t="s">
        <v>8574</v>
      </c>
      <c r="P1622" s="6" t="s">
        <v>8574</v>
      </c>
    </row>
    <row r="1623" spans="1:17" x14ac:dyDescent="0.25">
      <c r="A1623" s="5" t="str">
        <f>IF(TRIM(I1623)="","",E1623)</f>
        <v/>
      </c>
      <c r="B1623" s="5" t="str">
        <f>IF(TRIM(J1623)="","",H1623)</f>
        <v/>
      </c>
      <c r="C1623" s="5" t="str">
        <f>LEFT(F1623,FIND(".",F1623,6))</f>
        <v>Exif.Sony1.</v>
      </c>
      <c r="D1623" s="5" t="str">
        <f>VLOOKUP(C1623,PrefixUebersetzung,2,FALSE)</f>
        <v>Exif.Sony1.</v>
      </c>
      <c r="E1623" s="5" t="str">
        <f>MID(F1623,FIND(".",F1623,6)+1,99)</f>
        <v>Panorama</v>
      </c>
      <c r="F1623" s="5" t="s">
        <v>1418</v>
      </c>
      <c r="G1623" s="5" t="s">
        <v>9669</v>
      </c>
      <c r="H1623" s="6" t="s">
        <v>2155</v>
      </c>
      <c r="I1623" s="7"/>
      <c r="K1623" s="26"/>
      <c r="L1623" s="6" t="str">
        <f>IFERROR(VLOOKUP(E1623,A:I,9, FALSE),"")</f>
        <v>Panorama</v>
      </c>
      <c r="M1623" s="6" t="str">
        <f>IFERROR(VLOOKUP(H1623,B:J,9,FALSE),"")</f>
        <v>Panorama</v>
      </c>
      <c r="N1623" s="6"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c>
    </row>
    <row r="1624" spans="1:17" x14ac:dyDescent="0.25">
      <c r="A1624" s="5" t="str">
        <f>IF(TRIM(I1624)="","",E1624)</f>
        <v/>
      </c>
      <c r="B1624" s="5" t="str">
        <f>IF(TRIM(J1624)="","",H1624)</f>
        <v>JPEG preview image</v>
      </c>
      <c r="C1624" s="5" t="str">
        <f>LEFT(F1624,FIND(".",F1624,6))</f>
        <v>Exif.Sony1.</v>
      </c>
      <c r="D1624" s="5" t="str">
        <f>VLOOKUP(C1624,PrefixUebersetzung,2,FALSE)</f>
        <v>Exif.Sony1.</v>
      </c>
      <c r="E1624" s="5" t="str">
        <f>MID(F1624,FIND(".",F1624,6)+1,99)</f>
        <v>PreviewImage</v>
      </c>
      <c r="F1624" s="5" t="s">
        <v>1419</v>
      </c>
      <c r="G1624" s="5" t="s">
        <v>9669</v>
      </c>
      <c r="H1624" s="6" t="s">
        <v>3152</v>
      </c>
      <c r="I1624" s="7"/>
      <c r="J1624" s="14" t="s">
        <v>5219</v>
      </c>
      <c r="K1624" s="26"/>
      <c r="L1624" s="6" t="str">
        <f>IFERROR(VLOOKUP(E1624,A:I,9, FALSE),"")</f>
        <v>Vorschaubild</v>
      </c>
      <c r="N1624" s="6"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c>
      <c r="P1624" s="6" t="s">
        <v>8574</v>
      </c>
      <c r="Q1624" s="6" t="s">
        <v>9183</v>
      </c>
    </row>
    <row r="1625" spans="1:17" x14ac:dyDescent="0.25">
      <c r="A1625" s="5" t="str">
        <f>IF(TRIM(I1625)="","",E1625)</f>
        <v/>
      </c>
      <c r="B1625" s="5" t="str">
        <f>IF(TRIM(J1625)="","",H1625)</f>
        <v/>
      </c>
      <c r="C1625" s="5" t="str">
        <f>LEFT(F1625,FIND(".",F1625,6))</f>
        <v>Exif.Sony1.</v>
      </c>
      <c r="D1625" s="5" t="str">
        <f>VLOOKUP(C1625,PrefixUebersetzung,2,FALSE)</f>
        <v>Exif.Sony1.</v>
      </c>
      <c r="E1625" s="5" t="str">
        <f>MID(F1625,FIND(".",F1625,6)+1,99)</f>
        <v>PreviewImageSize</v>
      </c>
      <c r="F1625" s="5" t="s">
        <v>1420</v>
      </c>
      <c r="G1625" s="5" t="s">
        <v>9667</v>
      </c>
      <c r="H1625" s="6" t="s">
        <v>3153</v>
      </c>
      <c r="I1625" s="24"/>
      <c r="J1625" s="8"/>
      <c r="K1625" s="26"/>
      <c r="L1625" s="6" t="str">
        <f>IFERROR(VLOOKUP(E1625,A:I,9, FALSE),"")</f>
        <v>Vorschaubildgröße</v>
      </c>
      <c r="M1625" s="6" t="str">
        <f>IFERROR(VLOOKUP(H1625,B:J,9,FALSE),"")</f>
        <v>Vorschaubildgröße</v>
      </c>
      <c r="N1625" s="6"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c>
    </row>
    <row r="1626" spans="1:17" x14ac:dyDescent="0.25">
      <c r="A1626" s="5" t="str">
        <f>IF(TRIM(I1626)="","",E1626)</f>
        <v/>
      </c>
      <c r="B1626" s="5" t="str">
        <f>IF(TRIM(J1626)="","",H1626)</f>
        <v/>
      </c>
      <c r="C1626" s="5" t="str">
        <f>LEFT(F1626,FIND(".",F1626,6))</f>
        <v>Exif.Sony1.</v>
      </c>
      <c r="D1626" s="5" t="str">
        <f>VLOOKUP(C1626,PrefixUebersetzung,2,FALSE)</f>
        <v>Exif.Sony1.</v>
      </c>
      <c r="E1626" s="5" t="str">
        <f>MID(F1626,FIND(".",F1626,6)+1,99)</f>
        <v>PrintIM</v>
      </c>
      <c r="F1626" s="5" t="s">
        <v>1421</v>
      </c>
      <c r="G1626" s="5" t="s">
        <v>9669</v>
      </c>
      <c r="H1626" s="6" t="s">
        <v>2535</v>
      </c>
      <c r="I1626" s="7"/>
      <c r="K1626" s="26"/>
      <c r="L1626" s="6" t="str">
        <f>IFERROR(VLOOKUP(E1626,A:I,9, FALSE),"")</f>
        <v>PrintIM</v>
      </c>
      <c r="M1626" s="6" t="str">
        <f>IFERROR(VLOOKUP(H1626,B:J,9,FALSE),"")</f>
        <v>PrintIM Informationen</v>
      </c>
      <c r="N1626" s="6"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c>
    </row>
    <row r="1627" spans="1:17" x14ac:dyDescent="0.25">
      <c r="A1627" s="5" t="str">
        <f>IF(TRIM(I1627)="","",E1627)</f>
        <v/>
      </c>
      <c r="B1627" s="5" t="str">
        <f>IF(TRIM(J1627)="","",H1627)</f>
        <v/>
      </c>
      <c r="C1627" s="5" t="str">
        <f>LEFT(F1627,FIND(".",F1627,6))</f>
        <v>Exif.Sony1.</v>
      </c>
      <c r="D1627" s="5" t="str">
        <f>VLOOKUP(C1627,PrefixUebersetzung,2,FALSE)</f>
        <v>Exif.Sony1.</v>
      </c>
      <c r="E1627" s="5" t="str">
        <f>MID(F1627,FIND(".",F1627,6)+1,99)</f>
        <v>Quality</v>
      </c>
      <c r="F1627" s="5" t="s">
        <v>1422</v>
      </c>
      <c r="G1627" s="5" t="s">
        <v>9667</v>
      </c>
      <c r="H1627" s="6" t="s">
        <v>2536</v>
      </c>
      <c r="I1627" s="5"/>
      <c r="K1627" s="26"/>
      <c r="L1627" s="6" t="str">
        <f>IFERROR(VLOOKUP(E1627,A:I,9, FALSE),"")</f>
        <v>Qualität</v>
      </c>
      <c r="M1627" s="6" t="str">
        <f>IFERROR(VLOOKUP(H1627,B:J,9,FALSE),"")</f>
        <v>Bildqualität</v>
      </c>
      <c r="N1627" s="6"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c>
    </row>
    <row r="1628" spans="1:17" x14ac:dyDescent="0.25">
      <c r="A1628" s="5" t="str">
        <f>IF(TRIM(I1628)="","",E1628)</f>
        <v/>
      </c>
      <c r="B1628" s="5" t="str">
        <f>IF(TRIM(J1628)="","",H1628)</f>
        <v/>
      </c>
      <c r="C1628" s="5" t="str">
        <f>LEFT(F1628,FIND(".",F1628,6))</f>
        <v>Exif.Sony1.</v>
      </c>
      <c r="D1628" s="5" t="str">
        <f>VLOOKUP(C1628,PrefixUebersetzung,2,FALSE)</f>
        <v>Exif.Sony1.</v>
      </c>
      <c r="E1628" s="5" t="str">
        <f>MID(F1628,FIND(".",F1628,6)+1,99)</f>
        <v>ReleaseMode</v>
      </c>
      <c r="F1628" s="5" t="s">
        <v>1423</v>
      </c>
      <c r="G1628" s="5" t="s">
        <v>9664</v>
      </c>
      <c r="H1628" s="6" t="s">
        <v>3154</v>
      </c>
      <c r="I1628" s="7"/>
      <c r="K1628" s="26"/>
      <c r="L1628" s="6" t="str">
        <f>IFERROR(VLOOKUP(E1628,A:I,9, FALSE),"")</f>
        <v>Release-Mode</v>
      </c>
      <c r="M1628" s="6" t="str">
        <f>IFERROR(VLOOKUP(H1628,B:J,9,FALSE),"")</f>
        <v>Release-Mode</v>
      </c>
      <c r="N1628" s="6"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c>
    </row>
    <row r="1629" spans="1:17" x14ac:dyDescent="0.25">
      <c r="A1629" s="5" t="str">
        <f>IF(TRIM(I1629)="","",E1629)</f>
        <v/>
      </c>
      <c r="B1629" s="5" t="str">
        <f>IF(TRIM(J1629)="","",H1629)</f>
        <v/>
      </c>
      <c r="C1629" s="5" t="str">
        <f>LEFT(F1629,FIND(".",F1629,6))</f>
        <v>Exif.Sony1.</v>
      </c>
      <c r="D1629" s="5" t="str">
        <f>VLOOKUP(C1629,PrefixUebersetzung,2,FALSE)</f>
        <v>Exif.Sony1.</v>
      </c>
      <c r="E1629" s="5" t="str">
        <f>MID(F1629,FIND(".",F1629,6)+1,99)</f>
        <v>Saturation</v>
      </c>
      <c r="F1629" s="5" t="s">
        <v>1424</v>
      </c>
      <c r="G1629" s="5" t="s">
        <v>9668</v>
      </c>
      <c r="H1629" s="6" t="s">
        <v>2567</v>
      </c>
      <c r="I1629" s="24"/>
      <c r="J1629" s="8"/>
      <c r="K1629" s="26"/>
      <c r="L1629" s="6" t="str">
        <f>IFERROR(VLOOKUP(E1629,A:I,9, FALSE),"")</f>
        <v>Sättigung</v>
      </c>
      <c r="M1629" s="6" t="str">
        <f>IFERROR(VLOOKUP(H1629,B:J,9,FALSE),"")</f>
        <v>Sättigung</v>
      </c>
      <c r="N1629" s="6"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c>
    </row>
    <row r="1630" spans="1:17" x14ac:dyDescent="0.25">
      <c r="A1630" s="5" t="str">
        <f>IF(TRIM(I1630)="","",E1630)</f>
        <v/>
      </c>
      <c r="B1630" s="5" t="str">
        <f>IF(TRIM(J1630)="","",H1630)</f>
        <v/>
      </c>
      <c r="C1630" s="5" t="str">
        <f>LEFT(F1630,FIND(".",F1630,6))</f>
        <v>Exif.Sony1.</v>
      </c>
      <c r="D1630" s="5" t="str">
        <f>VLOOKUP(C1630,PrefixUebersetzung,2,FALSE)</f>
        <v>Exif.Sony1.</v>
      </c>
      <c r="E1630" s="5" t="str">
        <f>MID(F1630,FIND(".",F1630,6)+1,99)</f>
        <v>SceneMode</v>
      </c>
      <c r="F1630" s="5" t="s">
        <v>1425</v>
      </c>
      <c r="G1630" s="5" t="s">
        <v>9667</v>
      </c>
      <c r="H1630" s="6" t="s">
        <v>2538</v>
      </c>
      <c r="I1630" s="24"/>
      <c r="J1630" s="8"/>
      <c r="K1630" s="26"/>
      <c r="L1630" s="6" t="str">
        <f>IFERROR(VLOOKUP(E1630,A:I,9, FALSE),"")</f>
        <v>Szenenmodus</v>
      </c>
      <c r="M1630" s="6" t="str">
        <f>IFERROR(VLOOKUP(H1630,B:J,9,FALSE),"")</f>
        <v>Szenenmodus</v>
      </c>
      <c r="N1630" s="6"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c>
    </row>
    <row r="1631" spans="1:17" x14ac:dyDescent="0.25">
      <c r="A1631" s="5" t="str">
        <f>IF(TRIM(I1631)="","",E1631)</f>
        <v/>
      </c>
      <c r="B1631" s="5" t="str">
        <f>IF(TRIM(J1631)="","",H1631)</f>
        <v>Shot number in continuous burst mode</v>
      </c>
      <c r="C1631" s="5" t="str">
        <f>LEFT(F1631,FIND(".",F1631,6))</f>
        <v>Exif.Sony1.</v>
      </c>
      <c r="D1631" s="5" t="str">
        <f>VLOOKUP(C1631,PrefixUebersetzung,2,FALSE)</f>
        <v>Exif.Sony1.</v>
      </c>
      <c r="E1631" s="5" t="str">
        <f>MID(F1631,FIND(".",F1631,6)+1,99)</f>
        <v>SequenceNumber</v>
      </c>
      <c r="F1631" s="5" t="s">
        <v>1426</v>
      </c>
      <c r="G1631" s="5" t="s">
        <v>9664</v>
      </c>
      <c r="H1631" s="6" t="s">
        <v>9623</v>
      </c>
      <c r="I1631" s="7"/>
      <c r="J1631" s="14" t="s">
        <v>5224</v>
      </c>
      <c r="K1631" s="26"/>
      <c r="L1631" s="6" t="str">
        <f>IFERROR(VLOOKUP(E1631,A:I,9, FALSE),"")</f>
        <v>Sequenznummer</v>
      </c>
      <c r="N1631" s="6"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c>
      <c r="P1631" s="6" t="s">
        <v>8574</v>
      </c>
    </row>
    <row r="1632" spans="1:17" ht="30" x14ac:dyDescent="0.25">
      <c r="A1632" s="5" t="str">
        <f>IF(TRIM(I1632)="","",E1632)</f>
        <v/>
      </c>
      <c r="B1632" s="5" t="str">
        <f>IF(TRIM(J1632)="","",H1632)</f>
        <v/>
      </c>
      <c r="C1632" s="5" t="str">
        <f>LEFT(F1632,FIND(".",F1632,6))</f>
        <v>Exif.Sony1.</v>
      </c>
      <c r="D1632" s="5" t="str">
        <f>VLOOKUP(C1632,PrefixUebersetzung,2,FALSE)</f>
        <v>Exif.Sony1.</v>
      </c>
      <c r="E1632" s="5" t="str">
        <f>MID(F1632,FIND(".",F1632,6)+1,99)</f>
        <v>ShotInfo</v>
      </c>
      <c r="F1632" s="5" t="s">
        <v>1427</v>
      </c>
      <c r="G1632" s="5" t="s">
        <v>9669</v>
      </c>
      <c r="H1632" s="6" t="s">
        <v>3155</v>
      </c>
      <c r="I1632" s="7"/>
      <c r="K1632" s="26"/>
      <c r="L1632" s="6" t="str">
        <f>IFERROR(VLOOKUP(E1632,A:I,9, FALSE),"")</f>
        <v>Aufnahmeinformationen</v>
      </c>
      <c r="M1632" s="6" t="str">
        <f>IFERROR(VLOOKUP(H1632,B:J,9,FALSE),"")</f>
        <v>Aufnahmeinformationen</v>
      </c>
      <c r="N1632" s="6"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c>
    </row>
    <row r="1633" spans="1:17" x14ac:dyDescent="0.25">
      <c r="A1633" s="5" t="str">
        <f>IF(TRIM(I1633)="","",E1633)</f>
        <v>SonyModelID</v>
      </c>
      <c r="B1633" s="5" t="str">
        <f>IF(TRIM(J1633)="","",H1633)</f>
        <v>Sony Model ID</v>
      </c>
      <c r="C1633" s="5" t="str">
        <f>LEFT(F1633,FIND(".",F1633,6))</f>
        <v>Exif.Sony1.</v>
      </c>
      <c r="D1633" s="5" t="str">
        <f>VLOOKUP(C1633,PrefixUebersetzung,2,FALSE)</f>
        <v>Exif.Sony1.</v>
      </c>
      <c r="E1633" s="5" t="str">
        <f>MID(F1633,FIND(".",F1633,6)+1,99)</f>
        <v>SonyModelID</v>
      </c>
      <c r="F1633" s="5" t="s">
        <v>1428</v>
      </c>
      <c r="G1633" s="5" t="s">
        <v>9664</v>
      </c>
      <c r="H1633" s="6" t="s">
        <v>3156</v>
      </c>
      <c r="I1633" s="7" t="s">
        <v>4214</v>
      </c>
      <c r="J1633" s="14" t="s">
        <v>4086</v>
      </c>
      <c r="K1633" s="26"/>
      <c r="N1633" s="6"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c>
      <c r="O1633" s="6" t="s">
        <v>8574</v>
      </c>
      <c r="P1633" s="6" t="s">
        <v>8574</v>
      </c>
      <c r="Q1633" s="6" t="s">
        <v>9424</v>
      </c>
    </row>
    <row r="1634" spans="1:17" x14ac:dyDescent="0.25">
      <c r="A1634" s="5" t="str">
        <f>IF(TRIM(I1634)="","",E1634)</f>
        <v/>
      </c>
      <c r="B1634" s="5" t="str">
        <f>IF(TRIM(J1634)="","",H1634)</f>
        <v/>
      </c>
      <c r="C1634" s="5" t="str">
        <f>LEFT(F1634,FIND(".",F1634,6))</f>
        <v>Exif.Sony1.</v>
      </c>
      <c r="D1634" s="5" t="str">
        <f>VLOOKUP(C1634,PrefixUebersetzung,2,FALSE)</f>
        <v>Exif.Sony1.</v>
      </c>
      <c r="E1634" s="5" t="str">
        <f>MID(F1634,FIND(".",F1634,6)+1,99)</f>
        <v>Teleconverter</v>
      </c>
      <c r="F1634" s="5" t="s">
        <v>1429</v>
      </c>
      <c r="G1634" s="5" t="s">
        <v>9667</v>
      </c>
      <c r="H1634" s="6" t="s">
        <v>2539</v>
      </c>
      <c r="I1634" s="7"/>
      <c r="K1634" s="26"/>
      <c r="L1634" s="6" t="str">
        <f>IFERROR(VLOOKUP(E1634,A:I,9, FALSE),"")</f>
        <v>Telekonverter</v>
      </c>
      <c r="M1634" s="6" t="str">
        <f>IFERROR(VLOOKUP(H1634,B:J,9,FALSE),"")</f>
        <v>Telekonverter Modell</v>
      </c>
      <c r="N1634" s="6"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c>
    </row>
    <row r="1635" spans="1:17" x14ac:dyDescent="0.25">
      <c r="A1635" s="5" t="str">
        <f>IF(TRIM(I1635)="","",E1635)</f>
        <v/>
      </c>
      <c r="B1635" s="5" t="str">
        <f>IF(TRIM(J1635)="","",H1635)</f>
        <v/>
      </c>
      <c r="C1635" s="5" t="str">
        <f>LEFT(F1635,FIND(".",F1635,6))</f>
        <v>Exif.Sony1.</v>
      </c>
      <c r="D1635" s="5" t="str">
        <f>VLOOKUP(C1635,PrefixUebersetzung,2,FALSE)</f>
        <v>Exif.Sony1.</v>
      </c>
      <c r="E1635" s="5" t="str">
        <f>MID(F1635,FIND(".",F1635,6)+1,99)</f>
        <v>WhiteBalance</v>
      </c>
      <c r="F1635" s="5" t="s">
        <v>1430</v>
      </c>
      <c r="G1635" s="5" t="s">
        <v>9667</v>
      </c>
      <c r="H1635" s="6" t="s">
        <v>2250</v>
      </c>
      <c r="I1635" s="7"/>
      <c r="K1635" s="26"/>
      <c r="L1635" s="6" t="str">
        <f>IFERROR(VLOOKUP(E1635,A:I,9, FALSE),"")</f>
        <v>Weißabgleich</v>
      </c>
      <c r="M1635" s="6" t="str">
        <f>IFERROR(VLOOKUP(H1635,B:J,9,FALSE),"")</f>
        <v>Weißabgleich</v>
      </c>
      <c r="N1635" s="6"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c>
    </row>
    <row r="1636" spans="1:17" x14ac:dyDescent="0.25">
      <c r="A1636" s="5" t="str">
        <f>IF(TRIM(I1636)="","",E1636)</f>
        <v/>
      </c>
      <c r="B1636" s="5" t="str">
        <f>IF(TRIM(J1636)="","",H1636)</f>
        <v/>
      </c>
      <c r="C1636" s="5" t="str">
        <f>LEFT(F1636,FIND(".",F1636,6))</f>
        <v>Exif.Sony1.</v>
      </c>
      <c r="D1636" s="5" t="str">
        <f>VLOOKUP(C1636,PrefixUebersetzung,2,FALSE)</f>
        <v>Exif.Sony1.</v>
      </c>
      <c r="E1636" s="5" t="str">
        <f>MID(F1636,FIND(".",F1636,6)+1,99)</f>
        <v>WhiteBalance2</v>
      </c>
      <c r="F1636" s="5" t="s">
        <v>1431</v>
      </c>
      <c r="G1636" s="5" t="s">
        <v>9664</v>
      </c>
      <c r="H1636" s="6" t="s">
        <v>2839</v>
      </c>
      <c r="I1636" s="24"/>
      <c r="K1636" s="26"/>
      <c r="L1636" s="6" t="str">
        <f>IFERROR(VLOOKUP(E1636,A:I,9, FALSE),"")</f>
        <v>Weißabgleich 2</v>
      </c>
      <c r="M1636" s="6" t="str">
        <f>IFERROR(VLOOKUP(H1636,B:J,9,FALSE),"")</f>
        <v>Weißabgleich 2</v>
      </c>
      <c r="N1636" s="6"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c>
    </row>
    <row r="1637" spans="1:17" ht="30" x14ac:dyDescent="0.25">
      <c r="A1637" s="5" t="str">
        <f>IF(TRIM(I1637)="","",E1637)</f>
        <v/>
      </c>
      <c r="B1637" s="5" t="str">
        <f>IF(TRIM(J1637)="","",H1637)</f>
        <v/>
      </c>
      <c r="C1637" s="5" t="str">
        <f>LEFT(F1637,FIND(".",F1637,6))</f>
        <v>Exif.Sony1.</v>
      </c>
      <c r="D1637" s="5" t="str">
        <f>VLOOKUP(C1637,PrefixUebersetzung,2,FALSE)</f>
        <v>Exif.Sony1.</v>
      </c>
      <c r="E1637" s="5" t="str">
        <f>MID(F1637,FIND(".",F1637,6)+1,99)</f>
        <v>WhiteBalanceFineTune</v>
      </c>
      <c r="F1637" s="5" t="s">
        <v>1432</v>
      </c>
      <c r="G1637" s="5" t="s">
        <v>9667</v>
      </c>
      <c r="H1637" s="6" t="s">
        <v>2545</v>
      </c>
      <c r="I1637" s="7"/>
      <c r="K1637" s="26"/>
      <c r="L1637" s="6" t="str">
        <f>IFERROR(VLOOKUP(E1637,A:I,9, FALSE),"")</f>
        <v>Weißabgleich Feinabstimmung</v>
      </c>
      <c r="M1637" s="6" t="str">
        <f>IFERROR(VLOOKUP(H1637,B:J,9,FALSE),"")</f>
        <v>Weißabgleich Feinabstimmwert</v>
      </c>
      <c r="N1637" s="6"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c>
    </row>
    <row r="1638" spans="1:17" x14ac:dyDescent="0.25">
      <c r="A1638" s="5" t="str">
        <f>IF(TRIM(I1638)="","",E1638)</f>
        <v/>
      </c>
      <c r="B1638" s="5" t="str">
        <f>IF(TRIM(J1638)="","",H1638)</f>
        <v/>
      </c>
      <c r="C1638" s="5" t="str">
        <f>LEFT(F1638,FIND(".",F1638,6))</f>
        <v>Exif.Sony1.</v>
      </c>
      <c r="D1638" s="5" t="str">
        <f>VLOOKUP(C1638,PrefixUebersetzung,2,FALSE)</f>
        <v>Exif.Sony1.</v>
      </c>
      <c r="E1638" s="5" t="str">
        <f>MID(F1638,FIND(".",F1638,6)+1,99)</f>
        <v>ZoneMatching</v>
      </c>
      <c r="F1638" s="5" t="s">
        <v>1433</v>
      </c>
      <c r="G1638" s="5" t="s">
        <v>9667</v>
      </c>
      <c r="H1638" s="6" t="s">
        <v>3157</v>
      </c>
      <c r="I1638" s="7"/>
      <c r="K1638" s="26"/>
      <c r="L1638" s="6" t="str">
        <f>IFERROR(VLOOKUP(E1638,A:I,9, FALSE),"")</f>
        <v/>
      </c>
      <c r="M1638" s="6" t="str">
        <f>IFERROR(VLOOKUP(H1638,B:J,9,FALSE),"")</f>
        <v>Zonenabgleich</v>
      </c>
      <c r="N1638" s="6"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v>
      </c>
    </row>
    <row r="1639" spans="1:17" x14ac:dyDescent="0.25">
      <c r="A1639" s="5" t="str">
        <f>IF(TRIM(I1639)="","",E1639)</f>
        <v/>
      </c>
      <c r="B1639" s="5" t="str">
        <f>IF(TRIM(J1639)="","",H1639)</f>
        <v/>
      </c>
      <c r="C1639" s="5" t="str">
        <f>LEFT(F1639,FIND(".",F1639,6))</f>
        <v>Exif.Sony1Cs.</v>
      </c>
      <c r="D1639" s="5" t="str">
        <f>VLOOKUP(C1639,PrefixUebersetzung,2,FALSE)</f>
        <v>Exif.Sony1Cs.</v>
      </c>
      <c r="E1639" s="5" t="str">
        <f>MID(F1639,FIND(".",F1639,6)+1,99)</f>
        <v>AFAreaMode</v>
      </c>
      <c r="F1639" s="5" t="s">
        <v>1434</v>
      </c>
      <c r="G1639" s="5" t="s">
        <v>9664</v>
      </c>
      <c r="H1639" s="6" t="s">
        <v>3158</v>
      </c>
      <c r="I1639" s="7"/>
      <c r="K1639" s="26"/>
      <c r="L1639" s="6" t="str">
        <f>IFERROR(VLOOKUP(E1639,A:I,9, FALSE),"")</f>
        <v>AF Bereich Modus</v>
      </c>
      <c r="M1639" s="6" t="str">
        <f>IFERROR(VLOOKUP(H1639,B:J,9,FALSE),"")</f>
        <v>AF Bereich Modus</v>
      </c>
      <c r="N1639" s="6"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c>
    </row>
    <row r="1640" spans="1:17" x14ac:dyDescent="0.25">
      <c r="A1640" s="5" t="str">
        <f>IF(TRIM(I1640)="","",E1640)</f>
        <v/>
      </c>
      <c r="B1640" s="5" t="str">
        <f>IF(TRIM(J1640)="","",H1640)</f>
        <v/>
      </c>
      <c r="C1640" s="5" t="str">
        <f>LEFT(F1640,FIND(".",F1640,6))</f>
        <v>Exif.Sony1Cs.</v>
      </c>
      <c r="D1640" s="5" t="str">
        <f>VLOOKUP(C1640,PrefixUebersetzung,2,FALSE)</f>
        <v>Exif.Sony1Cs.</v>
      </c>
      <c r="E1640" s="5" t="str">
        <f>MID(F1640,FIND(".",F1640,6)+1,99)</f>
        <v>AFIlluminator</v>
      </c>
      <c r="F1640" s="5" t="s">
        <v>1435</v>
      </c>
      <c r="G1640" s="5" t="s">
        <v>9664</v>
      </c>
      <c r="H1640" s="6" t="s">
        <v>3131</v>
      </c>
      <c r="I1640" s="24"/>
      <c r="J1640" s="8"/>
      <c r="K1640" s="26"/>
      <c r="L1640" s="6" t="str">
        <f>IFERROR(VLOOKUP(E1640,A:I,9, FALSE),"")</f>
        <v>AF Hilfslicht</v>
      </c>
      <c r="M1640" s="6" t="str">
        <f>IFERROR(VLOOKUP(H1640,B:J,9,FALSE),"")</f>
        <v>AF Hilfslicht</v>
      </c>
      <c r="N1640" s="6"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c>
    </row>
    <row r="1641" spans="1:17" x14ac:dyDescent="0.25">
      <c r="A1641" s="5" t="str">
        <f>IF(TRIM(I1641)="","",E1641)</f>
        <v>AFWithShutter</v>
      </c>
      <c r="B1641" s="5" t="str">
        <f>IF(TRIM(J1641)="","",H1641)</f>
        <v>AF With Shutter</v>
      </c>
      <c r="C1641" s="5" t="str">
        <f>LEFT(F1641,FIND(".",F1641,6))</f>
        <v>Exif.Sony1Cs.</v>
      </c>
      <c r="D1641" s="5" t="str">
        <f>VLOOKUP(C1641,PrefixUebersetzung,2,FALSE)</f>
        <v>Exif.Sony1Cs.</v>
      </c>
      <c r="E1641" s="5" t="str">
        <f>MID(F1641,FIND(".",F1641,6)+1,99)</f>
        <v>AFWithShutter</v>
      </c>
      <c r="F1641" s="5" t="s">
        <v>1436</v>
      </c>
      <c r="G1641" s="5" t="s">
        <v>9664</v>
      </c>
      <c r="H1641" s="6" t="s">
        <v>3159</v>
      </c>
      <c r="I1641" s="7" t="s">
        <v>4440</v>
      </c>
      <c r="J1641" s="14" t="s">
        <v>4440</v>
      </c>
      <c r="K1641" s="26"/>
      <c r="N1641" s="6"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c>
      <c r="O1641" s="6" t="s">
        <v>8574</v>
      </c>
      <c r="P1641" s="6" t="s">
        <v>8574</v>
      </c>
      <c r="Q1641" s="6" t="s">
        <v>9117</v>
      </c>
    </row>
    <row r="1642" spans="1:17" x14ac:dyDescent="0.25">
      <c r="A1642" s="5" t="str">
        <f>IF(TRIM(I1642)="","",E1642)</f>
        <v/>
      </c>
      <c r="B1642" s="5" t="str">
        <f>IF(TRIM(J1642)="","",H1642)</f>
        <v/>
      </c>
      <c r="C1642" s="5" t="str">
        <f>LEFT(F1642,FIND(".",F1642,6))</f>
        <v>Exif.Sony1Cs.</v>
      </c>
      <c r="D1642" s="5" t="str">
        <f>VLOOKUP(C1642,PrefixUebersetzung,2,FALSE)</f>
        <v>Exif.Sony1Cs.</v>
      </c>
      <c r="E1642" s="5" t="str">
        <f>MID(F1642,FIND(".",F1642,6)+1,99)</f>
        <v>AspectRatio</v>
      </c>
      <c r="F1642" s="5" t="s">
        <v>1437</v>
      </c>
      <c r="G1642" s="5" t="s">
        <v>9664</v>
      </c>
      <c r="H1642" s="6" t="s">
        <v>3160</v>
      </c>
      <c r="I1642" s="24"/>
      <c r="J1642" s="8"/>
      <c r="K1642" s="26"/>
      <c r="L1642" s="6" t="str">
        <f>IFERROR(VLOOKUP(E1642,A:I,9, FALSE),"")</f>
        <v>Seitenverhältnis</v>
      </c>
      <c r="M1642" s="6" t="str">
        <f>IFERROR(VLOOKUP(H1642,B:J,9,FALSE),"")</f>
        <v>Seitenverhältnis</v>
      </c>
      <c r="N1642" s="6"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row>
    <row r="1643" spans="1:17" x14ac:dyDescent="0.25">
      <c r="A1643" s="5" t="str">
        <f>IF(TRIM(I1643)="","",E1643)</f>
        <v/>
      </c>
      <c r="B1643" s="5" t="str">
        <f>IF(TRIM(J1643)="","",H1643)</f>
        <v/>
      </c>
      <c r="C1643" s="5" t="str">
        <f>LEFT(F1643,FIND(".",F1643,6))</f>
        <v>Exif.Sony1Cs.</v>
      </c>
      <c r="D1643" s="5" t="str">
        <f>VLOOKUP(C1643,PrefixUebersetzung,2,FALSE)</f>
        <v>Exif.Sony1Cs.</v>
      </c>
      <c r="E1643" s="5" t="str">
        <f>MID(F1643,FIND(".",F1643,6)+1,99)</f>
        <v>Brightness</v>
      </c>
      <c r="F1643" s="5" t="s">
        <v>1438</v>
      </c>
      <c r="G1643" s="5" t="s">
        <v>9664</v>
      </c>
      <c r="H1643" s="6" t="s">
        <v>2573</v>
      </c>
      <c r="J1643" s="8"/>
      <c r="K1643" s="26"/>
      <c r="L1643" s="6" t="str">
        <f>IFERROR(VLOOKUP(E1643,A:I,9, FALSE),"")</f>
        <v>Bildhelligkeit</v>
      </c>
      <c r="M1643" s="6" t="str">
        <f>IFERROR(VLOOKUP(H1643,B:J,9,FALSE),"")</f>
        <v>Helligkeit</v>
      </c>
      <c r="N1643" s="6"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row>
    <row r="1644" spans="1:17" x14ac:dyDescent="0.25">
      <c r="A1644" s="5" t="str">
        <f>IF(TRIM(I1644)="","",E1644)</f>
        <v/>
      </c>
      <c r="B1644" s="5" t="str">
        <f>IF(TRIM(J1644)="","",H1644)</f>
        <v/>
      </c>
      <c r="C1644" s="5" t="str">
        <f>LEFT(F1644,FIND(".",F1644,6))</f>
        <v>Exif.Sony1Cs.</v>
      </c>
      <c r="D1644" s="5" t="str">
        <f>VLOOKUP(C1644,PrefixUebersetzung,2,FALSE)</f>
        <v>Exif.Sony1Cs.</v>
      </c>
      <c r="E1644" s="5" t="str">
        <f>MID(F1644,FIND(".",F1644,6)+1,99)</f>
        <v>Contrast</v>
      </c>
      <c r="F1644" s="5" t="s">
        <v>1439</v>
      </c>
      <c r="G1644" s="5" t="s">
        <v>9664</v>
      </c>
      <c r="H1644" s="6" t="s">
        <v>2549</v>
      </c>
      <c r="K1644" s="26"/>
      <c r="L1644" s="6" t="str">
        <f>IFERROR(VLOOKUP(E1644,A:I,9, FALSE),"")</f>
        <v>Kontrast</v>
      </c>
      <c r="M1644" s="6" t="str">
        <f>IFERROR(VLOOKUP(H1644,B:J,9,FALSE),"")</f>
        <v>Kontrast</v>
      </c>
      <c r="N1644" s="6"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c>
    </row>
    <row r="1645" spans="1:17" x14ac:dyDescent="0.25">
      <c r="A1645" s="5" t="str">
        <f>IF(TRIM(I1645)="","",E1645)</f>
        <v/>
      </c>
      <c r="B1645" s="5" t="str">
        <f>IF(TRIM(J1645)="","",H1645)</f>
        <v/>
      </c>
      <c r="C1645" s="5" t="str">
        <f>LEFT(F1645,FIND(".",F1645,6))</f>
        <v>Exif.Sony1Cs.</v>
      </c>
      <c r="D1645" s="5" t="str">
        <f>VLOOKUP(C1645,PrefixUebersetzung,2,FALSE)</f>
        <v>Exif.Sony1Cs.</v>
      </c>
      <c r="E1645" s="5" t="str">
        <f>MID(F1645,FIND(".",F1645,6)+1,99)</f>
        <v>CreativeStyle</v>
      </c>
      <c r="F1645" s="5" t="s">
        <v>1440</v>
      </c>
      <c r="G1645" s="5" t="s">
        <v>9664</v>
      </c>
      <c r="H1645" s="6" t="s">
        <v>3161</v>
      </c>
      <c r="I1645" s="7"/>
      <c r="K1645" s="26"/>
      <c r="L1645" s="6" t="str">
        <f>IFERROR(VLOOKUP(E1645,A:I,9, FALSE),"")</f>
        <v/>
      </c>
      <c r="M1645" s="6" t="str">
        <f>IFERROR(VLOOKUP(H1645,B:J,9,FALSE),"")</f>
        <v/>
      </c>
      <c r="N1645" s="6"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O1645" s="6" t="s">
        <v>8574</v>
      </c>
      <c r="P1645" s="6" t="s">
        <v>8574</v>
      </c>
    </row>
    <row r="1646" spans="1:17" x14ac:dyDescent="0.25">
      <c r="A1646" s="5" t="str">
        <f>IF(TRIM(I1646)="","",E1646)</f>
        <v/>
      </c>
      <c r="B1646" s="5" t="str">
        <f>IF(TRIM(J1646)="","",H1646)</f>
        <v/>
      </c>
      <c r="C1646" s="5" t="str">
        <f>LEFT(F1646,FIND(".",F1646,6))</f>
        <v>Exif.Sony1Cs.</v>
      </c>
      <c r="D1646" s="5" t="str">
        <f>VLOOKUP(C1646,PrefixUebersetzung,2,FALSE)</f>
        <v>Exif.Sony1Cs.</v>
      </c>
      <c r="E1646" s="5" t="str">
        <f>MID(F1646,FIND(".",F1646,6)+1,99)</f>
        <v>DriveMode</v>
      </c>
      <c r="F1646" s="5" t="s">
        <v>1441</v>
      </c>
      <c r="G1646" s="5" t="s">
        <v>9664</v>
      </c>
      <c r="H1646" s="6" t="s">
        <v>3162</v>
      </c>
      <c r="I1646" s="7"/>
      <c r="K1646" s="26"/>
      <c r="L1646" s="6" t="str">
        <f>IFERROR(VLOOKUP(E1646,A:I,9, FALSE),"")</f>
        <v>Betriebsart</v>
      </c>
      <c r="M1646" s="6" t="str">
        <f>IFERROR(VLOOKUP(H1646,B:J,9,FALSE),"")</f>
        <v>Betriebsart</v>
      </c>
      <c r="N1646" s="6"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row>
    <row r="1647" spans="1:17" ht="30" x14ac:dyDescent="0.25">
      <c r="A1647" s="5" t="str">
        <f>IF(TRIM(I1647)="","",E1647)</f>
        <v>DynamicRangeOptimizerLevel</v>
      </c>
      <c r="B1647" s="5" t="str">
        <f>IF(TRIM(J1647)="","",H1647)</f>
        <v>Dynamic Range Optimizer Level</v>
      </c>
      <c r="C1647" s="5" t="str">
        <f>LEFT(F1647,FIND(".",F1647,6))</f>
        <v>Exif.Sony1Cs.</v>
      </c>
      <c r="D1647" s="5" t="str">
        <f>VLOOKUP(C1647,PrefixUebersetzung,2,FALSE)</f>
        <v>Exif.Sony1Cs.</v>
      </c>
      <c r="E1647" s="5" t="str">
        <f>MID(F1647,FIND(".",F1647,6)+1,99)</f>
        <v>DynamicRangeOptimizerLevel</v>
      </c>
      <c r="F1647" s="5" t="s">
        <v>1442</v>
      </c>
      <c r="G1647" s="5" t="s">
        <v>9664</v>
      </c>
      <c r="H1647" s="6" t="s">
        <v>3163</v>
      </c>
      <c r="I1647" s="7" t="s">
        <v>4441</v>
      </c>
      <c r="J1647" s="14" t="s">
        <v>4441</v>
      </c>
      <c r="K1647" s="26"/>
      <c r="L1647" s="6" t="str">
        <f>IFERROR(VLOOKUP(E1647,A:I,9, FALSE),"")</f>
        <v>Dynamikbereich-Optimierer Niveau</v>
      </c>
      <c r="M1647" s="6" t="str">
        <f>IFERROR(VLOOKUP(H1647,B:J,9,FALSE),"")</f>
        <v>Dynamikbereich-Optimierer Niveau</v>
      </c>
      <c r="N1647" s="6"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6" t="s">
        <v>8574</v>
      </c>
      <c r="P1647" s="6" t="s">
        <v>8574</v>
      </c>
      <c r="Q1647" s="6" t="s">
        <v>9258</v>
      </c>
    </row>
    <row r="1648" spans="1:17" ht="30" x14ac:dyDescent="0.25">
      <c r="A1648" s="5" t="str">
        <f>IF(TRIM(I1648)="","",E1648)</f>
        <v>DynamicRangeOptimizerMode</v>
      </c>
      <c r="B1648" s="5" t="str">
        <f>IF(TRIM(J1648)="","",H1648)</f>
        <v>Dynamic Range Optimizer Mode</v>
      </c>
      <c r="C1648" s="5" t="str">
        <f>LEFT(F1648,FIND(".",F1648,6))</f>
        <v>Exif.Sony1Cs.</v>
      </c>
      <c r="D1648" s="5" t="str">
        <f>VLOOKUP(C1648,PrefixUebersetzung,2,FALSE)</f>
        <v>Exif.Sony1Cs.</v>
      </c>
      <c r="E1648" s="5" t="str">
        <f>MID(F1648,FIND(".",F1648,6)+1,99)</f>
        <v>DynamicRangeOptimizerMode</v>
      </c>
      <c r="F1648" s="5" t="s">
        <v>1443</v>
      </c>
      <c r="G1648" s="5" t="s">
        <v>9664</v>
      </c>
      <c r="H1648" s="6" t="s">
        <v>3164</v>
      </c>
      <c r="I1648" s="7" t="s">
        <v>4089</v>
      </c>
      <c r="J1648" s="14" t="s">
        <v>4089</v>
      </c>
      <c r="K1648" s="26"/>
      <c r="L1648" s="6" t="str">
        <f>IFERROR(VLOOKUP(E1648,A:I,9, FALSE),"")</f>
        <v>Dynamikbereich-Optimierer Modus</v>
      </c>
      <c r="M1648" s="6" t="str">
        <f>IFERROR(VLOOKUP(H1648,B:J,9,FALSE),"")</f>
        <v>Dynamikbereich-Optimierer Modus</v>
      </c>
      <c r="N1648" s="6"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6" t="s">
        <v>8574</v>
      </c>
      <c r="P1648" s="6" t="s">
        <v>8574</v>
      </c>
      <c r="Q1648" s="6" t="s">
        <v>9259</v>
      </c>
    </row>
    <row r="1649" spans="1:17" x14ac:dyDescent="0.25">
      <c r="A1649" s="5" t="str">
        <f>IF(TRIM(I1649)="","",E1649)</f>
        <v/>
      </c>
      <c r="B1649" s="5" t="str">
        <f>IF(TRIM(J1649)="","",H1649)</f>
        <v>Exposure Level Increments</v>
      </c>
      <c r="C1649" s="5" t="str">
        <f>LEFT(F1649,FIND(".",F1649,6))</f>
        <v>Exif.Sony1Cs.</v>
      </c>
      <c r="D1649" s="5" t="str">
        <f>VLOOKUP(C1649,PrefixUebersetzung,2,FALSE)</f>
        <v>Exif.Sony1Cs.</v>
      </c>
      <c r="E1649" s="5" t="str">
        <f>MID(F1649,FIND(".",F1649,6)+1,99)</f>
        <v>ExposureLevelIncrements</v>
      </c>
      <c r="F1649" s="5" t="s">
        <v>1444</v>
      </c>
      <c r="G1649" s="5" t="s">
        <v>9664</v>
      </c>
      <c r="H1649" s="6" t="s">
        <v>3165</v>
      </c>
      <c r="I1649" s="7"/>
      <c r="J1649" s="14" t="s">
        <v>3916</v>
      </c>
      <c r="K1649" s="26"/>
      <c r="L1649" s="6" t="str">
        <f>IFERROR(VLOOKUP(E1649,A:I,9, FALSE),"")</f>
        <v>Belichtungskorrektur</v>
      </c>
      <c r="N1649" s="6"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c r="P1649" s="6" t="s">
        <v>8574</v>
      </c>
      <c r="Q1649" s="6" t="s">
        <v>9283</v>
      </c>
    </row>
    <row r="1650" spans="1:17" x14ac:dyDescent="0.25">
      <c r="A1650" s="5" t="str">
        <f>IF(TRIM(I1650)="","",E1650)</f>
        <v/>
      </c>
      <c r="B1650" s="5" t="str">
        <f>IF(TRIM(J1650)="","",H1650)</f>
        <v>Exposure Program</v>
      </c>
      <c r="C1650" s="5" t="str">
        <f>LEFT(F1650,FIND(".",F1650,6))</f>
        <v>Exif.Sony1Cs.</v>
      </c>
      <c r="D1650" s="5" t="str">
        <f>VLOOKUP(C1650,PrefixUebersetzung,2,FALSE)</f>
        <v>Exif.Sony1Cs.</v>
      </c>
      <c r="E1650" s="5" t="str">
        <f>MID(F1650,FIND(".",F1650,6)+1,99)</f>
        <v>ExposureProgram</v>
      </c>
      <c r="F1650" s="5" t="s">
        <v>1445</v>
      </c>
      <c r="G1650" s="5" t="s">
        <v>9664</v>
      </c>
      <c r="H1650" s="6" t="s">
        <v>3166</v>
      </c>
      <c r="I1650" s="7"/>
      <c r="J1650" s="14" t="s">
        <v>4087</v>
      </c>
      <c r="K1650" s="26"/>
      <c r="L1650" s="6" t="str">
        <f>IFERROR(VLOOKUP(E1650,A:I,9, FALSE),"")</f>
        <v>Belichtungsprogramm</v>
      </c>
      <c r="M1650" s="6" t="str">
        <f>IFERROR(VLOOKUP(H1650,B:J,9,FALSE),"")</f>
        <v>Belichtungsprogramm</v>
      </c>
      <c r="N1650" s="6"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6" t="s">
        <v>8574</v>
      </c>
      <c r="Q1650" s="6" t="s">
        <v>4087</v>
      </c>
    </row>
    <row r="1651" spans="1:17" x14ac:dyDescent="0.25">
      <c r="A1651" s="5" t="str">
        <f>IF(TRIM(I1651)="","",E1651)</f>
        <v/>
      </c>
      <c r="B1651" s="5" t="str">
        <f>IF(TRIM(J1651)="","",H1651)</f>
        <v>FlashMode</v>
      </c>
      <c r="C1651" s="5" t="str">
        <f>LEFT(F1651,FIND(".",F1651,6))</f>
        <v>Exif.Sony1Cs.</v>
      </c>
      <c r="D1651" s="5" t="str">
        <f>VLOOKUP(C1651,PrefixUebersetzung,2,FALSE)</f>
        <v>Exif.Sony1Cs.</v>
      </c>
      <c r="E1651" s="5" t="str">
        <f>MID(F1651,FIND(".",F1651,6)+1,99)</f>
        <v>FlashMode</v>
      </c>
      <c r="F1651" s="5" t="s">
        <v>1446</v>
      </c>
      <c r="G1651" s="5" t="s">
        <v>9664</v>
      </c>
      <c r="H1651" s="6" t="s">
        <v>3167</v>
      </c>
      <c r="I1651" s="7"/>
      <c r="J1651" s="14" t="s">
        <v>4317</v>
      </c>
      <c r="K1651" s="26"/>
      <c r="L1651" s="6" t="str">
        <f>IFERROR(VLOOKUP(E1651,A:I,9, FALSE),"")</f>
        <v>Blitzmodus</v>
      </c>
      <c r="M1651" s="6" t="str">
        <f>IFERROR(VLOOKUP(H1651,B:J,9,FALSE),"")</f>
        <v>Blitzmodus</v>
      </c>
      <c r="N1651" s="6"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P1651" s="6" t="s">
        <v>8574</v>
      </c>
      <c r="Q1651" s="6" t="s">
        <v>4317</v>
      </c>
    </row>
    <row r="1652" spans="1:17" x14ac:dyDescent="0.25">
      <c r="A1652" s="5" t="str">
        <f>IF(TRIM(I1652)="","",E1652)</f>
        <v/>
      </c>
      <c r="B1652" s="5" t="str">
        <f>IF(TRIM(J1652)="","",H1652)</f>
        <v/>
      </c>
      <c r="C1652" s="5" t="str">
        <f>LEFT(F1652,FIND(".",F1652,6))</f>
        <v>Exif.Sony1Cs.</v>
      </c>
      <c r="D1652" s="5" t="str">
        <f>VLOOKUP(C1652,PrefixUebersetzung,2,FALSE)</f>
        <v>Exif.Sony1Cs.</v>
      </c>
      <c r="E1652" s="5" t="str">
        <f>MID(F1652,FIND(".",F1652,6)+1,99)</f>
        <v>FocusMode</v>
      </c>
      <c r="F1652" s="5" t="s">
        <v>1447</v>
      </c>
      <c r="G1652" s="5" t="s">
        <v>9664</v>
      </c>
      <c r="H1652" s="6" t="s">
        <v>3142</v>
      </c>
      <c r="I1652" s="7"/>
      <c r="K1652" s="26"/>
      <c r="L1652" s="6" t="str">
        <f>IFERROR(VLOOKUP(E1652,A:I,9, FALSE),"")</f>
        <v>Fokusmodus</v>
      </c>
      <c r="M1652" s="6" t="str">
        <f>IFERROR(VLOOKUP(H1652,B:J,9,FALSE),"")</f>
        <v>Fokusmodus</v>
      </c>
      <c r="N1652" s="6"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c>
    </row>
    <row r="1653" spans="1:17" ht="30" x14ac:dyDescent="0.25">
      <c r="A1653" s="5" t="str">
        <f>IF(TRIM(I1653)="","",E1653)</f>
        <v/>
      </c>
      <c r="B1653" s="5" t="str">
        <f>IF(TRIM(J1653)="","",H1653)</f>
        <v>High ISO NoiseReduction</v>
      </c>
      <c r="C1653" s="5" t="str">
        <f>LEFT(F1653,FIND(".",F1653,6))</f>
        <v>Exif.Sony1Cs.</v>
      </c>
      <c r="D1653" s="5" t="str">
        <f>VLOOKUP(C1653,PrefixUebersetzung,2,FALSE)</f>
        <v>Exif.Sony1Cs.</v>
      </c>
      <c r="E1653" s="5" t="str">
        <f>MID(F1653,FIND(".",F1653,6)+1,99)</f>
        <v>HighISONoiseReduction</v>
      </c>
      <c r="F1653" s="5" t="s">
        <v>1448</v>
      </c>
      <c r="G1653" s="5" t="s">
        <v>9664</v>
      </c>
      <c r="H1653" s="6" t="s">
        <v>3168</v>
      </c>
      <c r="I1653" s="7"/>
      <c r="J1653" s="14" t="s">
        <v>5195</v>
      </c>
      <c r="K1653" s="26"/>
      <c r="L1653" s="6" t="str">
        <f>IFERROR(VLOOKUP(E1653,A:I,9, FALSE),"")</f>
        <v>Rauschunterdrück bei ISO+</v>
      </c>
      <c r="N1653" s="6"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c r="P1653" s="6" t="s">
        <v>8574</v>
      </c>
      <c r="Q1653" s="6" t="s">
        <v>9342</v>
      </c>
    </row>
    <row r="1654" spans="1:17" x14ac:dyDescent="0.25">
      <c r="A1654" s="5" t="str">
        <f>IF(TRIM(I1654)="","",E1654)</f>
        <v/>
      </c>
      <c r="B1654" s="5" t="str">
        <f>IF(TRIM(J1654)="","",H1654)</f>
        <v/>
      </c>
      <c r="C1654" s="5" t="str">
        <f>LEFT(F1654,FIND(".",F1654,6))</f>
        <v>Exif.Sony1Cs.</v>
      </c>
      <c r="D1654" s="5" t="str">
        <f>VLOOKUP(C1654,PrefixUebersetzung,2,FALSE)</f>
        <v>Exif.Sony1Cs.</v>
      </c>
      <c r="E1654" s="5" t="str">
        <f>MID(F1654,FIND(".",F1654,6)+1,99)</f>
        <v>ImageStabilization</v>
      </c>
      <c r="F1654" s="5" t="s">
        <v>1449</v>
      </c>
      <c r="G1654" s="5" t="s">
        <v>9664</v>
      </c>
      <c r="H1654" s="6" t="s">
        <v>3169</v>
      </c>
      <c r="I1654" s="7"/>
      <c r="K1654" s="26"/>
      <c r="L1654" s="6" t="str">
        <f>IFERROR(VLOOKUP(E1654,A:I,9, FALSE),"")</f>
        <v>Bildstabilisierung</v>
      </c>
      <c r="M1654" s="6" t="str">
        <f>IFERROR(VLOOKUP(H1654,B:J,9,FALSE),"")</f>
        <v>Bildstabilisierung</v>
      </c>
      <c r="N1654" s="6"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row>
    <row r="1655" spans="1:17" x14ac:dyDescent="0.25">
      <c r="A1655" s="5" t="str">
        <f>IF(TRIM(I1655)="","",E1655)</f>
        <v>ImageStyle</v>
      </c>
      <c r="B1655" s="5" t="str">
        <f>IF(TRIM(J1655)="","",H1655)</f>
        <v>Image Style</v>
      </c>
      <c r="C1655" s="5" t="str">
        <f>LEFT(F1655,FIND(".",F1655,6))</f>
        <v>Exif.Sony1Cs.</v>
      </c>
      <c r="D1655" s="5" t="str">
        <f>VLOOKUP(C1655,PrefixUebersetzung,2,FALSE)</f>
        <v>Exif.Sony1Cs.</v>
      </c>
      <c r="E1655" s="5" t="str">
        <f>MID(F1655,FIND(".",F1655,6)+1,99)</f>
        <v>ImageStyle</v>
      </c>
      <c r="F1655" s="5" t="s">
        <v>1450</v>
      </c>
      <c r="G1655" s="5" t="s">
        <v>9664</v>
      </c>
      <c r="H1655" s="6" t="s">
        <v>3170</v>
      </c>
      <c r="I1655" s="24" t="s">
        <v>3801</v>
      </c>
      <c r="J1655" s="8" t="s">
        <v>3801</v>
      </c>
      <c r="K1655" s="26"/>
      <c r="N1655" s="6"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6" t="s">
        <v>8574</v>
      </c>
      <c r="P1655" s="6" t="s">
        <v>8574</v>
      </c>
      <c r="Q1655" s="6" t="s">
        <v>3723</v>
      </c>
    </row>
    <row r="1656" spans="1:17" x14ac:dyDescent="0.25">
      <c r="A1656" s="5" t="str">
        <f>IF(TRIM(I1656)="","",E1656)</f>
        <v/>
      </c>
      <c r="B1656" s="5" t="str">
        <f>IF(TRIM(J1656)="","",H1656)</f>
        <v/>
      </c>
      <c r="C1656" s="5" t="str">
        <f>LEFT(F1656,FIND(".",F1656,6))</f>
        <v>Exif.Sony1Cs.</v>
      </c>
      <c r="D1656" s="5" t="str">
        <f>VLOOKUP(C1656,PrefixUebersetzung,2,FALSE)</f>
        <v>Exif.Sony1Cs.</v>
      </c>
      <c r="E1656" s="5" t="str">
        <f>MID(F1656,FIND(".",F1656,6)+1,99)</f>
        <v>ISOSetting</v>
      </c>
      <c r="F1656" s="5" t="s">
        <v>1451</v>
      </c>
      <c r="G1656" s="5" t="s">
        <v>9664</v>
      </c>
      <c r="H1656" s="6" t="s">
        <v>3171</v>
      </c>
      <c r="I1656" s="7"/>
      <c r="K1656" s="26"/>
      <c r="L1656" s="6" t="str">
        <f>IFERROR(VLOOKUP(E1656,A:I,9, FALSE),"")</f>
        <v>ISO-Einstellung</v>
      </c>
      <c r="M1656" s="6" t="str">
        <f>IFERROR(VLOOKUP(H1656,B:J,9,FALSE),"")</f>
        <v>ISO-Einstellung</v>
      </c>
      <c r="N1656" s="6"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row>
    <row r="1657" spans="1:17" x14ac:dyDescent="0.25">
      <c r="A1657" s="5" t="str">
        <f>IF(TRIM(I1657)="","",E1657)</f>
        <v>LocalAFAreaPoint</v>
      </c>
      <c r="B1657" s="5" t="str">
        <f>IF(TRIM(J1657)="","",H1657)</f>
        <v>Local AF Area Point</v>
      </c>
      <c r="C1657" s="5" t="str">
        <f>LEFT(F1657,FIND(".",F1657,6))</f>
        <v>Exif.Sony1Cs.</v>
      </c>
      <c r="D1657" s="5" t="str">
        <f>VLOOKUP(C1657,PrefixUebersetzung,2,FALSE)</f>
        <v>Exif.Sony1Cs.</v>
      </c>
      <c r="E1657" s="5" t="str">
        <f>MID(F1657,FIND(".",F1657,6)+1,99)</f>
        <v>LocalAFAreaPoint</v>
      </c>
      <c r="F1657" s="5" t="s">
        <v>1452</v>
      </c>
      <c r="G1657" s="5" t="s">
        <v>9664</v>
      </c>
      <c r="H1657" s="6" t="s">
        <v>3172</v>
      </c>
      <c r="I1657" s="7" t="s">
        <v>5153</v>
      </c>
      <c r="J1657" s="14" t="s">
        <v>5225</v>
      </c>
      <c r="K1657" s="26"/>
      <c r="L1657" s="6" t="str">
        <f>IFERROR(VLOOKUP(E1657,A:I,9, FALSE),"")</f>
        <v>AF Bereich Punkt lokal</v>
      </c>
      <c r="M1657" s="6" t="str">
        <f>IFERROR(VLOOKUP(H1657,B:J,9,FALSE),"")</f>
        <v>Lokaler Punkt AF-Bereich</v>
      </c>
      <c r="N1657" s="6"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c r="O1657" s="6" t="s">
        <v>8574</v>
      </c>
      <c r="P1657" s="6" t="s">
        <v>8574</v>
      </c>
    </row>
    <row r="1658" spans="1:17" ht="30" x14ac:dyDescent="0.25">
      <c r="A1658" s="5" t="str">
        <f>IF(TRIM(I1658)="","",E1658)</f>
        <v/>
      </c>
      <c r="B1658" s="5" t="str">
        <f>IF(TRIM(J1658)="","",H1658)</f>
        <v/>
      </c>
      <c r="C1658" s="5" t="str">
        <f>LEFT(F1658,FIND(".",F1658,6))</f>
        <v>Exif.Sony1Cs.</v>
      </c>
      <c r="D1658" s="5" t="str">
        <f>VLOOKUP(C1658,PrefixUebersetzung,2,FALSE)</f>
        <v>Exif.Sony1Cs.</v>
      </c>
      <c r="E1658" s="5" t="str">
        <f>MID(F1658,FIND(".",F1658,6)+1,99)</f>
        <v>LongExposureNoiseReduction</v>
      </c>
      <c r="F1658" s="5" t="s">
        <v>1453</v>
      </c>
      <c r="G1658" s="5" t="s">
        <v>9664</v>
      </c>
      <c r="H1658" s="6" t="s">
        <v>3146</v>
      </c>
      <c r="I1658" s="24"/>
      <c r="K1658" s="26"/>
      <c r="L1658" s="6" t="str">
        <f>IFERROR(VLOOKUP(E1658,A:I,9, FALSE),"")</f>
        <v>Rauschreduzierung bei Langzeitbelichtung</v>
      </c>
      <c r="M1658" s="6" t="str">
        <f>IFERROR(VLOOKUP(H1658,B:J,9,FALSE),"")</f>
        <v>Rauschreduzierung bei Langzeitbelichtung</v>
      </c>
      <c r="N1658" s="6"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row>
    <row r="1659" spans="1:17" x14ac:dyDescent="0.25">
      <c r="A1659" s="5" t="str">
        <f>IF(TRIM(I1659)="","",E1659)</f>
        <v/>
      </c>
      <c r="B1659" s="5" t="str">
        <f>IF(TRIM(J1659)="","",H1659)</f>
        <v/>
      </c>
      <c r="C1659" s="5" t="str">
        <f>LEFT(F1659,FIND(".",F1659,6))</f>
        <v>Exif.Sony1Cs.</v>
      </c>
      <c r="D1659" s="5" t="str">
        <f>VLOOKUP(C1659,PrefixUebersetzung,2,FALSE)</f>
        <v>Exif.Sony1Cs.</v>
      </c>
      <c r="E1659" s="5" t="str">
        <f>MID(F1659,FIND(".",F1659,6)+1,99)</f>
        <v>MeteringMode</v>
      </c>
      <c r="F1659" s="5" t="s">
        <v>1454</v>
      </c>
      <c r="G1659" s="5" t="s">
        <v>9664</v>
      </c>
      <c r="H1659" s="6" t="s">
        <v>3173</v>
      </c>
      <c r="I1659" s="5"/>
      <c r="J1659" s="8"/>
      <c r="K1659" s="26"/>
      <c r="L1659" s="6" t="str">
        <f>IFERROR(VLOOKUP(E1659,A:I,9, FALSE),"")</f>
        <v>Messmethode</v>
      </c>
      <c r="M1659" s="6" t="str">
        <f>IFERROR(VLOOKUP(H1659,B:J,9,FALSE),"")</f>
        <v>Messmethode</v>
      </c>
      <c r="N1659" s="6"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row>
    <row r="1660" spans="1:17" ht="30" x14ac:dyDescent="0.25">
      <c r="A1660" s="5" t="str">
        <f>IF(TRIM(I1660)="","",E1660)</f>
        <v>PrioritySetupShutterRelease</v>
      </c>
      <c r="B1660" s="5" t="str">
        <f>IF(TRIM(J1660)="","",H1660)</f>
        <v>Priority Setup Shutter Release</v>
      </c>
      <c r="C1660" s="5" t="str">
        <f>LEFT(F1660,FIND(".",F1660,6))</f>
        <v>Exif.Sony1Cs.</v>
      </c>
      <c r="D1660" s="5" t="str">
        <f>VLOOKUP(C1660,PrefixUebersetzung,2,FALSE)</f>
        <v>Exif.Sony1Cs.</v>
      </c>
      <c r="E1660" s="5" t="str">
        <f>MID(F1660,FIND(".",F1660,6)+1,99)</f>
        <v>PrioritySetupShutterRelease</v>
      </c>
      <c r="F1660" s="5" t="s">
        <v>1455</v>
      </c>
      <c r="G1660" s="5" t="s">
        <v>9664</v>
      </c>
      <c r="H1660" s="6" t="s">
        <v>3174</v>
      </c>
      <c r="I1660" s="7" t="s">
        <v>4450</v>
      </c>
      <c r="J1660" s="14" t="s">
        <v>4450</v>
      </c>
      <c r="K1660" s="26"/>
      <c r="L1660" s="6" t="str">
        <f>IFERROR(VLOOKUP(E1660,A:I,9, FALSE),"")</f>
        <v>Prioritätseinstellung Verschlussfreigabe</v>
      </c>
      <c r="M1660" s="6" t="str">
        <f>IFERROR(VLOOKUP(H1660,B:J,9,FALSE),"")</f>
        <v>Prioritätseinstellung Verschlussfreigabe</v>
      </c>
      <c r="N1660" s="6"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c r="O1660" s="6" t="s">
        <v>8574</v>
      </c>
      <c r="P1660" s="6" t="s">
        <v>8574</v>
      </c>
    </row>
    <row r="1661" spans="1:17" x14ac:dyDescent="0.25">
      <c r="A1661" s="5" t="str">
        <f>IF(TRIM(I1661)="","",E1661)</f>
        <v/>
      </c>
      <c r="B1661" s="5" t="str">
        <f>IF(TRIM(J1661)="","",H1661)</f>
        <v/>
      </c>
      <c r="C1661" s="5" t="str">
        <f>LEFT(F1661,FIND(".",F1661,6))</f>
        <v>Exif.Sony1Cs.</v>
      </c>
      <c r="D1661" s="5" t="str">
        <f>VLOOKUP(C1661,PrefixUebersetzung,2,FALSE)</f>
        <v>Exif.Sony1Cs.</v>
      </c>
      <c r="E1661" s="5" t="str">
        <f>MID(F1661,FIND(".",F1661,6)+1,99)</f>
        <v>Quality</v>
      </c>
      <c r="F1661" s="5" t="s">
        <v>1456</v>
      </c>
      <c r="G1661" s="5" t="s">
        <v>9664</v>
      </c>
      <c r="H1661" s="6" t="s">
        <v>2208</v>
      </c>
      <c r="I1661" s="7"/>
      <c r="K1661" s="26"/>
      <c r="L1661" s="6" t="str">
        <f>IFERROR(VLOOKUP(E1661,A:I,9, FALSE),"")</f>
        <v>Qualität</v>
      </c>
      <c r="M1661" s="6" t="str">
        <f>IFERROR(VLOOKUP(H1661,B:J,9,FALSE),"")</f>
        <v>Qualität</v>
      </c>
      <c r="N1661" s="6"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5" t="str">
        <f>IF(TRIM(I1662)="","",E1662)</f>
        <v/>
      </c>
      <c r="B1662" s="5" t="str">
        <f>IF(TRIM(J1662)="","",H1662)</f>
        <v/>
      </c>
      <c r="C1662" s="5" t="str">
        <f>LEFT(F1662,FIND(".",F1662,6))</f>
        <v>Exif.Sony1Cs.</v>
      </c>
      <c r="D1662" s="5" t="str">
        <f>VLOOKUP(C1662,PrefixUebersetzung,2,FALSE)</f>
        <v>Exif.Sony1Cs.</v>
      </c>
      <c r="E1662" s="5" t="str">
        <f>MID(F1662,FIND(".",F1662,6)+1,99)</f>
        <v>Rotation</v>
      </c>
      <c r="F1662" s="5" t="s">
        <v>1457</v>
      </c>
      <c r="G1662" s="5" t="s">
        <v>9664</v>
      </c>
      <c r="H1662" s="6" t="s">
        <v>2565</v>
      </c>
      <c r="I1662" s="7"/>
      <c r="K1662" s="26"/>
      <c r="L1662" s="6" t="str">
        <f>IFERROR(VLOOKUP(E1662,A:I,9, FALSE),"")</f>
        <v>Drehung</v>
      </c>
      <c r="M1662" s="6" t="str">
        <f>IFERROR(VLOOKUP(H1662,B:J,9,FALSE),"")</f>
        <v>Drehung</v>
      </c>
      <c r="N1662" s="6"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row>
    <row r="1663" spans="1:17" x14ac:dyDescent="0.25">
      <c r="A1663" s="5" t="str">
        <f>IF(TRIM(I1663)="","",E1663)</f>
        <v/>
      </c>
      <c r="B1663" s="5" t="str">
        <f>IF(TRIM(J1663)="","",H1663)</f>
        <v/>
      </c>
      <c r="C1663" s="5" t="str">
        <f>LEFT(F1663,FIND(".",F1663,6))</f>
        <v>Exif.Sony1Cs.</v>
      </c>
      <c r="D1663" s="5" t="str">
        <f>VLOOKUP(C1663,PrefixUebersetzung,2,FALSE)</f>
        <v>Exif.Sony1Cs.</v>
      </c>
      <c r="E1663" s="5" t="str">
        <f>MID(F1663,FIND(".",F1663,6)+1,99)</f>
        <v>Saturation</v>
      </c>
      <c r="F1663" s="5" t="s">
        <v>1458</v>
      </c>
      <c r="G1663" s="5" t="s">
        <v>9664</v>
      </c>
      <c r="H1663" s="6" t="s">
        <v>2567</v>
      </c>
      <c r="I1663" s="24"/>
      <c r="J1663" s="8"/>
      <c r="K1663" s="26"/>
      <c r="L1663" s="6" t="str">
        <f>IFERROR(VLOOKUP(E1663,A:I,9, FALSE),"")</f>
        <v>Sättigung</v>
      </c>
      <c r="M1663" s="6" t="str">
        <f>IFERROR(VLOOKUP(H1663,B:J,9,FALSE),"")</f>
        <v>Sättigung</v>
      </c>
      <c r="N1663" s="6"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c>
    </row>
    <row r="1664" spans="1:17" x14ac:dyDescent="0.25">
      <c r="A1664" s="5" t="str">
        <f>IF(TRIM(I1664)="","",E1664)</f>
        <v/>
      </c>
      <c r="B1664" s="5" t="str">
        <f>IF(TRIM(J1664)="","",H1664)</f>
        <v/>
      </c>
      <c r="C1664" s="5" t="str">
        <f>LEFT(F1664,FIND(".",F1664,6))</f>
        <v>Exif.Sony1Cs.</v>
      </c>
      <c r="D1664" s="5" t="str">
        <f>VLOOKUP(C1664,PrefixUebersetzung,2,FALSE)</f>
        <v>Exif.Sony1Cs.</v>
      </c>
      <c r="E1664" s="5" t="str">
        <f>MID(F1664,FIND(".",F1664,6)+1,99)</f>
        <v>Sharpness</v>
      </c>
      <c r="F1664" s="5" t="s">
        <v>1459</v>
      </c>
      <c r="G1664" s="5" t="s">
        <v>9664</v>
      </c>
      <c r="H1664" s="6" t="s">
        <v>2245</v>
      </c>
      <c r="I1664" s="24"/>
      <c r="J1664" s="8"/>
      <c r="K1664" s="26"/>
      <c r="L1664" s="6" t="str">
        <f>IFERROR(VLOOKUP(E1664,A:I,9, FALSE),"")</f>
        <v>Schärfe</v>
      </c>
      <c r="M1664" s="6" t="str">
        <f>IFERROR(VLOOKUP(H1664,B:J,9,FALSE),"")</f>
        <v>Schärfe</v>
      </c>
      <c r="N1664" s="6"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row>
    <row r="1665" spans="1:17" x14ac:dyDescent="0.25">
      <c r="A1665" s="5" t="str">
        <f>IF(TRIM(I1665)="","",E1665)</f>
        <v>SonyImageSize</v>
      </c>
      <c r="B1665" s="5" t="str">
        <f>IF(TRIM(J1665)="","",H1665)</f>
        <v>Sony Image Size</v>
      </c>
      <c r="C1665" s="5" t="str">
        <f>LEFT(F1665,FIND(".",F1665,6))</f>
        <v>Exif.Sony1Cs.</v>
      </c>
      <c r="D1665" s="5" t="str">
        <f>VLOOKUP(C1665,PrefixUebersetzung,2,FALSE)</f>
        <v>Exif.Sony1Cs.</v>
      </c>
      <c r="E1665" s="5" t="str">
        <f>MID(F1665,FIND(".",F1665,6)+1,99)</f>
        <v>SonyImageSize</v>
      </c>
      <c r="F1665" s="5" t="s">
        <v>1460</v>
      </c>
      <c r="G1665" s="5" t="s">
        <v>9664</v>
      </c>
      <c r="H1665" s="6" t="s">
        <v>3175</v>
      </c>
      <c r="I1665" s="24" t="s">
        <v>4650</v>
      </c>
      <c r="J1665" s="8" t="s">
        <v>4650</v>
      </c>
      <c r="K1665" s="26"/>
      <c r="L1665" s="6" t="str">
        <f>IFERROR(VLOOKUP(E1665,A:I,9, FALSE),"")</f>
        <v>Sony Bildgröße</v>
      </c>
      <c r="M1665" s="6" t="str">
        <f>IFERROR(VLOOKUP(H1665,B:J,9,FALSE),"")</f>
        <v>Sony Bildgröße</v>
      </c>
      <c r="N1665" s="6"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c r="O1665" s="6" t="s">
        <v>8574</v>
      </c>
      <c r="P1665" s="6" t="s">
        <v>8574</v>
      </c>
      <c r="Q1665" s="6" t="s">
        <v>9331</v>
      </c>
    </row>
    <row r="1666" spans="1:17" ht="30" x14ac:dyDescent="0.25">
      <c r="A1666" s="5" t="str">
        <f>IF(TRIM(I1666)="","",E1666)</f>
        <v/>
      </c>
      <c r="B1666" s="5" t="str">
        <f>IF(TRIM(J1666)="","",H1666)</f>
        <v>White Balance Fine Tune</v>
      </c>
      <c r="C1666" s="5" t="str">
        <f>LEFT(F1666,FIND(".",F1666,6))</f>
        <v>Exif.Sony1Cs.</v>
      </c>
      <c r="D1666" s="5" t="str">
        <f>VLOOKUP(C1666,PrefixUebersetzung,2,FALSE)</f>
        <v>Exif.Sony1Cs.</v>
      </c>
      <c r="E1666" s="5" t="str">
        <f>MID(F1666,FIND(".",F1666,6)+1,99)</f>
        <v>WhiteBalanceFineTune</v>
      </c>
      <c r="F1666" s="5" t="s">
        <v>1461</v>
      </c>
      <c r="G1666" s="5" t="s">
        <v>9665</v>
      </c>
      <c r="H1666" s="6" t="s">
        <v>3176</v>
      </c>
      <c r="I1666" s="7"/>
      <c r="J1666" s="14" t="s">
        <v>4097</v>
      </c>
      <c r="K1666" s="26"/>
      <c r="L1666" s="6" t="str">
        <f>IFERROR(VLOOKUP(E1666,A:I,9, FALSE),"")</f>
        <v>Weißabgleich Feinabstimmung</v>
      </c>
      <c r="M1666" s="6" t="str">
        <f>IFERROR(VLOOKUP(H1666,B:J,9,FALSE),"")</f>
        <v>Weißabgleich Feinabstimmung</v>
      </c>
      <c r="N1666" s="6"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c r="P1666" s="6" t="s">
        <v>8574</v>
      </c>
      <c r="Q1666" s="6" t="s">
        <v>9562</v>
      </c>
    </row>
    <row r="1667" spans="1:17" x14ac:dyDescent="0.25">
      <c r="A1667" s="5" t="str">
        <f>IF(TRIM(I1667)="","",E1667)</f>
        <v/>
      </c>
      <c r="B1667" s="5" t="str">
        <f>IF(TRIM(J1667)="","",H1667)</f>
        <v/>
      </c>
      <c r="C1667" s="5" t="str">
        <f>LEFT(F1667,FIND(".",F1667,6))</f>
        <v>Exif.Sony1Cs.</v>
      </c>
      <c r="D1667" s="5" t="str">
        <f>VLOOKUP(C1667,PrefixUebersetzung,2,FALSE)</f>
        <v>Exif.Sony1Cs.</v>
      </c>
      <c r="E1667" s="5" t="str">
        <f>MID(F1667,FIND(".",F1667,6)+1,99)</f>
        <v>ZoneMatchingValue</v>
      </c>
      <c r="F1667" s="5" t="s">
        <v>1462</v>
      </c>
      <c r="G1667" s="5" t="s">
        <v>9664</v>
      </c>
      <c r="H1667" s="6" t="s">
        <v>3177</v>
      </c>
      <c r="I1667" s="7"/>
      <c r="K1667" s="26"/>
      <c r="N1667" s="6"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c r="O1667" s="6" t="s">
        <v>8574</v>
      </c>
      <c r="P1667" s="6" t="s">
        <v>8574</v>
      </c>
    </row>
    <row r="1668" spans="1:17" x14ac:dyDescent="0.25">
      <c r="A1668" s="5" t="str">
        <f>IF(TRIM(I1668)="","",E1668)</f>
        <v/>
      </c>
      <c r="B1668" s="5" t="str">
        <f>IF(TRIM(J1668)="","",H1668)</f>
        <v/>
      </c>
      <c r="C1668" s="5" t="str">
        <f>LEFT(F1668,FIND(".",F1668,6))</f>
        <v>Exif.Sony1Cs2.</v>
      </c>
      <c r="D1668" s="5" t="str">
        <f>VLOOKUP(C1668,PrefixUebersetzung,2,FALSE)</f>
        <v>Exif.Sony1Cs2.</v>
      </c>
      <c r="E1668" s="5" t="str">
        <f>MID(F1668,FIND(".",F1668,6)+1,99)</f>
        <v>AFAreaMode</v>
      </c>
      <c r="F1668" s="5" t="s">
        <v>1463</v>
      </c>
      <c r="G1668" s="5" t="s">
        <v>9664</v>
      </c>
      <c r="H1668" s="6" t="s">
        <v>3158</v>
      </c>
      <c r="I1668" s="7"/>
      <c r="K1668" s="26"/>
      <c r="L1668" s="6" t="str">
        <f>IFERROR(VLOOKUP(E1668,A:I,9, FALSE),"")</f>
        <v>AF Bereich Modus</v>
      </c>
      <c r="M1668" s="6" t="str">
        <f>IFERROR(VLOOKUP(H1668,B:J,9,FALSE),"")</f>
        <v>AF Bereich Modus</v>
      </c>
      <c r="N1668" s="6"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row>
    <row r="1669" spans="1:17" x14ac:dyDescent="0.25">
      <c r="A1669" s="5" t="str">
        <f>IF(TRIM(I1669)="","",E1669)</f>
        <v/>
      </c>
      <c r="B1669" s="5" t="str">
        <f>IF(TRIM(J1669)="","",H1669)</f>
        <v/>
      </c>
      <c r="C1669" s="5" t="str">
        <f>LEFT(F1669,FIND(".",F1669,6))</f>
        <v>Exif.Sony1Cs2.</v>
      </c>
      <c r="D1669" s="5" t="str">
        <f>VLOOKUP(C1669,PrefixUebersetzung,2,FALSE)</f>
        <v>Exif.Sony1Cs2.</v>
      </c>
      <c r="E1669" s="5" t="str">
        <f>MID(F1669,FIND(".",F1669,6)+1,99)</f>
        <v>Contrast</v>
      </c>
      <c r="F1669" s="5" t="s">
        <v>1464</v>
      </c>
      <c r="G1669" s="5" t="s">
        <v>9664</v>
      </c>
      <c r="H1669" s="6" t="s">
        <v>2549</v>
      </c>
      <c r="K1669" s="26"/>
      <c r="L1669" s="6" t="str">
        <f>IFERROR(VLOOKUP(E1669,A:I,9, FALSE),"")</f>
        <v>Kontrast</v>
      </c>
      <c r="M1669" s="6" t="str">
        <f>IFERROR(VLOOKUP(H1669,B:J,9,FALSE),"")</f>
        <v>Kontrast</v>
      </c>
      <c r="N1669" s="6"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row>
    <row r="1670" spans="1:17" x14ac:dyDescent="0.25">
      <c r="A1670" s="5" t="str">
        <f>IF(TRIM(I1670)="","",E1670)</f>
        <v/>
      </c>
      <c r="B1670" s="5" t="str">
        <f>IF(TRIM(J1670)="","",H1670)</f>
        <v/>
      </c>
      <c r="C1670" s="5" t="str">
        <f>LEFT(F1670,FIND(".",F1670,6))</f>
        <v>Exif.Sony1Cs2.</v>
      </c>
      <c r="D1670" s="5" t="str">
        <f>VLOOKUP(C1670,PrefixUebersetzung,2,FALSE)</f>
        <v>Exif.Sony1Cs2.</v>
      </c>
      <c r="E1670" s="5" t="str">
        <f>MID(F1670,FIND(".",F1670,6)+1,99)</f>
        <v>CreativeStyle</v>
      </c>
      <c r="F1670" s="5" t="s">
        <v>1465</v>
      </c>
      <c r="G1670" s="5" t="s">
        <v>9664</v>
      </c>
      <c r="H1670" s="6" t="s">
        <v>3161</v>
      </c>
      <c r="I1670" s="7"/>
      <c r="K1670" s="26"/>
      <c r="L1670" s="6" t="str">
        <f>IFERROR(VLOOKUP(E1670,A:I,9, FALSE),"")</f>
        <v/>
      </c>
      <c r="M1670" s="6" t="str">
        <f>IFERROR(VLOOKUP(H1670,B:J,9,FALSE),"")</f>
        <v/>
      </c>
      <c r="N1670" s="6"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xml:space="preserve">Suffix not translated Description not translated </v>
      </c>
    </row>
    <row r="1671" spans="1:17" ht="30" x14ac:dyDescent="0.25">
      <c r="A1671" s="5" t="str">
        <f>IF(TRIM(I1671)="","",E1671)</f>
        <v/>
      </c>
      <c r="B1671" s="5" t="str">
        <f>IF(TRIM(J1671)="","",H1671)</f>
        <v/>
      </c>
      <c r="C1671" s="5" t="str">
        <f>LEFT(F1671,FIND(".",F1671,6))</f>
        <v>Exif.Sony1Cs2.</v>
      </c>
      <c r="D1671" s="5" t="str">
        <f>VLOOKUP(C1671,PrefixUebersetzung,2,FALSE)</f>
        <v>Exif.Sony1Cs2.</v>
      </c>
      <c r="E1671" s="5" t="str">
        <f>MID(F1671,FIND(".",F1671,6)+1,99)</f>
        <v>DynamicRangeOptimizerLevel</v>
      </c>
      <c r="F1671" s="5" t="s">
        <v>1466</v>
      </c>
      <c r="G1671" s="5" t="s">
        <v>9664</v>
      </c>
      <c r="H1671" s="6" t="s">
        <v>3163</v>
      </c>
      <c r="I1671" s="7"/>
      <c r="K1671" s="26"/>
      <c r="L1671" s="6" t="str">
        <f>IFERROR(VLOOKUP(E1671,A:I,9, FALSE),"")</f>
        <v>Dynamikbereich-Optimierer Niveau</v>
      </c>
      <c r="M1671" s="6" t="str">
        <f>IFERROR(VLOOKUP(H1671,B:J,9,FALSE),"")</f>
        <v>Dynamikbereich-Optimierer Niveau</v>
      </c>
      <c r="N1671" s="6"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row>
    <row r="1672" spans="1:17" ht="30" x14ac:dyDescent="0.25">
      <c r="A1672" s="5" t="str">
        <f>IF(TRIM(I1672)="","",E1672)</f>
        <v/>
      </c>
      <c r="B1672" s="5" t="str">
        <f>IF(TRIM(J1672)="","",H1672)</f>
        <v/>
      </c>
      <c r="C1672" s="5" t="str">
        <f>LEFT(F1672,FIND(".",F1672,6))</f>
        <v>Exif.Sony1Cs2.</v>
      </c>
      <c r="D1672" s="5" t="str">
        <f>VLOOKUP(C1672,PrefixUebersetzung,2,FALSE)</f>
        <v>Exif.Sony1Cs2.</v>
      </c>
      <c r="E1672" s="5" t="str">
        <f>MID(F1672,FIND(".",F1672,6)+1,99)</f>
        <v>DynamicRangeOptimizerMode</v>
      </c>
      <c r="F1672" s="5" t="s">
        <v>1467</v>
      </c>
      <c r="G1672" s="5" t="s">
        <v>9664</v>
      </c>
      <c r="H1672" s="6" t="s">
        <v>3164</v>
      </c>
      <c r="I1672" s="7"/>
      <c r="K1672" s="26"/>
      <c r="L1672" s="6" t="str">
        <f>IFERROR(VLOOKUP(E1672,A:I,9, FALSE),"")</f>
        <v>Dynamikbereich-Optimierer Modus</v>
      </c>
      <c r="M1672" s="6" t="str">
        <f>IFERROR(VLOOKUP(H1672,B:J,9,FALSE),"")</f>
        <v>Dynamikbereich-Optimierer Modus</v>
      </c>
      <c r="N1672" s="6"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row>
    <row r="1673" spans="1:17" x14ac:dyDescent="0.25">
      <c r="A1673" s="5" t="str">
        <f>IF(TRIM(I1673)="","",E1673)</f>
        <v/>
      </c>
      <c r="B1673" s="5" t="str">
        <f>IF(TRIM(J1673)="","",H1673)</f>
        <v/>
      </c>
      <c r="C1673" s="5" t="str">
        <f>LEFT(F1673,FIND(".",F1673,6))</f>
        <v>Exif.Sony1Cs2.</v>
      </c>
      <c r="D1673" s="5" t="str">
        <f>VLOOKUP(C1673,PrefixUebersetzung,2,FALSE)</f>
        <v>Exif.Sony1Cs2.</v>
      </c>
      <c r="E1673" s="5" t="str">
        <f>MID(F1673,FIND(".",F1673,6)+1,99)</f>
        <v>ExposureProgram</v>
      </c>
      <c r="F1673" s="5" t="s">
        <v>1468</v>
      </c>
      <c r="G1673" s="5" t="s">
        <v>9664</v>
      </c>
      <c r="H1673" s="6" t="s">
        <v>3166</v>
      </c>
      <c r="I1673" s="7"/>
      <c r="K1673" s="26"/>
      <c r="L1673" s="6" t="str">
        <f>IFERROR(VLOOKUP(E1673,A:I,9, FALSE),"")</f>
        <v>Belichtungsprogramm</v>
      </c>
      <c r="M1673" s="6" t="str">
        <f>IFERROR(VLOOKUP(H1673,B:J,9,FALSE),"")</f>
        <v>Belichtungsprogramm</v>
      </c>
      <c r="N1673" s="6"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row>
    <row r="1674" spans="1:17" x14ac:dyDescent="0.25">
      <c r="A1674" s="5" t="str">
        <f>IF(TRIM(I1674)="","",E1674)</f>
        <v/>
      </c>
      <c r="B1674" s="5" t="str">
        <f>IF(TRIM(J1674)="","",H1674)</f>
        <v/>
      </c>
      <c r="C1674" s="5" t="str">
        <f>LEFT(F1674,FIND(".",F1674,6))</f>
        <v>Exif.Sony1Cs2.</v>
      </c>
      <c r="D1674" s="5" t="str">
        <f>VLOOKUP(C1674,PrefixUebersetzung,2,FALSE)</f>
        <v>Exif.Sony1Cs2.</v>
      </c>
      <c r="E1674" s="5" t="str">
        <f>MID(F1674,FIND(".",F1674,6)+1,99)</f>
        <v>FlashMode</v>
      </c>
      <c r="F1674" s="5" t="s">
        <v>1469</v>
      </c>
      <c r="G1674" s="5" t="s">
        <v>9664</v>
      </c>
      <c r="H1674" s="6" t="s">
        <v>3167</v>
      </c>
      <c r="I1674" s="7"/>
      <c r="K1674" s="26"/>
      <c r="L1674" s="6" t="str">
        <f>IFERROR(VLOOKUP(E1674,A:I,9, FALSE),"")</f>
        <v>Blitzmodus</v>
      </c>
      <c r="M1674" s="6" t="str">
        <f>IFERROR(VLOOKUP(H1674,B:J,9,FALSE),"")</f>
        <v>Blitzmodus</v>
      </c>
      <c r="N1674" s="6"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row>
    <row r="1675" spans="1:17" x14ac:dyDescent="0.25">
      <c r="A1675" s="5" t="str">
        <f>IF(TRIM(I1675)="","",E1675)</f>
        <v/>
      </c>
      <c r="B1675" s="5" t="str">
        <f>IF(TRIM(J1675)="","",H1675)</f>
        <v/>
      </c>
      <c r="C1675" s="5" t="str">
        <f>LEFT(F1675,FIND(".",F1675,6))</f>
        <v>Exif.Sony1Cs2.</v>
      </c>
      <c r="D1675" s="5" t="str">
        <f>VLOOKUP(C1675,PrefixUebersetzung,2,FALSE)</f>
        <v>Exif.Sony1Cs2.</v>
      </c>
      <c r="E1675" s="5" t="str">
        <f>MID(F1675,FIND(".",F1675,6)+1,99)</f>
        <v>FocusMode</v>
      </c>
      <c r="F1675" s="5" t="s">
        <v>1470</v>
      </c>
      <c r="G1675" s="5" t="s">
        <v>9664</v>
      </c>
      <c r="H1675" s="6" t="s">
        <v>3142</v>
      </c>
      <c r="I1675" s="7"/>
      <c r="K1675" s="26"/>
      <c r="L1675" s="6" t="str">
        <f>IFERROR(VLOOKUP(E1675,A:I,9, FALSE),"")</f>
        <v>Fokusmodus</v>
      </c>
      <c r="M1675" s="6" t="str">
        <f>IFERROR(VLOOKUP(H1675,B:J,9,FALSE),"")</f>
        <v>Fokusmodus</v>
      </c>
      <c r="N1675" s="6"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row>
    <row r="1676" spans="1:17" x14ac:dyDescent="0.25">
      <c r="A1676" s="5" t="str">
        <f>IF(TRIM(I1676)="","",E1676)</f>
        <v/>
      </c>
      <c r="B1676" s="5" t="str">
        <f>IF(TRIM(J1676)="","",H1676)</f>
        <v/>
      </c>
      <c r="C1676" s="5" t="str">
        <f>LEFT(F1676,FIND(".",F1676,6))</f>
        <v>Exif.Sony1Cs2.</v>
      </c>
      <c r="D1676" s="5" t="str">
        <f>VLOOKUP(C1676,PrefixUebersetzung,2,FALSE)</f>
        <v>Exif.Sony1Cs2.</v>
      </c>
      <c r="E1676" s="5" t="str">
        <f>MID(F1676,FIND(".",F1676,6)+1,99)</f>
        <v>ISOSetting</v>
      </c>
      <c r="F1676" s="5" t="s">
        <v>1471</v>
      </c>
      <c r="G1676" s="5" t="s">
        <v>9664</v>
      </c>
      <c r="H1676" s="6" t="s">
        <v>3171</v>
      </c>
      <c r="I1676" s="7"/>
      <c r="K1676" s="26"/>
      <c r="L1676" s="6" t="str">
        <f>IFERROR(VLOOKUP(E1676,A:I,9, FALSE),"")</f>
        <v>ISO-Einstellung</v>
      </c>
      <c r="M1676" s="6" t="str">
        <f>IFERROR(VLOOKUP(H1676,B:J,9,FALSE),"")</f>
        <v>ISO-Einstellung</v>
      </c>
      <c r="N1676" s="6"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row>
    <row r="1677" spans="1:17" x14ac:dyDescent="0.25">
      <c r="A1677" s="5" t="str">
        <f>IF(TRIM(I1677)="","",E1677)</f>
        <v/>
      </c>
      <c r="B1677" s="5" t="str">
        <f>IF(TRIM(J1677)="","",H1677)</f>
        <v/>
      </c>
      <c r="C1677" s="5" t="str">
        <f>LEFT(F1677,FIND(".",F1677,6))</f>
        <v>Exif.Sony1Cs2.</v>
      </c>
      <c r="D1677" s="5" t="str">
        <f>VLOOKUP(C1677,PrefixUebersetzung,2,FALSE)</f>
        <v>Exif.Sony1Cs2.</v>
      </c>
      <c r="E1677" s="5" t="str">
        <f>MID(F1677,FIND(".",F1677,6)+1,99)</f>
        <v>LocalAFAreaPoint</v>
      </c>
      <c r="F1677" s="5" t="s">
        <v>1472</v>
      </c>
      <c r="G1677" s="5" t="s">
        <v>9664</v>
      </c>
      <c r="H1677" s="6" t="s">
        <v>3172</v>
      </c>
      <c r="I1677" s="7"/>
      <c r="K1677" s="26"/>
      <c r="L1677" s="6" t="str">
        <f>IFERROR(VLOOKUP(E1677,A:I,9, FALSE),"")</f>
        <v>AF Bereich Punkt lokal</v>
      </c>
      <c r="M1677" s="6" t="str">
        <f>IFERROR(VLOOKUP(H1677,B:J,9,FALSE),"")</f>
        <v>Lokaler Punkt AF-Bereich</v>
      </c>
      <c r="N1677" s="6"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row>
    <row r="1678" spans="1:17" x14ac:dyDescent="0.25">
      <c r="A1678" s="5" t="str">
        <f>IF(TRIM(I1678)="","",E1678)</f>
        <v/>
      </c>
      <c r="B1678" s="5" t="str">
        <f>IF(TRIM(J1678)="","",H1678)</f>
        <v/>
      </c>
      <c r="C1678" s="5" t="str">
        <f>LEFT(F1678,FIND(".",F1678,6))</f>
        <v>Exif.Sony1Cs2.</v>
      </c>
      <c r="D1678" s="5" t="str">
        <f>VLOOKUP(C1678,PrefixUebersetzung,2,FALSE)</f>
        <v>Exif.Sony1Cs2.</v>
      </c>
      <c r="E1678" s="5" t="str">
        <f>MID(F1678,FIND(".",F1678,6)+1,99)</f>
        <v>MeteringMode</v>
      </c>
      <c r="F1678" s="5" t="s">
        <v>1473</v>
      </c>
      <c r="G1678" s="5" t="s">
        <v>9664</v>
      </c>
      <c r="H1678" s="6" t="s">
        <v>3173</v>
      </c>
      <c r="I1678" s="7"/>
      <c r="K1678" s="26"/>
      <c r="L1678" s="6" t="str">
        <f>IFERROR(VLOOKUP(E1678,A:I,9, FALSE),"")</f>
        <v>Messmethode</v>
      </c>
      <c r="M1678" s="6" t="str">
        <f>IFERROR(VLOOKUP(H1678,B:J,9,FALSE),"")</f>
        <v>Messmethode</v>
      </c>
      <c r="N1678" s="6"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row>
    <row r="1679" spans="1:17" x14ac:dyDescent="0.25">
      <c r="A1679" s="5" t="str">
        <f>IF(TRIM(I1679)="","",E1679)</f>
        <v/>
      </c>
      <c r="B1679" s="5" t="str">
        <f>IF(TRIM(J1679)="","",H1679)</f>
        <v/>
      </c>
      <c r="C1679" s="5" t="str">
        <f>LEFT(F1679,FIND(".",F1679,6))</f>
        <v>Exif.Sony1Cs2.</v>
      </c>
      <c r="D1679" s="5" t="str">
        <f>VLOOKUP(C1679,PrefixUebersetzung,2,FALSE)</f>
        <v>Exif.Sony1Cs2.</v>
      </c>
      <c r="E1679" s="5" t="str">
        <f>MID(F1679,FIND(".",F1679,6)+1,99)</f>
        <v>Rotation</v>
      </c>
      <c r="F1679" s="5" t="s">
        <v>1474</v>
      </c>
      <c r="G1679" s="5" t="s">
        <v>9664</v>
      </c>
      <c r="H1679" s="6" t="s">
        <v>2565</v>
      </c>
      <c r="I1679" s="7"/>
      <c r="K1679" s="26"/>
      <c r="L1679" s="6" t="str">
        <f>IFERROR(VLOOKUP(E1679,A:I,9, FALSE),"")</f>
        <v>Drehung</v>
      </c>
      <c r="M1679" s="6" t="str">
        <f>IFERROR(VLOOKUP(H1679,B:J,9,FALSE),"")</f>
        <v>Drehung</v>
      </c>
      <c r="N1679" s="6"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row>
    <row r="1680" spans="1:17" x14ac:dyDescent="0.25">
      <c r="A1680" s="5" t="str">
        <f>IF(TRIM(I1680)="","",E1680)</f>
        <v/>
      </c>
      <c r="B1680" s="5" t="str">
        <f>IF(TRIM(J1680)="","",H1680)</f>
        <v/>
      </c>
      <c r="C1680" s="5" t="str">
        <f>LEFT(F1680,FIND(".",F1680,6))</f>
        <v>Exif.Sony1Cs2.</v>
      </c>
      <c r="D1680" s="5" t="str">
        <f>VLOOKUP(C1680,PrefixUebersetzung,2,FALSE)</f>
        <v>Exif.Sony1Cs2.</v>
      </c>
      <c r="E1680" s="5" t="str">
        <f>MID(F1680,FIND(".",F1680,6)+1,99)</f>
        <v>Saturation</v>
      </c>
      <c r="F1680" s="5" t="s">
        <v>1475</v>
      </c>
      <c r="G1680" s="5" t="s">
        <v>9664</v>
      </c>
      <c r="H1680" s="6" t="s">
        <v>2567</v>
      </c>
      <c r="I1680" s="7"/>
      <c r="K1680" s="26"/>
      <c r="L1680" s="6" t="str">
        <f>IFERROR(VLOOKUP(E1680,A:I,9, FALSE),"")</f>
        <v>Sättigung</v>
      </c>
      <c r="M1680" s="6" t="str">
        <f>IFERROR(VLOOKUP(H1680,B:J,9,FALSE),"")</f>
        <v>Sättigung</v>
      </c>
      <c r="N1680" s="6"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row>
    <row r="1681" spans="1:17" x14ac:dyDescent="0.25">
      <c r="A1681" s="5" t="str">
        <f>IF(TRIM(I1681)="","",E1681)</f>
        <v/>
      </c>
      <c r="B1681" s="5" t="str">
        <f>IF(TRIM(J1681)="","",H1681)</f>
        <v/>
      </c>
      <c r="C1681" s="5" t="str">
        <f>LEFT(F1681,FIND(".",F1681,6))</f>
        <v>Exif.Sony1Cs2.</v>
      </c>
      <c r="D1681" s="5" t="str">
        <f>VLOOKUP(C1681,PrefixUebersetzung,2,FALSE)</f>
        <v>Exif.Sony1Cs2.</v>
      </c>
      <c r="E1681" s="5" t="str">
        <f>MID(F1681,FIND(".",F1681,6)+1,99)</f>
        <v>Sharpness</v>
      </c>
      <c r="F1681" s="5" t="s">
        <v>1476</v>
      </c>
      <c r="G1681" s="5" t="s">
        <v>9664</v>
      </c>
      <c r="H1681" s="6" t="s">
        <v>2245</v>
      </c>
      <c r="I1681" s="7"/>
      <c r="K1681" s="26"/>
      <c r="L1681" s="6" t="str">
        <f>IFERROR(VLOOKUP(E1681,A:I,9, FALSE),"")</f>
        <v>Schärfe</v>
      </c>
      <c r="M1681" s="6" t="str">
        <f>IFERROR(VLOOKUP(H1681,B:J,9,FALSE),"")</f>
        <v>Schärfe</v>
      </c>
      <c r="N1681" s="6"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row>
    <row r="1682" spans="1:17" x14ac:dyDescent="0.25">
      <c r="A1682" s="5" t="str">
        <f>IF(TRIM(I1682)="","",E1682)</f>
        <v/>
      </c>
      <c r="B1682" s="5" t="str">
        <f>IF(TRIM(J1682)="","",H1682)</f>
        <v/>
      </c>
      <c r="C1682" s="5" t="str">
        <f>LEFT(F1682,FIND(".",F1682,6))</f>
        <v>Exif.Sony1Cs2.</v>
      </c>
      <c r="D1682" s="5" t="str">
        <f>VLOOKUP(C1682,PrefixUebersetzung,2,FALSE)</f>
        <v>Exif.Sony1Cs2.</v>
      </c>
      <c r="E1682" s="5" t="str">
        <f>MID(F1682,FIND(".",F1682,6)+1,99)</f>
        <v>SonyImageSize</v>
      </c>
      <c r="F1682" s="5" t="s">
        <v>1477</v>
      </c>
      <c r="G1682" s="5" t="s">
        <v>9664</v>
      </c>
      <c r="H1682" s="6" t="s">
        <v>3175</v>
      </c>
      <c r="I1682" s="24"/>
      <c r="J1682" s="8"/>
      <c r="K1682" s="26"/>
      <c r="L1682" s="6" t="str">
        <f>IFERROR(VLOOKUP(E1682,A:I,9, FALSE),"")</f>
        <v>Sony Bildgröße</v>
      </c>
      <c r="M1682" s="6" t="str">
        <f>IFERROR(VLOOKUP(H1682,B:J,9,FALSE),"")</f>
        <v>Sony Bildgröße</v>
      </c>
      <c r="N1682" s="6"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row>
    <row r="1683" spans="1:17" ht="30" x14ac:dyDescent="0.25">
      <c r="A1683" s="5" t="str">
        <f>IF(TRIM(I1683)="","",E1683)</f>
        <v>AELButton</v>
      </c>
      <c r="B1683" s="5" t="str">
        <f>IF(TRIM(J1683)="","",H1683)</f>
        <v>AEL button</v>
      </c>
      <c r="C1683" s="5" t="str">
        <f>LEFT(F1683,FIND(".",F1683,6))</f>
        <v>Exif.Sony1MltCsA100.</v>
      </c>
      <c r="D1683" s="5" t="str">
        <f>VLOOKUP(C1683,PrefixUebersetzung,2,FALSE)</f>
        <v>Exif.Sony1MltCsA100.</v>
      </c>
      <c r="E1683" s="5" t="str">
        <f>MID(F1683,FIND(".",F1683,6)+1,99)</f>
        <v>AELButton</v>
      </c>
      <c r="F1683" s="5" t="s">
        <v>1478</v>
      </c>
      <c r="G1683" s="5" t="s">
        <v>9664</v>
      </c>
      <c r="H1683" s="6" t="s">
        <v>3178</v>
      </c>
      <c r="I1683" s="24" t="s">
        <v>4949</v>
      </c>
      <c r="J1683" s="8" t="s">
        <v>4949</v>
      </c>
      <c r="K1683" s="26"/>
      <c r="N1683" s="6"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6" t="s">
        <v>8574</v>
      </c>
      <c r="P1683" s="6" t="s">
        <v>8574</v>
      </c>
      <c r="Q1683" s="6" t="s">
        <v>9102</v>
      </c>
    </row>
    <row r="1684" spans="1:17" ht="30" x14ac:dyDescent="0.25">
      <c r="A1684" s="5" t="str">
        <f>IF(TRIM(I1684)="","",E1684)</f>
        <v>AELExposureIndicator</v>
      </c>
      <c r="B1684" s="5" t="str">
        <f>IF(TRIM(J1684)="","",H1684)</f>
        <v>AEL exposure indicator (also indicates exposure for next shot when bracketing)</v>
      </c>
      <c r="C1684" s="5" t="str">
        <f>LEFT(F1684,FIND(".",F1684,6))</f>
        <v>Exif.Sony1MltCsA100.</v>
      </c>
      <c r="D1684" s="5" t="str">
        <f>VLOOKUP(C1684,PrefixUebersetzung,2,FALSE)</f>
        <v>Exif.Sony1MltCsA100.</v>
      </c>
      <c r="E1684" s="5" t="str">
        <f>MID(F1684,FIND(".",F1684,6)+1,99)</f>
        <v>AELExposureIndicator</v>
      </c>
      <c r="F1684" s="5" t="s">
        <v>1479</v>
      </c>
      <c r="G1684" s="5" t="s">
        <v>9664</v>
      </c>
      <c r="H1684" s="6" t="s">
        <v>3179</v>
      </c>
      <c r="I1684" s="24" t="s">
        <v>4442</v>
      </c>
      <c r="J1684" s="14" t="s">
        <v>5226</v>
      </c>
      <c r="K1684" s="26"/>
      <c r="N1684" s="6"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c>
      <c r="O1684" s="6" t="s">
        <v>8574</v>
      </c>
      <c r="P1684" s="6" t="s">
        <v>8574</v>
      </c>
    </row>
    <row r="1685" spans="1:17" x14ac:dyDescent="0.25">
      <c r="A1685" s="5" t="str">
        <f>IF(TRIM(I1685)="","",E1685)</f>
        <v/>
      </c>
      <c r="B1685" s="5" t="str">
        <f>IF(TRIM(J1685)="","",H1685)</f>
        <v/>
      </c>
      <c r="C1685" s="5" t="str">
        <f>LEFT(F1685,FIND(".",F1685,6))</f>
        <v>Exif.Sony1MltCsA100.</v>
      </c>
      <c r="D1685" s="5" t="str">
        <f>VLOOKUP(C1685,PrefixUebersetzung,2,FALSE)</f>
        <v>Exif.Sony1MltCsA100.</v>
      </c>
      <c r="E1685" s="5" t="str">
        <f>MID(F1685,FIND(".",F1685,6)+1,99)</f>
        <v>AELock</v>
      </c>
      <c r="F1685" s="5" t="s">
        <v>1480</v>
      </c>
      <c r="G1685" s="5" t="s">
        <v>9664</v>
      </c>
      <c r="H1685" s="6" t="s">
        <v>2975</v>
      </c>
      <c r="I1685" s="24"/>
      <c r="J1685" s="8"/>
      <c r="K1685" s="26"/>
      <c r="L1685" s="6" t="str">
        <f>IFERROR(VLOOKUP(E1685,A:I,9, FALSE),"")</f>
        <v>Belichtung speichern</v>
      </c>
      <c r="M1685" s="6" t="str">
        <f>IFERROR(VLOOKUP(H1685,B:J,9,FALSE),"")</f>
        <v>Belichtung speichern</v>
      </c>
      <c r="N1685" s="6"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row>
    <row r="1686" spans="1:17" x14ac:dyDescent="0.25">
      <c r="A1686" s="5" t="str">
        <f>IF(TRIM(I1686)="","",E1686)</f>
        <v>AFAreaIllumination</v>
      </c>
      <c r="B1686" s="5" t="str">
        <f>IF(TRIM(J1686)="","",H1686)</f>
        <v>AF area illumination</v>
      </c>
      <c r="C1686" s="5" t="str">
        <f>LEFT(F1686,FIND(".",F1686,6))</f>
        <v>Exif.Sony1MltCsA100.</v>
      </c>
      <c r="D1686" s="5" t="str">
        <f>VLOOKUP(C1686,PrefixUebersetzung,2,FALSE)</f>
        <v>Exif.Sony1MltCsA100.</v>
      </c>
      <c r="E1686" s="5" t="str">
        <f>MID(F1686,FIND(".",F1686,6)+1,99)</f>
        <v>AFAreaIllumination</v>
      </c>
      <c r="F1686" s="5" t="s">
        <v>1481</v>
      </c>
      <c r="G1686" s="5" t="s">
        <v>9664</v>
      </c>
      <c r="H1686" s="6" t="s">
        <v>3180</v>
      </c>
      <c r="I1686" s="24" t="s">
        <v>4950</v>
      </c>
      <c r="J1686" s="8" t="s">
        <v>4950</v>
      </c>
      <c r="K1686" s="26"/>
      <c r="N1686" s="6"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O1686" s="6" t="s">
        <v>8574</v>
      </c>
      <c r="P1686" s="6" t="s">
        <v>8574</v>
      </c>
      <c r="Q1686" s="6" t="s">
        <v>5217</v>
      </c>
    </row>
    <row r="1687" spans="1:17" x14ac:dyDescent="0.25">
      <c r="A1687" s="5" t="str">
        <f>IF(TRIM(I1687)="","",E1687)</f>
        <v/>
      </c>
      <c r="B1687" s="5" t="str">
        <f>IF(TRIM(J1687)="","",H1687)</f>
        <v/>
      </c>
      <c r="C1687" s="5" t="str">
        <f>LEFT(F1687,FIND(".",F1687,6))</f>
        <v>Exif.Sony1MltCsA100.</v>
      </c>
      <c r="D1687" s="5" t="str">
        <f>VLOOKUP(C1687,PrefixUebersetzung,2,FALSE)</f>
        <v>Exif.Sony1MltCsA100.</v>
      </c>
      <c r="E1687" s="5" t="str">
        <f>MID(F1687,FIND(".",F1687,6)+1,99)</f>
        <v>AFAreaMode</v>
      </c>
      <c r="F1687" s="5" t="s">
        <v>1482</v>
      </c>
      <c r="G1687" s="5" t="s">
        <v>9664</v>
      </c>
      <c r="H1687" s="6" t="s">
        <v>3158</v>
      </c>
      <c r="I1687" s="7"/>
      <c r="K1687" s="26"/>
      <c r="L1687" s="6" t="str">
        <f>IFERROR(VLOOKUP(E1687,A:I,9, FALSE),"")</f>
        <v>AF Bereich Modus</v>
      </c>
      <c r="M1687" s="6" t="str">
        <f>IFERROR(VLOOKUP(H1687,B:J,9,FALSE),"")</f>
        <v>AF Bereich Modus</v>
      </c>
      <c r="N1687" s="6"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row>
    <row r="1688" spans="1:17" x14ac:dyDescent="0.25">
      <c r="A1688" s="5" t="str">
        <f>IF(TRIM(I1688)="","",E1688)</f>
        <v/>
      </c>
      <c r="B1688" s="5" t="str">
        <f>IF(TRIM(J1688)="","",H1688)</f>
        <v>AF assist</v>
      </c>
      <c r="C1688" s="5" t="str">
        <f>LEFT(F1688,FIND(".",F1688,6))</f>
        <v>Exif.Sony1MltCsA100.</v>
      </c>
      <c r="D1688" s="5" t="str">
        <f>VLOOKUP(C1688,PrefixUebersetzung,2,FALSE)</f>
        <v>Exif.Sony1MltCsA100.</v>
      </c>
      <c r="E1688" s="5" t="str">
        <f>MID(F1688,FIND(".",F1688,6)+1,99)</f>
        <v>AFAssist</v>
      </c>
      <c r="F1688" s="5" t="s">
        <v>1483</v>
      </c>
      <c r="G1688" s="5" t="s">
        <v>9664</v>
      </c>
      <c r="H1688" s="6" t="s">
        <v>3181</v>
      </c>
      <c r="I1688" s="24"/>
      <c r="J1688" s="8" t="s">
        <v>4946</v>
      </c>
      <c r="K1688" s="26"/>
      <c r="L1688" s="6" t="str">
        <f>IFERROR(VLOOKUP(E1688,A:I,9, FALSE),"")</f>
        <v>AF Hilfslicht</v>
      </c>
      <c r="N1688" s="6"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c r="P1688" s="6" t="s">
        <v>8574</v>
      </c>
      <c r="Q1688" s="6" t="s">
        <v>9108</v>
      </c>
    </row>
    <row r="1689" spans="1:17" x14ac:dyDescent="0.25">
      <c r="A1689" s="5" t="str">
        <f>IF(TRIM(I1689)="","",E1689)</f>
        <v>AutoBracketOrder</v>
      </c>
      <c r="B1689" s="5" t="str">
        <f>IF(TRIM(J1689)="","",H1689)</f>
        <v>Auto bracket order</v>
      </c>
      <c r="C1689" s="5" t="str">
        <f>LEFT(F1689,FIND(".",F1689,6))</f>
        <v>Exif.Sony1MltCsA100.</v>
      </c>
      <c r="D1689" s="5" t="str">
        <f>VLOOKUP(C1689,PrefixUebersetzung,2,FALSE)</f>
        <v>Exif.Sony1MltCsA100.</v>
      </c>
      <c r="E1689" s="5" t="str">
        <f>MID(F1689,FIND(".",F1689,6)+1,99)</f>
        <v>AutoBracketOrder</v>
      </c>
      <c r="F1689" s="5" t="s">
        <v>1484</v>
      </c>
      <c r="G1689" s="5" t="s">
        <v>9664</v>
      </c>
      <c r="H1689" s="6" t="s">
        <v>3182</v>
      </c>
      <c r="I1689" s="7" t="s">
        <v>4443</v>
      </c>
      <c r="J1689" s="14" t="s">
        <v>4443</v>
      </c>
      <c r="K1689" s="26"/>
      <c r="N1689" s="6"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6" t="s">
        <v>8574</v>
      </c>
      <c r="P1689" s="6" t="s">
        <v>8574</v>
      </c>
      <c r="Q1689" s="6" t="s">
        <v>9145</v>
      </c>
    </row>
    <row r="1690" spans="1:17" x14ac:dyDescent="0.25">
      <c r="A1690" s="5" t="str">
        <f>IF(TRIM(I1690)="","",E1690)</f>
        <v/>
      </c>
      <c r="B1690" s="5" t="str">
        <f>IF(TRIM(J1690)="","",H1690)</f>
        <v>Battery level</v>
      </c>
      <c r="C1690" s="5" t="str">
        <f>LEFT(F1690,FIND(".",F1690,6))</f>
        <v>Exif.Sony1MltCsA100.</v>
      </c>
      <c r="D1690" s="5" t="str">
        <f>VLOOKUP(C1690,PrefixUebersetzung,2,FALSE)</f>
        <v>Exif.Sony1MltCsA100.</v>
      </c>
      <c r="E1690" s="5" t="str">
        <f>MID(F1690,FIND(".",F1690,6)+1,99)</f>
        <v>BatteryLevel</v>
      </c>
      <c r="F1690" s="5" t="s">
        <v>1485</v>
      </c>
      <c r="G1690" s="5" t="s">
        <v>9664</v>
      </c>
      <c r="H1690" s="6" t="s">
        <v>3183</v>
      </c>
      <c r="I1690" s="24"/>
      <c r="J1690" s="8" t="s">
        <v>5660</v>
      </c>
      <c r="K1690" s="26"/>
      <c r="L1690" s="6" t="str">
        <f>IFERROR(VLOOKUP(E1690,A:I,9, FALSE),"")</f>
        <v>Batterie Ladezustand</v>
      </c>
      <c r="N1690" s="6"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c r="P1690" s="6" t="s">
        <v>8574</v>
      </c>
      <c r="Q1690" s="6" t="s">
        <v>9158</v>
      </c>
    </row>
    <row r="1691" spans="1:17" x14ac:dyDescent="0.25">
      <c r="A1691" s="5" t="str">
        <f>IF(TRIM(I1691)="","",E1691)</f>
        <v>CardShutterLock</v>
      </c>
      <c r="B1691" s="5" t="str">
        <f>IF(TRIM(J1691)="","",H1691)</f>
        <v>Card shutter lock</v>
      </c>
      <c r="C1691" s="5" t="str">
        <f>LEFT(F1691,FIND(".",F1691,6))</f>
        <v>Exif.Sony1MltCsA100.</v>
      </c>
      <c r="D1691" s="5" t="str">
        <f>VLOOKUP(C1691,PrefixUebersetzung,2,FALSE)</f>
        <v>Exif.Sony1MltCsA100.</v>
      </c>
      <c r="E1691" s="5" t="str">
        <f>MID(F1691,FIND(".",F1691,6)+1,99)</f>
        <v>CardShutterLock</v>
      </c>
      <c r="F1691" s="5" t="s">
        <v>1486</v>
      </c>
      <c r="G1691" s="5" t="s">
        <v>9664</v>
      </c>
      <c r="H1691" s="6" t="s">
        <v>3184</v>
      </c>
      <c r="I1691" s="24" t="s">
        <v>4088</v>
      </c>
      <c r="J1691" s="8" t="s">
        <v>4088</v>
      </c>
      <c r="K1691" s="26"/>
      <c r="N1691" s="6"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6" t="s">
        <v>8574</v>
      </c>
      <c r="P1691" s="6" t="s">
        <v>8574</v>
      </c>
      <c r="Q1691" s="6" t="s">
        <v>9117</v>
      </c>
    </row>
    <row r="1692" spans="1:17" ht="30" x14ac:dyDescent="0.25">
      <c r="A1692" s="5" t="str">
        <f>IF(TRIM(I1692)="","",E1692)</f>
        <v/>
      </c>
      <c r="B1692" s="5" t="str">
        <f>IF(TRIM(J1692)="","",H1692)</f>
        <v>Color compensation filter</v>
      </c>
      <c r="C1692" s="5" t="str">
        <f>LEFT(F1692,FIND(".",F1692,6))</f>
        <v>Exif.Sony1MltCsA100.</v>
      </c>
      <c r="D1692" s="5" t="str">
        <f>VLOOKUP(C1692,PrefixUebersetzung,2,FALSE)</f>
        <v>Exif.Sony1MltCsA100.</v>
      </c>
      <c r="E1692" s="5" t="str">
        <f>MID(F1692,FIND(".",F1692,6)+1,99)</f>
        <v>ColorCompensationFilter</v>
      </c>
      <c r="F1692" s="5" t="s">
        <v>1487</v>
      </c>
      <c r="G1692" s="5" t="s">
        <v>9665</v>
      </c>
      <c r="H1692" s="6" t="s">
        <v>3185</v>
      </c>
      <c r="I1692" s="7"/>
      <c r="J1692" s="14" t="s">
        <v>4876</v>
      </c>
      <c r="K1692" s="26"/>
      <c r="L1692" s="6" t="str">
        <f>IFERROR(VLOOKUP(E1692,A:I,9, FALSE),"")</f>
        <v>Farbkompensationsfilter</v>
      </c>
      <c r="N1692" s="6"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P1692" s="6" t="s">
        <v>8574</v>
      </c>
      <c r="Q1692" s="6" t="s">
        <v>9101</v>
      </c>
    </row>
    <row r="1693" spans="1:17" x14ac:dyDescent="0.25">
      <c r="A1693" s="5" t="str">
        <f>IF(TRIM(I1693)="","",E1693)</f>
        <v/>
      </c>
      <c r="B1693" s="5" t="str">
        <f>IF(TRIM(J1693)="","",H1693)</f>
        <v/>
      </c>
      <c r="C1693" s="5" t="str">
        <f>LEFT(F1693,FIND(".",F1693,6))</f>
        <v>Exif.Sony1MltCsA100.</v>
      </c>
      <c r="D1693" s="5" t="str">
        <f>VLOOKUP(C1693,PrefixUebersetzung,2,FALSE)</f>
        <v>Exif.Sony1MltCsA100.</v>
      </c>
      <c r="E1693" s="5" t="str">
        <f>MID(F1693,FIND(".",F1693,6)+1,99)</f>
        <v>ColorMode</v>
      </c>
      <c r="F1693" s="5" t="s">
        <v>1488</v>
      </c>
      <c r="G1693" s="5" t="s">
        <v>9664</v>
      </c>
      <c r="H1693" s="6" t="s">
        <v>2528</v>
      </c>
      <c r="I1693" s="7"/>
      <c r="K1693" s="26"/>
      <c r="L1693" s="6" t="str">
        <f>IFERROR(VLOOKUP(E1693,A:I,9, FALSE),"")</f>
        <v>Farbmodus</v>
      </c>
      <c r="M1693" s="6" t="str">
        <f>IFERROR(VLOOKUP(H1693,B:J,9,FALSE),"")</f>
        <v>Farbmodus</v>
      </c>
      <c r="N1693" s="6"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5" t="str">
        <f>IF(TRIM(I1694)="","",E1694)</f>
        <v/>
      </c>
      <c r="B1694" s="5" t="str">
        <f>IF(TRIM(J1694)="","",H1694)</f>
        <v/>
      </c>
      <c r="C1694" s="5" t="str">
        <f>LEFT(F1694,FIND(".",F1694,6))</f>
        <v>Exif.Sony1MltCsA100.</v>
      </c>
      <c r="D1694" s="5" t="str">
        <f>VLOOKUP(C1694,PrefixUebersetzung,2,FALSE)</f>
        <v>Exif.Sony1MltCsA100.</v>
      </c>
      <c r="E1694" s="5" t="str">
        <f>MID(F1694,FIND(".",F1694,6)+1,99)</f>
        <v>ColorSpace</v>
      </c>
      <c r="F1694" s="5" t="s">
        <v>1489</v>
      </c>
      <c r="G1694" s="5" t="s">
        <v>9664</v>
      </c>
      <c r="H1694" s="6" t="s">
        <v>2548</v>
      </c>
      <c r="K1694" s="26"/>
      <c r="L1694" s="6" t="str">
        <f>IFERROR(VLOOKUP(E1694,A:I,9, FALSE),"")</f>
        <v>Farbraum</v>
      </c>
      <c r="M1694" s="6" t="str">
        <f>IFERROR(VLOOKUP(H1694,B:J,9,FALSE),"")</f>
        <v>Farbraum</v>
      </c>
      <c r="N1694" s="6"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row>
    <row r="1695" spans="1:17" x14ac:dyDescent="0.25">
      <c r="A1695" s="5" t="str">
        <f>IF(TRIM(I1695)="","",E1695)</f>
        <v/>
      </c>
      <c r="B1695" s="5" t="str">
        <f>IF(TRIM(J1695)="","",H1695)</f>
        <v/>
      </c>
      <c r="C1695" s="5" t="str">
        <f>LEFT(F1695,FIND(".",F1695,6))</f>
        <v>Exif.Sony1MltCsA100.</v>
      </c>
      <c r="D1695" s="5" t="str">
        <f>VLOOKUP(C1695,PrefixUebersetzung,2,FALSE)</f>
        <v>Exif.Sony1MltCsA100.</v>
      </c>
      <c r="E1695" s="5" t="str">
        <f>MID(F1695,FIND(".",F1695,6)+1,99)</f>
        <v>ColorTemperature</v>
      </c>
      <c r="F1695" s="5" t="s">
        <v>1490</v>
      </c>
      <c r="G1695" s="5" t="s">
        <v>9664</v>
      </c>
      <c r="H1695" s="6" t="s">
        <v>2529</v>
      </c>
      <c r="I1695" s="24"/>
      <c r="J1695" s="8"/>
      <c r="K1695" s="26"/>
      <c r="L1695" s="6" t="str">
        <f>IFERROR(VLOOKUP(E1695,A:I,9, FALSE),"")</f>
        <v>Farbtemperatur</v>
      </c>
      <c r="M1695" s="6" t="str">
        <f>IFERROR(VLOOKUP(H1695,B:J,9,FALSE),"")</f>
        <v>Farbtemperatur</v>
      </c>
      <c r="N1695" s="6"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c>
    </row>
    <row r="1696" spans="1:17" x14ac:dyDescent="0.25">
      <c r="A1696" s="5" t="str">
        <f>IF(TRIM(I1696)="","",E1696)</f>
        <v>ColorTemperatureSetting</v>
      </c>
      <c r="B1696" s="5" t="str">
        <f>IF(TRIM(J1696)="","",H1696)</f>
        <v>Color temperature setting</v>
      </c>
      <c r="C1696" s="5" t="str">
        <f>LEFT(F1696,FIND(".",F1696,6))</f>
        <v>Exif.Sony1MltCsA100.</v>
      </c>
      <c r="D1696" s="5" t="str">
        <f>VLOOKUP(C1696,PrefixUebersetzung,2,FALSE)</f>
        <v>Exif.Sony1MltCsA100.</v>
      </c>
      <c r="E1696" s="5" t="str">
        <f>MID(F1696,FIND(".",F1696,6)+1,99)</f>
        <v>ColorTemperatureSetting</v>
      </c>
      <c r="F1696" s="5" t="s">
        <v>1491</v>
      </c>
      <c r="G1696" s="5" t="s">
        <v>9664</v>
      </c>
      <c r="H1696" s="6" t="s">
        <v>3186</v>
      </c>
      <c r="I1696" s="24" t="s">
        <v>4951</v>
      </c>
      <c r="J1696" s="8" t="s">
        <v>4951</v>
      </c>
      <c r="K1696" s="26"/>
      <c r="N1696" s="6"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c r="O1696" s="6" t="s">
        <v>8574</v>
      </c>
      <c r="P1696" s="6" t="s">
        <v>8574</v>
      </c>
      <c r="Q1696" s="6" t="s">
        <v>3799</v>
      </c>
    </row>
    <row r="1697" spans="1:17" x14ac:dyDescent="0.25">
      <c r="A1697" s="5" t="str">
        <f>IF(TRIM(I1697)="","",E1697)</f>
        <v>ContinuousBracketing</v>
      </c>
      <c r="B1697" s="5" t="str">
        <f>IF(TRIM(J1697)="","",H1697)</f>
        <v>Continuous bracketing</v>
      </c>
      <c r="C1697" s="5" t="str">
        <f>LEFT(F1697,FIND(".",F1697,6))</f>
        <v>Exif.Sony1MltCsA100.</v>
      </c>
      <c r="D1697" s="5" t="str">
        <f>VLOOKUP(C1697,PrefixUebersetzung,2,FALSE)</f>
        <v>Exif.Sony1MltCsA100.</v>
      </c>
      <c r="E1697" s="5" t="str">
        <f>MID(F1697,FIND(".",F1697,6)+1,99)</f>
        <v>ContinuousBracketing</v>
      </c>
      <c r="F1697" s="5" t="s">
        <v>1492</v>
      </c>
      <c r="G1697" s="5" t="s">
        <v>9664</v>
      </c>
      <c r="H1697" s="6" t="s">
        <v>3187</v>
      </c>
      <c r="I1697" s="7" t="s">
        <v>4664</v>
      </c>
      <c r="J1697" s="14" t="s">
        <v>4664</v>
      </c>
      <c r="K1697" s="26"/>
      <c r="N1697" s="6"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c r="O1697" s="6" t="s">
        <v>8574</v>
      </c>
      <c r="P1697" s="6" t="s">
        <v>8574</v>
      </c>
      <c r="Q1697" s="6" t="s">
        <v>9218</v>
      </c>
    </row>
    <row r="1698" spans="1:17" x14ac:dyDescent="0.25">
      <c r="A1698" s="5" t="str">
        <f>IF(TRIM(I1698)="","",E1698)</f>
        <v/>
      </c>
      <c r="B1698" s="5" t="str">
        <f>IF(TRIM(J1698)="","",H1698)</f>
        <v/>
      </c>
      <c r="C1698" s="5" t="str">
        <f>LEFT(F1698,FIND(".",F1698,6))</f>
        <v>Exif.Sony1MltCsA100.</v>
      </c>
      <c r="D1698" s="5" t="str">
        <f>VLOOKUP(C1698,PrefixUebersetzung,2,FALSE)</f>
        <v>Exif.Sony1MltCsA100.</v>
      </c>
      <c r="E1698" s="5" t="str">
        <f>MID(F1698,FIND(".",F1698,6)+1,99)</f>
        <v>Contrast</v>
      </c>
      <c r="F1698" s="5" t="s">
        <v>1493</v>
      </c>
      <c r="G1698" s="5" t="s">
        <v>9664</v>
      </c>
      <c r="H1698" s="6" t="s">
        <v>2549</v>
      </c>
      <c r="K1698" s="26"/>
      <c r="L1698" s="6" t="str">
        <f>IFERROR(VLOOKUP(E1698,A:I,9, FALSE),"")</f>
        <v>Kontrast</v>
      </c>
      <c r="M1698" s="6" t="str">
        <f>IFERROR(VLOOKUP(H1698,B:J,9,FALSE),"")</f>
        <v>Kontrast</v>
      </c>
      <c r="N1698" s="6"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row>
    <row r="1699" spans="1:17" x14ac:dyDescent="0.25">
      <c r="A1699" s="5" t="str">
        <f>IF(TRIM(I1699)="","",E1699)</f>
        <v/>
      </c>
      <c r="B1699" s="5" t="str">
        <f>IF(TRIM(J1699)="","",H1699)</f>
        <v/>
      </c>
      <c r="C1699" s="5" t="str">
        <f>LEFT(F1699,FIND(".",F1699,6))</f>
        <v>Exif.Sony1MltCsA100.</v>
      </c>
      <c r="D1699" s="5" t="str">
        <f>VLOOKUP(C1699,PrefixUebersetzung,2,FALSE)</f>
        <v>Exif.Sony1MltCsA100.</v>
      </c>
      <c r="E1699" s="5" t="str">
        <f>MID(F1699,FIND(".",F1699,6)+1,99)</f>
        <v>ControlDialSet</v>
      </c>
      <c r="F1699" s="5" t="s">
        <v>1494</v>
      </c>
      <c r="G1699" s="5" t="s">
        <v>9664</v>
      </c>
      <c r="H1699" s="6" t="s">
        <v>3188</v>
      </c>
      <c r="I1699" s="7"/>
      <c r="K1699" s="26"/>
      <c r="N1699" s="6"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xml:space="preserve">Suffix not translated Description not translated </v>
      </c>
      <c r="O1699" s="6" t="s">
        <v>8574</v>
      </c>
      <c r="P1699" s="6" t="s">
        <v>8574</v>
      </c>
    </row>
    <row r="1700" spans="1:17" x14ac:dyDescent="0.25">
      <c r="A1700" s="5" t="str">
        <f>IF(TRIM(I1700)="","",E1700)</f>
        <v>CustomWBBlueLevel</v>
      </c>
      <c r="B1700" s="5" t="str">
        <f>IF(TRIM(J1700)="","",H1700)</f>
        <v>CustomWB blue level</v>
      </c>
      <c r="C1700" s="5" t="str">
        <f>LEFT(F1700,FIND(".",F1700,6))</f>
        <v>Exif.Sony1MltCsA100.</v>
      </c>
      <c r="D1700" s="5" t="str">
        <f>VLOOKUP(C1700,PrefixUebersetzung,2,FALSE)</f>
        <v>Exif.Sony1MltCsA100.</v>
      </c>
      <c r="E1700" s="5" t="str">
        <f>MID(F1700,FIND(".",F1700,6)+1,99)</f>
        <v>CustomWBBlueLevel</v>
      </c>
      <c r="F1700" s="5" t="s">
        <v>1495</v>
      </c>
      <c r="G1700" s="5" t="s">
        <v>9664</v>
      </c>
      <c r="H1700" s="6" t="s">
        <v>3189</v>
      </c>
      <c r="I1700" s="7" t="s">
        <v>4952</v>
      </c>
      <c r="J1700" s="14" t="s">
        <v>4952</v>
      </c>
      <c r="K1700" s="26"/>
      <c r="N1700" s="6"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6" t="s">
        <v>8574</v>
      </c>
      <c r="P1700" s="6" t="s">
        <v>8574</v>
      </c>
      <c r="Q1700" s="6" t="s">
        <v>9163</v>
      </c>
    </row>
    <row r="1701" spans="1:17" x14ac:dyDescent="0.25">
      <c r="A1701" s="5" t="str">
        <f>IF(TRIM(I1701)="","",E1701)</f>
        <v>CustomWBError</v>
      </c>
      <c r="B1701" s="5" t="str">
        <f>IF(TRIM(J1701)="","",H1701)</f>
        <v>Custom WB Error</v>
      </c>
      <c r="C1701" s="5" t="str">
        <f>LEFT(F1701,FIND(".",F1701,6))</f>
        <v>Exif.Sony1MltCsA100.</v>
      </c>
      <c r="D1701" s="5" t="str">
        <f>VLOOKUP(C1701,PrefixUebersetzung,2,FALSE)</f>
        <v>Exif.Sony1MltCsA100.</v>
      </c>
      <c r="E1701" s="5" t="str">
        <f>MID(F1701,FIND(".",F1701,6)+1,99)</f>
        <v>CustomWBError</v>
      </c>
      <c r="F1701" s="5" t="s">
        <v>1496</v>
      </c>
      <c r="G1701" s="5" t="s">
        <v>9664</v>
      </c>
      <c r="H1701" s="6" t="s">
        <v>3190</v>
      </c>
      <c r="I1701" s="7" t="s">
        <v>4953</v>
      </c>
      <c r="J1701" s="14" t="s">
        <v>4953</v>
      </c>
      <c r="K1701" s="26"/>
      <c r="N1701" s="6"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c r="O1701" s="6" t="s">
        <v>8574</v>
      </c>
      <c r="P1701" s="6" t="s">
        <v>8574</v>
      </c>
      <c r="Q1701" s="6" t="s">
        <v>9233</v>
      </c>
    </row>
    <row r="1702" spans="1:17" x14ac:dyDescent="0.25">
      <c r="A1702" s="5" t="str">
        <f>IF(TRIM(I1702)="","",E1702)</f>
        <v>CustomWBGreenLevel</v>
      </c>
      <c r="B1702" s="5" t="str">
        <f>IF(TRIM(J1702)="","",H1702)</f>
        <v>Custom WB green level</v>
      </c>
      <c r="C1702" s="5" t="str">
        <f>LEFT(F1702,FIND(".",F1702,6))</f>
        <v>Exif.Sony1MltCsA100.</v>
      </c>
      <c r="D1702" s="5" t="str">
        <f>VLOOKUP(C1702,PrefixUebersetzung,2,FALSE)</f>
        <v>Exif.Sony1MltCsA100.</v>
      </c>
      <c r="E1702" s="5" t="str">
        <f>MID(F1702,FIND(".",F1702,6)+1,99)</f>
        <v>CustomWBGreenLevel</v>
      </c>
      <c r="F1702" s="5" t="s">
        <v>1497</v>
      </c>
      <c r="G1702" s="5" t="s">
        <v>9664</v>
      </c>
      <c r="H1702" s="6" t="s">
        <v>3191</v>
      </c>
      <c r="I1702" s="7" t="s">
        <v>4954</v>
      </c>
      <c r="J1702" s="14" t="s">
        <v>4954</v>
      </c>
      <c r="K1702" s="26"/>
      <c r="N1702" s="6"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c r="O1702" s="6" t="s">
        <v>8574</v>
      </c>
      <c r="P1702" s="6" t="s">
        <v>8574</v>
      </c>
      <c r="Q1702" s="6" t="s">
        <v>9163</v>
      </c>
    </row>
    <row r="1703" spans="1:17" x14ac:dyDescent="0.25">
      <c r="A1703" s="5" t="str">
        <f>IF(TRIM(I1703)="","",E1703)</f>
        <v>CustomWBRedLevel</v>
      </c>
      <c r="B1703" s="5" t="str">
        <f>IF(TRIM(J1703)="","",H1703)</f>
        <v>Custom WB red level</v>
      </c>
      <c r="C1703" s="5" t="str">
        <f>LEFT(F1703,FIND(".",F1703,6))</f>
        <v>Exif.Sony1MltCsA100.</v>
      </c>
      <c r="D1703" s="5" t="str">
        <f>VLOOKUP(C1703,PrefixUebersetzung,2,FALSE)</f>
        <v>Exif.Sony1MltCsA100.</v>
      </c>
      <c r="E1703" s="5" t="str">
        <f>MID(F1703,FIND(".",F1703,6)+1,99)</f>
        <v>CustomWBRedLevel</v>
      </c>
      <c r="F1703" s="5" t="s">
        <v>1498</v>
      </c>
      <c r="G1703" s="5" t="s">
        <v>9664</v>
      </c>
      <c r="H1703" s="6" t="s">
        <v>3192</v>
      </c>
      <c r="I1703" s="7" t="s">
        <v>4955</v>
      </c>
      <c r="J1703" s="14" t="s">
        <v>4955</v>
      </c>
      <c r="K1703" s="26"/>
      <c r="N1703" s="6"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O1703" s="6" t="s">
        <v>8574</v>
      </c>
      <c r="P1703" s="6" t="s">
        <v>8574</v>
      </c>
      <c r="Q1703" s="6" t="s">
        <v>9163</v>
      </c>
    </row>
    <row r="1704" spans="1:17" x14ac:dyDescent="0.25">
      <c r="A1704" s="5" t="str">
        <f>IF(TRIM(I1704)="","",E1704)</f>
        <v>CustomWBSetting</v>
      </c>
      <c r="B1704" s="5" t="str">
        <f>IF(TRIM(J1704)="","",H1704)</f>
        <v>Custom WB setting</v>
      </c>
      <c r="C1704" s="5" t="str">
        <f>LEFT(F1704,FIND(".",F1704,6))</f>
        <v>Exif.Sony1MltCsA100.</v>
      </c>
      <c r="D1704" s="5" t="str">
        <f>VLOOKUP(C1704,PrefixUebersetzung,2,FALSE)</f>
        <v>Exif.Sony1MltCsA100.</v>
      </c>
      <c r="E1704" s="5" t="str">
        <f>MID(F1704,FIND(".",F1704,6)+1,99)</f>
        <v>CustomWBSetting</v>
      </c>
      <c r="F1704" s="5" t="s">
        <v>1499</v>
      </c>
      <c r="G1704" s="5" t="s">
        <v>9664</v>
      </c>
      <c r="H1704" s="6" t="s">
        <v>3193</v>
      </c>
      <c r="I1704" s="7" t="s">
        <v>4956</v>
      </c>
      <c r="J1704" s="14" t="s">
        <v>4956</v>
      </c>
      <c r="K1704" s="26"/>
      <c r="N1704" s="6"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c r="O1704" s="6" t="s">
        <v>8574</v>
      </c>
      <c r="P1704" s="6" t="s">
        <v>8574</v>
      </c>
      <c r="Q1704" s="6" t="s">
        <v>9233</v>
      </c>
    </row>
    <row r="1705" spans="1:17" x14ac:dyDescent="0.25">
      <c r="A1705" s="5" t="str">
        <f>IF(TRIM(I1705)="","",E1705)</f>
        <v/>
      </c>
      <c r="B1705" s="5" t="str">
        <f>IF(TRIM(J1705)="","",H1705)</f>
        <v/>
      </c>
      <c r="C1705" s="5" t="str">
        <f>LEFT(F1705,FIND(".",F1705,6))</f>
        <v>Exif.Sony1MltCsA100.</v>
      </c>
      <c r="D1705" s="5" t="str">
        <f>VLOOKUP(C1705,PrefixUebersetzung,2,FALSE)</f>
        <v>Exif.Sony1MltCsA100.</v>
      </c>
      <c r="E1705" s="5" t="str">
        <f>MID(F1705,FIND(".",F1705,6)+1,99)</f>
        <v>DriveMode</v>
      </c>
      <c r="F1705" s="5" t="s">
        <v>1500</v>
      </c>
      <c r="G1705" s="5" t="s">
        <v>9664</v>
      </c>
      <c r="H1705" s="6" t="s">
        <v>2583</v>
      </c>
      <c r="I1705" s="7"/>
      <c r="K1705" s="26"/>
      <c r="L1705" s="6" t="str">
        <f>IFERROR(VLOOKUP(E1705,A:I,9, FALSE),"")</f>
        <v>Betriebsart</v>
      </c>
      <c r="M1705" s="6" t="str">
        <f>IFERROR(VLOOKUP(H1705,B:J,9,FALSE),"")</f>
        <v>Betriebsart</v>
      </c>
      <c r="N1705" s="6"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row>
    <row r="1706" spans="1:17" x14ac:dyDescent="0.25">
      <c r="A1706" s="5" t="str">
        <f>IF(TRIM(I1706)="","",E1706)</f>
        <v>DriveMode2</v>
      </c>
      <c r="B1706" s="5" t="str">
        <f>IF(TRIM(J1706)="","",H1706)</f>
        <v>Drive mode 2</v>
      </c>
      <c r="C1706" s="5" t="str">
        <f>LEFT(F1706,FIND(".",F1706,6))</f>
        <v>Exif.Sony1MltCsA100.</v>
      </c>
      <c r="D1706" s="5" t="str">
        <f>VLOOKUP(C1706,PrefixUebersetzung,2,FALSE)</f>
        <v>Exif.Sony1MltCsA100.</v>
      </c>
      <c r="E1706" s="5" t="str">
        <f>MID(F1706,FIND(".",F1706,6)+1,99)</f>
        <v>DriveMode2</v>
      </c>
      <c r="F1706" s="5" t="s">
        <v>1501</v>
      </c>
      <c r="G1706" s="5" t="s">
        <v>9664</v>
      </c>
      <c r="H1706" s="6" t="s">
        <v>3194</v>
      </c>
      <c r="I1706" s="7" t="s">
        <v>5167</v>
      </c>
      <c r="J1706" s="14" t="s">
        <v>5167</v>
      </c>
      <c r="K1706" s="26"/>
      <c r="N1706" s="6"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c>
      <c r="O1706" s="6" t="s">
        <v>8574</v>
      </c>
      <c r="P1706" s="6" t="s">
        <v>8574</v>
      </c>
      <c r="Q1706" s="6" t="s">
        <v>9255</v>
      </c>
    </row>
    <row r="1707" spans="1:17" ht="30" x14ac:dyDescent="0.25">
      <c r="A1707" s="5" t="str">
        <f>IF(TRIM(I1707)="","",E1707)</f>
        <v/>
      </c>
      <c r="B1707" s="5" t="str">
        <f>IF(TRIM(J1707)="","",H1707)</f>
        <v/>
      </c>
      <c r="C1707" s="5" t="str">
        <f>LEFT(F1707,FIND(".",F1707,6))</f>
        <v>Exif.Sony1MltCsA100.</v>
      </c>
      <c r="D1707" s="5" t="str">
        <f>VLOOKUP(C1707,PrefixUebersetzung,2,FALSE)</f>
        <v>Exif.Sony1MltCsA100.</v>
      </c>
      <c r="E1707" s="5" t="str">
        <f>MID(F1707,FIND(".",F1707,6)+1,99)</f>
        <v>DynamicRangeOptimizerMode</v>
      </c>
      <c r="F1707" s="5" t="s">
        <v>1502</v>
      </c>
      <c r="G1707" s="5" t="s">
        <v>9664</v>
      </c>
      <c r="H1707" s="6" t="s">
        <v>3195</v>
      </c>
      <c r="I1707" s="7"/>
      <c r="K1707" s="26"/>
      <c r="L1707" s="6" t="str">
        <f>IFERROR(VLOOKUP(E1707,A:I,9, FALSE),"")</f>
        <v>Dynamikbereich-Optimierer Modus</v>
      </c>
      <c r="M1707" s="6" t="str">
        <f>IFERROR(VLOOKUP(H1707,B:J,9,FALSE),"")</f>
        <v>Dynamikbereich-Optimierer Modus</v>
      </c>
      <c r="N1707" s="6"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c>
    </row>
    <row r="1708" spans="1:17" x14ac:dyDescent="0.25">
      <c r="A1708" s="5" t="str">
        <f>IF(TRIM(I1708)="","",E1708)</f>
        <v>DynamicRangeOptimizerSettings</v>
      </c>
      <c r="B1708" s="5" t="str">
        <f>IF(TRIM(J1708)="","",H1708)</f>
        <v>Dynamic Range Optimizer Settings</v>
      </c>
      <c r="C1708" s="5" t="str">
        <f>LEFT(F1708,FIND(".",F1708,6))</f>
        <v>Exif.Sony1MltCsA100.</v>
      </c>
      <c r="D1708" s="5" t="str">
        <f>VLOOKUP(C1708,PrefixUebersetzung,2,FALSE)</f>
        <v>Exif.Sony1MltCsA100.</v>
      </c>
      <c r="E1708" s="5" t="str">
        <f>MID(F1708,FIND(".",F1708,6)+1,99)</f>
        <v>DynamicRangeOptimizerSettings</v>
      </c>
      <c r="F1708" s="5" t="s">
        <v>1503</v>
      </c>
      <c r="G1708" s="5" t="s">
        <v>9664</v>
      </c>
      <c r="H1708" s="6" t="s">
        <v>3196</v>
      </c>
      <c r="I1708" s="7" t="s">
        <v>4444</v>
      </c>
      <c r="J1708" s="14" t="s">
        <v>4444</v>
      </c>
      <c r="K1708" s="26"/>
      <c r="N1708" s="6"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c>
      <c r="O1708" s="6" t="s">
        <v>8574</v>
      </c>
      <c r="P1708" s="6" t="s">
        <v>8574</v>
      </c>
      <c r="Q1708" s="6" t="s">
        <v>9258</v>
      </c>
    </row>
    <row r="1709" spans="1:17" ht="30" x14ac:dyDescent="0.25">
      <c r="A1709" s="5" t="str">
        <f>IF(TRIM(I1709)="","",E1709)</f>
        <v>ExposureBracketingIndicatorLast</v>
      </c>
      <c r="B1709" s="5" t="str">
        <f>IF(TRIM(J1709)="","",H1709)</f>
        <v>Exposure bracketing indicator last (indicator for last shot when bracketing)</v>
      </c>
      <c r="C1709" s="5" t="str">
        <f>LEFT(F1709,FIND(".",F1709,6))</f>
        <v>Exif.Sony1MltCsA100.</v>
      </c>
      <c r="D1709" s="5" t="str">
        <f>VLOOKUP(C1709,PrefixUebersetzung,2,FALSE)</f>
        <v>Exif.Sony1MltCsA100.</v>
      </c>
      <c r="E1709" s="5" t="str">
        <f>MID(F1709,FIND(".",F1709,6)+1,99)</f>
        <v>ExposureBracketingIndicatorLast</v>
      </c>
      <c r="F1709" s="5" t="s">
        <v>1504</v>
      </c>
      <c r="G1709" s="5" t="s">
        <v>9664</v>
      </c>
      <c r="H1709" s="6" t="s">
        <v>3197</v>
      </c>
      <c r="I1709" s="7" t="s">
        <v>4445</v>
      </c>
      <c r="J1709" s="14" t="s">
        <v>5227</v>
      </c>
      <c r="K1709" s="26"/>
      <c r="N1709" s="6"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c>
      <c r="O1709" s="6" t="s">
        <v>8574</v>
      </c>
      <c r="P1709" s="6" t="s">
        <v>8574</v>
      </c>
    </row>
    <row r="1710" spans="1:17" x14ac:dyDescent="0.25">
      <c r="A1710" s="5" t="str">
        <f>IF(TRIM(I1710)="","",E1710)</f>
        <v>ExposureCompensationMode</v>
      </c>
      <c r="B1710" s="5" t="str">
        <f>IF(TRIM(J1710)="","",H1710)</f>
        <v>Exposure compensation mode</v>
      </c>
      <c r="C1710" s="5" t="str">
        <f>LEFT(F1710,FIND(".",F1710,6))</f>
        <v>Exif.Sony1MltCsA100.</v>
      </c>
      <c r="D1710" s="5" t="str">
        <f>VLOOKUP(C1710,PrefixUebersetzung,2,FALSE)</f>
        <v>Exif.Sony1MltCsA100.</v>
      </c>
      <c r="E1710" s="5" t="str">
        <f>MID(F1710,FIND(".",F1710,6)+1,99)</f>
        <v>ExposureCompensationMode</v>
      </c>
      <c r="F1710" s="5" t="s">
        <v>1505</v>
      </c>
      <c r="G1710" s="5" t="s">
        <v>9664</v>
      </c>
      <c r="H1710" s="6" t="s">
        <v>3198</v>
      </c>
      <c r="I1710" s="24" t="s">
        <v>4957</v>
      </c>
      <c r="J1710" s="8" t="s">
        <v>4957</v>
      </c>
      <c r="K1710" s="26"/>
      <c r="N1710" s="6"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c>
      <c r="O1710" s="6" t="s">
        <v>8574</v>
      </c>
      <c r="P1710" s="6" t="s">
        <v>8574</v>
      </c>
      <c r="Q1710" s="6" t="s">
        <v>9176</v>
      </c>
    </row>
    <row r="1711" spans="1:17" x14ac:dyDescent="0.25">
      <c r="A1711" s="5" t="str">
        <f>IF(TRIM(I1711)="","",E1711)</f>
        <v>ExposureCompensationSetting</v>
      </c>
      <c r="B1711" s="5" t="str">
        <f>IF(TRIM(J1711)="","",H1711)</f>
        <v>Exposure compensation setting</v>
      </c>
      <c r="C1711" s="5" t="str">
        <f>LEFT(F1711,FIND(".",F1711,6))</f>
        <v>Exif.Sony1MltCsA100.</v>
      </c>
      <c r="D1711" s="5" t="str">
        <f>VLOOKUP(C1711,PrefixUebersetzung,2,FALSE)</f>
        <v>Exif.Sony1MltCsA100.</v>
      </c>
      <c r="E1711" s="5" t="str">
        <f>MID(F1711,FIND(".",F1711,6)+1,99)</f>
        <v>ExposureCompensationSetting</v>
      </c>
      <c r="F1711" s="5" t="s">
        <v>1506</v>
      </c>
      <c r="G1711" s="5" t="s">
        <v>9664</v>
      </c>
      <c r="H1711" s="6" t="s">
        <v>3199</v>
      </c>
      <c r="I1711" s="24" t="s">
        <v>4958</v>
      </c>
      <c r="J1711" s="8" t="s">
        <v>4958</v>
      </c>
      <c r="K1711" s="26"/>
      <c r="N1711" s="6"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c>
      <c r="O1711" s="6" t="s">
        <v>8574</v>
      </c>
      <c r="P1711" s="6" t="s">
        <v>8574</v>
      </c>
      <c r="Q1711" s="6" t="s">
        <v>9176</v>
      </c>
    </row>
    <row r="1712" spans="1:17" x14ac:dyDescent="0.25">
      <c r="A1712" s="5" t="str">
        <f>IF(TRIM(I1712)="","",E1712)</f>
        <v>ExposureIndicator</v>
      </c>
      <c r="B1712" s="5" t="str">
        <f>IF(TRIM(J1712)="","",H1712)</f>
        <v>Exposure indicator</v>
      </c>
      <c r="C1712" s="5" t="str">
        <f>LEFT(F1712,FIND(".",F1712,6))</f>
        <v>Exif.Sony1MltCsA100.</v>
      </c>
      <c r="D1712" s="5" t="str">
        <f>VLOOKUP(C1712,PrefixUebersetzung,2,FALSE)</f>
        <v>Exif.Sony1MltCsA100.</v>
      </c>
      <c r="E1712" s="5" t="str">
        <f>MID(F1712,FIND(".",F1712,6)+1,99)</f>
        <v>ExposureIndicator</v>
      </c>
      <c r="F1712" s="5" t="s">
        <v>1507</v>
      </c>
      <c r="G1712" s="5" t="s">
        <v>9664</v>
      </c>
      <c r="H1712" s="6" t="s">
        <v>3200</v>
      </c>
      <c r="I1712" s="24" t="s">
        <v>4090</v>
      </c>
      <c r="J1712" s="8" t="s">
        <v>4090</v>
      </c>
      <c r="K1712" s="26"/>
      <c r="N1712" s="6"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c>
      <c r="O1712" s="6" t="s">
        <v>8574</v>
      </c>
      <c r="P1712" s="6" t="s">
        <v>8574</v>
      </c>
      <c r="Q1712" s="6" t="s">
        <v>4261</v>
      </c>
    </row>
    <row r="1713" spans="1:17" x14ac:dyDescent="0.25">
      <c r="A1713" s="5" t="str">
        <f>IF(TRIM(I1713)="","",E1713)</f>
        <v/>
      </c>
      <c r="B1713" s="5" t="str">
        <f>IF(TRIM(J1713)="","",H1713)</f>
        <v/>
      </c>
      <c r="C1713" s="5" t="str">
        <f>LEFT(F1713,FIND(".",F1713,6))</f>
        <v>Exif.Sony1MltCsA100.</v>
      </c>
      <c r="D1713" s="5" t="str">
        <f>VLOOKUP(C1713,PrefixUebersetzung,2,FALSE)</f>
        <v>Exif.Sony1MltCsA100.</v>
      </c>
      <c r="E1713" s="5" t="str">
        <f>MID(F1713,FIND(".",F1713,6)+1,99)</f>
        <v>ExposureMode</v>
      </c>
      <c r="F1713" s="5" t="s">
        <v>1508</v>
      </c>
      <c r="G1713" s="5" t="s">
        <v>9664</v>
      </c>
      <c r="H1713" s="6" t="s">
        <v>2552</v>
      </c>
      <c r="I1713" s="24"/>
      <c r="J1713" s="8"/>
      <c r="K1713" s="26"/>
      <c r="L1713" s="6" t="str">
        <f>IFERROR(VLOOKUP(E1713,A:I,9, FALSE),"")</f>
        <v>Belichtungsmodus</v>
      </c>
      <c r="M1713" s="6" t="str">
        <f>IFERROR(VLOOKUP(H1713,B:J,9,FALSE),"")</f>
        <v>Belichtungsmodus</v>
      </c>
      <c r="N1713" s="6"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c>
    </row>
    <row r="1714" spans="1:17" x14ac:dyDescent="0.25">
      <c r="A1714" s="5" t="str">
        <f>IF(TRIM(I1714)="","",E1714)</f>
        <v/>
      </c>
      <c r="B1714" s="5" t="str">
        <f>IF(TRIM(J1714)="","",H1714)</f>
        <v/>
      </c>
      <c r="C1714" s="5" t="str">
        <f>LEFT(F1714,FIND(".",F1714,6))</f>
        <v>Exif.Sony1MltCsA100.</v>
      </c>
      <c r="D1714" s="5" t="str">
        <f>VLOOKUP(C1714,PrefixUebersetzung,2,FALSE)</f>
        <v>Exif.Sony1MltCsA100.</v>
      </c>
      <c r="E1714" s="5" t="str">
        <f>MID(F1714,FIND(".",F1714,6)+1,99)</f>
        <v>ExposureTime</v>
      </c>
      <c r="F1714" s="5" t="s">
        <v>1509</v>
      </c>
      <c r="G1714" s="5" t="s">
        <v>9664</v>
      </c>
      <c r="H1714" s="6" t="s">
        <v>2554</v>
      </c>
      <c r="I1714" s="24"/>
      <c r="J1714" s="8"/>
      <c r="K1714" s="26"/>
      <c r="L1714" s="6" t="str">
        <f>IFERROR(VLOOKUP(E1714,A:I,9, FALSE),"")</f>
        <v>Belichtungszeit</v>
      </c>
      <c r="M1714" s="6" t="str">
        <f>IFERROR(VLOOKUP(H1714,B:J,9,FALSE),"")</f>
        <v>Belichtungszeit</v>
      </c>
      <c r="N1714" s="6"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c>
    </row>
    <row r="1715" spans="1:17" x14ac:dyDescent="0.25">
      <c r="A1715" s="5" t="str">
        <f>IF(TRIM(I1715)="","",E1715)</f>
        <v/>
      </c>
      <c r="B1715" s="5" t="str">
        <f>IF(TRIM(J1715)="","",H1715)</f>
        <v/>
      </c>
      <c r="C1715" s="5" t="str">
        <f>LEFT(F1715,FIND(".",F1715,6))</f>
        <v>Exif.Sony1MltCsA100.</v>
      </c>
      <c r="D1715" s="5" t="str">
        <f>VLOOKUP(C1715,PrefixUebersetzung,2,FALSE)</f>
        <v>Exif.Sony1MltCsA100.</v>
      </c>
      <c r="E1715" s="5" t="str">
        <f>MID(F1715,FIND(".",F1715,6)+1,99)</f>
        <v>EyeStartAF</v>
      </c>
      <c r="F1715" s="5" t="s">
        <v>1510</v>
      </c>
      <c r="G1715" s="5" t="s">
        <v>9664</v>
      </c>
      <c r="H1715" s="6" t="s">
        <v>3201</v>
      </c>
      <c r="I1715" s="7"/>
      <c r="K1715" s="26"/>
      <c r="N1715" s="6"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6" t="s">
        <v>8574</v>
      </c>
      <c r="P1715" s="6" t="s">
        <v>8574</v>
      </c>
    </row>
    <row r="1716" spans="1:17" x14ac:dyDescent="0.25">
      <c r="A1716" s="5" t="str">
        <f>IF(TRIM(I1716)="","",E1716)</f>
        <v>FlashDefault</v>
      </c>
      <c r="B1716" s="5" t="str">
        <f>IF(TRIM(J1716)="","",H1716)</f>
        <v>Flash default</v>
      </c>
      <c r="C1716" s="5" t="str">
        <f>LEFT(F1716,FIND(".",F1716,6))</f>
        <v>Exif.Sony1MltCsA100.</v>
      </c>
      <c r="D1716" s="5" t="str">
        <f>VLOOKUP(C1716,PrefixUebersetzung,2,FALSE)</f>
        <v>Exif.Sony1MltCsA100.</v>
      </c>
      <c r="E1716" s="5" t="str">
        <f>MID(F1716,FIND(".",F1716,6)+1,99)</f>
        <v>FlashDefault</v>
      </c>
      <c r="F1716" s="5" t="s">
        <v>1511</v>
      </c>
      <c r="G1716" s="5" t="s">
        <v>9664</v>
      </c>
      <c r="H1716" s="6" t="s">
        <v>3202</v>
      </c>
      <c r="I1716" s="7" t="s">
        <v>4959</v>
      </c>
      <c r="J1716" s="14" t="s">
        <v>4959</v>
      </c>
      <c r="K1716" s="26"/>
      <c r="N1716" s="6"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c>
      <c r="O1716" s="6" t="s">
        <v>8574</v>
      </c>
      <c r="P1716" s="6" t="s">
        <v>8574</v>
      </c>
      <c r="Q1716" s="6" t="s">
        <v>4845</v>
      </c>
    </row>
    <row r="1717" spans="1:17" x14ac:dyDescent="0.25">
      <c r="A1717" s="5" t="str">
        <f>IF(TRIM(I1717)="","",E1717)</f>
        <v>FlashExposureCompSetting</v>
      </c>
      <c r="B1717" s="5" t="str">
        <f>IF(TRIM(J1717)="","",H1717)</f>
        <v>Flash exposure compensation setting</v>
      </c>
      <c r="C1717" s="5" t="str">
        <f>LEFT(F1717,FIND(".",F1717,6))</f>
        <v>Exif.Sony1MltCsA100.</v>
      </c>
      <c r="D1717" s="5" t="str">
        <f>VLOOKUP(C1717,PrefixUebersetzung,2,FALSE)</f>
        <v>Exif.Sony1MltCsA100.</v>
      </c>
      <c r="E1717" s="5" t="str">
        <f>MID(F1717,FIND(".",F1717,6)+1,99)</f>
        <v>FlashExposureCompSetting</v>
      </c>
      <c r="F1717" s="5" t="s">
        <v>1512</v>
      </c>
      <c r="G1717" s="5" t="s">
        <v>9664</v>
      </c>
      <c r="H1717" s="6" t="s">
        <v>3203</v>
      </c>
      <c r="I1717" s="24" t="s">
        <v>3992</v>
      </c>
      <c r="J1717" s="8" t="s">
        <v>3992</v>
      </c>
      <c r="K1717" s="26"/>
      <c r="N1717" s="6"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6" t="s">
        <v>8574</v>
      </c>
      <c r="P1717" s="6" t="s">
        <v>8574</v>
      </c>
      <c r="Q1717" s="6" t="s">
        <v>9317</v>
      </c>
    </row>
    <row r="1718" spans="1:17" x14ac:dyDescent="0.25">
      <c r="A1718" s="5" t="str">
        <f>IF(TRIM(I1718)="","",E1718)</f>
        <v>FlashExposureIndicator</v>
      </c>
      <c r="B1718" s="5" t="str">
        <f>IF(TRIM(J1718)="","",H1718)</f>
        <v>Flash exposure indicator</v>
      </c>
      <c r="C1718" s="5" t="str">
        <f>LEFT(F1718,FIND(".",F1718,6))</f>
        <v>Exif.Sony1MltCsA100.</v>
      </c>
      <c r="D1718" s="5" t="str">
        <f>VLOOKUP(C1718,PrefixUebersetzung,2,FALSE)</f>
        <v>Exif.Sony1MltCsA100.</v>
      </c>
      <c r="E1718" s="5" t="str">
        <f>MID(F1718,FIND(".",F1718,6)+1,99)</f>
        <v>FlashExposureIndicator</v>
      </c>
      <c r="F1718" s="5" t="s">
        <v>1513</v>
      </c>
      <c r="G1718" s="5" t="s">
        <v>9664</v>
      </c>
      <c r="H1718" s="6" t="s">
        <v>3204</v>
      </c>
      <c r="I1718" s="24" t="s">
        <v>4446</v>
      </c>
      <c r="J1718" s="8" t="s">
        <v>4446</v>
      </c>
      <c r="K1718" s="26"/>
      <c r="N1718" s="6"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O1718" s="6" t="s">
        <v>8574</v>
      </c>
      <c r="P1718" s="6" t="s">
        <v>8574</v>
      </c>
      <c r="Q1718" s="6" t="s">
        <v>9308</v>
      </c>
    </row>
    <row r="1719" spans="1:17" ht="30" x14ac:dyDescent="0.25">
      <c r="A1719" s="5" t="str">
        <f>IF(TRIM(I1719)="","",E1719)</f>
        <v>FlashExposureIndicatorLast</v>
      </c>
      <c r="B1719" s="5" t="str">
        <f>IF(TRIM(J1719)="","",H1719)</f>
        <v>Flash exposure indicator last (indicator for last shot when bracketing)</v>
      </c>
      <c r="C1719" s="5" t="str">
        <f>LEFT(F1719,FIND(".",F1719,6))</f>
        <v>Exif.Sony1MltCsA100.</v>
      </c>
      <c r="D1719" s="5" t="str">
        <f>VLOOKUP(C1719,PrefixUebersetzung,2,FALSE)</f>
        <v>Exif.Sony1MltCsA100.</v>
      </c>
      <c r="E1719" s="5" t="str">
        <f>MID(F1719,FIND(".",F1719,6)+1,99)</f>
        <v>FlashExposureIndicatorLast</v>
      </c>
      <c r="F1719" s="5" t="s">
        <v>1514</v>
      </c>
      <c r="G1719" s="5" t="s">
        <v>9664</v>
      </c>
      <c r="H1719" s="6" t="s">
        <v>3205</v>
      </c>
      <c r="I1719" s="24" t="s">
        <v>4960</v>
      </c>
      <c r="J1719" s="8" t="s">
        <v>5228</v>
      </c>
      <c r="K1719" s="26"/>
      <c r="N1719" s="6"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c r="O1719" s="6" t="s">
        <v>8574</v>
      </c>
      <c r="P1719" s="6" t="s">
        <v>8574</v>
      </c>
    </row>
    <row r="1720" spans="1:17" ht="30" x14ac:dyDescent="0.25">
      <c r="A1720" s="5" t="str">
        <f>IF(TRIM(I1720)="","",E1720)</f>
        <v>FlashExposureIndicatorNext</v>
      </c>
      <c r="B1720" s="5" t="str">
        <f>IF(TRIM(J1720)="","",H1720)</f>
        <v>Flash exposure indicator next (indicator for next shot when bracketing)</v>
      </c>
      <c r="C1720" s="5" t="str">
        <f>LEFT(F1720,FIND(".",F1720,6))</f>
        <v>Exif.Sony1MltCsA100.</v>
      </c>
      <c r="D1720" s="5" t="str">
        <f>VLOOKUP(C1720,PrefixUebersetzung,2,FALSE)</f>
        <v>Exif.Sony1MltCsA100.</v>
      </c>
      <c r="E1720" s="5" t="str">
        <f>MID(F1720,FIND(".",F1720,6)+1,99)</f>
        <v>FlashExposureIndicatorNext</v>
      </c>
      <c r="F1720" s="5" t="s">
        <v>1515</v>
      </c>
      <c r="G1720" s="5" t="s">
        <v>9664</v>
      </c>
      <c r="H1720" s="6" t="s">
        <v>3206</v>
      </c>
      <c r="I1720" s="24" t="s">
        <v>4961</v>
      </c>
      <c r="J1720" s="8" t="s">
        <v>5229</v>
      </c>
      <c r="K1720" s="26"/>
      <c r="N1720" s="6"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c>
      <c r="O1720" s="6" t="s">
        <v>8574</v>
      </c>
      <c r="P1720" s="6" t="s">
        <v>8574</v>
      </c>
    </row>
    <row r="1721" spans="1:17" x14ac:dyDescent="0.25">
      <c r="A1721" s="5" t="str">
        <f>IF(TRIM(I1721)="","",E1721)</f>
        <v/>
      </c>
      <c r="B1721" s="5" t="str">
        <f>IF(TRIM(J1721)="","",H1721)</f>
        <v/>
      </c>
      <c r="C1721" s="5" t="str">
        <f>LEFT(F1721,FIND(".",F1721,6))</f>
        <v>Exif.Sony1MltCsA100.</v>
      </c>
      <c r="D1721" s="5" t="str">
        <f>VLOOKUP(C1721,PrefixUebersetzung,2,FALSE)</f>
        <v>Exif.Sony1MltCsA100.</v>
      </c>
      <c r="E1721" s="5" t="str">
        <f>MID(F1721,FIND(".",F1721,6)+1,99)</f>
        <v>FlashMetering</v>
      </c>
      <c r="F1721" s="5" t="s">
        <v>1516</v>
      </c>
      <c r="G1721" s="5" t="s">
        <v>9664</v>
      </c>
      <c r="H1721" s="6" t="s">
        <v>2585</v>
      </c>
      <c r="I1721" s="24"/>
      <c r="J1721" s="8"/>
      <c r="K1721" s="26"/>
      <c r="L1721" s="6" t="str">
        <f>IFERROR(VLOOKUP(E1721,A:I,9, FALSE),"")</f>
        <v>Blitzmessung</v>
      </c>
      <c r="M1721" s="6" t="str">
        <f>IFERROR(VLOOKUP(H1721,B:J,9,FALSE),"")</f>
        <v>Blitzmessung</v>
      </c>
      <c r="N1721" s="6"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c>
    </row>
    <row r="1722" spans="1:17" x14ac:dyDescent="0.25">
      <c r="A1722" s="5" t="str">
        <f>IF(TRIM(I1722)="","",E1722)</f>
        <v/>
      </c>
      <c r="B1722" s="5" t="str">
        <f>IF(TRIM(J1722)="","",H1722)</f>
        <v/>
      </c>
      <c r="C1722" s="5" t="str">
        <f>LEFT(F1722,FIND(".",F1722,6))</f>
        <v>Exif.Sony1MltCsA100.</v>
      </c>
      <c r="D1722" s="5" t="str">
        <f>VLOOKUP(C1722,PrefixUebersetzung,2,FALSE)</f>
        <v>Exif.Sony1MltCsA100.</v>
      </c>
      <c r="E1722" s="5" t="str">
        <f>MID(F1722,FIND(".",F1722,6)+1,99)</f>
        <v>FlashMode</v>
      </c>
      <c r="F1722" s="5" t="s">
        <v>1517</v>
      </c>
      <c r="G1722" s="5" t="s">
        <v>9664</v>
      </c>
      <c r="H1722" s="6" t="s">
        <v>3167</v>
      </c>
      <c r="I1722" s="7"/>
      <c r="K1722" s="26"/>
      <c r="L1722" s="6" t="str">
        <f>IFERROR(VLOOKUP(E1722,A:I,9, FALSE),"")</f>
        <v>Blitzmodus</v>
      </c>
      <c r="M1722" s="6" t="str">
        <f>IFERROR(VLOOKUP(H1722,B:J,9,FALSE),"")</f>
        <v>Blitzmodus</v>
      </c>
      <c r="N1722" s="6"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row>
    <row r="1723" spans="1:17" x14ac:dyDescent="0.25">
      <c r="A1723" s="5" t="str">
        <f>IF(TRIM(I1723)="","",E1723)</f>
        <v/>
      </c>
      <c r="B1723" s="5" t="str">
        <f>IF(TRIM(J1723)="","",H1723)</f>
        <v/>
      </c>
      <c r="C1723" s="5" t="str">
        <f>LEFT(F1723,FIND(".",F1723,6))</f>
        <v>Exif.Sony1MltCsA100.</v>
      </c>
      <c r="D1723" s="5" t="str">
        <f>VLOOKUP(C1723,PrefixUebersetzung,2,FALSE)</f>
        <v>Exif.Sony1MltCsA100.</v>
      </c>
      <c r="E1723" s="5" t="str">
        <f>MID(F1723,FIND(".",F1723,6)+1,99)</f>
        <v>FlashType</v>
      </c>
      <c r="F1723" s="5" t="s">
        <v>1518</v>
      </c>
      <c r="G1723" s="5" t="s">
        <v>9664</v>
      </c>
      <c r="H1723" s="6" t="s">
        <v>2849</v>
      </c>
      <c r="I1723" s="7"/>
      <c r="K1723" s="26"/>
      <c r="L1723" s="6" t="str">
        <f>IFERROR(VLOOKUP(E1723,A:I,9, FALSE),"")</f>
        <v>Blitztyp</v>
      </c>
      <c r="M1723" s="6" t="str">
        <f>IFERROR(VLOOKUP(H1723,B:J,9,FALSE),"")</f>
        <v>Blitztyp</v>
      </c>
      <c r="N1723" s="6"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row>
    <row r="1724" spans="1:17" x14ac:dyDescent="0.25">
      <c r="A1724" s="5" t="str">
        <f>IF(TRIM(I1724)="","",E1724)</f>
        <v/>
      </c>
      <c r="B1724" s="5" t="str">
        <f>IF(TRIM(J1724)="","",H1724)</f>
        <v>FNumber</v>
      </c>
      <c r="C1724" s="5" t="str">
        <f>LEFT(F1724,FIND(".",F1724,6))</f>
        <v>Exif.Sony1MltCsA100.</v>
      </c>
      <c r="D1724" s="5" t="str">
        <f>VLOOKUP(C1724,PrefixUebersetzung,2,FALSE)</f>
        <v>Exif.Sony1MltCsA100.</v>
      </c>
      <c r="E1724" s="5" t="str">
        <f>MID(F1724,FIND(".",F1724,6)+1,99)</f>
        <v>FNumber</v>
      </c>
      <c r="F1724" s="5" t="s">
        <v>1519</v>
      </c>
      <c r="G1724" s="5" t="s">
        <v>9664</v>
      </c>
      <c r="H1724" s="6" t="s">
        <v>3207</v>
      </c>
      <c r="I1724" s="5"/>
      <c r="J1724" s="8" t="s">
        <v>4859</v>
      </c>
      <c r="K1724" s="26"/>
      <c r="L1724" s="6" t="str">
        <f>IFERROR(VLOOKUP(E1724,A:I,9, FALSE),"")</f>
        <v>Blendenzahl</v>
      </c>
      <c r="N1724" s="6"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P1724" s="6" t="s">
        <v>8574</v>
      </c>
      <c r="Q1724" s="6" t="s">
        <v>9131</v>
      </c>
    </row>
    <row r="1725" spans="1:17" x14ac:dyDescent="0.25">
      <c r="A1725" s="5" t="str">
        <f>IF(TRIM(I1725)="","",E1725)</f>
        <v>FocusHoldButton</v>
      </c>
      <c r="B1725" s="5" t="str">
        <f>IF(TRIM(J1725)="","",H1725)</f>
        <v>Focus hold button</v>
      </c>
      <c r="C1725" s="5" t="str">
        <f>LEFT(F1725,FIND(".",F1725,6))</f>
        <v>Exif.Sony1MltCsA100.</v>
      </c>
      <c r="D1725" s="5" t="str">
        <f>VLOOKUP(C1725,PrefixUebersetzung,2,FALSE)</f>
        <v>Exif.Sony1MltCsA100.</v>
      </c>
      <c r="E1725" s="5" t="str">
        <f>MID(F1725,FIND(".",F1725,6)+1,99)</f>
        <v>FocusHoldButton</v>
      </c>
      <c r="F1725" s="5" t="s">
        <v>1520</v>
      </c>
      <c r="G1725" s="5" t="s">
        <v>9664</v>
      </c>
      <c r="H1725" s="6" t="s">
        <v>3208</v>
      </c>
      <c r="I1725" s="7" t="s">
        <v>4447</v>
      </c>
      <c r="J1725" s="14" t="s">
        <v>4447</v>
      </c>
      <c r="K1725" s="26"/>
      <c r="N1725" s="6"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6" t="s">
        <v>8574</v>
      </c>
      <c r="P1725" s="6" t="s">
        <v>8574</v>
      </c>
      <c r="Q1725" s="6" t="s">
        <v>9320</v>
      </c>
    </row>
    <row r="1726" spans="1:17" x14ac:dyDescent="0.25">
      <c r="A1726" s="5" t="str">
        <f>IF(TRIM(I1726)="","",E1726)</f>
        <v/>
      </c>
      <c r="B1726" s="5" t="str">
        <f>IF(TRIM(J1726)="","",H1726)</f>
        <v/>
      </c>
      <c r="C1726" s="5" t="str">
        <f>LEFT(F1726,FIND(".",F1726,6))</f>
        <v>Exif.Sony1MltCsA100.</v>
      </c>
      <c r="D1726" s="5" t="str">
        <f>VLOOKUP(C1726,PrefixUebersetzung,2,FALSE)</f>
        <v>Exif.Sony1MltCsA100.</v>
      </c>
      <c r="E1726" s="5" t="str">
        <f>MID(F1726,FIND(".",F1726,6)+1,99)</f>
        <v>FocusMode</v>
      </c>
      <c r="F1726" s="5" t="s">
        <v>1521</v>
      </c>
      <c r="G1726" s="5" t="s">
        <v>9664</v>
      </c>
      <c r="H1726" s="6" t="s">
        <v>2558</v>
      </c>
      <c r="I1726" s="7"/>
      <c r="K1726" s="26"/>
      <c r="L1726" s="6" t="str">
        <f>IFERROR(VLOOKUP(E1726,A:I,9, FALSE),"")</f>
        <v>Fokusmodus</v>
      </c>
      <c r="M1726" s="6" t="str">
        <f>IFERROR(VLOOKUP(H1726,B:J,9,FALSE),"")</f>
        <v>Fokusmodus</v>
      </c>
      <c r="N1726" s="6"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row>
    <row r="1727" spans="1:17" x14ac:dyDescent="0.25">
      <c r="A1727" s="5" t="str">
        <f>IF(TRIM(I1727)="","",E1727)</f>
        <v>FocusModeSwitch</v>
      </c>
      <c r="B1727" s="5" t="str">
        <f>IF(TRIM(J1727)="","",H1727)</f>
        <v>Focus mode switch</v>
      </c>
      <c r="C1727" s="5" t="str">
        <f>LEFT(F1727,FIND(".",F1727,6))</f>
        <v>Exif.Sony1MltCsA100.</v>
      </c>
      <c r="D1727" s="5" t="str">
        <f>VLOOKUP(C1727,PrefixUebersetzung,2,FALSE)</f>
        <v>Exif.Sony1MltCsA100.</v>
      </c>
      <c r="E1727" s="5" t="str">
        <f>MID(F1727,FIND(".",F1727,6)+1,99)</f>
        <v>FocusModeSwitch</v>
      </c>
      <c r="F1727" s="5" t="s">
        <v>1522</v>
      </c>
      <c r="G1727" s="5" t="s">
        <v>9664</v>
      </c>
      <c r="H1727" s="6" t="s">
        <v>3209</v>
      </c>
      <c r="I1727" s="7" t="s">
        <v>4091</v>
      </c>
      <c r="J1727" s="14" t="s">
        <v>4091</v>
      </c>
      <c r="K1727" s="26"/>
      <c r="N1727" s="6"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6" t="s">
        <v>8574</v>
      </c>
      <c r="P1727" s="6" t="s">
        <v>8574</v>
      </c>
      <c r="Q1727" s="6" t="s">
        <v>9320</v>
      </c>
    </row>
    <row r="1728" spans="1:17" x14ac:dyDescent="0.25">
      <c r="A1728" s="5" t="str">
        <f>IF(TRIM(I1728)="","",E1728)</f>
        <v/>
      </c>
      <c r="B1728" s="5" t="str">
        <f>IF(TRIM(J1728)="","",H1728)</f>
        <v/>
      </c>
      <c r="C1728" s="5" t="str">
        <f>LEFT(F1728,FIND(".",F1728,6))</f>
        <v>Exif.Sony1MltCsA100.</v>
      </c>
      <c r="D1728" s="5" t="str">
        <f>VLOOKUP(C1728,PrefixUebersetzung,2,FALSE)</f>
        <v>Exif.Sony1MltCsA100.</v>
      </c>
      <c r="E1728" s="5" t="str">
        <f>MID(F1728,FIND(".",F1728,6)+1,99)</f>
        <v>FreeMemoryCardImages</v>
      </c>
      <c r="F1728" s="5" t="s">
        <v>1523</v>
      </c>
      <c r="G1728" s="5" t="s">
        <v>9664</v>
      </c>
      <c r="H1728" s="6" t="s">
        <v>2560</v>
      </c>
      <c r="I1728" s="7"/>
      <c r="K1728" s="26"/>
      <c r="L1728" s="6" t="str">
        <f>IFERROR(VLOOKUP(E1728,A:I,9, FALSE),"")</f>
        <v/>
      </c>
      <c r="M1728" s="6" t="str">
        <f>IFERROR(VLOOKUP(H1728,B:J,9,FALSE),"")</f>
        <v>Freie Bilder auf der Speicherkarte</v>
      </c>
      <c r="N1728" s="6"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xml:space="preserve">Suffix not translated </v>
      </c>
    </row>
    <row r="1729" spans="1:17" x14ac:dyDescent="0.25">
      <c r="A1729" s="5" t="str">
        <f>IF(TRIM(I1729)="","",E1729)</f>
        <v>HighSpeedSync</v>
      </c>
      <c r="B1729" s="5" t="str">
        <f>IF(TRIM(J1729)="","",H1729)</f>
        <v>High speed sync</v>
      </c>
      <c r="C1729" s="5" t="str">
        <f>LEFT(F1729,FIND(".",F1729,6))</f>
        <v>Exif.Sony1MltCsA100.</v>
      </c>
      <c r="D1729" s="5" t="str">
        <f>VLOOKUP(C1729,PrefixUebersetzung,2,FALSE)</f>
        <v>Exif.Sony1MltCsA100.</v>
      </c>
      <c r="E1729" s="5" t="str">
        <f>MID(F1729,FIND(".",F1729,6)+1,99)</f>
        <v>HighSpeedSync</v>
      </c>
      <c r="F1729" s="5" t="s">
        <v>1524</v>
      </c>
      <c r="G1729" s="5" t="s">
        <v>9664</v>
      </c>
      <c r="H1729" s="6" t="s">
        <v>3210</v>
      </c>
      <c r="I1729" s="7" t="s">
        <v>4448</v>
      </c>
      <c r="J1729" s="14" t="s">
        <v>4448</v>
      </c>
      <c r="K1729" s="26"/>
      <c r="N1729" s="6"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6" t="s">
        <v>8574</v>
      </c>
      <c r="P1729" s="6" t="s">
        <v>8574</v>
      </c>
      <c r="Q1729" s="6" t="s">
        <v>9228</v>
      </c>
    </row>
    <row r="1730" spans="1:17" x14ac:dyDescent="0.25">
      <c r="A1730" s="5" t="str">
        <f>IF(TRIM(I1730)="","",E1730)</f>
        <v/>
      </c>
      <c r="B1730" s="5" t="str">
        <f>IF(TRIM(J1730)="","",H1730)</f>
        <v/>
      </c>
      <c r="C1730" s="5" t="str">
        <f>LEFT(F1730,FIND(".",F1730,6))</f>
        <v>Exif.Sony1MltCsA100.</v>
      </c>
      <c r="D1730" s="5" t="str">
        <f>VLOOKUP(C1730,PrefixUebersetzung,2,FALSE)</f>
        <v>Exif.Sony1MltCsA100.</v>
      </c>
      <c r="E1730" s="5" t="str">
        <f>MID(F1730,FIND(".",F1730,6)+1,99)</f>
        <v>ImageStabilization</v>
      </c>
      <c r="F1730" s="5" t="s">
        <v>1525</v>
      </c>
      <c r="G1730" s="5" t="s">
        <v>9664</v>
      </c>
      <c r="H1730" s="6" t="s">
        <v>2198</v>
      </c>
      <c r="I1730" s="24"/>
      <c r="J1730" s="8"/>
      <c r="K1730" s="26"/>
      <c r="L1730" s="6" t="str">
        <f>IFERROR(VLOOKUP(E1730,A:I,9, FALSE),"")</f>
        <v>Bildstabilisierung</v>
      </c>
      <c r="M1730" s="6" t="str">
        <f>IFERROR(VLOOKUP(H1730,B:J,9,FALSE),"")</f>
        <v>Bildstabilisierung</v>
      </c>
      <c r="N1730" s="6"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row>
    <row r="1731" spans="1:17" x14ac:dyDescent="0.25">
      <c r="A1731" s="5" t="str">
        <f>IF(TRIM(I1731)="","",E1731)</f>
        <v>InstantPlaybackSetup</v>
      </c>
      <c r="B1731" s="5" t="str">
        <f>IF(TRIM(J1731)="","",H1731)</f>
        <v>Instant playback setup</v>
      </c>
      <c r="C1731" s="5" t="str">
        <f>LEFT(F1731,FIND(".",F1731,6))</f>
        <v>Exif.Sony1MltCsA100.</v>
      </c>
      <c r="D1731" s="5" t="str">
        <f>VLOOKUP(C1731,PrefixUebersetzung,2,FALSE)</f>
        <v>Exif.Sony1MltCsA100.</v>
      </c>
      <c r="E1731" s="5" t="str">
        <f>MID(F1731,FIND(".",F1731,6)+1,99)</f>
        <v>InstantPlaybackSetup</v>
      </c>
      <c r="F1731" s="5" t="s">
        <v>1526</v>
      </c>
      <c r="G1731" s="5" t="s">
        <v>9664</v>
      </c>
      <c r="H1731" s="6" t="s">
        <v>3211</v>
      </c>
      <c r="I1731" s="24" t="s">
        <v>4092</v>
      </c>
      <c r="J1731" s="8" t="s">
        <v>4092</v>
      </c>
      <c r="K1731" s="26"/>
      <c r="N1731" s="6"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c r="O1731" s="6" t="s">
        <v>8574</v>
      </c>
      <c r="P1731" s="6" t="s">
        <v>8574</v>
      </c>
    </row>
    <row r="1732" spans="1:17" x14ac:dyDescent="0.25">
      <c r="A1732" s="5" t="str">
        <f>IF(TRIM(I1732)="","",E1732)</f>
        <v>InstantPlaybackTime</v>
      </c>
      <c r="B1732" s="5" t="str">
        <f>IF(TRIM(J1732)="","",H1732)</f>
        <v>Instant playback time</v>
      </c>
      <c r="C1732" s="5" t="str">
        <f>LEFT(F1732,FIND(".",F1732,6))</f>
        <v>Exif.Sony1MltCsA100.</v>
      </c>
      <c r="D1732" s="5" t="str">
        <f>VLOOKUP(C1732,PrefixUebersetzung,2,FALSE)</f>
        <v>Exif.Sony1MltCsA100.</v>
      </c>
      <c r="E1732" s="5" t="str">
        <f>MID(F1732,FIND(".",F1732,6)+1,99)</f>
        <v>InstantPlaybackTime</v>
      </c>
      <c r="F1732" s="5" t="s">
        <v>1527</v>
      </c>
      <c r="G1732" s="5" t="s">
        <v>9664</v>
      </c>
      <c r="H1732" s="6" t="s">
        <v>3212</v>
      </c>
      <c r="I1732" s="24" t="s">
        <v>4093</v>
      </c>
      <c r="J1732" s="8" t="s">
        <v>4093</v>
      </c>
      <c r="K1732" s="26"/>
      <c r="N1732" s="6"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c r="O1732" s="6" t="s">
        <v>8574</v>
      </c>
      <c r="P1732" s="6" t="s">
        <v>8574</v>
      </c>
    </row>
    <row r="1733" spans="1:17" x14ac:dyDescent="0.25">
      <c r="A1733" s="5" t="str">
        <f>IF(TRIM(I1733)="","",E1733)</f>
        <v/>
      </c>
      <c r="B1733" s="5" t="str">
        <f>IF(TRIM(J1733)="","",H1733)</f>
        <v/>
      </c>
      <c r="C1733" s="5" t="str">
        <f>LEFT(F1733,FIND(".",F1733,6))</f>
        <v>Exif.Sony1MltCsA100.</v>
      </c>
      <c r="D1733" s="5" t="str">
        <f>VLOOKUP(C1733,PrefixUebersetzung,2,FALSE)</f>
        <v>Exif.Sony1MltCsA100.</v>
      </c>
      <c r="E1733" s="5" t="str">
        <f>MID(F1733,FIND(".",F1733,6)+1,99)</f>
        <v>ISOSetting</v>
      </c>
      <c r="F1733" s="5" t="s">
        <v>1528</v>
      </c>
      <c r="G1733" s="5" t="s">
        <v>9664</v>
      </c>
      <c r="H1733" s="6" t="s">
        <v>2593</v>
      </c>
      <c r="I1733" s="24"/>
      <c r="J1733" s="8"/>
      <c r="K1733" s="26"/>
      <c r="L1733" s="6" t="str">
        <f>IFERROR(VLOOKUP(E1733,A:I,9, FALSE),"")</f>
        <v>ISO-Einstellung</v>
      </c>
      <c r="M1733" s="6" t="str">
        <f>IFERROR(VLOOKUP(H1733,B:J,9,FALSE),"")</f>
        <v>ISO-Einstellung</v>
      </c>
      <c r="N1733" s="6"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row>
    <row r="1734" spans="1:17" x14ac:dyDescent="0.25">
      <c r="A1734" s="5" t="str">
        <f>IF(TRIM(I1734)="","",E1734)</f>
        <v>LensShutterLock</v>
      </c>
      <c r="B1734" s="5" t="str">
        <f>IF(TRIM(J1734)="","",H1734)</f>
        <v>Lens shutter lock</v>
      </c>
      <c r="C1734" s="5" t="str">
        <f>LEFT(F1734,FIND(".",F1734,6))</f>
        <v>Exif.Sony1MltCsA100.</v>
      </c>
      <c r="D1734" s="5" t="str">
        <f>VLOOKUP(C1734,PrefixUebersetzung,2,FALSE)</f>
        <v>Exif.Sony1MltCsA100.</v>
      </c>
      <c r="E1734" s="5" t="str">
        <f>MID(F1734,FIND(".",F1734,6)+1,99)</f>
        <v>LensShutterLock</v>
      </c>
      <c r="F1734" s="5" t="s">
        <v>1529</v>
      </c>
      <c r="G1734" s="5" t="s">
        <v>9664</v>
      </c>
      <c r="H1734" s="6" t="s">
        <v>3213</v>
      </c>
      <c r="I1734" s="24" t="s">
        <v>4094</v>
      </c>
      <c r="J1734" s="8" t="s">
        <v>4094</v>
      </c>
      <c r="K1734" s="26"/>
      <c r="N1734" s="6"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6" t="s">
        <v>8574</v>
      </c>
      <c r="P1734" s="6" t="s">
        <v>8574</v>
      </c>
      <c r="Q1734" s="6" t="s">
        <v>9397</v>
      </c>
    </row>
    <row r="1735" spans="1:17" x14ac:dyDescent="0.25">
      <c r="A1735" s="5" t="str">
        <f>IF(TRIM(I1735)="","",E1735)</f>
        <v/>
      </c>
      <c r="B1735" s="5" t="str">
        <f>IF(TRIM(J1735)="","",H1735)</f>
        <v/>
      </c>
      <c r="C1735" s="5" t="str">
        <f>LEFT(F1735,FIND(".",F1735,6))</f>
        <v>Exif.Sony1MltCsA100.</v>
      </c>
      <c r="D1735" s="5" t="str">
        <f>VLOOKUP(C1735,PrefixUebersetzung,2,FALSE)</f>
        <v>Exif.Sony1MltCsA100.</v>
      </c>
      <c r="E1735" s="5" t="str">
        <f>MID(F1735,FIND(".",F1735,6)+1,99)</f>
        <v>LocalAFAreaPoint</v>
      </c>
      <c r="F1735" s="5" t="s">
        <v>1530</v>
      </c>
      <c r="G1735" s="5" t="s">
        <v>9664</v>
      </c>
      <c r="H1735" s="6" t="s">
        <v>3172</v>
      </c>
      <c r="I1735" s="7"/>
      <c r="K1735" s="26"/>
      <c r="L1735" s="6" t="str">
        <f>IFERROR(VLOOKUP(E1735,A:I,9, FALSE),"")</f>
        <v>AF Bereich Punkt lokal</v>
      </c>
      <c r="M1735" s="6" t="str">
        <f>IFERROR(VLOOKUP(H1735,B:J,9,FALSE),"")</f>
        <v>Lokaler Punkt AF-Bereich</v>
      </c>
      <c r="N1735" s="6"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row>
    <row r="1736" spans="1:17" x14ac:dyDescent="0.25">
      <c r="A1736" s="5" t="str">
        <f>IF(TRIM(I1736)="","",E1736)</f>
        <v>ManualExposureTime</v>
      </c>
      <c r="B1736" s="5" t="str">
        <f>IF(TRIM(J1736)="","",H1736)</f>
        <v>Manual exposure time</v>
      </c>
      <c r="C1736" s="5" t="str">
        <f>LEFT(F1736,FIND(".",F1736,6))</f>
        <v>Exif.Sony1MltCsA100.</v>
      </c>
      <c r="D1736" s="5" t="str">
        <f>VLOOKUP(C1736,PrefixUebersetzung,2,FALSE)</f>
        <v>Exif.Sony1MltCsA100.</v>
      </c>
      <c r="E1736" s="5" t="str">
        <f>MID(F1736,FIND(".",F1736,6)+1,99)</f>
        <v>ManualExposureTime</v>
      </c>
      <c r="F1736" s="5" t="s">
        <v>1531</v>
      </c>
      <c r="G1736" s="5" t="s">
        <v>9664</v>
      </c>
      <c r="H1736" s="6" t="s">
        <v>3214</v>
      </c>
      <c r="I1736" s="24" t="s">
        <v>4962</v>
      </c>
      <c r="J1736" s="8" t="s">
        <v>4962</v>
      </c>
      <c r="K1736" s="26"/>
      <c r="N1736" s="6"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c r="O1736" s="6" t="s">
        <v>8574</v>
      </c>
      <c r="P1736" s="6" t="s">
        <v>8574</v>
      </c>
      <c r="Q1736" s="6" t="s">
        <v>3918</v>
      </c>
    </row>
    <row r="1737" spans="1:17" x14ac:dyDescent="0.25">
      <c r="A1737" s="5" t="str">
        <f>IF(TRIM(I1737)="","",E1737)</f>
        <v>ManualFNumber</v>
      </c>
      <c r="B1737" s="5" t="str">
        <f>IF(TRIM(J1737)="","",H1737)</f>
        <v>Manual FNumber</v>
      </c>
      <c r="C1737" s="5" t="str">
        <f>LEFT(F1737,FIND(".",F1737,6))</f>
        <v>Exif.Sony1MltCsA100.</v>
      </c>
      <c r="D1737" s="5" t="str">
        <f>VLOOKUP(C1737,PrefixUebersetzung,2,FALSE)</f>
        <v>Exif.Sony1MltCsA100.</v>
      </c>
      <c r="E1737" s="5" t="str">
        <f>MID(F1737,FIND(".",F1737,6)+1,99)</f>
        <v>ManualFNumber</v>
      </c>
      <c r="F1737" s="5" t="s">
        <v>1532</v>
      </c>
      <c r="G1737" s="5" t="s">
        <v>9664</v>
      </c>
      <c r="H1737" s="6" t="s">
        <v>3215</v>
      </c>
      <c r="I1737" s="24" t="s">
        <v>4963</v>
      </c>
      <c r="J1737" s="8" t="s">
        <v>4963</v>
      </c>
      <c r="K1737" s="26"/>
      <c r="N1737" s="6"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6" t="s">
        <v>8574</v>
      </c>
      <c r="P1737" s="6" t="s">
        <v>8574</v>
      </c>
      <c r="Q1737" s="6" t="s">
        <v>3933</v>
      </c>
    </row>
    <row r="1738" spans="1:17" x14ac:dyDescent="0.25">
      <c r="A1738" s="5" t="str">
        <f>IF(TRIM(I1738)="","",E1738)</f>
        <v/>
      </c>
      <c r="B1738" s="5" t="str">
        <f>IF(TRIM(J1738)="","",H1738)</f>
        <v/>
      </c>
      <c r="C1738" s="5" t="str">
        <f>LEFT(F1738,FIND(".",F1738,6))</f>
        <v>Exif.Sony1MltCsA100.</v>
      </c>
      <c r="D1738" s="5" t="str">
        <f>VLOOKUP(C1738,PrefixUebersetzung,2,FALSE)</f>
        <v>Exif.Sony1MltCsA100.</v>
      </c>
      <c r="E1738" s="5" t="str">
        <f>MID(F1738,FIND(".",F1738,6)+1,99)</f>
        <v>MeteringMode</v>
      </c>
      <c r="F1738" s="5" t="s">
        <v>1533</v>
      </c>
      <c r="G1738" s="5" t="s">
        <v>9664</v>
      </c>
      <c r="H1738" s="6" t="s">
        <v>2562</v>
      </c>
      <c r="I1738" s="24"/>
      <c r="J1738" s="8"/>
      <c r="K1738" s="26"/>
      <c r="L1738" s="6" t="str">
        <f>IFERROR(VLOOKUP(E1738,A:I,9, FALSE),"")</f>
        <v>Messmethode</v>
      </c>
      <c r="M1738" s="6" t="str">
        <f>IFERROR(VLOOKUP(H1738,B:J,9,FALSE),"")</f>
        <v>Messmethode</v>
      </c>
      <c r="N1738" s="6"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row>
    <row r="1739" spans="1:17" ht="30" x14ac:dyDescent="0.25">
      <c r="A1739" s="5" t="str">
        <f>IF(TRIM(I1739)="","",E1739)</f>
        <v/>
      </c>
      <c r="B1739" s="5" t="str">
        <f>IF(TRIM(J1739)="","",H1739)</f>
        <v/>
      </c>
      <c r="C1739" s="5" t="str">
        <f>LEFT(F1739,FIND(".",F1739,6))</f>
        <v>Exif.Sony1MltCsA100.</v>
      </c>
      <c r="D1739" s="5" t="str">
        <f>VLOOKUP(C1739,PrefixUebersetzung,2,FALSE)</f>
        <v>Exif.Sony1MltCsA100.</v>
      </c>
      <c r="E1739" s="5" t="str">
        <f>MID(F1739,FIND(".",F1739,6)+1,99)</f>
        <v>MeteringOffScaleIndicator</v>
      </c>
      <c r="F1739" s="5" t="s">
        <v>1534</v>
      </c>
      <c r="G1739" s="5" t="s">
        <v>9664</v>
      </c>
      <c r="H1739" s="6" t="s">
        <v>3216</v>
      </c>
      <c r="I1739" s="7"/>
      <c r="K1739" s="26"/>
      <c r="N1739" s="6"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xml:space="preserve">Suffix not translated Description not translated </v>
      </c>
      <c r="O1739" s="6" t="s">
        <v>8574</v>
      </c>
      <c r="P1739" s="6" t="s">
        <v>8574</v>
      </c>
    </row>
    <row r="1740" spans="1:17" x14ac:dyDescent="0.25">
      <c r="A1740" s="5" t="str">
        <f>IF(TRIM(I1740)="","",E1740)</f>
        <v>MonitorDisplayOff</v>
      </c>
      <c r="B1740" s="5" t="str">
        <f>IF(TRIM(J1740)="","",H1740)</f>
        <v>Monitor display off</v>
      </c>
      <c r="C1740" s="5" t="str">
        <f>LEFT(F1740,FIND(".",F1740,6))</f>
        <v>Exif.Sony1MltCsA100.</v>
      </c>
      <c r="D1740" s="5" t="str">
        <f>VLOOKUP(C1740,PrefixUebersetzung,2,FALSE)</f>
        <v>Exif.Sony1MltCsA100.</v>
      </c>
      <c r="E1740" s="5" t="str">
        <f>MID(F1740,FIND(".",F1740,6)+1,99)</f>
        <v>MonitorDisplayOff</v>
      </c>
      <c r="F1740" s="5" t="s">
        <v>1535</v>
      </c>
      <c r="G1740" s="5" t="s">
        <v>9664</v>
      </c>
      <c r="H1740" s="6" t="s">
        <v>3217</v>
      </c>
      <c r="I1740" s="7" t="s">
        <v>5064</v>
      </c>
      <c r="J1740" s="14" t="s">
        <v>5064</v>
      </c>
      <c r="K1740" s="26"/>
      <c r="N1740" s="6"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6" t="s">
        <v>8574</v>
      </c>
      <c r="P1740" s="6" t="s">
        <v>8574</v>
      </c>
    </row>
    <row r="1741" spans="1:17" x14ac:dyDescent="0.25">
      <c r="A1741" s="5" t="str">
        <f>IF(TRIM(I1741)="","",E1741)</f>
        <v/>
      </c>
      <c r="B1741" s="5" t="str">
        <f>IF(TRIM(J1741)="","",H1741)</f>
        <v/>
      </c>
      <c r="C1741" s="5" t="str">
        <f>LEFT(F1741,FIND(".",F1741,6))</f>
        <v>Exif.Sony1MltCsA100.</v>
      </c>
      <c r="D1741" s="5" t="str">
        <f>VLOOKUP(C1741,PrefixUebersetzung,2,FALSE)</f>
        <v>Exif.Sony1MltCsA100.</v>
      </c>
      <c r="E1741" s="5" t="str">
        <f>MID(F1741,FIND(".",F1741,6)+1,99)</f>
        <v>NoiseReduction</v>
      </c>
      <c r="F1741" s="5" t="s">
        <v>1536</v>
      </c>
      <c r="G1741" s="5" t="s">
        <v>9664</v>
      </c>
      <c r="H1741" s="6" t="s">
        <v>2563</v>
      </c>
      <c r="I1741" s="7"/>
      <c r="K1741" s="26"/>
      <c r="L1741" s="6" t="str">
        <f>IFERROR(VLOOKUP(E1741,A:I,9, FALSE),"")</f>
        <v xml:space="preserve">Rauschreduzierung </v>
      </c>
      <c r="M1741" s="6" t="str">
        <f>IFERROR(VLOOKUP(H1741,B:J,9,FALSE),"")</f>
        <v xml:space="preserve">Rauschreduzierung </v>
      </c>
      <c r="N1741" s="6"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row>
    <row r="1742" spans="1:17" x14ac:dyDescent="0.25">
      <c r="A1742" s="5" t="str">
        <f>IF(TRIM(I1742)="","",E1742)</f>
        <v>PlayDisplay</v>
      </c>
      <c r="B1742" s="5" t="str">
        <f>IF(TRIM(J1742)="","",H1742)</f>
        <v>Play display</v>
      </c>
      <c r="C1742" s="5" t="str">
        <f>LEFT(F1742,FIND(".",F1742,6))</f>
        <v>Exif.Sony1MltCsA100.</v>
      </c>
      <c r="D1742" s="5" t="str">
        <f>VLOOKUP(C1742,PrefixUebersetzung,2,FALSE)</f>
        <v>Exif.Sony1MltCsA100.</v>
      </c>
      <c r="E1742" s="5" t="str">
        <f>MID(F1742,FIND(".",F1742,6)+1,99)</f>
        <v>PlayDisplay</v>
      </c>
      <c r="F1742" s="5" t="s">
        <v>1537</v>
      </c>
      <c r="G1742" s="5" t="s">
        <v>9664</v>
      </c>
      <c r="H1742" s="6" t="s">
        <v>3218</v>
      </c>
      <c r="I1742" s="7" t="s">
        <v>4449</v>
      </c>
      <c r="J1742" s="14" t="s">
        <v>4449</v>
      </c>
      <c r="K1742" s="26"/>
      <c r="N1742" s="6"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6" t="s">
        <v>8574</v>
      </c>
      <c r="P1742" s="6" t="s">
        <v>8574</v>
      </c>
    </row>
    <row r="1743" spans="1:17" x14ac:dyDescent="0.25">
      <c r="A1743" s="5" t="str">
        <f>IF(TRIM(I1743)="","",E1743)</f>
        <v>PresetWhiteBalance</v>
      </c>
      <c r="B1743" s="5" t="str">
        <f>IF(TRIM(J1743)="","",H1743)</f>
        <v>Preset white balance</v>
      </c>
      <c r="C1743" s="5" t="str">
        <f>LEFT(F1743,FIND(".",F1743,6))</f>
        <v>Exif.Sony1MltCsA100.</v>
      </c>
      <c r="D1743" s="5" t="str">
        <f>VLOOKUP(C1743,PrefixUebersetzung,2,FALSE)</f>
        <v>Exif.Sony1MltCsA100.</v>
      </c>
      <c r="E1743" s="5" t="str">
        <f>MID(F1743,FIND(".",F1743,6)+1,99)</f>
        <v>PresetWhiteBalance</v>
      </c>
      <c r="F1743" s="5" t="s">
        <v>1538</v>
      </c>
      <c r="G1743" s="5" t="s">
        <v>9664</v>
      </c>
      <c r="H1743" s="6" t="s">
        <v>3219</v>
      </c>
      <c r="I1743" s="24" t="s">
        <v>5099</v>
      </c>
      <c r="J1743" s="8" t="s">
        <v>5099</v>
      </c>
      <c r="K1743" s="26"/>
      <c r="N1743" s="6"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6" t="s">
        <v>8574</v>
      </c>
      <c r="P1743" s="6" t="s">
        <v>8574</v>
      </c>
      <c r="Q1743" s="6" t="s">
        <v>9173</v>
      </c>
    </row>
    <row r="1744" spans="1:17" ht="30" x14ac:dyDescent="0.25">
      <c r="A1744" s="5" t="str">
        <f>IF(TRIM(I1744)="","",E1744)</f>
        <v/>
      </c>
      <c r="B1744" s="5" t="str">
        <f>IF(TRIM(J1744)="","",H1744)</f>
        <v/>
      </c>
      <c r="C1744" s="5" t="str">
        <f>LEFT(F1744,FIND(".",F1744,6))</f>
        <v>Exif.Sony1MltCsA100.</v>
      </c>
      <c r="D1744" s="5" t="str">
        <f>VLOOKUP(C1744,PrefixUebersetzung,2,FALSE)</f>
        <v>Exif.Sony1MltCsA100.</v>
      </c>
      <c r="E1744" s="5" t="str">
        <f>MID(F1744,FIND(".",F1744,6)+1,99)</f>
        <v>PrioritySetupShutterRelease</v>
      </c>
      <c r="F1744" s="5" t="s">
        <v>1539</v>
      </c>
      <c r="G1744" s="5" t="s">
        <v>9664</v>
      </c>
      <c r="H1744" s="6" t="s">
        <v>3174</v>
      </c>
      <c r="I1744" s="7"/>
      <c r="K1744" s="26"/>
      <c r="L1744" s="6" t="str">
        <f>IFERROR(VLOOKUP(E1744,A:I,9, FALSE),"")</f>
        <v>Prioritätseinstellung Verschlussfreigabe</v>
      </c>
      <c r="M1744" s="6" t="str">
        <f>IFERROR(VLOOKUP(H1744,B:J,9,FALSE),"")</f>
        <v>Prioritätseinstellung Verschlussfreigabe</v>
      </c>
      <c r="N1744" s="6"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row>
    <row r="1745" spans="1:17" x14ac:dyDescent="0.25">
      <c r="A1745" s="5" t="str">
        <f>IF(TRIM(I1745)="","",E1745)</f>
        <v/>
      </c>
      <c r="B1745" s="5" t="str">
        <f>IF(TRIM(J1745)="","",H1745)</f>
        <v/>
      </c>
      <c r="C1745" s="5" t="str">
        <f>LEFT(F1745,FIND(".",F1745,6))</f>
        <v>Exif.Sony1MltCsA100.</v>
      </c>
      <c r="D1745" s="5" t="str">
        <f>VLOOKUP(C1745,PrefixUebersetzung,2,FALSE)</f>
        <v>Exif.Sony1MltCsA100.</v>
      </c>
      <c r="E1745" s="5" t="str">
        <f>MID(F1745,FIND(".",F1745,6)+1,99)</f>
        <v>Quality</v>
      </c>
      <c r="F1745" s="5" t="s">
        <v>1540</v>
      </c>
      <c r="G1745" s="5" t="s">
        <v>9664</v>
      </c>
      <c r="H1745" s="6" t="s">
        <v>2208</v>
      </c>
      <c r="I1745" s="24"/>
      <c r="J1745" s="8"/>
      <c r="K1745" s="26"/>
      <c r="L1745" s="6" t="str">
        <f>IFERROR(VLOOKUP(E1745,A:I,9, FALSE),"")</f>
        <v>Qualität</v>
      </c>
      <c r="M1745" s="6" t="str">
        <f>IFERROR(VLOOKUP(H1745,B:J,9,FALSE),"")</f>
        <v>Qualität</v>
      </c>
      <c r="N1745" s="6"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row>
    <row r="1746" spans="1:17" x14ac:dyDescent="0.25">
      <c r="A1746" s="5" t="str">
        <f>IF(TRIM(I1746)="","",E1746)</f>
        <v>RecordDisplay</v>
      </c>
      <c r="B1746" s="5" t="str">
        <f>IF(TRIM(J1746)="","",H1746)</f>
        <v>Record display</v>
      </c>
      <c r="C1746" s="5" t="str">
        <f>LEFT(F1746,FIND(".",F1746,6))</f>
        <v>Exif.Sony1MltCsA100.</v>
      </c>
      <c r="D1746" s="5" t="str">
        <f>VLOOKUP(C1746,PrefixUebersetzung,2,FALSE)</f>
        <v>Exif.Sony1MltCsA100.</v>
      </c>
      <c r="E1746" s="5" t="str">
        <f>MID(F1746,FIND(".",F1746,6)+1,99)</f>
        <v>RecordDisplay</v>
      </c>
      <c r="F1746" s="5" t="s">
        <v>1541</v>
      </c>
      <c r="G1746" s="5" t="s">
        <v>9664</v>
      </c>
      <c r="H1746" s="6" t="s">
        <v>3220</v>
      </c>
      <c r="I1746" s="7" t="s">
        <v>4831</v>
      </c>
      <c r="J1746" s="14" t="s">
        <v>4831</v>
      </c>
      <c r="K1746" s="26"/>
      <c r="N1746" s="6"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c r="O1746" s="6" t="s">
        <v>8574</v>
      </c>
      <c r="P1746" s="6" t="s">
        <v>8574</v>
      </c>
      <c r="Q1746" s="6" t="s">
        <v>9470</v>
      </c>
    </row>
    <row r="1747" spans="1:17" x14ac:dyDescent="0.25">
      <c r="A1747" s="5" t="str">
        <f>IF(TRIM(I1747)="","",E1747)</f>
        <v>RedEyeReduction</v>
      </c>
      <c r="B1747" s="5" t="str">
        <f>IF(TRIM(J1747)="","",H1747)</f>
        <v>Red eye reduction</v>
      </c>
      <c r="C1747" s="5" t="str">
        <f>LEFT(F1747,FIND(".",F1747,6))</f>
        <v>Exif.Sony1MltCsA100.</v>
      </c>
      <c r="D1747" s="5" t="str">
        <f>VLOOKUP(C1747,PrefixUebersetzung,2,FALSE)</f>
        <v>Exif.Sony1MltCsA100.</v>
      </c>
      <c r="E1747" s="5" t="str">
        <f>MID(F1747,FIND(".",F1747,6)+1,99)</f>
        <v>RedEyeReduction</v>
      </c>
      <c r="F1747" s="5" t="s">
        <v>1542</v>
      </c>
      <c r="G1747" s="5" t="s">
        <v>9664</v>
      </c>
      <c r="H1747" s="6" t="s">
        <v>3221</v>
      </c>
      <c r="I1747" s="24" t="s">
        <v>4095</v>
      </c>
      <c r="J1747" s="8" t="s">
        <v>4095</v>
      </c>
      <c r="K1747" s="26"/>
      <c r="N1747" s="6"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c r="O1747" s="6" t="s">
        <v>8574</v>
      </c>
      <c r="P1747" s="6" t="s">
        <v>8574</v>
      </c>
      <c r="Q1747" s="6" t="s">
        <v>9471</v>
      </c>
    </row>
    <row r="1748" spans="1:17" x14ac:dyDescent="0.25">
      <c r="A1748" s="5" t="str">
        <f>IF(TRIM(I1748)="","",E1748)</f>
        <v/>
      </c>
      <c r="B1748" s="5" t="str">
        <f>IF(TRIM(J1748)="","",H1748)</f>
        <v/>
      </c>
      <c r="C1748" s="5" t="str">
        <f>LEFT(F1748,FIND(".",F1748,6))</f>
        <v>Exif.Sony1MltCsA100.</v>
      </c>
      <c r="D1748" s="5" t="str">
        <f>VLOOKUP(C1748,PrefixUebersetzung,2,FALSE)</f>
        <v>Exif.Sony1MltCsA100.</v>
      </c>
      <c r="E1748" s="5" t="str">
        <f>MID(F1748,FIND(".",F1748,6)+1,99)</f>
        <v>Rotation</v>
      </c>
      <c r="F1748" s="5" t="s">
        <v>1543</v>
      </c>
      <c r="G1748" s="5" t="s">
        <v>9664</v>
      </c>
      <c r="H1748" s="6" t="s">
        <v>2565</v>
      </c>
      <c r="I1748" s="7"/>
      <c r="K1748" s="26"/>
      <c r="L1748" s="6" t="str">
        <f>IFERROR(VLOOKUP(E1748,A:I,9, FALSE),"")</f>
        <v>Drehung</v>
      </c>
      <c r="M1748" s="6" t="str">
        <f>IFERROR(VLOOKUP(H1748,B:J,9,FALSE),"")</f>
        <v>Drehung</v>
      </c>
      <c r="N1748" s="6"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5" t="str">
        <f>IF(TRIM(I1749)="","",E1749)</f>
        <v/>
      </c>
      <c r="B1749" s="5" t="str">
        <f>IF(TRIM(J1749)="","",H1749)</f>
        <v/>
      </c>
      <c r="C1749" s="5" t="str">
        <f>LEFT(F1749,FIND(".",F1749,6))</f>
        <v>Exif.Sony1MltCsA100.</v>
      </c>
      <c r="D1749" s="5" t="str">
        <f>VLOOKUP(C1749,PrefixUebersetzung,2,FALSE)</f>
        <v>Exif.Sony1MltCsA100.</v>
      </c>
      <c r="E1749" s="5" t="str">
        <f>MID(F1749,FIND(".",F1749,6)+1,99)</f>
        <v>Saturation</v>
      </c>
      <c r="F1749" s="5" t="s">
        <v>1544</v>
      </c>
      <c r="G1749" s="5" t="s">
        <v>9664</v>
      </c>
      <c r="H1749" s="6" t="s">
        <v>2567</v>
      </c>
      <c r="I1749" s="7"/>
      <c r="K1749" s="26"/>
      <c r="L1749" s="6" t="str">
        <f>IFERROR(VLOOKUP(E1749,A:I,9, FALSE),"")</f>
        <v>Sättigung</v>
      </c>
      <c r="M1749" s="6" t="str">
        <f>IFERROR(VLOOKUP(H1749,B:J,9,FALSE),"")</f>
        <v>Sättigung</v>
      </c>
      <c r="N1749" s="6"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row>
    <row r="1750" spans="1:17" x14ac:dyDescent="0.25">
      <c r="A1750" s="5" t="str">
        <f>IF(TRIM(I1750)="","",E1750)</f>
        <v>SelfTimerTime</v>
      </c>
      <c r="B1750" s="5" t="str">
        <f>IF(TRIM(J1750)="","",H1750)</f>
        <v>Self timer time</v>
      </c>
      <c r="C1750" s="5" t="str">
        <f>LEFT(F1750,FIND(".",F1750,6))</f>
        <v>Exif.Sony1MltCsA100.</v>
      </c>
      <c r="D1750" s="5" t="str">
        <f>VLOOKUP(C1750,PrefixUebersetzung,2,FALSE)</f>
        <v>Exif.Sony1MltCsA100.</v>
      </c>
      <c r="E1750" s="5" t="str">
        <f>MID(F1750,FIND(".",F1750,6)+1,99)</f>
        <v>SelfTimerTime</v>
      </c>
      <c r="F1750" s="5" t="s">
        <v>1545</v>
      </c>
      <c r="G1750" s="5" t="s">
        <v>9664</v>
      </c>
      <c r="H1750" s="6" t="s">
        <v>3222</v>
      </c>
      <c r="I1750" s="7" t="s">
        <v>4096</v>
      </c>
      <c r="J1750" s="14" t="s">
        <v>4096</v>
      </c>
      <c r="K1750" s="26"/>
      <c r="N1750" s="6"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c r="O1750" s="6" t="s">
        <v>8574</v>
      </c>
      <c r="P1750" s="6" t="s">
        <v>8574</v>
      </c>
      <c r="Q1750" s="6" t="s">
        <v>9295</v>
      </c>
    </row>
    <row r="1751" spans="1:17" x14ac:dyDescent="0.25">
      <c r="A1751" s="5" t="str">
        <f>IF(TRIM(I1751)="","",E1751)</f>
        <v/>
      </c>
      <c r="B1751" s="5" t="str">
        <f>IF(TRIM(J1751)="","",H1751)</f>
        <v/>
      </c>
      <c r="C1751" s="5" t="str">
        <f>LEFT(F1751,FIND(".",F1751,6))</f>
        <v>Exif.Sony1MltCsA100.</v>
      </c>
      <c r="D1751" s="5" t="str">
        <f>VLOOKUP(C1751,PrefixUebersetzung,2,FALSE)</f>
        <v>Exif.Sony1MltCsA100.</v>
      </c>
      <c r="E1751" s="5" t="str">
        <f>MID(F1751,FIND(".",F1751,6)+1,99)</f>
        <v>Sharpness</v>
      </c>
      <c r="F1751" s="5" t="s">
        <v>1546</v>
      </c>
      <c r="G1751" s="5" t="s">
        <v>9664</v>
      </c>
      <c r="H1751" s="6" t="s">
        <v>2245</v>
      </c>
      <c r="I1751" s="7"/>
      <c r="K1751" s="26"/>
      <c r="L1751" s="6" t="str">
        <f>IFERROR(VLOOKUP(E1751,A:I,9, FALSE),"")</f>
        <v>Schärfe</v>
      </c>
      <c r="M1751" s="6" t="str">
        <f>IFERROR(VLOOKUP(H1751,B:J,9,FALSE),"")</f>
        <v>Schärfe</v>
      </c>
      <c r="N1751" s="6"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row>
    <row r="1752" spans="1:17" x14ac:dyDescent="0.25">
      <c r="A1752" s="5" t="str">
        <f>IF(TRIM(I1752)="","",E1752)</f>
        <v>SingleFrameBracketing</v>
      </c>
      <c r="B1752" s="5" t="str">
        <f>IF(TRIM(J1752)="","",H1752)</f>
        <v>Single frame bracketing</v>
      </c>
      <c r="C1752" s="5" t="str">
        <f>LEFT(F1752,FIND(".",F1752,6))</f>
        <v>Exif.Sony1MltCsA100.</v>
      </c>
      <c r="D1752" s="5" t="str">
        <f>VLOOKUP(C1752,PrefixUebersetzung,2,FALSE)</f>
        <v>Exif.Sony1MltCsA100.</v>
      </c>
      <c r="E1752" s="5" t="str">
        <f>MID(F1752,FIND(".",F1752,6)+1,99)</f>
        <v>SingleFrameBracketing</v>
      </c>
      <c r="F1752" s="5" t="s">
        <v>1547</v>
      </c>
      <c r="G1752" s="5" t="s">
        <v>9664</v>
      </c>
      <c r="H1752" s="6" t="s">
        <v>3223</v>
      </c>
      <c r="I1752" s="7" t="s">
        <v>4451</v>
      </c>
      <c r="J1752" s="14" t="s">
        <v>4451</v>
      </c>
      <c r="K1752" s="26"/>
      <c r="N1752" s="6"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c r="O1752" s="6" t="s">
        <v>8574</v>
      </c>
      <c r="P1752" s="6" t="s">
        <v>8574</v>
      </c>
      <c r="Q1752" s="6" t="s">
        <v>9177</v>
      </c>
    </row>
    <row r="1753" spans="1:17" x14ac:dyDescent="0.25">
      <c r="A1753" s="5" t="str">
        <f>IF(TRIM(I1753)="","",E1753)</f>
        <v/>
      </c>
      <c r="B1753" s="5" t="str">
        <f>IF(TRIM(J1753)="","",H1753)</f>
        <v/>
      </c>
      <c r="C1753" s="5" t="str">
        <f>LEFT(F1753,FIND(".",F1753,6))</f>
        <v>Exif.Sony1MltCsA100.</v>
      </c>
      <c r="D1753" s="5" t="str">
        <f>VLOOKUP(C1753,PrefixUebersetzung,2,FALSE)</f>
        <v>Exif.Sony1MltCsA100.</v>
      </c>
      <c r="E1753" s="5" t="str">
        <f>MID(F1753,FIND(".",F1753,6)+1,99)</f>
        <v>SonyImageSize</v>
      </c>
      <c r="F1753" s="5" t="s">
        <v>1548</v>
      </c>
      <c r="G1753" s="5" t="s">
        <v>9664</v>
      </c>
      <c r="H1753" s="6" t="s">
        <v>3175</v>
      </c>
      <c r="I1753" s="24"/>
      <c r="J1753" s="8"/>
      <c r="K1753" s="26"/>
      <c r="L1753" s="6" t="str">
        <f>IFERROR(VLOOKUP(E1753,A:I,9, FALSE),"")</f>
        <v>Sony Bildgröße</v>
      </c>
      <c r="M1753" s="6" t="str">
        <f>IFERROR(VLOOKUP(H1753,B:J,9,FALSE),"")</f>
        <v>Sony Bildgröße</v>
      </c>
      <c r="N1753" s="6"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row>
    <row r="1754" spans="1:17" x14ac:dyDescent="0.25">
      <c r="A1754" s="5" t="str">
        <f>IF(TRIM(I1754)="","",E1754)</f>
        <v/>
      </c>
      <c r="B1754" s="5" t="str">
        <f>IF(TRIM(J1754)="","",H1754)</f>
        <v/>
      </c>
      <c r="C1754" s="5" t="str">
        <f>LEFT(F1754,FIND(".",F1754,6))</f>
        <v>Exif.Sony1MltCsA100.</v>
      </c>
      <c r="D1754" s="5" t="str">
        <f>VLOOKUP(C1754,PrefixUebersetzung,2,FALSE)</f>
        <v>Exif.Sony1MltCsA100.</v>
      </c>
      <c r="E1754" s="5" t="str">
        <f>MID(F1754,FIND(".",F1754,6)+1,99)</f>
        <v>WhiteBalance</v>
      </c>
      <c r="F1754" s="5" t="s">
        <v>1549</v>
      </c>
      <c r="G1754" s="5" t="s">
        <v>9664</v>
      </c>
      <c r="H1754" s="6" t="s">
        <v>2250</v>
      </c>
      <c r="I1754" s="24"/>
      <c r="J1754" s="8"/>
      <c r="K1754" s="26"/>
      <c r="L1754" s="6" t="str">
        <f>IFERROR(VLOOKUP(E1754,A:I,9, FALSE),"")</f>
        <v>Weißabgleich</v>
      </c>
      <c r="M1754" s="6" t="str">
        <f>IFERROR(VLOOKUP(H1754,B:J,9,FALSE),"")</f>
        <v>Weißabgleich</v>
      </c>
      <c r="N1754" s="6"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row>
    <row r="1755" spans="1:17" x14ac:dyDescent="0.25">
      <c r="A1755" s="5" t="str">
        <f>IF(TRIM(I1755)="","",E1755)</f>
        <v>WhiteBalanceBracketing</v>
      </c>
      <c r="B1755" s="5" t="str">
        <f>IF(TRIM(J1755)="","",H1755)</f>
        <v>White balance bracketing</v>
      </c>
      <c r="C1755" s="5" t="str">
        <f>LEFT(F1755,FIND(".",F1755,6))</f>
        <v>Exif.Sony1MltCsA100.</v>
      </c>
      <c r="D1755" s="5" t="str">
        <f>VLOOKUP(C1755,PrefixUebersetzung,2,FALSE)</f>
        <v>Exif.Sony1MltCsA100.</v>
      </c>
      <c r="E1755" s="5" t="str">
        <f>MID(F1755,FIND(".",F1755,6)+1,99)</f>
        <v>WhiteBalanceBracketing</v>
      </c>
      <c r="F1755" s="5" t="s">
        <v>1550</v>
      </c>
      <c r="G1755" s="5" t="s">
        <v>9664</v>
      </c>
      <c r="H1755" s="6" t="s">
        <v>3224</v>
      </c>
      <c r="I1755" s="24" t="s">
        <v>4452</v>
      </c>
      <c r="J1755" s="8" t="s">
        <v>4452</v>
      </c>
      <c r="K1755" s="26"/>
      <c r="N1755" s="6"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O1755" s="6" t="s">
        <v>8574</v>
      </c>
      <c r="P1755" s="6" t="s">
        <v>8574</v>
      </c>
      <c r="Q1755" s="6" t="s">
        <v>9177</v>
      </c>
    </row>
    <row r="1756" spans="1:17" ht="30" x14ac:dyDescent="0.25">
      <c r="A1756" s="5" t="str">
        <f>IF(TRIM(I1756)="","",E1756)</f>
        <v/>
      </c>
      <c r="B1756" s="5" t="str">
        <f>IF(TRIM(J1756)="","",H1756)</f>
        <v/>
      </c>
      <c r="C1756" s="5" t="str">
        <f>LEFT(F1756,FIND(".",F1756,6))</f>
        <v>Exif.Sony1MltCsA100.</v>
      </c>
      <c r="D1756" s="5" t="str">
        <f>VLOOKUP(C1756,PrefixUebersetzung,2,FALSE)</f>
        <v>Exif.Sony1MltCsA100.</v>
      </c>
      <c r="E1756" s="5" t="str">
        <f>MID(F1756,FIND(".",F1756,6)+1,99)</f>
        <v>WhiteBalanceFineTune</v>
      </c>
      <c r="F1756" s="5" t="s">
        <v>1551</v>
      </c>
      <c r="G1756" s="5" t="s">
        <v>9665</v>
      </c>
      <c r="H1756" s="6" t="s">
        <v>3225</v>
      </c>
      <c r="I1756" s="24"/>
      <c r="J1756" s="8"/>
      <c r="K1756" s="26"/>
      <c r="L1756" s="6" t="str">
        <f>IFERROR(VLOOKUP(E1756,A:I,9, FALSE),"")</f>
        <v>Weißabgleich Feinabstimmung</v>
      </c>
      <c r="M1756" s="6" t="str">
        <f>IFERROR(VLOOKUP(H1756,B:J,9,FALSE),"")</f>
        <v>Weißabgleich Feinabstimmung</v>
      </c>
      <c r="N1756" s="6"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5" t="str">
        <f>IF(TRIM(I1757)="","",E1757)</f>
        <v>WhiteBalanceSetting</v>
      </c>
      <c r="B1757" s="5" t="str">
        <f>IF(TRIM(J1757)="","",H1757)</f>
        <v/>
      </c>
      <c r="C1757" s="5" t="str">
        <f>LEFT(F1757,FIND(".",F1757,6))</f>
        <v>Exif.Sony1MltCsA100.</v>
      </c>
      <c r="D1757" s="5" t="str">
        <f>VLOOKUP(C1757,PrefixUebersetzung,2,FALSE)</f>
        <v>Exif.Sony1MltCsA100.</v>
      </c>
      <c r="E1757" s="5" t="str">
        <f>MID(F1757,FIND(".",F1757,6)+1,99)</f>
        <v>WhiteBalanceSetting</v>
      </c>
      <c r="F1757" s="5" t="s">
        <v>1552</v>
      </c>
      <c r="G1757" s="5" t="s">
        <v>9664</v>
      </c>
      <c r="H1757" s="6" t="s">
        <v>2263</v>
      </c>
      <c r="I1757" s="24" t="s">
        <v>4453</v>
      </c>
      <c r="J1757" s="8"/>
      <c r="K1757" s="26"/>
      <c r="M1757" s="6" t="str">
        <f>IFERROR(VLOOKUP(H1757,B:J,9,FALSE),"")</f>
        <v>Weißabgleich-Einstellung</v>
      </c>
      <c r="N1757" s="6"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c r="O1757" s="6" t="s">
        <v>8574</v>
      </c>
    </row>
    <row r="1758" spans="1:17" x14ac:dyDescent="0.25">
      <c r="A1758" s="5" t="str">
        <f>IF(TRIM(I1758)="","",E1758)</f>
        <v/>
      </c>
      <c r="B1758" s="5" t="str">
        <f>IF(TRIM(J1758)="","",H1758)</f>
        <v/>
      </c>
      <c r="C1758" s="5" t="str">
        <f>LEFT(F1758,FIND(".",F1758,6))</f>
        <v>Exif.Sony1MltCsA100.</v>
      </c>
      <c r="D1758" s="5" t="str">
        <f>VLOOKUP(C1758,PrefixUebersetzung,2,FALSE)</f>
        <v>Exif.Sony1MltCsA100.</v>
      </c>
      <c r="E1758" s="5" t="str">
        <f>MID(F1758,FIND(".",F1758,6)+1,99)</f>
        <v>ZoneMatchingMode</v>
      </c>
      <c r="F1758" s="5" t="s">
        <v>1553</v>
      </c>
      <c r="G1758" s="5" t="s">
        <v>9664</v>
      </c>
      <c r="H1758" s="6" t="s">
        <v>3226</v>
      </c>
      <c r="I1758" s="7"/>
      <c r="K1758" s="26"/>
      <c r="N1758" s="6"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xml:space="preserve">Suffix not translated Description not translated </v>
      </c>
      <c r="O1758" s="6" t="s">
        <v>8574</v>
      </c>
      <c r="P1758" s="6" t="s">
        <v>8574</v>
      </c>
    </row>
    <row r="1759" spans="1:17" x14ac:dyDescent="0.25">
      <c r="A1759" s="5" t="str">
        <f>IF(TRIM(I1759)="","",E1759)</f>
        <v/>
      </c>
      <c r="B1759" s="5" t="str">
        <f>IF(TRIM(J1759)="","",H1759)</f>
        <v>BrightnessValue</v>
      </c>
      <c r="C1759" s="5" t="str">
        <f>LEFT(F1759,FIND(".",F1759,6))</f>
        <v>Exif.Sony2010e.</v>
      </c>
      <c r="D1759" s="5" t="str">
        <f>VLOOKUP(C1759,PrefixUebersetzung,2,FALSE)</f>
        <v>Exif.Sony2010e.</v>
      </c>
      <c r="E1759" s="5" t="str">
        <f>MID(F1759,FIND(".",F1759,6)+1,99)</f>
        <v>BrightnessValue</v>
      </c>
      <c r="F1759" s="11" t="s">
        <v>8660</v>
      </c>
      <c r="G1759" s="5" t="s">
        <v>9664</v>
      </c>
      <c r="H1759" s="11" t="s">
        <v>8661</v>
      </c>
      <c r="I1759" s="7"/>
      <c r="J1759" s="14" t="s">
        <v>3984</v>
      </c>
      <c r="K1759" s="26"/>
      <c r="L1759" s="6" t="str">
        <f>IFERROR(VLOOKUP(E1759,A:I,9, FALSE),"")</f>
        <v>Helligkeitswert</v>
      </c>
      <c r="N1759" s="6"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c r="P1759" s="6" t="s">
        <v>8574</v>
      </c>
    </row>
    <row r="1760" spans="1:17" x14ac:dyDescent="0.25">
      <c r="A1760" s="5" t="str">
        <f>IF(TRIM(I1760)="","",E1760)</f>
        <v/>
      </c>
      <c r="B1760" s="5" t="str">
        <f>IF(TRIM(J1760)="","",H1760)</f>
        <v>DigitalZoomRatio</v>
      </c>
      <c r="C1760" s="5" t="str">
        <f>LEFT(F1760,FIND(".",F1760,6))</f>
        <v>Exif.Sony2010e.</v>
      </c>
      <c r="D1760" s="5" t="str">
        <f>VLOOKUP(C1760,PrefixUebersetzung,2,FALSE)</f>
        <v>Exif.Sony2010e.</v>
      </c>
      <c r="E1760" s="5" t="str">
        <f>MID(F1760,FIND(".",F1760,6)+1,99)</f>
        <v>DigitalZoomRatio</v>
      </c>
      <c r="F1760" s="11" t="s">
        <v>8662</v>
      </c>
      <c r="G1760" s="5" t="s">
        <v>9670</v>
      </c>
      <c r="H1760" s="11" t="s">
        <v>8663</v>
      </c>
      <c r="I1760" s="7"/>
      <c r="J1760" s="14" t="s">
        <v>4418</v>
      </c>
      <c r="K1760" s="26"/>
      <c r="L1760" s="6" t="str">
        <f>IFERROR(VLOOKUP(E1760,A:I,9, FALSE),"")</f>
        <v>Digital-Zoom-Faktor</v>
      </c>
      <c r="N1760" s="6"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c r="P1760" s="6" t="s">
        <v>8574</v>
      </c>
    </row>
    <row r="1761" spans="1:16" x14ac:dyDescent="0.25">
      <c r="A1761" s="5" t="str">
        <f>IF(TRIM(I1761)="","",E1761)</f>
        <v>DistortionCorrParams</v>
      </c>
      <c r="B1761" s="5" t="str">
        <f>IF(TRIM(J1761)="","",H1761)</f>
        <v>DistortionCorrParams</v>
      </c>
      <c r="C1761" s="5" t="str">
        <f>LEFT(F1761,FIND(".",F1761,6))</f>
        <v>Exif.Sony2010e.</v>
      </c>
      <c r="D1761" s="5" t="str">
        <f>VLOOKUP(C1761,PrefixUebersetzung,2,FALSE)</f>
        <v>Exif.Sony2010e.</v>
      </c>
      <c r="E1761" s="5" t="str">
        <f>MID(F1761,FIND(".",F1761,6)+1,99)</f>
        <v>DistortionCorrParams</v>
      </c>
      <c r="F1761" s="11" t="s">
        <v>8664</v>
      </c>
      <c r="G1761" s="5" t="s">
        <v>9665</v>
      </c>
      <c r="H1761" s="11" t="s">
        <v>8665</v>
      </c>
      <c r="I1761" s="24" t="s">
        <v>8743</v>
      </c>
      <c r="J1761" s="8" t="s">
        <v>8743</v>
      </c>
      <c r="K1761" s="26"/>
      <c r="N1761" s="6"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c r="O1761" s="6" t="s">
        <v>8574</v>
      </c>
      <c r="P1761" s="6" t="s">
        <v>8574</v>
      </c>
    </row>
    <row r="1762" spans="1:16" x14ac:dyDescent="0.25">
      <c r="A1762" s="5" t="str">
        <f>IF(TRIM(I1762)="","",E1762)</f>
        <v/>
      </c>
      <c r="B1762" s="5" t="str">
        <f>IF(TRIM(J1762)="","",H1762)</f>
        <v/>
      </c>
      <c r="C1762" s="5" t="str">
        <f>LEFT(F1762,FIND(".",F1762,6))</f>
        <v>Exif.Sony2010e.</v>
      </c>
      <c r="D1762" s="5" t="str">
        <f>VLOOKUP(C1762,PrefixUebersetzung,2,FALSE)</f>
        <v>Exif.Sony2010e.</v>
      </c>
      <c r="E1762" s="5" t="str">
        <f>MID(F1762,FIND(".",F1762,6)+1,99)</f>
        <v>DistortionCorrParamsNumber</v>
      </c>
      <c r="F1762" s="11" t="s">
        <v>8666</v>
      </c>
      <c r="G1762" s="5" t="s">
        <v>9670</v>
      </c>
      <c r="H1762" s="11" t="s">
        <v>8667</v>
      </c>
      <c r="I1762" s="7"/>
      <c r="K1762" s="26"/>
      <c r="N1762" s="6"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xml:space="preserve">Suffix not translated Description not translated </v>
      </c>
      <c r="O1762" s="6" t="s">
        <v>8574</v>
      </c>
      <c r="P1762" s="6" t="s">
        <v>8574</v>
      </c>
    </row>
    <row r="1763" spans="1:16" x14ac:dyDescent="0.25">
      <c r="A1763" s="5" t="str">
        <f>IF(TRIM(I1763)="","",E1763)</f>
        <v/>
      </c>
      <c r="B1763" s="5" t="str">
        <f>IF(TRIM(J1763)="","",H1763)</f>
        <v/>
      </c>
      <c r="C1763" s="5" t="str">
        <f>LEFT(F1763,FIND(".",F1763,6))</f>
        <v>Exif.Sony2010e.</v>
      </c>
      <c r="D1763" s="5" t="str">
        <f>VLOOKUP(C1763,PrefixUebersetzung,2,FALSE)</f>
        <v>Exif.Sony2010e.</v>
      </c>
      <c r="E1763" s="5" t="str">
        <f>MID(F1763,FIND(".",F1763,6)+1,99)</f>
        <v>DistortionCorrParamsPresent</v>
      </c>
      <c r="F1763" s="11" t="s">
        <v>8668</v>
      </c>
      <c r="G1763" s="5" t="s">
        <v>9670</v>
      </c>
      <c r="H1763" s="11" t="s">
        <v>8669</v>
      </c>
      <c r="I1763" s="7"/>
      <c r="K1763" s="26"/>
      <c r="N1763" s="6"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xml:space="preserve">Suffix not translated Description not translated </v>
      </c>
      <c r="O1763" s="6" t="s">
        <v>8574</v>
      </c>
      <c r="P1763" s="6" t="s">
        <v>8574</v>
      </c>
    </row>
    <row r="1764" spans="1:16" ht="30" x14ac:dyDescent="0.25">
      <c r="A1764" s="5" t="str">
        <f>IF(TRIM(I1764)="","",E1764)</f>
        <v/>
      </c>
      <c r="B1764" s="5" t="str">
        <f>IF(TRIM(J1764)="","",H1764)</f>
        <v>DynamicRangeOptimizer</v>
      </c>
      <c r="C1764" s="5" t="str">
        <f>LEFT(F1764,FIND(".",F1764,6))</f>
        <v>Exif.Sony2010e.</v>
      </c>
      <c r="D1764" s="5" t="str">
        <f>VLOOKUP(C1764,PrefixUebersetzung,2,FALSE)</f>
        <v>Exif.Sony2010e.</v>
      </c>
      <c r="E1764" s="5" t="str">
        <f>MID(F1764,FIND(".",F1764,6)+1,99)</f>
        <v>DynamicRangeOptimizer</v>
      </c>
      <c r="F1764" s="11" t="s">
        <v>8670</v>
      </c>
      <c r="G1764" s="5" t="s">
        <v>9670</v>
      </c>
      <c r="H1764" s="11" t="s">
        <v>8671</v>
      </c>
      <c r="I1764" s="7"/>
      <c r="J1764" s="14" t="s">
        <v>4438</v>
      </c>
      <c r="K1764" s="26"/>
      <c r="L1764" s="6" t="str">
        <f>IFERROR(VLOOKUP(E1764,A:I,9, FALSE),"")</f>
        <v>Dynamikbereich-Optimierer</v>
      </c>
      <c r="N1764" s="6"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c r="P1764" s="6" t="s">
        <v>8574</v>
      </c>
    </row>
    <row r="1765" spans="1:16" x14ac:dyDescent="0.25">
      <c r="A1765" s="5" t="str">
        <f>IF(TRIM(I1765)="","",E1765)</f>
        <v/>
      </c>
      <c r="B1765" s="5" t="str">
        <f>IF(TRIM(J1765)="","",H1765)</f>
        <v>ExposureCompensation</v>
      </c>
      <c r="C1765" s="5" t="str">
        <f>LEFT(F1765,FIND(".",F1765,6))</f>
        <v>Exif.Sony2010e.</v>
      </c>
      <c r="D1765" s="5" t="str">
        <f>VLOOKUP(C1765,PrefixUebersetzung,2,FALSE)</f>
        <v>Exif.Sony2010e.</v>
      </c>
      <c r="E1765" s="5" t="str">
        <f>MID(F1765,FIND(".",F1765,6)+1,99)</f>
        <v>ExposureCompensation</v>
      </c>
      <c r="F1765" s="11" t="s">
        <v>8672</v>
      </c>
      <c r="G1765" s="5" t="s">
        <v>9665</v>
      </c>
      <c r="H1765" s="11" t="s">
        <v>8673</v>
      </c>
      <c r="I1765" s="7"/>
      <c r="J1765" s="14" t="s">
        <v>3916</v>
      </c>
      <c r="K1765" s="26"/>
      <c r="L1765" s="6" t="str">
        <f>IFERROR(VLOOKUP(E1765,A:I,9, FALSE),"")</f>
        <v>Belichtungskorrektur</v>
      </c>
      <c r="N1765" s="6"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c r="P1765" s="6" t="s">
        <v>8574</v>
      </c>
    </row>
    <row r="1766" spans="1:16" x14ac:dyDescent="0.25">
      <c r="A1766" s="5" t="str">
        <f>IF(TRIM(I1766)="","",E1766)</f>
        <v/>
      </c>
      <c r="B1766" s="5" t="str">
        <f>IF(TRIM(J1766)="","",H1766)</f>
        <v>ExposureProgram</v>
      </c>
      <c r="C1766" s="5" t="str">
        <f>LEFT(F1766,FIND(".",F1766,6))</f>
        <v>Exif.Sony2010e.</v>
      </c>
      <c r="D1766" s="5" t="str">
        <f>VLOOKUP(C1766,PrefixUebersetzung,2,FALSE)</f>
        <v>Exif.Sony2010e.</v>
      </c>
      <c r="E1766" s="5" t="str">
        <f>MID(F1766,FIND(".",F1766,6)+1,99)</f>
        <v>ExposureProgram</v>
      </c>
      <c r="F1766" s="11" t="s">
        <v>8674</v>
      </c>
      <c r="G1766" s="5" t="s">
        <v>9670</v>
      </c>
      <c r="H1766" s="11" t="s">
        <v>8675</v>
      </c>
      <c r="I1766" s="7"/>
      <c r="J1766" s="14" t="s">
        <v>4087</v>
      </c>
      <c r="K1766" s="26"/>
      <c r="L1766" s="6" t="str">
        <f>IFERROR(VLOOKUP(E1766,A:I,9, FALSE),"")</f>
        <v>Belichtungsprogramm</v>
      </c>
      <c r="N1766" s="6"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c r="P1766" s="6" t="s">
        <v>8574</v>
      </c>
    </row>
    <row r="1767" spans="1:16" x14ac:dyDescent="0.25">
      <c r="A1767" s="5" t="str">
        <f>IF(TRIM(I1767)="","",E1767)</f>
        <v/>
      </c>
      <c r="B1767" s="5" t="str">
        <f>IF(TRIM(J1767)="","",H1767)</f>
        <v/>
      </c>
      <c r="C1767" s="5" t="str">
        <f>LEFT(F1767,FIND(".",F1767,6))</f>
        <v>Exif.Sony2010e.</v>
      </c>
      <c r="D1767" s="5" t="str">
        <f>VLOOKUP(C1767,PrefixUebersetzung,2,FALSE)</f>
        <v>Exif.Sony2010e.</v>
      </c>
      <c r="E1767" s="5" t="str">
        <f>MID(F1767,FIND(".",F1767,6)+1,99)</f>
        <v>FlashMode</v>
      </c>
      <c r="F1767" s="11" t="s">
        <v>8676</v>
      </c>
      <c r="G1767" s="5" t="s">
        <v>9670</v>
      </c>
      <c r="H1767" s="11" t="s">
        <v>3167</v>
      </c>
      <c r="I1767" s="7"/>
      <c r="K1767" s="26"/>
      <c r="L1767" s="6" t="str">
        <f>IFERROR(VLOOKUP(E1767,A:I,9, FALSE),"")</f>
        <v>Blitzmodus</v>
      </c>
      <c r="M1767" s="6" t="str">
        <f>IFERROR(VLOOKUP(H1767,B:J,9,FALSE),"")</f>
        <v>Blitzmodus</v>
      </c>
      <c r="N1767" s="6"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6" x14ac:dyDescent="0.25">
      <c r="A1768" s="5" t="str">
        <f>IF(TRIM(I1768)="","",E1768)</f>
        <v/>
      </c>
      <c r="B1768" s="5" t="str">
        <f>IF(TRIM(J1768)="","",H1768)</f>
        <v/>
      </c>
      <c r="C1768" s="5" t="str">
        <f>LEFT(F1768,FIND(".",F1768,6))</f>
        <v>Exif.Sony2010e.</v>
      </c>
      <c r="D1768" s="5" t="str">
        <f>VLOOKUP(C1768,PrefixUebersetzung,2,FALSE)</f>
        <v>Exif.Sony2010e.</v>
      </c>
      <c r="E1768" s="5" t="str">
        <f>MID(F1768,FIND(".",F1768,6)+1,99)</f>
        <v>FocalLength</v>
      </c>
      <c r="F1768" s="11" t="s">
        <v>8677</v>
      </c>
      <c r="G1768" s="5" t="s">
        <v>9664</v>
      </c>
      <c r="H1768" s="11" t="s">
        <v>3000</v>
      </c>
      <c r="I1768" s="7"/>
      <c r="K1768" s="26"/>
      <c r="L1768" s="6" t="str">
        <f>IFERROR(VLOOKUP(E1768,A:I,9, FALSE),"")</f>
        <v>Brennweite</v>
      </c>
      <c r="M1768" s="6" t="str">
        <f>IFERROR(VLOOKUP(H1768,B:J,9,FALSE),"")</f>
        <v>Brennweite</v>
      </c>
      <c r="N1768" s="6"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row>
    <row r="1769" spans="1:16" x14ac:dyDescent="0.25">
      <c r="A1769" s="5" t="str">
        <f>IF(TRIM(I1769)="","",E1769)</f>
        <v>HDRSetting</v>
      </c>
      <c r="B1769" s="5" t="str">
        <f>IF(TRIM(J1769)="","",H1769)</f>
        <v>HDRSetting</v>
      </c>
      <c r="C1769" s="5" t="str">
        <f>LEFT(F1769,FIND(".",F1769,6))</f>
        <v>Exif.Sony2010e.</v>
      </c>
      <c r="D1769" s="5" t="str">
        <f>VLOOKUP(C1769,PrefixUebersetzung,2,FALSE)</f>
        <v>Exif.Sony2010e.</v>
      </c>
      <c r="E1769" s="5" t="str">
        <f>MID(F1769,FIND(".",F1769,6)+1,99)</f>
        <v>HDRSetting</v>
      </c>
      <c r="F1769" s="11" t="s">
        <v>8678</v>
      </c>
      <c r="G1769" s="5" t="s">
        <v>9670</v>
      </c>
      <c r="H1769" s="11" t="s">
        <v>8679</v>
      </c>
      <c r="I1769" s="7" t="s">
        <v>8745</v>
      </c>
      <c r="J1769" s="14" t="s">
        <v>8745</v>
      </c>
      <c r="K1769" s="26"/>
      <c r="N1769" s="6"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O1769" s="6" t="s">
        <v>8574</v>
      </c>
      <c r="P1769" s="6" t="s">
        <v>8574</v>
      </c>
    </row>
    <row r="1770" spans="1:16" x14ac:dyDescent="0.25">
      <c r="A1770" s="5" t="str">
        <f>IF(TRIM(I1770)="","",E1770)</f>
        <v>LensFormat</v>
      </c>
      <c r="B1770" s="5" t="str">
        <f>IF(TRIM(J1770)="","",H1770)</f>
        <v>LensFormat</v>
      </c>
      <c r="C1770" s="5" t="str">
        <f>LEFT(F1770,FIND(".",F1770,6))</f>
        <v>Exif.Sony2010e.</v>
      </c>
      <c r="D1770" s="5" t="str">
        <f>VLOOKUP(C1770,PrefixUebersetzung,2,FALSE)</f>
        <v>Exif.Sony2010e.</v>
      </c>
      <c r="E1770" s="5" t="str">
        <f>MID(F1770,FIND(".",F1770,6)+1,99)</f>
        <v>LensFormat</v>
      </c>
      <c r="F1770" s="11" t="s">
        <v>8680</v>
      </c>
      <c r="G1770" s="5" t="s">
        <v>9670</v>
      </c>
      <c r="H1770" s="11" t="s">
        <v>8681</v>
      </c>
      <c r="I1770" s="7" t="s">
        <v>8746</v>
      </c>
      <c r="J1770" s="14" t="s">
        <v>8746</v>
      </c>
      <c r="K1770" s="26"/>
      <c r="N1770" s="6"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c r="O1770" s="6" t="s">
        <v>8574</v>
      </c>
      <c r="P1770" s="6" t="s">
        <v>8574</v>
      </c>
    </row>
    <row r="1771" spans="1:16" x14ac:dyDescent="0.25">
      <c r="A1771" s="5" t="str">
        <f>IF(TRIM(I1771)="","",E1771)</f>
        <v>LensMount</v>
      </c>
      <c r="B1771" s="5" t="str">
        <f>IF(TRIM(J1771)="","",H1771)</f>
        <v>LensMount</v>
      </c>
      <c r="C1771" s="5" t="str">
        <f>LEFT(F1771,FIND(".",F1771,6))</f>
        <v>Exif.Sony2010e.</v>
      </c>
      <c r="D1771" s="5" t="str">
        <f>VLOOKUP(C1771,PrefixUebersetzung,2,FALSE)</f>
        <v>Exif.Sony2010e.</v>
      </c>
      <c r="E1771" s="5" t="str">
        <f>MID(F1771,FIND(".",F1771,6)+1,99)</f>
        <v>LensMount</v>
      </c>
      <c r="F1771" s="11" t="s">
        <v>8682</v>
      </c>
      <c r="G1771" s="5" t="s">
        <v>9670</v>
      </c>
      <c r="H1771" s="11" t="s">
        <v>8683</v>
      </c>
      <c r="I1771" s="7" t="s">
        <v>8747</v>
      </c>
      <c r="J1771" s="14" t="s">
        <v>8747</v>
      </c>
      <c r="K1771" s="26"/>
      <c r="N1771" s="6"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c r="O1771" s="6" t="s">
        <v>8574</v>
      </c>
      <c r="P1771" s="6" t="s">
        <v>8574</v>
      </c>
    </row>
    <row r="1772" spans="1:16" x14ac:dyDescent="0.25">
      <c r="A1772" s="5" t="str">
        <f>IF(TRIM(I1772)="","",E1772)</f>
        <v/>
      </c>
      <c r="B1772" s="5" t="str">
        <f>IF(TRIM(J1772)="","",H1772)</f>
        <v>LensType</v>
      </c>
      <c r="C1772" s="5" t="str">
        <f>LEFT(F1772,FIND(".",F1772,6))</f>
        <v>Exif.Sony2010e.</v>
      </c>
      <c r="D1772" s="5" t="str">
        <f>VLOOKUP(C1772,PrefixUebersetzung,2,FALSE)</f>
        <v>Exif.Sony2010e.</v>
      </c>
      <c r="E1772" s="5" t="str">
        <f>MID(F1772,FIND(".",F1772,6)+1,99)</f>
        <v>LensType</v>
      </c>
      <c r="F1772" s="11" t="s">
        <v>8684</v>
      </c>
      <c r="G1772" s="5" t="s">
        <v>9664</v>
      </c>
      <c r="H1772" s="11" t="s">
        <v>8685</v>
      </c>
      <c r="I1772" s="7"/>
      <c r="J1772" s="14" t="s">
        <v>3770</v>
      </c>
      <c r="K1772" s="26"/>
      <c r="L1772" s="6" t="str">
        <f>IFERROR(VLOOKUP(E1772,A:I,9, FALSE),"")</f>
        <v>Objektiv Typ</v>
      </c>
      <c r="N1772" s="6"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c r="P1772" s="6" t="s">
        <v>8574</v>
      </c>
    </row>
    <row r="1773" spans="1:16" x14ac:dyDescent="0.25">
      <c r="A1773" s="5" t="str">
        <f>IF(TRIM(I1773)="","",E1773)</f>
        <v>LensType2</v>
      </c>
      <c r="B1773" s="5" t="str">
        <f>IF(TRIM(J1773)="","",H1773)</f>
        <v>LensType2</v>
      </c>
      <c r="C1773" s="5" t="str">
        <f>LEFT(F1773,FIND(".",F1773,6))</f>
        <v>Exif.Sony2010e.</v>
      </c>
      <c r="D1773" s="5" t="str">
        <f>VLOOKUP(C1773,PrefixUebersetzung,2,FALSE)</f>
        <v>Exif.Sony2010e.</v>
      </c>
      <c r="E1773" s="5" t="str">
        <f>MID(F1773,FIND(".",F1773,6)+1,99)</f>
        <v>LensType2</v>
      </c>
      <c r="F1773" s="11" t="s">
        <v>8686</v>
      </c>
      <c r="G1773" s="5" t="s">
        <v>9664</v>
      </c>
      <c r="H1773" s="11" t="s">
        <v>8687</v>
      </c>
      <c r="I1773" s="7" t="s">
        <v>8748</v>
      </c>
      <c r="J1773" s="14" t="s">
        <v>8748</v>
      </c>
      <c r="K1773" s="26"/>
      <c r="N1773" s="6"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O1773" s="6" t="s">
        <v>8574</v>
      </c>
      <c r="P1773" s="6" t="s">
        <v>8574</v>
      </c>
    </row>
    <row r="1774" spans="1:16" x14ac:dyDescent="0.25">
      <c r="A1774" s="5" t="str">
        <f>IF(TRIM(I1774)="","",E1774)</f>
        <v/>
      </c>
      <c r="B1774" s="5" t="str">
        <f>IF(TRIM(J1774)="","",H1774)</f>
        <v>MaxFocalLength</v>
      </c>
      <c r="C1774" s="5" t="str">
        <f>LEFT(F1774,FIND(".",F1774,6))</f>
        <v>Exif.Sony2010e.</v>
      </c>
      <c r="D1774" s="5" t="str">
        <f>VLOOKUP(C1774,PrefixUebersetzung,2,FALSE)</f>
        <v>Exif.Sony2010e.</v>
      </c>
      <c r="E1774" s="5" t="str">
        <f>MID(F1774,FIND(".",F1774,6)+1,99)</f>
        <v>MaxFocalLength</v>
      </c>
      <c r="F1774" s="11" t="s">
        <v>8688</v>
      </c>
      <c r="G1774" s="5" t="s">
        <v>9664</v>
      </c>
      <c r="H1774" s="11" t="s">
        <v>8689</v>
      </c>
      <c r="I1774" s="7"/>
      <c r="J1774" s="14" t="s">
        <v>4857</v>
      </c>
      <c r="K1774" s="26"/>
      <c r="L1774" s="6" t="str">
        <f>IFERROR(VLOOKUP(E1774,A:I,9, FALSE),"")</f>
        <v>Brennweite maximal</v>
      </c>
      <c r="N1774" s="6"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P1774" s="6" t="s">
        <v>8574</v>
      </c>
    </row>
    <row r="1775" spans="1:16" x14ac:dyDescent="0.25">
      <c r="A1775" s="5" t="str">
        <f>IF(TRIM(I1775)="","",E1775)</f>
        <v>MeterInfo</v>
      </c>
      <c r="B1775" s="5" t="str">
        <f>IF(TRIM(J1775)="","",H1775)</f>
        <v>MeterInfo</v>
      </c>
      <c r="C1775" s="5" t="str">
        <f>LEFT(F1775,FIND(".",F1775,6))</f>
        <v>Exif.Sony2010e.</v>
      </c>
      <c r="D1775" s="5" t="str">
        <f>VLOOKUP(C1775,PrefixUebersetzung,2,FALSE)</f>
        <v>Exif.Sony2010e.</v>
      </c>
      <c r="E1775" s="5" t="str">
        <f>MID(F1775,FIND(".",F1775,6)+1,99)</f>
        <v>MeterInfo</v>
      </c>
      <c r="F1775" s="11" t="s">
        <v>8690</v>
      </c>
      <c r="G1775" s="5" t="s">
        <v>9669</v>
      </c>
      <c r="H1775" s="11" t="s">
        <v>8691</v>
      </c>
      <c r="I1775" s="7" t="s">
        <v>8749</v>
      </c>
      <c r="J1775" s="14" t="s">
        <v>8749</v>
      </c>
      <c r="K1775" s="26"/>
      <c r="N1775" s="6"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c r="O1775" s="6" t="s">
        <v>8574</v>
      </c>
      <c r="P1775" s="6" t="s">
        <v>8574</v>
      </c>
    </row>
    <row r="1776" spans="1:16" x14ac:dyDescent="0.25">
      <c r="A1776" s="5" t="str">
        <f>IF(TRIM(I1776)="","",E1776)</f>
        <v/>
      </c>
      <c r="B1776" s="5" t="str">
        <f>IF(TRIM(J1776)="","",H1776)</f>
        <v/>
      </c>
      <c r="C1776" s="5" t="str">
        <f>LEFT(F1776,FIND(".",F1776,6))</f>
        <v>Exif.Sony2010e.</v>
      </c>
      <c r="D1776" s="5" t="str">
        <f>VLOOKUP(C1776,PrefixUebersetzung,2,FALSE)</f>
        <v>Exif.Sony2010e.</v>
      </c>
      <c r="E1776" s="5" t="str">
        <f>MID(F1776,FIND(".",F1776,6)+1,99)</f>
        <v>MeteringMode</v>
      </c>
      <c r="F1776" s="11" t="s">
        <v>8692</v>
      </c>
      <c r="G1776" s="5" t="s">
        <v>9670</v>
      </c>
      <c r="H1776" s="11" t="s">
        <v>3010</v>
      </c>
      <c r="I1776" s="7"/>
      <c r="J1776" s="8"/>
      <c r="K1776" s="26"/>
      <c r="L1776" s="6" t="str">
        <f>IFERROR(VLOOKUP(E1776,A:I,9, FALSE),"")</f>
        <v>Messmethode</v>
      </c>
      <c r="M1776" s="6" t="str">
        <f>IFERROR(VLOOKUP(H1776,B:J,9,FALSE),"")</f>
        <v>Messmethode</v>
      </c>
      <c r="N1776" s="6"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5" t="str">
        <f>IF(TRIM(I1777)="","",E1777)</f>
        <v/>
      </c>
      <c r="B1777" s="5" t="str">
        <f>IF(TRIM(J1777)="","",H1777)</f>
        <v>MinFocalLength</v>
      </c>
      <c r="C1777" s="5" t="str">
        <f>LEFT(F1777,FIND(".",F1777,6))</f>
        <v>Exif.Sony2010e.</v>
      </c>
      <c r="D1777" s="5" t="str">
        <f>VLOOKUP(C1777,PrefixUebersetzung,2,FALSE)</f>
        <v>Exif.Sony2010e.</v>
      </c>
      <c r="E1777" s="5" t="str">
        <f>MID(F1777,FIND(".",F1777,6)+1,99)</f>
        <v>MinFocalLength</v>
      </c>
      <c r="F1777" s="11" t="s">
        <v>8693</v>
      </c>
      <c r="G1777" s="5" t="s">
        <v>9664</v>
      </c>
      <c r="H1777" s="11" t="s">
        <v>8694</v>
      </c>
      <c r="I1777" s="7"/>
      <c r="J1777" s="14" t="s">
        <v>4856</v>
      </c>
      <c r="K1777" s="26"/>
      <c r="L1777" s="6" t="str">
        <f>IFERROR(VLOOKUP(E1777,A:I,9, FALSE),"")</f>
        <v>Brennweite minimal</v>
      </c>
      <c r="N1777" s="6"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c r="P1777" s="6" t="s">
        <v>8574</v>
      </c>
    </row>
    <row r="1778" spans="1:17" x14ac:dyDescent="0.25">
      <c r="A1778" s="5" t="str">
        <f>IF(TRIM(I1778)="","",E1778)</f>
        <v>PictureEffect2</v>
      </c>
      <c r="B1778" s="5" t="str">
        <f>IF(TRIM(J1778)="","",H1778)</f>
        <v>PictureEffect2</v>
      </c>
      <c r="C1778" s="5" t="str">
        <f>LEFT(F1778,FIND(".",F1778,6))</f>
        <v>Exif.Sony2010e.</v>
      </c>
      <c r="D1778" s="5" t="str">
        <f>VLOOKUP(C1778,PrefixUebersetzung,2,FALSE)</f>
        <v>Exif.Sony2010e.</v>
      </c>
      <c r="E1778" s="5" t="str">
        <f>MID(F1778,FIND(".",F1778,6)+1,99)</f>
        <v>PictureEffect2</v>
      </c>
      <c r="F1778" s="11" t="s">
        <v>8695</v>
      </c>
      <c r="G1778" s="5" t="s">
        <v>9670</v>
      </c>
      <c r="H1778" s="11" t="s">
        <v>8696</v>
      </c>
      <c r="I1778" s="7" t="s">
        <v>8750</v>
      </c>
      <c r="J1778" s="14" t="s">
        <v>8750</v>
      </c>
      <c r="K1778" s="26"/>
      <c r="N1778" s="6"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c r="O1778" s="6" t="s">
        <v>8574</v>
      </c>
      <c r="P1778" s="6" t="s">
        <v>8574</v>
      </c>
    </row>
    <row r="1779" spans="1:17" x14ac:dyDescent="0.25">
      <c r="A1779" s="5" t="str">
        <f>IF(TRIM(I1779)="","",E1779)</f>
        <v>PictureProfile</v>
      </c>
      <c r="B1779" s="5" t="str">
        <f>IF(TRIM(J1779)="","",H1779)</f>
        <v>PictureProfile</v>
      </c>
      <c r="C1779" s="5" t="str">
        <f>LEFT(F1779,FIND(".",F1779,6))</f>
        <v>Exif.Sony2010e.</v>
      </c>
      <c r="D1779" s="5" t="str">
        <f>VLOOKUP(C1779,PrefixUebersetzung,2,FALSE)</f>
        <v>Exif.Sony2010e.</v>
      </c>
      <c r="E1779" s="5" t="str">
        <f>MID(F1779,FIND(".",F1779,6)+1,99)</f>
        <v>PictureProfile</v>
      </c>
      <c r="F1779" s="11" t="s">
        <v>8697</v>
      </c>
      <c r="G1779" s="5" t="s">
        <v>9670</v>
      </c>
      <c r="H1779" s="11" t="s">
        <v>8698</v>
      </c>
      <c r="I1779" s="7" t="s">
        <v>8751</v>
      </c>
      <c r="J1779" s="14" t="s">
        <v>8751</v>
      </c>
      <c r="K1779" s="26"/>
      <c r="N1779" s="6"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c r="O1779" s="6" t="s">
        <v>8574</v>
      </c>
      <c r="P1779" s="6" t="s">
        <v>8574</v>
      </c>
    </row>
    <row r="1780" spans="1:17" x14ac:dyDescent="0.25">
      <c r="A1780" s="5" t="str">
        <f>IF(TRIM(I1780)="","",E1780)</f>
        <v>PictureProfile2</v>
      </c>
      <c r="B1780" s="5" t="str">
        <f>IF(TRIM(J1780)="","",H1780)</f>
        <v>PictureProfile2</v>
      </c>
      <c r="C1780" s="5" t="str">
        <f>LEFT(F1780,FIND(".",F1780,6))</f>
        <v>Exif.Sony2010e.</v>
      </c>
      <c r="D1780" s="5" t="str">
        <f>VLOOKUP(C1780,PrefixUebersetzung,2,FALSE)</f>
        <v>Exif.Sony2010e.</v>
      </c>
      <c r="E1780" s="5" t="str">
        <f>MID(F1780,FIND(".",F1780,6)+1,99)</f>
        <v>PictureProfile2</v>
      </c>
      <c r="F1780" s="11" t="s">
        <v>8699</v>
      </c>
      <c r="G1780" s="5" t="s">
        <v>9670</v>
      </c>
      <c r="H1780" s="11" t="s">
        <v>8700</v>
      </c>
      <c r="I1780" s="7" t="s">
        <v>8752</v>
      </c>
      <c r="J1780" s="14" t="s">
        <v>8752</v>
      </c>
      <c r="K1780" s="26"/>
      <c r="N1780" s="6"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c r="O1780" s="6" t="s">
        <v>8574</v>
      </c>
      <c r="P1780" s="6" t="s">
        <v>8574</v>
      </c>
    </row>
    <row r="1781" spans="1:17" x14ac:dyDescent="0.25">
      <c r="A1781" s="5" t="str">
        <f>IF(TRIM(I1781)="","",E1781)</f>
        <v>Quality2</v>
      </c>
      <c r="B1781" s="5" t="str">
        <f>IF(TRIM(J1781)="","",H1781)</f>
        <v>Quality2</v>
      </c>
      <c r="C1781" s="5" t="str">
        <f>LEFT(F1781,FIND(".",F1781,6))</f>
        <v>Exif.Sony2010e.</v>
      </c>
      <c r="D1781" s="5" t="str">
        <f>VLOOKUP(C1781,PrefixUebersetzung,2,FALSE)</f>
        <v>Exif.Sony2010e.</v>
      </c>
      <c r="E1781" s="5" t="str">
        <f>MID(F1781,FIND(".",F1781,6)+1,99)</f>
        <v>Quality2</v>
      </c>
      <c r="F1781" s="11" t="s">
        <v>8701</v>
      </c>
      <c r="G1781" s="5" t="s">
        <v>9670</v>
      </c>
      <c r="H1781" s="11" t="s">
        <v>8702</v>
      </c>
      <c r="I1781" s="24" t="s">
        <v>8753</v>
      </c>
      <c r="J1781" s="8" t="s">
        <v>8753</v>
      </c>
      <c r="K1781" s="26"/>
      <c r="N1781" s="6"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c r="O1781" s="6" t="s">
        <v>8574</v>
      </c>
      <c r="P1781" s="6" t="s">
        <v>8574</v>
      </c>
    </row>
    <row r="1782" spans="1:17" x14ac:dyDescent="0.25">
      <c r="A1782" s="5" t="str">
        <f>IF(TRIM(I1782)="","",E1782)</f>
        <v>ReleaseMode2</v>
      </c>
      <c r="B1782" s="5" t="str">
        <f>IF(TRIM(J1782)="","",H1782)</f>
        <v>ReleaseMode2</v>
      </c>
      <c r="C1782" s="5" t="str">
        <f>LEFT(F1782,FIND(".",F1782,6))</f>
        <v>Exif.Sony2010e.</v>
      </c>
      <c r="D1782" s="5" t="str">
        <f>VLOOKUP(C1782,PrefixUebersetzung,2,FALSE)</f>
        <v>Exif.Sony2010e.</v>
      </c>
      <c r="E1782" s="5" t="str">
        <f>MID(F1782,FIND(".",F1782,6)+1,99)</f>
        <v>ReleaseMode2</v>
      </c>
      <c r="F1782" s="11" t="s">
        <v>8703</v>
      </c>
      <c r="G1782" s="5" t="s">
        <v>9667</v>
      </c>
      <c r="H1782" s="11" t="s">
        <v>8704</v>
      </c>
      <c r="I1782" s="7" t="s">
        <v>8755</v>
      </c>
      <c r="J1782" s="14" t="s">
        <v>8755</v>
      </c>
      <c r="K1782" s="26"/>
      <c r="N1782" s="6"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c r="O1782" s="6" t="s">
        <v>8574</v>
      </c>
      <c r="P1782" s="6" t="s">
        <v>8574</v>
      </c>
    </row>
    <row r="1783" spans="1:17" x14ac:dyDescent="0.25">
      <c r="A1783" s="5" t="str">
        <f>IF(TRIM(I1783)="","",E1783)</f>
        <v>ReleaseMode3</v>
      </c>
      <c r="B1783" s="5" t="str">
        <f>IF(TRIM(J1783)="","",H1783)</f>
        <v>ReleaseMode3</v>
      </c>
      <c r="C1783" s="5" t="str">
        <f>LEFT(F1783,FIND(".",F1783,6))</f>
        <v>Exif.Sony2010e.</v>
      </c>
      <c r="D1783" s="5" t="str">
        <f>VLOOKUP(C1783,PrefixUebersetzung,2,FALSE)</f>
        <v>Exif.Sony2010e.</v>
      </c>
      <c r="E1783" s="5" t="str">
        <f>MID(F1783,FIND(".",F1783,6)+1,99)</f>
        <v>ReleaseMode3</v>
      </c>
      <c r="F1783" s="11" t="s">
        <v>8705</v>
      </c>
      <c r="G1783" s="5" t="s">
        <v>9670</v>
      </c>
      <c r="H1783" s="11" t="s">
        <v>8706</v>
      </c>
      <c r="I1783" s="7" t="s">
        <v>8756</v>
      </c>
      <c r="J1783" s="14" t="s">
        <v>8756</v>
      </c>
      <c r="K1783" s="26"/>
      <c r="N1783" s="6"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c r="O1783" s="6" t="s">
        <v>8574</v>
      </c>
      <c r="P1783" s="6" t="s">
        <v>8574</v>
      </c>
    </row>
    <row r="1784" spans="1:17" x14ac:dyDescent="0.25">
      <c r="A1784" s="5" t="str">
        <f>IF(TRIM(I1784)="","",E1784)</f>
        <v/>
      </c>
      <c r="B1784" s="5" t="str">
        <f>IF(TRIM(J1784)="","",H1784)</f>
        <v>SelfTimer</v>
      </c>
      <c r="C1784" s="5" t="str">
        <f>LEFT(F1784,FIND(".",F1784,6))</f>
        <v>Exif.Sony2010e.</v>
      </c>
      <c r="D1784" s="5" t="str">
        <f>VLOOKUP(C1784,PrefixUebersetzung,2,FALSE)</f>
        <v>Exif.Sony2010e.</v>
      </c>
      <c r="E1784" s="5" t="str">
        <f>MID(F1784,FIND(".",F1784,6)+1,99)</f>
        <v>SelfTimer</v>
      </c>
      <c r="F1784" s="11" t="s">
        <v>8707</v>
      </c>
      <c r="G1784" s="5" t="s">
        <v>9670</v>
      </c>
      <c r="H1784" s="11" t="s">
        <v>8708</v>
      </c>
      <c r="I1784" s="7"/>
      <c r="J1784" s="14" t="s">
        <v>3778</v>
      </c>
      <c r="K1784" s="26"/>
      <c r="L1784" s="6" t="str">
        <f>IFERROR(VLOOKUP(E1784,A:I,9, FALSE),"")</f>
        <v>Selbstauslöser</v>
      </c>
      <c r="N1784" s="6"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c r="P1784" s="6" t="s">
        <v>8574</v>
      </c>
      <c r="Q1784" s="6" t="s">
        <v>9295</v>
      </c>
    </row>
    <row r="1785" spans="1:17" x14ac:dyDescent="0.25">
      <c r="A1785" s="5" t="str">
        <f>IF(TRIM(I1785)="","",E1785)</f>
        <v>SequenceFileNumber</v>
      </c>
      <c r="B1785" s="5" t="str">
        <f>IF(TRIM(J1785)="","",H1785)</f>
        <v>SequenceFileNumber</v>
      </c>
      <c r="C1785" s="5" t="str">
        <f>LEFT(F1785,FIND(".",F1785,6))</f>
        <v>Exif.Sony2010e.</v>
      </c>
      <c r="D1785" s="5" t="str">
        <f>VLOOKUP(C1785,PrefixUebersetzung,2,FALSE)</f>
        <v>Exif.Sony2010e.</v>
      </c>
      <c r="E1785" s="5" t="str">
        <f>MID(F1785,FIND(".",F1785,6)+1,99)</f>
        <v>SequenceFileNumber</v>
      </c>
      <c r="F1785" s="11" t="s">
        <v>8709</v>
      </c>
      <c r="G1785" s="5" t="s">
        <v>9667</v>
      </c>
      <c r="H1785" s="11" t="s">
        <v>8710</v>
      </c>
      <c r="I1785" s="7" t="s">
        <v>8757</v>
      </c>
      <c r="J1785" s="14" t="s">
        <v>8757</v>
      </c>
      <c r="K1785" s="26"/>
      <c r="N1785" s="6"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c r="O1785" s="6" t="s">
        <v>8574</v>
      </c>
      <c r="P1785" s="6" t="s">
        <v>8574</v>
      </c>
    </row>
    <row r="1786" spans="1:17" x14ac:dyDescent="0.25">
      <c r="A1786" s="5" t="str">
        <f>IF(TRIM(I1786)="","",E1786)</f>
        <v>SequenceImageNumber</v>
      </c>
      <c r="B1786" s="5" t="str">
        <f>IF(TRIM(J1786)="","",H1786)</f>
        <v>Sequence Image Number</v>
      </c>
      <c r="C1786" s="5" t="str">
        <f>LEFT(F1786,FIND(".",F1786,6))</f>
        <v>Exif.Sony2010e.</v>
      </c>
      <c r="D1786" s="5" t="str">
        <f>VLOOKUP(C1786,PrefixUebersetzung,2,FALSE)</f>
        <v>Exif.Sony2010e.</v>
      </c>
      <c r="E1786" s="5" t="str">
        <f>MID(F1786,FIND(".",F1786,6)+1,99)</f>
        <v>SequenceImageNumber</v>
      </c>
      <c r="F1786" s="11" t="s">
        <v>8711</v>
      </c>
      <c r="G1786" s="5" t="s">
        <v>9667</v>
      </c>
      <c r="H1786" s="11" t="s">
        <v>8712</v>
      </c>
      <c r="I1786" s="7" t="s">
        <v>8758</v>
      </c>
      <c r="J1786" s="14" t="s">
        <v>8758</v>
      </c>
      <c r="K1786" s="26"/>
      <c r="N1786" s="6"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c r="O1786" s="6" t="s">
        <v>8574</v>
      </c>
      <c r="P1786" s="6" t="s">
        <v>8574</v>
      </c>
    </row>
    <row r="1787" spans="1:17" x14ac:dyDescent="0.25">
      <c r="A1787" s="5" t="str">
        <f>IF(TRIM(I1787)="","",E1787)</f>
        <v>SonyDateTime</v>
      </c>
      <c r="B1787" s="5" t="str">
        <f>IF(TRIM(J1787)="","",H1787)</f>
        <v>SonyDateTime</v>
      </c>
      <c r="C1787" s="5" t="str">
        <f>LEFT(F1787,FIND(".",F1787,6))</f>
        <v>Exif.Sony2010e.</v>
      </c>
      <c r="D1787" s="5" t="str">
        <f>VLOOKUP(C1787,PrefixUebersetzung,2,FALSE)</f>
        <v>Exif.Sony2010e.</v>
      </c>
      <c r="E1787" s="5" t="str">
        <f>MID(F1787,FIND(".",F1787,6)+1,99)</f>
        <v>SonyDateTime</v>
      </c>
      <c r="F1787" s="11" t="s">
        <v>8713</v>
      </c>
      <c r="G1787" s="5" t="s">
        <v>9669</v>
      </c>
      <c r="H1787" s="11" t="s">
        <v>8714</v>
      </c>
      <c r="I1787" s="7" t="s">
        <v>8759</v>
      </c>
      <c r="J1787" s="14" t="s">
        <v>8759</v>
      </c>
      <c r="K1787" s="26"/>
      <c r="N1787" s="6"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c r="O1787" s="6" t="s">
        <v>8574</v>
      </c>
      <c r="P1787" s="6" t="s">
        <v>8574</v>
      </c>
    </row>
    <row r="1788" spans="1:17" x14ac:dyDescent="0.25">
      <c r="A1788" s="5" t="str">
        <f>IF(TRIM(I1788)="","",E1788)</f>
        <v>SonyISO</v>
      </c>
      <c r="B1788" s="5" t="str">
        <f>IF(TRIM(J1788)="","",H1788)</f>
        <v>SonyISO</v>
      </c>
      <c r="C1788" s="5" t="str">
        <f>LEFT(F1788,FIND(".",F1788,6))</f>
        <v>Exif.Sony2010e.</v>
      </c>
      <c r="D1788" s="5" t="str">
        <f>VLOOKUP(C1788,PrefixUebersetzung,2,FALSE)</f>
        <v>Exif.Sony2010e.</v>
      </c>
      <c r="E1788" s="5" t="str">
        <f>MID(F1788,FIND(".",F1788,6)+1,99)</f>
        <v>SonyISO</v>
      </c>
      <c r="F1788" s="11" t="s">
        <v>8715</v>
      </c>
      <c r="G1788" s="5" t="s">
        <v>9664</v>
      </c>
      <c r="H1788" s="11" t="s">
        <v>8716</v>
      </c>
      <c r="I1788" s="7" t="s">
        <v>8760</v>
      </c>
      <c r="J1788" s="14" t="s">
        <v>8760</v>
      </c>
      <c r="K1788" s="26"/>
      <c r="N1788" s="6"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O1788" s="6" t="s">
        <v>8574</v>
      </c>
      <c r="P1788" s="6" t="s">
        <v>8574</v>
      </c>
    </row>
    <row r="1789" spans="1:17" x14ac:dyDescent="0.25">
      <c r="A1789" s="5" t="str">
        <f>IF(TRIM(I1789)="","",E1789)</f>
        <v>SonyISO2</v>
      </c>
      <c r="B1789" s="5" t="str">
        <f>IF(TRIM(J1789)="","",H1789)</f>
        <v>SonyISO2</v>
      </c>
      <c r="C1789" s="5" t="str">
        <f>LEFT(F1789,FIND(".",F1789,6))</f>
        <v>Exif.Sony2010e.</v>
      </c>
      <c r="D1789" s="5" t="str">
        <f>VLOOKUP(C1789,PrefixUebersetzung,2,FALSE)</f>
        <v>Exif.Sony2010e.</v>
      </c>
      <c r="E1789" s="5" t="str">
        <f>MID(F1789,FIND(".",F1789,6)+1,99)</f>
        <v>SonyISO2</v>
      </c>
      <c r="F1789" s="11" t="s">
        <v>8717</v>
      </c>
      <c r="G1789" s="5" t="s">
        <v>9664</v>
      </c>
      <c r="H1789" s="11" t="s">
        <v>8718</v>
      </c>
      <c r="I1789" s="7" t="s">
        <v>8762</v>
      </c>
      <c r="J1789" s="14" t="s">
        <v>8762</v>
      </c>
      <c r="K1789" s="26"/>
      <c r="N1789" s="6"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c r="O1789" s="6" t="s">
        <v>8574</v>
      </c>
      <c r="P1789" s="6" t="s">
        <v>8574</v>
      </c>
    </row>
    <row r="1790" spans="1:17" x14ac:dyDescent="0.25">
      <c r="A1790" s="5" t="str">
        <f>IF(TRIM(I1790)="","",E1790)</f>
        <v>SonyISO3</v>
      </c>
      <c r="B1790" s="5" t="str">
        <f>IF(TRIM(J1790)="","",H1790)</f>
        <v>SonyISO3</v>
      </c>
      <c r="C1790" s="5" t="str">
        <f>LEFT(F1790,FIND(".",F1790,6))</f>
        <v>Exif.Sony2010e.</v>
      </c>
      <c r="D1790" s="5" t="str">
        <f>VLOOKUP(C1790,PrefixUebersetzung,2,FALSE)</f>
        <v>Exif.Sony2010e.</v>
      </c>
      <c r="E1790" s="5" t="str">
        <f>MID(F1790,FIND(".",F1790,6)+1,99)</f>
        <v>SonyISO3</v>
      </c>
      <c r="F1790" s="11" t="s">
        <v>8719</v>
      </c>
      <c r="G1790" s="5" t="s">
        <v>9664</v>
      </c>
      <c r="H1790" s="11" t="s">
        <v>8720</v>
      </c>
      <c r="I1790" s="7" t="s">
        <v>8761</v>
      </c>
      <c r="J1790" s="14" t="s">
        <v>8761</v>
      </c>
      <c r="K1790" s="26"/>
      <c r="N1790" s="6"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c r="O1790" s="6" t="s">
        <v>8574</v>
      </c>
      <c r="P1790" s="6" t="s">
        <v>8574</v>
      </c>
    </row>
    <row r="1791" spans="1:17" x14ac:dyDescent="0.25">
      <c r="A1791" s="5" t="str">
        <f>IF(TRIM(I1791)="","",E1791)</f>
        <v/>
      </c>
      <c r="B1791" s="5" t="str">
        <f>IF(TRIM(J1791)="","",H1791)</f>
        <v/>
      </c>
      <c r="C1791" s="5" t="str">
        <f>LEFT(F1791,FIND(".",F1791,6))</f>
        <v>Exif.Sony2010e.</v>
      </c>
      <c r="D1791" s="5" t="str">
        <f>VLOOKUP(C1791,PrefixUebersetzung,2,FALSE)</f>
        <v>Exif.Sony2010e.</v>
      </c>
      <c r="E1791" s="5" t="str">
        <f>MID(F1791,FIND(".",F1791,6)+1,99)</f>
        <v>StopsAboveBaseISO</v>
      </c>
      <c r="F1791" s="11" t="s">
        <v>8721</v>
      </c>
      <c r="G1791" s="5" t="s">
        <v>9664</v>
      </c>
      <c r="H1791" s="11" t="s">
        <v>8722</v>
      </c>
      <c r="I1791" s="7"/>
      <c r="K1791" s="26"/>
      <c r="N1791" s="6"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xml:space="preserve">Suffix not translated Description not translated </v>
      </c>
      <c r="O1791" s="6" t="s">
        <v>8574</v>
      </c>
      <c r="P1791" s="6" t="s">
        <v>8574</v>
      </c>
    </row>
    <row r="1792" spans="1:17" x14ac:dyDescent="0.25">
      <c r="A1792" s="5" t="str">
        <f>IF(TRIM(I1792)="","",E1792)</f>
        <v>WB_RGBLevels</v>
      </c>
      <c r="B1792" s="5" t="str">
        <f>IF(TRIM(J1792)="","",H1792)</f>
        <v>WB_RGBLevels</v>
      </c>
      <c r="C1792" s="5" t="str">
        <f>LEFT(F1792,FIND(".",F1792,6))</f>
        <v>Exif.Sony2010e.</v>
      </c>
      <c r="D1792" s="5" t="str">
        <f>VLOOKUP(C1792,PrefixUebersetzung,2,FALSE)</f>
        <v>Exif.Sony2010e.</v>
      </c>
      <c r="E1792" s="5" t="str">
        <f>MID(F1792,FIND(".",F1792,6)+1,99)</f>
        <v>WB_RGBLevels</v>
      </c>
      <c r="F1792" s="11" t="s">
        <v>8723</v>
      </c>
      <c r="G1792" s="5" t="s">
        <v>9664</v>
      </c>
      <c r="H1792" s="11" t="s">
        <v>8724</v>
      </c>
      <c r="I1792" s="7" t="s">
        <v>8763</v>
      </c>
      <c r="J1792" s="14" t="s">
        <v>8763</v>
      </c>
      <c r="K1792" s="26"/>
      <c r="N1792" s="6"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c r="O1792" s="6" t="s">
        <v>8574</v>
      </c>
      <c r="P1792" s="6" t="s">
        <v>8574</v>
      </c>
    </row>
    <row r="1793" spans="1:16" x14ac:dyDescent="0.25">
      <c r="A1793" s="5" t="str">
        <f>IF(TRIM(I1793)="","",E1793)</f>
        <v/>
      </c>
      <c r="B1793" s="5" t="str">
        <f>IF(TRIM(J1793)="","",H1793)</f>
        <v/>
      </c>
      <c r="C1793" s="5" t="str">
        <f>LEFT(F1793,FIND(".",F1793,6))</f>
        <v>Exif.Sony2Fp.</v>
      </c>
      <c r="D1793" s="5" t="str">
        <f>VLOOKUP(C1793,PrefixUebersetzung,2,FALSE)</f>
        <v>Exif.Sony2Fp.</v>
      </c>
      <c r="E1793" s="5" t="str">
        <f>MID(F1793,FIND(".",F1793,6)+1,99)</f>
        <v>AFAreaMode</v>
      </c>
      <c r="F1793" s="11" t="s">
        <v>8593</v>
      </c>
      <c r="G1793" s="5" t="s">
        <v>9670</v>
      </c>
      <c r="H1793" s="11" t="s">
        <v>3158</v>
      </c>
      <c r="I1793" s="7"/>
      <c r="J1793" s="8"/>
      <c r="K1793" s="26"/>
      <c r="L1793" s="6" t="str">
        <f>IFERROR(VLOOKUP(E1793,A:I,9, FALSE),"")</f>
        <v>AF Bereich Modus</v>
      </c>
      <c r="M1793" s="6" t="str">
        <f>IFERROR(VLOOKUP(H1793,B:J,9,FALSE),"")</f>
        <v>AF Bereich Modus</v>
      </c>
      <c r="N1793" s="6"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6" x14ac:dyDescent="0.25">
      <c r="A1794" s="5" t="str">
        <f>IF(TRIM(I1794)="","",E1794)</f>
        <v/>
      </c>
      <c r="B1794" s="5" t="str">
        <f>IF(TRIM(J1794)="","",H1794)</f>
        <v>Ambient Temperature</v>
      </c>
      <c r="C1794" s="5" t="str">
        <f>LEFT(F1794,FIND(".",F1794,6))</f>
        <v>Exif.Sony2Fp.</v>
      </c>
      <c r="D1794" s="5" t="str">
        <f>VLOOKUP(C1794,PrefixUebersetzung,2,FALSE)</f>
        <v>Exif.Sony2Fp.</v>
      </c>
      <c r="E1794" s="5" t="str">
        <f>MID(F1794,FIND(".",F1794,6)+1,99)</f>
        <v>AmbientTemperature</v>
      </c>
      <c r="F1794" s="11" t="s">
        <v>8594</v>
      </c>
      <c r="G1794" s="5" t="s">
        <v>9676</v>
      </c>
      <c r="H1794" s="11" t="s">
        <v>8595</v>
      </c>
      <c r="I1794" s="7"/>
      <c r="J1794" s="14" t="s">
        <v>8602</v>
      </c>
      <c r="K1794" s="26"/>
      <c r="L1794" s="6" t="str">
        <f>IFERROR(VLOOKUP(E1794,A:I,9, FALSE),"")</f>
        <v>Umgebungstemperatur</v>
      </c>
      <c r="N1794" s="6"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c r="P1794" s="6" t="s">
        <v>8574</v>
      </c>
    </row>
    <row r="1795" spans="1:16" x14ac:dyDescent="0.25">
      <c r="A1795" s="5" t="str">
        <f>IF(TRIM(I1795)="","",E1795)</f>
        <v/>
      </c>
      <c r="B1795" s="5" t="str">
        <f>IF(TRIM(J1795)="","",H1795)</f>
        <v/>
      </c>
      <c r="C1795" s="5" t="str">
        <f>LEFT(F1795,FIND(".",F1795,6))</f>
        <v>Exif.Sony2Fp.</v>
      </c>
      <c r="D1795" s="5" t="str">
        <f>VLOOKUP(C1795,PrefixUebersetzung,2,FALSE)</f>
        <v>Exif.Sony2Fp.</v>
      </c>
      <c r="E1795" s="5" t="str">
        <f>MID(F1795,FIND(".",F1795,6)+1,99)</f>
        <v>FocusMode</v>
      </c>
      <c r="F1795" s="11" t="s">
        <v>8596</v>
      </c>
      <c r="G1795" s="5" t="s">
        <v>9670</v>
      </c>
      <c r="H1795" s="11" t="s">
        <v>3142</v>
      </c>
      <c r="I1795" s="7"/>
      <c r="J1795" s="8"/>
      <c r="K1795" s="26"/>
      <c r="L1795" s="6" t="str">
        <f>IFERROR(VLOOKUP(E1795,A:I,9, FALSE),"")</f>
        <v>Fokusmodus</v>
      </c>
      <c r="M1795" s="6" t="str">
        <f>IFERROR(VLOOKUP(H1795,B:J,9,FALSE),"")</f>
        <v>Fokusmodus</v>
      </c>
      <c r="N1795" s="6"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6" x14ac:dyDescent="0.25">
      <c r="A1796" s="5" t="str">
        <f>IF(TRIM(I1796)="","",E1796)</f>
        <v>FocusPosition2</v>
      </c>
      <c r="B1796" s="5" t="str">
        <f>IF(TRIM(J1796)="","",H1796)</f>
        <v>Focus Position 2</v>
      </c>
      <c r="C1796" s="5" t="str">
        <f>LEFT(F1796,FIND(".",F1796,6))</f>
        <v>Exif.Sony2Fp.</v>
      </c>
      <c r="D1796" s="5" t="str">
        <f>VLOOKUP(C1796,PrefixUebersetzung,2,FALSE)</f>
        <v>Exif.Sony2Fp.</v>
      </c>
      <c r="E1796" s="5" t="str">
        <f>MID(F1796,FIND(".",F1796,6)+1,99)</f>
        <v>FocusPosition2</v>
      </c>
      <c r="F1796" s="11" t="s">
        <v>8597</v>
      </c>
      <c r="G1796" s="5" t="s">
        <v>9670</v>
      </c>
      <c r="H1796" s="11" t="s">
        <v>8598</v>
      </c>
      <c r="I1796" s="7" t="s">
        <v>8601</v>
      </c>
      <c r="J1796" s="14" t="s">
        <v>8601</v>
      </c>
      <c r="K1796" s="26"/>
      <c r="N1796" s="6"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c r="O1796" s="6" t="s">
        <v>8574</v>
      </c>
      <c r="P1796" s="6" t="s">
        <v>8574</v>
      </c>
    </row>
    <row r="1797" spans="1:16" ht="75" x14ac:dyDescent="0.25">
      <c r="A1797" s="5" t="str">
        <f>IF(TRIM(I1797)="","",E1797)</f>
        <v/>
      </c>
      <c r="B1797" s="5" t="str">
        <f>IF(TRIM(J1797)="","",H1797)</f>
        <v/>
      </c>
      <c r="C1797" s="5" t="str">
        <f>LEFT(F1797,FIND(".",F1797,6))</f>
        <v>Exif.Thumbnail.</v>
      </c>
      <c r="D1797" s="5" t="str">
        <f>VLOOKUP(C1797,PrefixUebersetzung,2,FALSE)</f>
        <v>Exif.Vorschaubild.</v>
      </c>
      <c r="E1797" s="5" t="str">
        <f>MID(F1797,FIND(".",F1797,6)+1,99)</f>
        <v>ActiveArea</v>
      </c>
      <c r="F1797" s="2" t="s">
        <v>8051</v>
      </c>
      <c r="G1797" s="5" t="s">
        <v>9664</v>
      </c>
      <c r="H1797" s="3" t="s">
        <v>2318</v>
      </c>
      <c r="I1797" s="7"/>
      <c r="J1797" s="8"/>
      <c r="K1797" s="26"/>
      <c r="L1797" s="6" t="str">
        <f>IFERROR(VLOOKUP(E1797,A:I,9, FALSE),"")</f>
        <v>Aktiver Bereich</v>
      </c>
      <c r="M1797" s="6" t="str">
        <f>IFERROR(VLOOKUP(H1797,B:J,9,FALSE),"")</f>
        <v>Dieses Rechteck definiert die aktive (nicht maskierten) Pixel des Sensors. Die Reihenfolge der Rechteck-Koordinaten ist: oben, links, unten, rechts.</v>
      </c>
      <c r="N1797" s="6"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6" ht="285" x14ac:dyDescent="0.25">
      <c r="A1798" s="5" t="str">
        <f>IF(TRIM(I1798)="","",E1798)</f>
        <v/>
      </c>
      <c r="B1798" s="5" t="str">
        <f>IF(TRIM(J1798)="","",H1798)</f>
        <v/>
      </c>
      <c r="C1798" s="5" t="str">
        <f>LEFT(F1798,FIND(".",F1798,6))</f>
        <v>Exif.Thumbnail.</v>
      </c>
      <c r="D1798" s="5" t="str">
        <f>VLOOKUP(C1798,PrefixUebersetzung,2,FALSE)</f>
        <v>Exif.Vorschaubild.</v>
      </c>
      <c r="E1798" s="5" t="str">
        <f>MID(F1798,FIND(".",F1798,6)+1,99)</f>
        <v>AnalogBalance</v>
      </c>
      <c r="F1798" s="2" t="s">
        <v>8052</v>
      </c>
      <c r="G1798" s="5" t="s">
        <v>9671</v>
      </c>
      <c r="H1798" s="3" t="s">
        <v>2319</v>
      </c>
      <c r="I1798" s="7"/>
      <c r="J1798" s="8"/>
      <c r="K1798" s="26"/>
      <c r="L1798" s="6" t="str">
        <f>IFERROR(VLOOKUP(E1798,A:I,9, FALSE),"")</f>
        <v>Analog Ausgleich</v>
      </c>
      <c r="M1798" s="6" t="str">
        <f>IFERROR(INDEX(J:J,MATCH(TRUE,INDEX(B:B=H1798,0),0)),"")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1798" s="6"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6" ht="150" x14ac:dyDescent="0.25">
      <c r="A1799" s="5" t="str">
        <f>IF(TRIM(I1799)="","",E1799)</f>
        <v/>
      </c>
      <c r="B1799" s="5" t="str">
        <f>IF(TRIM(J1799)="","",H1799)</f>
        <v/>
      </c>
      <c r="C1799" s="5" t="str">
        <f>LEFT(F1799,FIND(".",F1799,6))</f>
        <v>Exif.Thumbnail.</v>
      </c>
      <c r="D1799" s="5" t="str">
        <f>VLOOKUP(C1799,PrefixUebersetzung,2,FALSE)</f>
        <v>Exif.Vorschaubild.</v>
      </c>
      <c r="E1799" s="5" t="str">
        <f>MID(F1799,FIND(".",F1799,6)+1,99)</f>
        <v>AntiAliasStrength</v>
      </c>
      <c r="F1799" s="2" t="s">
        <v>8053</v>
      </c>
      <c r="G1799" s="5" t="s">
        <v>9671</v>
      </c>
      <c r="H1799" s="3" t="s">
        <v>2320</v>
      </c>
      <c r="I1799" s="7"/>
      <c r="J1799" s="8"/>
      <c r="K1799" s="26"/>
      <c r="L1799" s="6" t="str">
        <f>IFERROR(VLOOKUP(E1799,A:I,9, FALSE),"")</f>
        <v>Anti-Alias Stärke</v>
      </c>
      <c r="M1799" s="6" t="str">
        <f>IFERROR(INDEX(J:J,MATCH(TRUE,INDEX(B:B=H1799,0),0)),"")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1799" s="6"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row>
    <row r="1800" spans="1:16" x14ac:dyDescent="0.25">
      <c r="A1800" s="5" t="str">
        <f>IF(TRIM(I1800)="","",E1800)</f>
        <v/>
      </c>
      <c r="B1800" s="5" t="str">
        <f>IF(TRIM(J1800)="","",H1800)</f>
        <v/>
      </c>
      <c r="C1800" s="5" t="str">
        <f>LEFT(F1800,FIND(".",F1800,6))</f>
        <v>Exif.Thumbnail.</v>
      </c>
      <c r="D1800" s="5" t="str">
        <f>VLOOKUP(C1800,PrefixUebersetzung,2,FALSE)</f>
        <v>Exif.Vorschaubild.</v>
      </c>
      <c r="E1800" s="5" t="str">
        <f>MID(F1800,FIND(".",F1800,6)+1,99)</f>
        <v>ApertureValue</v>
      </c>
      <c r="F1800" s="2" t="s">
        <v>8054</v>
      </c>
      <c r="G1800" s="5" t="s">
        <v>9671</v>
      </c>
      <c r="H1800" s="3" t="s">
        <v>2321</v>
      </c>
      <c r="I1800" s="7"/>
      <c r="J1800" s="8"/>
      <c r="K1800" s="26"/>
      <c r="L1800" s="6" t="str">
        <f>IFERROR(VLOOKUP(E1800,A:I,9, FALSE),"")</f>
        <v>Blende</v>
      </c>
      <c r="M1800" s="6" t="str">
        <f>IFERROR(VLOOKUP(H1800,B:J,9,FALSE),"")</f>
        <v>Blendenöffnung</v>
      </c>
      <c r="N1800" s="6"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row>
    <row r="1801" spans="1:16" ht="180" x14ac:dyDescent="0.25">
      <c r="A1801" s="5" t="str">
        <f>IF(TRIM(I1801)="","",E1801)</f>
        <v/>
      </c>
      <c r="B1801" s="5" t="str">
        <f>IF(TRIM(J1801)="","",H1801)</f>
        <v/>
      </c>
      <c r="C1801" s="5" t="str">
        <f>LEFT(F1801,FIND(".",F1801,6))</f>
        <v>Exif.Thumbnail.</v>
      </c>
      <c r="D1801" s="5" t="str">
        <f>VLOOKUP(C1801,PrefixUebersetzung,2,FALSE)</f>
        <v>Exif.Vorschaubild.</v>
      </c>
      <c r="E1801" s="5" t="str">
        <f>MID(F1801,FIND(".",F1801,6)+1,99)</f>
        <v>Artist</v>
      </c>
      <c r="F1801" s="2" t="s">
        <v>8055</v>
      </c>
      <c r="G1801" s="5" t="s">
        <v>9666</v>
      </c>
      <c r="H1801" s="3" t="s">
        <v>2322</v>
      </c>
      <c r="I1801" s="7"/>
      <c r="J1801" s="8"/>
      <c r="K1801" s="26"/>
      <c r="L1801" s="6" t="str">
        <f>IFERROR(VLOOKUP(E1801,A:I,9, FALSE),"")</f>
        <v>Künstler</v>
      </c>
      <c r="M1801" s="6" t="str">
        <f>IFERROR(INDEX(J:J,MATCH(TRUE,INDEX(B:B=H1801,0),0)),"")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1801" s="6"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row>
    <row r="1802" spans="1:16" ht="315" x14ac:dyDescent="0.25">
      <c r="A1802" s="5" t="str">
        <f>IF(TRIM(I1802)="","",E1802)</f>
        <v/>
      </c>
      <c r="B1802" s="5" t="str">
        <f>IF(TRIM(J1802)="","",H1802)</f>
        <v/>
      </c>
      <c r="C1802" s="5" t="str">
        <f>LEFT(F1802,FIND(".",F1802,6))</f>
        <v>Exif.Thumbnail.</v>
      </c>
      <c r="D1802" s="5" t="str">
        <f>VLOOKUP(C1802,PrefixUebersetzung,2,FALSE)</f>
        <v>Exif.Vorschaubild.</v>
      </c>
      <c r="E1802" s="5" t="str">
        <f>MID(F1802,FIND(".",F1802,6)+1,99)</f>
        <v>AsShotICCProfile</v>
      </c>
      <c r="F1802" s="2" t="s">
        <v>8056</v>
      </c>
      <c r="G1802" s="5" t="s">
        <v>9669</v>
      </c>
      <c r="H1802" s="3" t="s">
        <v>2323</v>
      </c>
      <c r="I1802" s="7"/>
      <c r="J1802" s="8"/>
      <c r="K1802" s="26"/>
      <c r="L1802" s="6" t="str">
        <f>IFERROR(VLOOKUP(E1802,A:I,9, FALSE),"")</f>
        <v>AsShot ICC Profil</v>
      </c>
      <c r="M1802" s="6" t="str">
        <f>IFERROR(INDEX(J:J,MATCH(TRUE,INDEX(B:B=H1802,0),0)),"")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1802" s="6"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row>
    <row r="1803" spans="1:16" ht="120" x14ac:dyDescent="0.25">
      <c r="A1803" s="5" t="str">
        <f>IF(TRIM(I1803)="","",E1803)</f>
        <v/>
      </c>
      <c r="B1803" s="5" t="str">
        <f>IF(TRIM(J1803)="","",H1803)</f>
        <v/>
      </c>
      <c r="C1803" s="5" t="str">
        <f>LEFT(F1803,FIND(".",F1803,6))</f>
        <v>Exif.Thumbnail.</v>
      </c>
      <c r="D1803" s="5" t="str">
        <f>VLOOKUP(C1803,PrefixUebersetzung,2,FALSE)</f>
        <v>Exif.Vorschaubild.</v>
      </c>
      <c r="E1803" s="5" t="str">
        <f>MID(F1803,FIND(".",F1803,6)+1,99)</f>
        <v>AsShotNeutral</v>
      </c>
      <c r="F1803" s="2" t="s">
        <v>8057</v>
      </c>
      <c r="G1803" s="5" t="s">
        <v>9664</v>
      </c>
      <c r="H1803" s="3" t="s">
        <v>2324</v>
      </c>
      <c r="I1803" s="7"/>
      <c r="J1803" s="8"/>
      <c r="K1803" s="26"/>
      <c r="L1803" s="6" t="str">
        <f>IFERROR(VLOOKUP(E1803,A:I,9, FALSE),"")</f>
        <v>AsShot Neutral</v>
      </c>
      <c r="M1803" s="6" t="str">
        <f>IFERROR(VLOOKUP(H1803,B:J,9,FALSE),"")</f>
        <v>Gibt den ausgewählten Weißabgleich zum Zeitpunkt der Aufnahme, kodiert als  die Koordinaten einer vollkommen neutrale Farbe im linearen Bezugsraum. Die Einbeziehung dieses Tags setzt die Einbeziehung des AsShotWhiteXY Tags voraus.</v>
      </c>
      <c r="N1803" s="6"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row>
    <row r="1804" spans="1:16" ht="240" x14ac:dyDescent="0.25">
      <c r="A1804" s="5" t="str">
        <f>IF(TRIM(I1804)="","",E1804)</f>
        <v/>
      </c>
      <c r="B1804" s="5" t="str">
        <f>IF(TRIM(J1804)="","",H1804)</f>
        <v/>
      </c>
      <c r="C1804" s="5" t="str">
        <f>LEFT(F1804,FIND(".",F1804,6))</f>
        <v>Exif.Thumbnail.</v>
      </c>
      <c r="D1804" s="5" t="str">
        <f>VLOOKUP(C1804,PrefixUebersetzung,2,FALSE)</f>
        <v>Exif.Vorschaubild.</v>
      </c>
      <c r="E1804" s="5" t="str">
        <f>MID(F1804,FIND(".",F1804,6)+1,99)</f>
        <v>AsShotPreProfileMatrix</v>
      </c>
      <c r="F1804" s="2" t="s">
        <v>8058</v>
      </c>
      <c r="G1804" s="5" t="s">
        <v>9672</v>
      </c>
      <c r="H1804" s="3" t="s">
        <v>2325</v>
      </c>
      <c r="I1804" s="7"/>
      <c r="J1804" s="8"/>
      <c r="K1804" s="26"/>
      <c r="L1804" s="6" t="str">
        <f>IFERROR(VLOOKUP(E1804,A:I,9, FALSE),"")</f>
        <v>AsShot PreProfil Matrix</v>
      </c>
      <c r="M1804" s="6" t="str">
        <f>IFERROR(INDEX(J:J,MATCH(TRUE,INDEX(B:B=H1804,0),0)),"")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1804" s="6"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row>
    <row r="1805" spans="1:16" ht="45" x14ac:dyDescent="0.25">
      <c r="A1805" s="5" t="str">
        <f>IF(TRIM(I1805)="","",E1805)</f>
        <v/>
      </c>
      <c r="B1805" s="5" t="str">
        <f>IF(TRIM(J1805)="","",H1805)</f>
        <v/>
      </c>
      <c r="C1805" s="5" t="str">
        <f>LEFT(F1805,FIND(".",F1805,6))</f>
        <v>Exif.Thumbnail.</v>
      </c>
      <c r="D1805" s="5" t="str">
        <f>VLOOKUP(C1805,PrefixUebersetzung,2,FALSE)</f>
        <v>Exif.Vorschaubild.</v>
      </c>
      <c r="E1805" s="5" t="str">
        <f>MID(F1805,FIND(".",F1805,6)+1,99)</f>
        <v>AsShotProfileName</v>
      </c>
      <c r="F1805" s="2" t="s">
        <v>8059</v>
      </c>
      <c r="G1805" s="5" t="s">
        <v>9670</v>
      </c>
      <c r="H1805" s="3" t="s">
        <v>2326</v>
      </c>
      <c r="I1805" s="7"/>
      <c r="J1805" s="8"/>
      <c r="K1805" s="26"/>
      <c r="L1805" s="6" t="str">
        <f>IFERROR(VLOOKUP(E1805,A:I,9, FALSE),"")</f>
        <v>AsShot Profil Name</v>
      </c>
      <c r="M1805" s="6" t="str">
        <f>IFERROR(VLOOKUP(H1805,B:J,9,FALSE),"")</f>
        <v>Ein UTF-8-codierte Zeichenfolge mit dem Namen des "As Shot"-Kamera-Profil, falls vorhanden.</v>
      </c>
      <c r="N1805" s="6"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row>
    <row r="1806" spans="1:16" ht="90" x14ac:dyDescent="0.25">
      <c r="A1806" s="5" t="str">
        <f>IF(TRIM(I1806)="","",E1806)</f>
        <v/>
      </c>
      <c r="B1806" s="5" t="str">
        <f>IF(TRIM(J1806)="","",H1806)</f>
        <v/>
      </c>
      <c r="C1806" s="5" t="str">
        <f>LEFT(F1806,FIND(".",F1806,6))</f>
        <v>Exif.Thumbnail.</v>
      </c>
      <c r="D1806" s="5" t="str">
        <f>VLOOKUP(C1806,PrefixUebersetzung,2,FALSE)</f>
        <v>Exif.Vorschaubild.</v>
      </c>
      <c r="E1806" s="5" t="str">
        <f>MID(F1806,FIND(".",F1806,6)+1,99)</f>
        <v>AsShotWhiteXY</v>
      </c>
      <c r="F1806" s="2" t="s">
        <v>8060</v>
      </c>
      <c r="G1806" s="5" t="s">
        <v>9671</v>
      </c>
      <c r="H1806" s="3" t="s">
        <v>2327</v>
      </c>
      <c r="I1806" s="7"/>
      <c r="J1806" s="8"/>
      <c r="K1806" s="26"/>
      <c r="L1806" s="6" t="str">
        <f>IFERROR(VLOOKUP(E1806,A:I,9, FALSE),"")</f>
        <v>AsShot Weiß XY</v>
      </c>
      <c r="M1806" s="6" t="str">
        <f>IFERROR(VLOOKUP(H1806,B:J,9,FALSE),"")</f>
        <v>Gibt den ausgewählten Weißabgleich zum Zeitpunkt der Aufnahme, als xy Farbwertkoordinaten kodiert. Die Einbeziehung dieses Tags setzt die Einbeziehung des AsShotNeutral Tags voraus.</v>
      </c>
      <c r="N1806" s="6"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row>
    <row r="1807" spans="1:16" ht="409.5" x14ac:dyDescent="0.25">
      <c r="A1807" s="5" t="str">
        <f>IF(TRIM(I1807)="","",E1807)</f>
        <v/>
      </c>
      <c r="B1807" s="5" t="str">
        <f>IF(TRIM(J1807)="","",H1807)</f>
        <v/>
      </c>
      <c r="C1807" s="5" t="str">
        <f>LEFT(F1807,FIND(".",F1807,6))</f>
        <v>Exif.Thumbnail.</v>
      </c>
      <c r="D1807" s="5" t="str">
        <f>VLOOKUP(C1807,PrefixUebersetzung,2,FALSE)</f>
        <v>Exif.Vorschaubild.</v>
      </c>
      <c r="E1807" s="5" t="str">
        <f>MID(F1807,FIND(".",F1807,6)+1,99)</f>
        <v>BaselineExposure</v>
      </c>
      <c r="F1807" s="2" t="s">
        <v>8061</v>
      </c>
      <c r="G1807" s="5" t="s">
        <v>9672</v>
      </c>
      <c r="H1807" s="3" t="s">
        <v>2328</v>
      </c>
      <c r="I1807" s="7"/>
      <c r="J1807" s="8"/>
      <c r="K1807" s="26"/>
      <c r="L1807" s="6" t="str">
        <f>IFERROR(VLOOKUP(E1807,A:I,9, FALSE),"")</f>
        <v>Basis-Belichtung</v>
      </c>
      <c r="M1807" s="6" t="str">
        <f>IFERROR(INDEX(J:J,MATCH(TRUE,INDEX(B:B=H1807,0),0)),"")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1807" s="6"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row>
    <row r="1808" spans="1:16" ht="165" x14ac:dyDescent="0.25">
      <c r="A1808" s="5" t="str">
        <f>IF(TRIM(I1808)="","",E1808)</f>
        <v/>
      </c>
      <c r="B1808" s="5" t="str">
        <f>IF(TRIM(J1808)="","",H1808)</f>
        <v/>
      </c>
      <c r="C1808" s="5" t="str">
        <f>LEFT(F1808,FIND(".",F1808,6))</f>
        <v>Exif.Thumbnail.</v>
      </c>
      <c r="D1808" s="5" t="str">
        <f>VLOOKUP(C1808,PrefixUebersetzung,2,FALSE)</f>
        <v>Exif.Vorschaubild.</v>
      </c>
      <c r="E1808" s="5" t="str">
        <f>MID(F1808,FIND(".",F1808,6)+1,99)</f>
        <v>BaselineNoise</v>
      </c>
      <c r="F1808" s="2" t="s">
        <v>8062</v>
      </c>
      <c r="G1808" s="5" t="s">
        <v>9671</v>
      </c>
      <c r="H1808" s="3" t="s">
        <v>2329</v>
      </c>
      <c r="I1808" s="7"/>
      <c r="J1808" s="8"/>
      <c r="K1808" s="26"/>
      <c r="L1808" s="6" t="str">
        <f>IFERROR(VLOOKUP(E1808,A:I,9, FALSE),"")</f>
        <v>Basis-Rauschen</v>
      </c>
      <c r="M1808" s="6" t="str">
        <f>IFERROR(INDEX(J:J,MATCH(TRUE,INDEX(B:B=H1808,0),0)),"")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1808" s="6"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row>
    <row r="1809" spans="1:14" ht="150" x14ac:dyDescent="0.25">
      <c r="A1809" s="5" t="str">
        <f>IF(TRIM(I1809)="","",E1809)</f>
        <v/>
      </c>
      <c r="B1809" s="5" t="str">
        <f>IF(TRIM(J1809)="","",H1809)</f>
        <v/>
      </c>
      <c r="C1809" s="5" t="str">
        <f>LEFT(F1809,FIND(".",F1809,6))</f>
        <v>Exif.Thumbnail.</v>
      </c>
      <c r="D1809" s="5" t="str">
        <f>VLOOKUP(C1809,PrefixUebersetzung,2,FALSE)</f>
        <v>Exif.Vorschaubild.</v>
      </c>
      <c r="E1809" s="5" t="str">
        <f>MID(F1809,FIND(".",F1809,6)+1,99)</f>
        <v>BaselineSharpness</v>
      </c>
      <c r="F1809" s="2" t="s">
        <v>8063</v>
      </c>
      <c r="G1809" s="5" t="s">
        <v>9671</v>
      </c>
      <c r="H1809" s="3" t="s">
        <v>2330</v>
      </c>
      <c r="I1809" s="7"/>
      <c r="J1809" s="8"/>
      <c r="K1809" s="26"/>
      <c r="L1809" s="6" t="str">
        <f>IFERROR(VLOOKUP(E1809,A:I,9, FALSE),"")</f>
        <v>Basis-Schärfe</v>
      </c>
      <c r="M1809" s="6" t="str">
        <f>IFERROR(INDEX(J:J,MATCH(TRUE,INDEX(B:B=H1809,0),0)),"")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1809" s="6"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row>
    <row r="1810" spans="1:14" ht="45" x14ac:dyDescent="0.25">
      <c r="A1810" s="5" t="str">
        <f>IF(TRIM(I1810)="","",E1810)</f>
        <v/>
      </c>
      <c r="B1810" s="5" t="str">
        <f>IF(TRIM(J1810)="","",H1810)</f>
        <v/>
      </c>
      <c r="C1810" s="5" t="str">
        <f>LEFT(F1810,FIND(".",F1810,6))</f>
        <v>Exif.Thumbnail.</v>
      </c>
      <c r="D1810" s="5" t="str">
        <f>VLOOKUP(C1810,PrefixUebersetzung,2,FALSE)</f>
        <v>Exif.Vorschaubild.</v>
      </c>
      <c r="E1810" s="5" t="str">
        <f>MID(F1810,FIND(".",F1810,6)+1,99)</f>
        <v>BatteryLevel</v>
      </c>
      <c r="F1810" s="2" t="s">
        <v>8064</v>
      </c>
      <c r="G1810" s="5" t="s">
        <v>9671</v>
      </c>
      <c r="H1810" s="3" t="s">
        <v>2331</v>
      </c>
      <c r="I1810" s="7"/>
      <c r="J1810" s="8"/>
      <c r="K1810" s="26"/>
      <c r="L1810" s="6" t="str">
        <f>IFERROR(VLOOKUP(E1810,A:I,9, FALSE),"")</f>
        <v>Batterie Ladezustand</v>
      </c>
      <c r="M1810" s="6" t="str">
        <f>IFERROR(VLOOKUP(H1810,B:J,9,FALSE),"")</f>
        <v>Enthält einen Wert des Ladezustandes der Batterie als einen Bruch oder Zeichenkette.</v>
      </c>
      <c r="N1810" s="6"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row>
    <row r="1811" spans="1:14" ht="210" x14ac:dyDescent="0.25">
      <c r="A1811" s="5" t="str">
        <f>IF(TRIM(I1811)="","",E1811)</f>
        <v/>
      </c>
      <c r="B1811" s="5" t="str">
        <f>IF(TRIM(J1811)="","",H1811)</f>
        <v/>
      </c>
      <c r="C1811" s="5" t="str">
        <f>LEFT(F1811,FIND(".",F1811,6))</f>
        <v>Exif.Thumbnail.</v>
      </c>
      <c r="D1811" s="5" t="str">
        <f>VLOOKUP(C1811,PrefixUebersetzung,2,FALSE)</f>
        <v>Exif.Vorschaubild.</v>
      </c>
      <c r="E1811" s="5" t="str">
        <f>MID(F1811,FIND(".",F1811,6)+1,99)</f>
        <v>BayerGreenSplit</v>
      </c>
      <c r="F1811" s="2" t="s">
        <v>8065</v>
      </c>
      <c r="G1811" s="5" t="s">
        <v>9667</v>
      </c>
      <c r="H1811" s="3" t="s">
        <v>2332</v>
      </c>
      <c r="I1811" s="7"/>
      <c r="J1811" s="8"/>
      <c r="K1811" s="26"/>
      <c r="L1811" s="6" t="str">
        <f>IFERROR(VLOOKUP(E1811,A:I,9, FALSE),"")</f>
        <v/>
      </c>
      <c r="M1811" s="6" t="str">
        <f>IFERROR(INDEX(J:J,MATCH(TRUE,INDEX(B:B=H1811,0),0)),"")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1811" s="6"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xml:space="preserve">Suffix not translated </v>
      </c>
    </row>
    <row r="1812" spans="1:14" ht="180" x14ac:dyDescent="0.25">
      <c r="A1812" s="5" t="str">
        <f>IF(TRIM(I1812)="","",E1812)</f>
        <v/>
      </c>
      <c r="B1812" s="5" t="str">
        <f>IF(TRIM(J1812)="","",H1812)</f>
        <v/>
      </c>
      <c r="C1812" s="5" t="str">
        <f>LEFT(F1812,FIND(".",F1812,6))</f>
        <v>Exif.Thumbnail.</v>
      </c>
      <c r="D1812" s="5" t="str">
        <f>VLOOKUP(C1812,PrefixUebersetzung,2,FALSE)</f>
        <v>Exif.Vorschaubild.</v>
      </c>
      <c r="E1812" s="5" t="str">
        <f>MID(F1812,FIND(".",F1812,6)+1,99)</f>
        <v>BestQualityScale</v>
      </c>
      <c r="F1812" s="2" t="s">
        <v>8066</v>
      </c>
      <c r="G1812" s="5" t="s">
        <v>9671</v>
      </c>
      <c r="H1812" s="3" t="s">
        <v>2333</v>
      </c>
      <c r="I1812" s="7"/>
      <c r="J1812" s="8"/>
      <c r="K1812" s="26"/>
      <c r="L1812" s="6" t="str">
        <f>IFERROR(VLOOKUP(E1812,A:I,9, FALSE),"")</f>
        <v>Beste Qualität Verhältnis</v>
      </c>
      <c r="M1812" s="6" t="str">
        <f>IFERROR(INDEX(J:J,MATCH(TRUE,INDEX(B:B=H1812,0),0)),"")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1812" s="6"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row>
    <row r="1813" spans="1:14" ht="120" x14ac:dyDescent="0.25">
      <c r="A1813" s="5" t="str">
        <f>IF(TRIM(I1813)="","",E1813)</f>
        <v/>
      </c>
      <c r="B1813" s="5" t="str">
        <f>IF(TRIM(J1813)="","",H1813)</f>
        <v/>
      </c>
      <c r="C1813" s="5" t="str">
        <f>LEFT(F1813,FIND(".",F1813,6))</f>
        <v>Exif.Thumbnail.</v>
      </c>
      <c r="D1813" s="5" t="str">
        <f>VLOOKUP(C1813,PrefixUebersetzung,2,FALSE)</f>
        <v>Exif.Vorschaubild.</v>
      </c>
      <c r="E1813" s="5" t="str">
        <f>MID(F1813,FIND(".",F1813,6)+1,99)</f>
        <v>BitsPerSample</v>
      </c>
      <c r="F1813" s="2" t="s">
        <v>8067</v>
      </c>
      <c r="G1813" s="5" t="s">
        <v>9664</v>
      </c>
      <c r="H1813" s="3" t="s">
        <v>2334</v>
      </c>
      <c r="I1813" s="7"/>
      <c r="J1813" s="8"/>
      <c r="K1813" s="26"/>
      <c r="L1813" s="6" t="str">
        <f>IFERROR(VLOOKUP(E1813,A:I,9, FALSE),"")</f>
        <v>Bits pro Probe</v>
      </c>
      <c r="M1813" s="6" t="str">
        <f>IFERROR(VLOOKUP(H1813,B:J,9,FALSE),"")</f>
        <v>Die Anzahl der Bits pro Bildkomponente. In dieser Norm enthält das Tag den Wert 8, wenn jede Komponente des Bildes 8 Bit ist. Siehe auch &lt;SamplesPerPixel&gt;. In JPEG komprimierten Daten wird ein JPEG Marker anstelle dieses Tags verwendet.</v>
      </c>
      <c r="N1813" s="6"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row>
    <row r="1814" spans="1:14" ht="120" x14ac:dyDescent="0.25">
      <c r="A1814" s="5" t="str">
        <f>IF(TRIM(I1814)="","",E1814)</f>
        <v/>
      </c>
      <c r="B1814" s="5" t="str">
        <f>IF(TRIM(J1814)="","",H1814)</f>
        <v/>
      </c>
      <c r="C1814" s="5" t="str">
        <f>LEFT(F1814,FIND(".",F1814,6))</f>
        <v>Exif.Thumbnail.</v>
      </c>
      <c r="D1814" s="5" t="str">
        <f>VLOOKUP(C1814,PrefixUebersetzung,2,FALSE)</f>
        <v>Exif.Vorschaubild.</v>
      </c>
      <c r="E1814" s="5" t="str">
        <f>MID(F1814,FIND(".",F1814,6)+1,99)</f>
        <v>BlackLevel</v>
      </c>
      <c r="F1814" s="2" t="s">
        <v>8068</v>
      </c>
      <c r="G1814" s="5" t="s">
        <v>9671</v>
      </c>
      <c r="H1814" s="3" t="s">
        <v>2335</v>
      </c>
      <c r="I1814" s="7"/>
      <c r="J1814" s="8"/>
      <c r="K1814" s="26"/>
      <c r="L1814" s="6" t="str">
        <f>IFERROR(VLOOKUP(E1814,A:I,9, FALSE),"")</f>
        <v>Schwarzwert</v>
      </c>
      <c r="M1814" s="6" t="str">
        <f>IFERROR(VLOOKUP(H1814,B:J,9,FALSE),"")</f>
        <v>Gibt die Kodierungs-Ebene für Null-Licht (auch: thermisch schwarz oder Schwarz-Strom) als ein sich wiederholendes Muster an. Der Ursprung dieses Musters ist die linke obere Ecke des ActiveArea-Rechtecks. Die Werte sind in Zeilen-Spalten-Abtast-Reihenfolge gespeichert.</v>
      </c>
      <c r="N1814" s="6"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row>
    <row r="1815" spans="1:14" ht="135" x14ac:dyDescent="0.25">
      <c r="A1815" s="5" t="str">
        <f>IF(TRIM(I1815)="","",E1815)</f>
        <v/>
      </c>
      <c r="B1815" s="5" t="str">
        <f>IF(TRIM(J1815)="","",H1815)</f>
        <v/>
      </c>
      <c r="C1815" s="5" t="str">
        <f>LEFT(F1815,FIND(".",F1815,6))</f>
        <v>Exif.Thumbnail.</v>
      </c>
      <c r="D1815" s="5" t="str">
        <f>VLOOKUP(C1815,PrefixUebersetzung,2,FALSE)</f>
        <v>Exif.Vorschaubild.</v>
      </c>
      <c r="E1815" s="5" t="str">
        <f>MID(F1815,FIND(".",F1815,6)+1,99)</f>
        <v>BlackLevelDeltaH</v>
      </c>
      <c r="F1815" s="2" t="s">
        <v>8069</v>
      </c>
      <c r="G1815" s="5" t="s">
        <v>9672</v>
      </c>
      <c r="H1815" s="3" t="s">
        <v>2336</v>
      </c>
      <c r="I1815" s="7"/>
      <c r="J1815" s="8"/>
      <c r="K1815" s="26"/>
      <c r="L1815" s="6" t="str">
        <f>IFERROR(VLOOKUP(E1815,A:I,9, FALSE),"")</f>
        <v>Schwarzwert Delta H</v>
      </c>
      <c r="M1815" s="6" t="str">
        <f>IFERROR(INDEX(J:J,MATCH(TRUE,INDEX(B:B=H1815,0),0)),"")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1815" s="6"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row>
    <row r="1816" spans="1:14" ht="135" x14ac:dyDescent="0.25">
      <c r="A1816" s="5" t="str">
        <f>IF(TRIM(I1816)="","",E1816)</f>
        <v/>
      </c>
      <c r="B1816" s="5" t="str">
        <f>IF(TRIM(J1816)="","",H1816)</f>
        <v/>
      </c>
      <c r="C1816" s="5" t="str">
        <f>LEFT(F1816,FIND(".",F1816,6))</f>
        <v>Exif.Thumbnail.</v>
      </c>
      <c r="D1816" s="5" t="str">
        <f>VLOOKUP(C1816,PrefixUebersetzung,2,FALSE)</f>
        <v>Exif.Vorschaubild.</v>
      </c>
      <c r="E1816" s="5" t="str">
        <f>MID(F1816,FIND(".",F1816,6)+1,99)</f>
        <v>BlackLevelDeltaV</v>
      </c>
      <c r="F1816" s="2" t="s">
        <v>8070</v>
      </c>
      <c r="G1816" s="5" t="s">
        <v>9672</v>
      </c>
      <c r="H1816" s="3" t="s">
        <v>2337</v>
      </c>
      <c r="I1816" s="7"/>
      <c r="J1816" s="8"/>
      <c r="K1816" s="26"/>
      <c r="L1816" s="6" t="str">
        <f>IFERROR(VLOOKUP(E1816,A:I,9, FALSE),"")</f>
        <v>Schwarzwert Delta V</v>
      </c>
      <c r="M1816" s="6" t="str">
        <f>IFERROR(INDEX(J:J,MATCH(TRUE,INDEX(B:B=H1816,0),0)),"")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1816" s="6"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row>
    <row r="1817" spans="1:14" ht="45" x14ac:dyDescent="0.25">
      <c r="A1817" s="5" t="str">
        <f>IF(TRIM(I1817)="","",E1817)</f>
        <v/>
      </c>
      <c r="B1817" s="5" t="str">
        <f>IF(TRIM(J1817)="","",H1817)</f>
        <v/>
      </c>
      <c r="C1817" s="5" t="str">
        <f>LEFT(F1817,FIND(".",F1817,6))</f>
        <v>Exif.Thumbnail.</v>
      </c>
      <c r="D1817" s="5" t="str">
        <f>VLOOKUP(C1817,PrefixUebersetzung,2,FALSE)</f>
        <v>Exif.Vorschaubild.</v>
      </c>
      <c r="E1817" s="5" t="str">
        <f>MID(F1817,FIND(".",F1817,6)+1,99)</f>
        <v>BlackLevelRepeatDim</v>
      </c>
      <c r="F1817" s="2" t="s">
        <v>8071</v>
      </c>
      <c r="G1817" s="5" t="s">
        <v>9664</v>
      </c>
      <c r="H1817" s="3" t="s">
        <v>2338</v>
      </c>
      <c r="I1817" s="7"/>
      <c r="J1817" s="8"/>
      <c r="K1817" s="26"/>
      <c r="L1817" s="6" t="str">
        <f>IFERROR(VLOOKUP(E1817,A:I,9, FALSE),"")</f>
        <v>Schwarzwert Wiederholungs-Muster Größe</v>
      </c>
      <c r="M1817" s="6" t="str">
        <f>IFERROR(VLOOKUP(H1817,B:J,9,FALSE),"")</f>
        <v>Gibt Größe des Wiederholungs-Musters für den Schwarzwert an.</v>
      </c>
      <c r="N1817" s="6"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row>
    <row r="1818" spans="1:14" x14ac:dyDescent="0.25">
      <c r="A1818" s="5" t="str">
        <f>IF(TRIM(I1818)="","",E1818)</f>
        <v/>
      </c>
      <c r="B1818" s="5" t="str">
        <f>IF(TRIM(J1818)="","",H1818)</f>
        <v/>
      </c>
      <c r="C1818" s="5" t="str">
        <f>LEFT(F1818,FIND(".",F1818,6))</f>
        <v>Exif.Thumbnail.</v>
      </c>
      <c r="D1818" s="5" t="str">
        <f>VLOOKUP(C1818,PrefixUebersetzung,2,FALSE)</f>
        <v>Exif.Vorschaubild.</v>
      </c>
      <c r="E1818" s="5" t="str">
        <f>MID(F1818,FIND(".",F1818,6)+1,99)</f>
        <v>BrightnessValue</v>
      </c>
      <c r="F1818" s="2" t="s">
        <v>8072</v>
      </c>
      <c r="G1818" s="5" t="s">
        <v>9672</v>
      </c>
      <c r="H1818" s="3" t="s">
        <v>2339</v>
      </c>
      <c r="I1818" s="7"/>
      <c r="J1818" s="8"/>
      <c r="K1818" s="26"/>
      <c r="L1818" s="6" t="str">
        <f>IFERROR(VLOOKUP(E1818,A:I,9, FALSE),"")</f>
        <v>Helligkeitswert</v>
      </c>
      <c r="M1818" s="6" t="str">
        <f>IFERROR(VLOOKUP(H1818,B:J,9,FALSE),"")</f>
        <v>Helligkeitswert</v>
      </c>
      <c r="N1818" s="6"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4" ht="105" x14ac:dyDescent="0.25">
      <c r="A1819" s="5" t="str">
        <f>IF(TRIM(I1819)="","",E1819)</f>
        <v/>
      </c>
      <c r="B1819" s="5" t="str">
        <f>IF(TRIM(J1819)="","",H1819)</f>
        <v/>
      </c>
      <c r="C1819" s="5" t="str">
        <f>LEFT(F1819,FIND(".",F1819,6))</f>
        <v>Exif.Thumbnail.</v>
      </c>
      <c r="D1819" s="5" t="str">
        <f>VLOOKUP(C1819,PrefixUebersetzung,2,FALSE)</f>
        <v>Exif.Vorschaubild.</v>
      </c>
      <c r="E1819" s="5" t="str">
        <f>MID(F1819,FIND(".",F1819,6)+1,99)</f>
        <v>CalibrationIlluminant1</v>
      </c>
      <c r="F1819" s="2" t="s">
        <v>8073</v>
      </c>
      <c r="G1819" s="5" t="s">
        <v>9664</v>
      </c>
      <c r="H1819" s="3" t="s">
        <v>2340</v>
      </c>
      <c r="I1819" s="7"/>
      <c r="J1819" s="8"/>
      <c r="K1819" s="26"/>
      <c r="L1819" s="6" t="str">
        <f>IFERROR(VLOOKUP(E1819,A:I,9, FALSE),"")</f>
        <v>Kalibrierung Lichtart 1</v>
      </c>
      <c r="M1819" s="6" t="str">
        <f>IFERROR(VLOOKUP(H1819,B:J,9,FALSE),"")</f>
        <v>Das Leuchtmittel für den ersten Satz des Farbkalibrierung Tags (ColorMatrix1, CameraCalibration1, ReductionMatrix1) verwendet. Die zulässigen Werte für diese Variable sind die gleichen wie die gesetzlichen Werte für die LightSource EXIF-Tag.</v>
      </c>
      <c r="N1819" s="6"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row>
    <row r="1820" spans="1:14" ht="165" x14ac:dyDescent="0.25">
      <c r="A1820" s="5" t="str">
        <f>IF(TRIM(I1820)="","",E1820)</f>
        <v/>
      </c>
      <c r="B1820" s="5" t="str">
        <f>IF(TRIM(J1820)="","",H1820)</f>
        <v/>
      </c>
      <c r="C1820" s="5" t="str">
        <f>LEFT(F1820,FIND(".",F1820,6))</f>
        <v>Exif.Thumbnail.</v>
      </c>
      <c r="D1820" s="5" t="str">
        <f>VLOOKUP(C1820,PrefixUebersetzung,2,FALSE)</f>
        <v>Exif.Vorschaubild.</v>
      </c>
      <c r="E1820" s="5" t="str">
        <f>MID(F1820,FIND(".",F1820,6)+1,99)</f>
        <v>CalibrationIlluminant2</v>
      </c>
      <c r="F1820" s="2" t="s">
        <v>8074</v>
      </c>
      <c r="G1820" s="5" t="s">
        <v>9664</v>
      </c>
      <c r="H1820" s="3" t="s">
        <v>2341</v>
      </c>
      <c r="I1820" s="7"/>
      <c r="J1820" s="8"/>
      <c r="K1820" s="26"/>
      <c r="L1820" s="6" t="str">
        <f>IFERROR(VLOOKUP(E1820,A:I,9, FALSE),"")</f>
        <v>Kalibrierung Lichtart 2</v>
      </c>
      <c r="M1820" s="6" t="str">
        <f>IFERROR(INDEX(J:J,MATCH(TRUE,INDEX(B:B=H1820,0),0)),"")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v>
      </c>
      <c r="N1820" s="6"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row>
    <row r="1821" spans="1:14" ht="150" x14ac:dyDescent="0.25">
      <c r="A1821" s="5" t="str">
        <f>IF(TRIM(I1821)="","",E1821)</f>
        <v/>
      </c>
      <c r="B1821" s="5" t="str">
        <f>IF(TRIM(J1821)="","",H1821)</f>
        <v/>
      </c>
      <c r="C1821" s="5" t="str">
        <f>LEFT(F1821,FIND(".",F1821,6))</f>
        <v>Exif.Thumbnail.</v>
      </c>
      <c r="D1821" s="5" t="str">
        <f>VLOOKUP(C1821,PrefixUebersetzung,2,FALSE)</f>
        <v>Exif.Vorschaubild.</v>
      </c>
      <c r="E1821" s="5" t="str">
        <f>MID(F1821,FIND(".",F1821,6)+1,99)</f>
        <v>CameraCalibration1</v>
      </c>
      <c r="F1821" s="2" t="s">
        <v>8075</v>
      </c>
      <c r="G1821" s="5" t="s">
        <v>9672</v>
      </c>
      <c r="H1821" s="3" t="s">
        <v>8076</v>
      </c>
      <c r="I1821" s="7"/>
      <c r="K1821" s="26"/>
      <c r="L1821" s="6" t="str">
        <f>IFERROR(VLOOKUP(E1821,A:I,9, FALSE),"")</f>
        <v>Kamerakalibrierung 1</v>
      </c>
      <c r="M1821" s="6" t="str">
        <f>IFERROR(INDEX(J:J,MATCH(TRUE,INDEX(B:B=H1821,0),0)),"")</f>
        <v/>
      </c>
      <c r="N1821" s="6"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xml:space="preserve">Description not translated </v>
      </c>
    </row>
    <row r="1822" spans="1:14" ht="150" x14ac:dyDescent="0.25">
      <c r="A1822" s="5" t="str">
        <f>IF(TRIM(I1822)="","",E1822)</f>
        <v/>
      </c>
      <c r="B1822" s="5" t="str">
        <f>IF(TRIM(J1822)="","",H1822)</f>
        <v/>
      </c>
      <c r="C1822" s="5" t="str">
        <f>LEFT(F1822,FIND(".",F1822,6))</f>
        <v>Exif.Thumbnail.</v>
      </c>
      <c r="D1822" s="5" t="str">
        <f>VLOOKUP(C1822,PrefixUebersetzung,2,FALSE)</f>
        <v>Exif.Vorschaubild.</v>
      </c>
      <c r="E1822" s="5" t="str">
        <f>MID(F1822,FIND(".",F1822,6)+1,99)</f>
        <v>CameraCalibration2</v>
      </c>
      <c r="F1822" s="2" t="s">
        <v>8077</v>
      </c>
      <c r="G1822" s="5" t="s">
        <v>9672</v>
      </c>
      <c r="H1822" s="3" t="s">
        <v>2342</v>
      </c>
      <c r="I1822" s="7"/>
      <c r="J1822" s="8"/>
      <c r="K1822" s="26"/>
      <c r="L1822" s="6" t="str">
        <f>IFERROR(VLOOKUP(E1822,A:I,9, FALSE),"")</f>
        <v>Kamerakalibrierung 2</v>
      </c>
      <c r="M1822" s="6" t="str">
        <f>IFERROR(INDEX(J:J,MATCH(TRUE,INDEX(B:B=H1822,0),0)),"")</f>
        <v/>
      </c>
      <c r="N1822" s="6"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Description not translated </v>
      </c>
    </row>
    <row r="1823" spans="1:14" ht="120" x14ac:dyDescent="0.25">
      <c r="A1823" s="5" t="str">
        <f>IF(TRIM(I1823)="","",E1823)</f>
        <v/>
      </c>
      <c r="B1823" s="5" t="str">
        <f>IF(TRIM(J1823)="","",H1823)</f>
        <v/>
      </c>
      <c r="C1823" s="5" t="str">
        <f>LEFT(F1823,FIND(".",F1823,6))</f>
        <v>Exif.Thumbnail.</v>
      </c>
      <c r="D1823" s="5" t="str">
        <f>VLOOKUP(C1823,PrefixUebersetzung,2,FALSE)</f>
        <v>Exif.Vorschaubild.</v>
      </c>
      <c r="E1823" s="5" t="str">
        <f>MID(F1823,FIND(".",F1823,6)+1,99)</f>
        <v>CameraCalibrationSignature</v>
      </c>
      <c r="F1823" s="2" t="s">
        <v>8078</v>
      </c>
      <c r="G1823" s="5" t="s">
        <v>9670</v>
      </c>
      <c r="H1823" s="3" t="s">
        <v>2343</v>
      </c>
      <c r="I1823" s="7"/>
      <c r="J1823" s="8"/>
      <c r="K1823" s="26"/>
      <c r="L1823" s="6" t="str">
        <f>IFERROR(VLOOKUP(E1823,A:I,9, FALSE),"")</f>
        <v>Kamerakalibrierung Signatur</v>
      </c>
      <c r="M1823" s="6" t="str">
        <f>IFERROR(INDEX(J:J,MATCH(TRUE,INDEX(B:B=H1823,0),0)),"")</f>
        <v/>
      </c>
      <c r="N1823" s="6"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Description not translated </v>
      </c>
    </row>
    <row r="1824" spans="1:14" ht="90" x14ac:dyDescent="0.25">
      <c r="A1824" s="5" t="str">
        <f>IF(TRIM(I1824)="","",E1824)</f>
        <v/>
      </c>
      <c r="B1824" s="5" t="str">
        <f>IF(TRIM(J1824)="","",H1824)</f>
        <v/>
      </c>
      <c r="C1824" s="5" t="str">
        <f>LEFT(F1824,FIND(".",F1824,6))</f>
        <v>Exif.Thumbnail.</v>
      </c>
      <c r="D1824" s="5" t="str">
        <f>VLOOKUP(C1824,PrefixUebersetzung,2,FALSE)</f>
        <v>Exif.Vorschaubild.</v>
      </c>
      <c r="E1824" s="5" t="str">
        <f>MID(F1824,FIND(".",F1824,6)+1,99)</f>
        <v>CameraLabel</v>
      </c>
      <c r="F1824" s="2" t="s">
        <v>8079</v>
      </c>
      <c r="G1824" s="5" t="s">
        <v>9666</v>
      </c>
      <c r="H1824" s="3" t="s">
        <v>8002</v>
      </c>
      <c r="I1824" s="7"/>
      <c r="J1824" s="8"/>
      <c r="K1824" s="26"/>
      <c r="L1824" s="6" t="str">
        <f>IFERROR(VLOOKUP(E1824,A:I,9, FALSE),"")</f>
        <v>Kamera-Label</v>
      </c>
      <c r="M1824" s="6" t="str">
        <f>IFERROR(VLOOKUP(H1824,B:J,9,FALSE),"")</f>
        <v>Das optionale Kamera-Label-Tag muss eine Textbezeichnung für die Verwendung oder Zuweisung der Kamera in diesem Clip angeben. Dieses Tag ähnelt CameraLabel in XMP.</v>
      </c>
      <c r="N1824" s="6"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4" ht="45" x14ac:dyDescent="0.25">
      <c r="A1825" s="5" t="str">
        <f>IF(TRIM(I1825)="","",E1825)</f>
        <v/>
      </c>
      <c r="B1825" s="5" t="str">
        <f>IF(TRIM(J1825)="","",H1825)</f>
        <v/>
      </c>
      <c r="C1825" s="5" t="str">
        <f>LEFT(F1825,FIND(".",F1825,6))</f>
        <v>Exif.Thumbnail.</v>
      </c>
      <c r="D1825" s="5" t="str">
        <f>VLOOKUP(C1825,PrefixUebersetzung,2,FALSE)</f>
        <v>Exif.Vorschaubild.</v>
      </c>
      <c r="E1825" s="5" t="str">
        <f>MID(F1825,FIND(".",F1825,6)+1,99)</f>
        <v>CameraSerialNumber</v>
      </c>
      <c r="F1825" s="2" t="s">
        <v>8080</v>
      </c>
      <c r="G1825" s="5" t="s">
        <v>9666</v>
      </c>
      <c r="H1825" s="3" t="s">
        <v>2344</v>
      </c>
      <c r="I1825" s="7"/>
      <c r="J1825" s="8"/>
      <c r="K1825" s="26"/>
      <c r="L1825" s="6" t="str">
        <f>IFERROR(VLOOKUP(E1825,A:I,9, FALSE),"")</f>
        <v>Kameraseriennummer</v>
      </c>
      <c r="M1825" s="6" t="str">
        <f>IFERROR(VLOOKUP(H1825,B:J,9,FALSE),"")</f>
        <v>Seriennummer der Kamera oder des Kameragehäuses, die das Bild aufgenommen hat.</v>
      </c>
      <c r="N1825" s="6"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4" ht="60" x14ac:dyDescent="0.25">
      <c r="A1826" s="5" t="str">
        <f>IF(TRIM(I1826)="","",E1826)</f>
        <v/>
      </c>
      <c r="B1826" s="5" t="str">
        <f>IF(TRIM(J1826)="","",H1826)</f>
        <v/>
      </c>
      <c r="C1826" s="5" t="str">
        <f>LEFT(F1826,FIND(".",F1826,6))</f>
        <v>Exif.Thumbnail.</v>
      </c>
      <c r="D1826" s="5" t="str">
        <f>VLOOKUP(C1826,PrefixUebersetzung,2,FALSE)</f>
        <v>Exif.Vorschaubild.</v>
      </c>
      <c r="E1826" s="5" t="str">
        <f>MID(F1826,FIND(".",F1826,6)+1,99)</f>
        <v>CellLength</v>
      </c>
      <c r="F1826" s="2" t="s">
        <v>8081</v>
      </c>
      <c r="G1826" s="5" t="s">
        <v>9664</v>
      </c>
      <c r="H1826" s="3" t="s">
        <v>2345</v>
      </c>
      <c r="I1826" s="7"/>
      <c r="J1826" s="8"/>
      <c r="K1826" s="26"/>
      <c r="L1826" s="6" t="str">
        <f>IFERROR(VLOOKUP(E1826,A:I,9, FALSE),"")</f>
        <v>Zellenlänge</v>
      </c>
      <c r="M1826" s="6" t="str">
        <f>IFERROR(VLOOKUP(H1826,B:J,9,FALSE),"")</f>
        <v>Die Länge des Dithering oder Halbton-Matrix, die verwendet wurde, um eine gerasterte oder gerasterten Bilevel-Datei zu erstellen.</v>
      </c>
      <c r="N1826" s="6"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row>
    <row r="1827" spans="1:14" ht="60" x14ac:dyDescent="0.25">
      <c r="A1827" s="5" t="str">
        <f>IF(TRIM(I1827)="","",E1827)</f>
        <v/>
      </c>
      <c r="B1827" s="5" t="str">
        <f>IF(TRIM(J1827)="","",H1827)</f>
        <v/>
      </c>
      <c r="C1827" s="5" t="str">
        <f>LEFT(F1827,FIND(".",F1827,6))</f>
        <v>Exif.Thumbnail.</v>
      </c>
      <c r="D1827" s="5" t="str">
        <f>VLOOKUP(C1827,PrefixUebersetzung,2,FALSE)</f>
        <v>Exif.Vorschaubild.</v>
      </c>
      <c r="E1827" s="5" t="str">
        <f>MID(F1827,FIND(".",F1827,6)+1,99)</f>
        <v>CellWidth</v>
      </c>
      <c r="F1827" s="2" t="s">
        <v>8082</v>
      </c>
      <c r="G1827" s="5" t="s">
        <v>9664</v>
      </c>
      <c r="H1827" s="3" t="s">
        <v>2346</v>
      </c>
      <c r="I1827" s="7"/>
      <c r="J1827" s="8"/>
      <c r="K1827" s="26"/>
      <c r="L1827" s="6" t="str">
        <f>IFERROR(VLOOKUP(E1827,A:I,9, FALSE),"")</f>
        <v>Zellenbreite</v>
      </c>
      <c r="M1827" s="6" t="str">
        <f>IFERROR(VLOOKUP(H1827,B:J,9,FALSE),"")</f>
        <v>Die Breite des Dithering oder Halbton-Matrix, die verwendet wurde, um eine gerasterte oder gerasterten Bilevel-Datei zu erstellen.</v>
      </c>
      <c r="N1827" s="6"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c>
    </row>
    <row r="1828" spans="1:14" ht="30" x14ac:dyDescent="0.25">
      <c r="A1828" s="5" t="str">
        <f>IF(TRIM(I1828)="","",E1828)</f>
        <v/>
      </c>
      <c r="B1828" s="5" t="str">
        <f>IF(TRIM(J1828)="","",H1828)</f>
        <v/>
      </c>
      <c r="C1828" s="5" t="str">
        <f>LEFT(F1828,FIND(".",F1828,6))</f>
        <v>Exif.Thumbnail.</v>
      </c>
      <c r="D1828" s="5" t="str">
        <f>VLOOKUP(C1828,PrefixUebersetzung,2,FALSE)</f>
        <v>Exif.Vorschaubild.</v>
      </c>
      <c r="E1828" s="5" t="str">
        <f>MID(F1828,FIND(".",F1828,6)+1,99)</f>
        <v>CFALayout</v>
      </c>
      <c r="F1828" s="2" t="s">
        <v>8083</v>
      </c>
      <c r="G1828" s="5" t="s">
        <v>9664</v>
      </c>
      <c r="H1828" s="3" t="s">
        <v>2347</v>
      </c>
      <c r="I1828" s="7"/>
      <c r="J1828" s="8"/>
      <c r="K1828" s="26"/>
      <c r="L1828" s="6" t="str">
        <f>IFERROR(VLOOKUP(E1828,A:I,9, FALSE),"")</f>
        <v>CFA Layout</v>
      </c>
      <c r="M1828" s="6" t="str">
        <f>IFERROR(VLOOKUP(H1828,B:J,9,FALSE),"")</f>
        <v>Beschreibt die räumliche Anordnung des CFA.</v>
      </c>
      <c r="N1828" s="6"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row>
    <row r="1829" spans="1:14" ht="75" x14ac:dyDescent="0.25">
      <c r="A1829" s="5" t="str">
        <f>IF(TRIM(I1829)="","",E1829)</f>
        <v/>
      </c>
      <c r="B1829" s="5" t="str">
        <f>IF(TRIM(J1829)="","",H1829)</f>
        <v/>
      </c>
      <c r="C1829" s="5" t="str">
        <f>LEFT(F1829,FIND(".",F1829,6))</f>
        <v>Exif.Thumbnail.</v>
      </c>
      <c r="D1829" s="5" t="str">
        <f>VLOOKUP(C1829,PrefixUebersetzung,2,FALSE)</f>
        <v>Exif.Vorschaubild.</v>
      </c>
      <c r="E1829" s="5" t="str">
        <f>MID(F1829,FIND(".",F1829,6)+1,99)</f>
        <v>CFAPattern</v>
      </c>
      <c r="F1829" s="2" t="s">
        <v>8084</v>
      </c>
      <c r="G1829" s="5" t="s">
        <v>9670</v>
      </c>
      <c r="H1829" s="3" t="s">
        <v>2348</v>
      </c>
      <c r="I1829" s="7"/>
      <c r="J1829" s="8"/>
      <c r="K1829" s="26"/>
      <c r="L1829" s="6" t="str">
        <f>IFERROR(VLOOKUP(E1829,A:I,9, FALSE),"")</f>
        <v>CFA Pattern</v>
      </c>
      <c r="M1829" s="6" t="str">
        <f>IFERROR(VLOOKUP(H1829,B:J,9,FALSE),"")</f>
        <v>Geometrische Muster  der Farbfilteranordnung (CFA) des Bildsensors, wenn ein Ein-Chip-Farbsensor verwendet wird. Nicht anwendbar für alle Sensor-Verfahren.</v>
      </c>
      <c r="N1829" s="6"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c>
    </row>
    <row r="1830" spans="1:14" ht="45" x14ac:dyDescent="0.25">
      <c r="A1830" s="5" t="str">
        <f>IF(TRIM(I1830)="","",E1830)</f>
        <v/>
      </c>
      <c r="B1830" s="5" t="str">
        <f>IF(TRIM(J1830)="","",H1830)</f>
        <v/>
      </c>
      <c r="C1830" s="5" t="str">
        <f>LEFT(F1830,FIND(".",F1830,6))</f>
        <v>Exif.Thumbnail.</v>
      </c>
      <c r="D1830" s="5" t="str">
        <f>VLOOKUP(C1830,PrefixUebersetzung,2,FALSE)</f>
        <v>Exif.Vorschaubild.</v>
      </c>
      <c r="E1830" s="5" t="str">
        <f>MID(F1830,FIND(".",F1830,6)+1,99)</f>
        <v>CFAPlaneColor</v>
      </c>
      <c r="F1830" s="2" t="s">
        <v>8085</v>
      </c>
      <c r="G1830" s="5" t="s">
        <v>9670</v>
      </c>
      <c r="H1830" s="3" t="s">
        <v>2349</v>
      </c>
      <c r="I1830" s="7"/>
      <c r="J1830" s="8"/>
      <c r="K1830" s="26"/>
      <c r="L1830" s="6" t="str">
        <f>IFERROR(VLOOKUP(E1830,A:I,9, FALSE),"")</f>
        <v/>
      </c>
      <c r="M1830" s="6" t="str">
        <f>IFERROR(VLOOKUP(H1830,B:J,9,FALSE),"")</f>
        <v/>
      </c>
      <c r="N1830" s="6"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xml:space="preserve">Suffix not translated Description not translated </v>
      </c>
    </row>
    <row r="1831" spans="1:14" ht="45" x14ac:dyDescent="0.25">
      <c r="A1831" s="5" t="str">
        <f>IF(TRIM(I1831)="","",E1831)</f>
        <v/>
      </c>
      <c r="B1831" s="5" t="str">
        <f>IF(TRIM(J1831)="","",H1831)</f>
        <v/>
      </c>
      <c r="C1831" s="5" t="str">
        <f>LEFT(F1831,FIND(".",F1831,6))</f>
        <v>Exif.Thumbnail.</v>
      </c>
      <c r="D1831" s="5" t="str">
        <f>VLOOKUP(C1831,PrefixUebersetzung,2,FALSE)</f>
        <v>Exif.Vorschaubild.</v>
      </c>
      <c r="E1831" s="5" t="str">
        <f>MID(F1831,FIND(".",F1831,6)+1,99)</f>
        <v>CFARepeatPatternDim</v>
      </c>
      <c r="F1831" s="2" t="s">
        <v>8086</v>
      </c>
      <c r="G1831" s="5" t="s">
        <v>9664</v>
      </c>
      <c r="H1831" s="3" t="s">
        <v>2350</v>
      </c>
      <c r="I1831" s="7"/>
      <c r="J1831" s="8"/>
      <c r="K1831" s="26"/>
      <c r="L1831" s="6" t="str">
        <f>IFERROR(VLOOKUP(E1831,A:I,9, FALSE),"")</f>
        <v/>
      </c>
      <c r="M1831" s="6" t="str">
        <f>IFERROR(VLOOKUP(H1831,B:J,9,FALSE),"")</f>
        <v/>
      </c>
      <c r="N1831" s="6"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row>
    <row r="1832" spans="1:14" ht="135" x14ac:dyDescent="0.25">
      <c r="A1832" s="5" t="str">
        <f>IF(TRIM(I1832)="","",E1832)</f>
        <v/>
      </c>
      <c r="B1832" s="5" t="str">
        <f>IF(TRIM(J1832)="","",H1832)</f>
        <v/>
      </c>
      <c r="C1832" s="5" t="str">
        <f>LEFT(F1832,FIND(".",F1832,6))</f>
        <v>Exif.Thumbnail.</v>
      </c>
      <c r="D1832" s="5" t="str">
        <f>VLOOKUP(C1832,PrefixUebersetzung,2,FALSE)</f>
        <v>Exif.Vorschaubild.</v>
      </c>
      <c r="E1832" s="5" t="str">
        <f>MID(F1832,FIND(".",F1832,6)+1,99)</f>
        <v>ChromaBlurRadius</v>
      </c>
      <c r="F1832" s="2" t="s">
        <v>8087</v>
      </c>
      <c r="G1832" s="5" t="s">
        <v>9671</v>
      </c>
      <c r="H1832" s="3" t="s">
        <v>2351</v>
      </c>
      <c r="I1832" s="7"/>
      <c r="J1832" s="8"/>
      <c r="K1832" s="26"/>
      <c r="L1832" s="6" t="str">
        <f>IFERROR(VLOOKUP(E1832,A:I,9, FALSE),"")</f>
        <v/>
      </c>
      <c r="M1832" s="6" t="str">
        <f>IFERROR(INDEX(J:J,MATCH(TRUE,INDEX(B:B=H1832,0),0)),"")</f>
        <v/>
      </c>
      <c r="N1832" s="6"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Suffix not translated Description not translated </v>
      </c>
    </row>
    <row r="1833" spans="1:14" ht="30" x14ac:dyDescent="0.25">
      <c r="A1833" s="5" t="str">
        <f>IF(TRIM(I1833)="","",E1833)</f>
        <v/>
      </c>
      <c r="B1833" s="5" t="str">
        <f>IF(TRIM(J1833)="","",H1833)</f>
        <v/>
      </c>
      <c r="C1833" s="5" t="str">
        <f>LEFT(F1833,FIND(".",F1833,6))</f>
        <v>Exif.Thumbnail.</v>
      </c>
      <c r="D1833" s="5" t="str">
        <f>VLOOKUP(C1833,PrefixUebersetzung,2,FALSE)</f>
        <v>Exif.Vorschaubild.</v>
      </c>
      <c r="E1833" s="5" t="str">
        <f>MID(F1833,FIND(".",F1833,6)+1,99)</f>
        <v>ClipPath</v>
      </c>
      <c r="F1833" s="2" t="s">
        <v>8088</v>
      </c>
      <c r="G1833" s="5" t="s">
        <v>9670</v>
      </c>
      <c r="H1833" s="3" t="s">
        <v>2352</v>
      </c>
      <c r="I1833" s="7"/>
      <c r="J1833" s="8"/>
      <c r="K1833" s="26"/>
      <c r="L1833" s="6" t="str">
        <f>IFERROR(VLOOKUP(E1833,A:I,9, FALSE),"")</f>
        <v/>
      </c>
      <c r="M1833" s="6" t="str">
        <f>IFERROR(VLOOKUP(H1833,B:J,9,FALSE),"")</f>
        <v/>
      </c>
      <c r="N1833" s="6"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xml:space="preserve">Suffix not translated Description not translated </v>
      </c>
    </row>
    <row r="1834" spans="1:14" ht="120" x14ac:dyDescent="0.25">
      <c r="A1834" s="5" t="str">
        <f>IF(TRIM(I1834)="","",E1834)</f>
        <v/>
      </c>
      <c r="B1834" s="5" t="str">
        <f>IF(TRIM(J1834)="","",H1834)</f>
        <v/>
      </c>
      <c r="C1834" s="5" t="str">
        <f>LEFT(F1834,FIND(".",F1834,6))</f>
        <v>Exif.Thumbnail.</v>
      </c>
      <c r="D1834" s="5" t="str">
        <f>VLOOKUP(C1834,PrefixUebersetzung,2,FALSE)</f>
        <v>Exif.Vorschaubild.</v>
      </c>
      <c r="E1834" s="5" t="str">
        <f>MID(F1834,FIND(".",F1834,6)+1,99)</f>
        <v>ColorimetricReference</v>
      </c>
      <c r="F1834" s="2" t="s">
        <v>8089</v>
      </c>
      <c r="G1834" s="5" t="s">
        <v>9664</v>
      </c>
      <c r="H1834" s="3" t="s">
        <v>2353</v>
      </c>
      <c r="I1834" s="7"/>
      <c r="J1834" s="8"/>
      <c r="K1834" s="26"/>
      <c r="L1834" s="6" t="str">
        <f>IFERROR(VLOOKUP(E1834,A:I,9, FALSE),"")</f>
        <v/>
      </c>
      <c r="M1834" s="6" t="str">
        <f>IFERROR(INDEX(J:J,MATCH(TRUE,INDEX(B:B=H1834,0),0)),"")</f>
        <v/>
      </c>
      <c r="N1834" s="6"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xml:space="preserve">Suffix not translated Description not translated </v>
      </c>
    </row>
    <row r="1835" spans="1:14" ht="105" x14ac:dyDescent="0.25">
      <c r="A1835" s="5" t="str">
        <f>IF(TRIM(I1835)="","",E1835)</f>
        <v/>
      </c>
      <c r="B1835" s="5" t="str">
        <f>IF(TRIM(J1835)="","",H1835)</f>
        <v/>
      </c>
      <c r="C1835" s="5" t="str">
        <f>LEFT(F1835,FIND(".",F1835,6))</f>
        <v>Exif.Thumbnail.</v>
      </c>
      <c r="D1835" s="5" t="str">
        <f>VLOOKUP(C1835,PrefixUebersetzung,2,FALSE)</f>
        <v>Exif.Vorschaubild.</v>
      </c>
      <c r="E1835" s="5" t="str">
        <f>MID(F1835,FIND(".",F1835,6)+1,99)</f>
        <v>ColorMap</v>
      </c>
      <c r="F1835" s="2" t="s">
        <v>8090</v>
      </c>
      <c r="G1835" s="5" t="s">
        <v>9664</v>
      </c>
      <c r="H1835" s="3" t="s">
        <v>2354</v>
      </c>
      <c r="I1835" s="7"/>
      <c r="J1835" s="8"/>
      <c r="K1835" s="26"/>
      <c r="L1835" s="6" t="str">
        <f>IFERROR(VLOOKUP(E1835,A:I,9, FALSE),"")</f>
        <v>Farbpalette</v>
      </c>
      <c r="M1835" s="6" t="str">
        <f>IFERROR(VLOOKUP(H1835,B:J,9,FALSE),"")</f>
        <v>Eine Farb-Karte für Palette-Farbbilder. Dieses Feld definiert eine Rot-Grün-Blau Farb-Karte (oft als Lookup-Tabelle) für Palette-Farbbilder. In einem Palette-Farbbild wird ein Pixelwert als Index auf eine RGB-Lookup-Tabelle verwendet.</v>
      </c>
      <c r="N1835" s="6"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row>
    <row r="1836" spans="1:14" ht="90" x14ac:dyDescent="0.25">
      <c r="A1836" s="5" t="str">
        <f>IF(TRIM(I1836)="","",E1836)</f>
        <v/>
      </c>
      <c r="B1836" s="5" t="str">
        <f>IF(TRIM(J1836)="","",H1836)</f>
        <v/>
      </c>
      <c r="C1836" s="5" t="str">
        <f>LEFT(F1836,FIND(".",F1836,6))</f>
        <v>Exif.Thumbnail.</v>
      </c>
      <c r="D1836" s="5" t="str">
        <f>VLOOKUP(C1836,PrefixUebersetzung,2,FALSE)</f>
        <v>Exif.Vorschaubild.</v>
      </c>
      <c r="E1836" s="5" t="str">
        <f>MID(F1836,FIND(".",F1836,6)+1,99)</f>
        <v>ColorMatrix1</v>
      </c>
      <c r="F1836" s="2" t="s">
        <v>8091</v>
      </c>
      <c r="G1836" s="5" t="s">
        <v>9672</v>
      </c>
      <c r="H1836" s="3" t="s">
        <v>2355</v>
      </c>
      <c r="I1836" s="7"/>
      <c r="J1836" s="8"/>
      <c r="K1836" s="26"/>
      <c r="L1836" s="6" t="str">
        <f>IFERROR(VLOOKUP(E1836,A:I,9, FALSE),"")</f>
        <v>Farbmatrix 1</v>
      </c>
      <c r="M1836" s="6" t="str">
        <f>IFERROR(INDEX(J:J,MATCH(TRUE,INDEX(B:B=H1836,0),0)),"")</f>
        <v/>
      </c>
      <c r="N1836" s="6"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xml:space="preserve">Description not translated </v>
      </c>
    </row>
    <row r="1837" spans="1:14" ht="60" x14ac:dyDescent="0.25">
      <c r="A1837" s="5" t="str">
        <f>IF(TRIM(I1837)="","",E1837)</f>
        <v/>
      </c>
      <c r="B1837" s="5" t="str">
        <f>IF(TRIM(J1837)="","",H1837)</f>
        <v/>
      </c>
      <c r="C1837" s="5" t="str">
        <f>LEFT(F1837,FIND(".",F1837,6))</f>
        <v>Exif.Thumbnail.</v>
      </c>
      <c r="D1837" s="5" t="str">
        <f>VLOOKUP(C1837,PrefixUebersetzung,2,FALSE)</f>
        <v>Exif.Vorschaubild.</v>
      </c>
      <c r="E1837" s="5" t="str">
        <f>MID(F1837,FIND(".",F1837,6)+1,99)</f>
        <v>ColorMatrix2</v>
      </c>
      <c r="F1837" s="2" t="s">
        <v>8092</v>
      </c>
      <c r="G1837" s="5" t="s">
        <v>9672</v>
      </c>
      <c r="H1837" s="3" t="s">
        <v>2356</v>
      </c>
      <c r="I1837" s="7"/>
      <c r="J1837" s="8"/>
      <c r="K1837" s="26"/>
      <c r="L1837" s="6" t="str">
        <f>IFERROR(VLOOKUP(E1837,A:I,9, FALSE),"")</f>
        <v>Farbmatrix 2</v>
      </c>
      <c r="M1837" s="6" t="str">
        <f>IFERROR(VLOOKUP(H1837,B:J,9,FALSE),"")</f>
        <v/>
      </c>
      <c r="N1837" s="6"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xml:space="preserve">Description not translated </v>
      </c>
    </row>
    <row r="1838" spans="1:14" ht="45" x14ac:dyDescent="0.25">
      <c r="A1838" s="5" t="str">
        <f>IF(TRIM(I1838)="","",E1838)</f>
        <v/>
      </c>
      <c r="B1838" s="5" t="str">
        <f>IF(TRIM(J1838)="","",H1838)</f>
        <v/>
      </c>
      <c r="C1838" s="5" t="str">
        <f>LEFT(F1838,FIND(".",F1838,6))</f>
        <v>Exif.Thumbnail.</v>
      </c>
      <c r="D1838" s="5" t="str">
        <f>VLOOKUP(C1838,PrefixUebersetzung,2,FALSE)</f>
        <v>Exif.Vorschaubild.</v>
      </c>
      <c r="E1838" s="5" t="str">
        <f>MID(F1838,FIND(".",F1838,6)+1,99)</f>
        <v>CompressedBitsPerPixel</v>
      </c>
      <c r="F1838" s="2" t="s">
        <v>8093</v>
      </c>
      <c r="G1838" s="5" t="s">
        <v>9671</v>
      </c>
      <c r="H1838" s="3" t="s">
        <v>2357</v>
      </c>
      <c r="I1838" s="7"/>
      <c r="J1838" s="8"/>
      <c r="K1838" s="26"/>
      <c r="L1838" s="6" t="str">
        <f>IFERROR(VLOOKUP(E1838,A:I,9, FALSE),"")</f>
        <v>Komprimierte Bits je Pixel</v>
      </c>
      <c r="M1838" s="6" t="str">
        <f>IFERROR(VLOOKUP(H1838,B:J,9,FALSE),"")</f>
        <v>Spezifisch für komprimierten Daten; gibt die komprimierten Bits pro Pixel an.</v>
      </c>
      <c r="N1838" s="6"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c>
    </row>
    <row r="1839" spans="1:14" ht="120" x14ac:dyDescent="0.25">
      <c r="A1839" s="5" t="str">
        <f>IF(TRIM(I1839)="","",E1839)</f>
        <v/>
      </c>
      <c r="B1839" s="5" t="str">
        <f>IF(TRIM(J1839)="","",H1839)</f>
        <v/>
      </c>
      <c r="C1839" s="5" t="str">
        <f>LEFT(F1839,FIND(".",F1839,6))</f>
        <v>Exif.Thumbnail.</v>
      </c>
      <c r="D1839" s="5" t="str">
        <f>VLOOKUP(C1839,PrefixUebersetzung,2,FALSE)</f>
        <v>Exif.Vorschaubild.</v>
      </c>
      <c r="E1839" s="5" t="str">
        <f>MID(F1839,FIND(".",F1839,6)+1,99)</f>
        <v>Compression</v>
      </c>
      <c r="F1839" s="2" t="s">
        <v>8094</v>
      </c>
      <c r="G1839" s="5" t="s">
        <v>9664</v>
      </c>
      <c r="H1839" s="3" t="s">
        <v>2358</v>
      </c>
      <c r="I1839" s="7"/>
      <c r="J1839" s="8"/>
      <c r="K1839" s="26"/>
      <c r="L1839" s="6" t="str">
        <f>IFERROR(VLOOKUP(E1839,A:I,9, FALSE),"")</f>
        <v>Komprimierung</v>
      </c>
      <c r="M1839" s="6" t="str">
        <f>IFERROR(VLOOKUP(H1839,B:J,9,FALSE),"")</f>
        <v>Das für die Bilddaten verwendets Komprimierungsverfahren. Wenn ein Primär-JPEG-komprimiert ist, ist diese Bezeichnung nicht erforderlich und wird weggelassen. Wenn Vorschaubilder JPEG-Komprimierung verwenden, wird dieser Tag-Wert auf 6 gesetzt.</v>
      </c>
      <c r="N1839" s="6"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row>
    <row r="1840" spans="1:14" ht="409.5" x14ac:dyDescent="0.25">
      <c r="A1840" s="5" t="str">
        <f>IF(TRIM(I1840)="","",E1840)</f>
        <v/>
      </c>
      <c r="B1840" s="5" t="str">
        <f>IF(TRIM(J1840)="","",H1840)</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1840" s="5" t="str">
        <f>LEFT(F1840,FIND(".",F1840,6))</f>
        <v>Exif.Thumbnail.</v>
      </c>
      <c r="D1840" s="5" t="str">
        <f>VLOOKUP(C1840,PrefixUebersetzung,2,FALSE)</f>
        <v>Exif.Vorschaubild.</v>
      </c>
      <c r="E1840" s="5" t="str">
        <f>MID(F1840,FIND(".",F1840,6)+1,99)</f>
        <v>Copyright</v>
      </c>
      <c r="F1840" s="2" t="s">
        <v>8095</v>
      </c>
      <c r="G1840" s="5" t="s">
        <v>9666</v>
      </c>
      <c r="H1840" s="3" t="s">
        <v>8096</v>
      </c>
      <c r="I1840" s="7"/>
      <c r="J1840" s="8" t="s">
        <v>8796</v>
      </c>
      <c r="K1840" s="26"/>
      <c r="L1840" s="6" t="str">
        <f>IFERROR(VLOOKUP(E1840,A:I,9, FALSE),"")</f>
        <v>Copyright</v>
      </c>
      <c r="M1840" s="6" t="str">
        <f>IFERROR(INDEX(J:J,MATCH(TRUE,INDEX(B:B=H1840,0),0)),"")</f>
        <v>Copyright Information. In diesem Standard wird das Tag verwendet, um sowohl die Fotografen- als auch Herausgeber-Urheberrechte anzugeben. Es ist der Copyright-Vermerk der Person oder Organisation, die Ansprüche auf das Bild geltend machen. Die Copyright-Erklärung inklusive Datum und Rechte sollten in diesem Bereich geschrieben werden, z.B. "Urheberrecht, John Smith, 19xx Alle Rechte vorbehalten.". In dieser Norm enthält das Feld Datensätze sowohl der Fotografen- als auch Herausgeber-Urheberrechte, wobei jeder in einem separaten Teil erfasst wird. Wenn es eine klare Unterscheidung zwischen den Fotografen- und Herausgeber-Urheberrechte gibt, sind diese in der Reihenfolge der Fotografen- vor den Herausgeber-Urheberrechten, durch NULL getrennt, zu schreiben (in diesem Fall, da dieAngabe auch mit einem NULL endet, gibt es zwei NULL-Codes). Wenn nur die Fotografen-Urheberrechte angegeben sind, wird es durch einen NULL-Code beendet. Wenn nur die Herausgeber-Urheberrechte angegeben ist, bestehen die Fotografen-Urhaberrechte aus einem Bereich, gefolgt von einem abschließenden NULL-Code, dann werden die Herausgeber-Urheberrechte angegeben. Wenn das Feld leer ist, wird es als unbekannt behandelt.</v>
      </c>
      <c r="N1840" s="6"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xml:space="preserve">Description translation&lt;&gt; lookup </v>
      </c>
    </row>
    <row r="1841" spans="1:14" ht="150" x14ac:dyDescent="0.25">
      <c r="A1841" s="5" t="str">
        <f>IF(TRIM(I1841)="","",E1841)</f>
        <v/>
      </c>
      <c r="B1841" s="5" t="str">
        <f>IF(TRIM(J1841)="","",H1841)</f>
        <v/>
      </c>
      <c r="C1841" s="5" t="str">
        <f>LEFT(F1841,FIND(".",F1841,6))</f>
        <v>Exif.Thumbnail.</v>
      </c>
      <c r="D1841" s="5" t="str">
        <f>VLOOKUP(C1841,PrefixUebersetzung,2,FALSE)</f>
        <v>Exif.Vorschaubild.</v>
      </c>
      <c r="E1841" s="5" t="str">
        <f>MID(F1841,FIND(".",F1841,6)+1,99)</f>
        <v>CurrentICCProfile</v>
      </c>
      <c r="F1841" s="2" t="s">
        <v>8097</v>
      </c>
      <c r="G1841" s="5" t="s">
        <v>9669</v>
      </c>
      <c r="H1841" s="3" t="s">
        <v>2359</v>
      </c>
      <c r="I1841" s="7"/>
      <c r="J1841" s="8"/>
      <c r="K1841" s="26"/>
      <c r="L1841" s="6" t="str">
        <f>IFERROR(VLOOKUP(E1841,A:I,9, FALSE),"")</f>
        <v>Aktuelles ICC Profil</v>
      </c>
      <c r="M1841" s="6" t="str">
        <f>IFERROR(INDEX(J:J,MATCH(TRUE,INDEX(B:B=H1841,0),0)),"")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1841" s="6"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row>
    <row r="1842" spans="1:14" ht="150" x14ac:dyDescent="0.25">
      <c r="A1842" s="5" t="str">
        <f>IF(TRIM(I1842)="","",E1842)</f>
        <v/>
      </c>
      <c r="B1842" s="5" t="str">
        <f>IF(TRIM(J1842)="","",H1842)</f>
        <v/>
      </c>
      <c r="C1842" s="5" t="str">
        <f>LEFT(F1842,FIND(".",F1842,6))</f>
        <v>Exif.Thumbnail.</v>
      </c>
      <c r="D1842" s="5" t="str">
        <f>VLOOKUP(C1842,PrefixUebersetzung,2,FALSE)</f>
        <v>Exif.Vorschaubild.</v>
      </c>
      <c r="E1842" s="5" t="str">
        <f>MID(F1842,FIND(".",F1842,6)+1,99)</f>
        <v>CurrentPreProfileMatrix</v>
      </c>
      <c r="F1842" s="2" t="s">
        <v>8098</v>
      </c>
      <c r="G1842" s="5" t="s">
        <v>9672</v>
      </c>
      <c r="H1842" s="3" t="s">
        <v>2360</v>
      </c>
      <c r="I1842" s="7"/>
      <c r="J1842" s="8"/>
      <c r="K1842" s="26"/>
      <c r="L1842" s="6" t="str">
        <f>IFERROR(VLOOKUP(E1842,A:I,9, FALSE),"")</f>
        <v>Aktuelle PreProfile Matrix</v>
      </c>
      <c r="M1842" s="6" t="str">
        <f>IFERROR(INDEX(J:J,MATCH(TRUE,INDEX(B:B=H1842,0),0)),"")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1842" s="6"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row>
    <row r="1843" spans="1:14" ht="60" x14ac:dyDescent="0.25">
      <c r="A1843" s="5" t="str">
        <f>IF(TRIM(I1843)="","",E1843)</f>
        <v/>
      </c>
      <c r="B1843" s="5" t="str">
        <f>IF(TRIM(J1843)="","",H1843)</f>
        <v/>
      </c>
      <c r="C1843" s="5" t="str">
        <f>LEFT(F1843,FIND(".",F1843,6))</f>
        <v>Exif.Thumbnail.</v>
      </c>
      <c r="D1843" s="5" t="str">
        <f>VLOOKUP(C1843,PrefixUebersetzung,2,FALSE)</f>
        <v>Exif.Vorschaubild.</v>
      </c>
      <c r="E1843" s="5" t="str">
        <f>MID(F1843,FIND(".",F1843,6)+1,99)</f>
        <v>DateTime</v>
      </c>
      <c r="F1843" s="2" t="s">
        <v>8099</v>
      </c>
      <c r="G1843" s="5" t="s">
        <v>9666</v>
      </c>
      <c r="H1843" s="3" t="s">
        <v>2361</v>
      </c>
      <c r="I1843" s="7"/>
      <c r="J1843" s="8"/>
      <c r="K1843" s="26"/>
      <c r="L1843" s="6" t="str">
        <f>IFERROR(VLOOKUP(E1843,A:I,9, FALSE),"")</f>
        <v>Datum/Zeit</v>
      </c>
      <c r="M1843" s="6" t="str">
        <f>IFERROR(VLOOKUP(H1843,B:J,9,FALSE),"")</f>
        <v>Das Datum und die Uhrzeit der Bild-Erstellung. Im Exif-Standard ist es das Datum und die Uhrzeit, zu dem die Datei geändert wurde.</v>
      </c>
      <c r="N1843" s="6"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row>
    <row r="1844" spans="1:14" ht="45" x14ac:dyDescent="0.25">
      <c r="A1844" s="5" t="str">
        <f>IF(TRIM(I1844)="","",E1844)</f>
        <v/>
      </c>
      <c r="B1844" s="5" t="str">
        <f>IF(TRIM(J1844)="","",H1844)</f>
        <v/>
      </c>
      <c r="C1844" s="5" t="str">
        <f>LEFT(F1844,FIND(".",F1844,6))</f>
        <v>Exif.Thumbnail.</v>
      </c>
      <c r="D1844" s="5" t="str">
        <f>VLOOKUP(C1844,PrefixUebersetzung,2,FALSE)</f>
        <v>Exif.Vorschaubild.</v>
      </c>
      <c r="E1844" s="5" t="str">
        <f>MID(F1844,FIND(".",F1844,6)+1,99)</f>
        <v>DateTimeOriginal</v>
      </c>
      <c r="F1844" s="2" t="s">
        <v>8100</v>
      </c>
      <c r="G1844" s="5" t="s">
        <v>9666</v>
      </c>
      <c r="H1844" s="3" t="s">
        <v>2362</v>
      </c>
      <c r="I1844" s="7"/>
      <c r="J1844" s="8"/>
      <c r="K1844" s="26"/>
      <c r="L1844" s="6" t="str">
        <f>IFERROR(VLOOKUP(E1844,A:I,9, FALSE),"")</f>
        <v>Datum/Zeit original</v>
      </c>
      <c r="M1844" s="6" t="str">
        <f>IFERROR(VLOOKUP(H1844,B:J,9,FALSE),"")</f>
        <v>Das Datum und die Zeit, wann die ursprünglichen Bilddaten erzeugt wurden.</v>
      </c>
      <c r="N1844" s="6"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row>
    <row r="1845" spans="1:14" ht="180" x14ac:dyDescent="0.25">
      <c r="A1845" s="5" t="str">
        <f>IF(TRIM(I1845)="","",E1845)</f>
        <v/>
      </c>
      <c r="B1845" s="5" t="str">
        <f>IF(TRIM(J1845)="","",H1845)</f>
        <v/>
      </c>
      <c r="C1845" s="5" t="str">
        <f>LEFT(F1845,FIND(".",F1845,6))</f>
        <v>Exif.Thumbnail.</v>
      </c>
      <c r="D1845" s="5" t="str">
        <f>VLOOKUP(C1845,PrefixUebersetzung,2,FALSE)</f>
        <v>Exif.Vorschaubild.</v>
      </c>
      <c r="E1845" s="5" t="str">
        <f>MID(F1845,FIND(".",F1845,6)+1,99)</f>
        <v>DefaultCropOrigin</v>
      </c>
      <c r="F1845" s="2" t="s">
        <v>8101</v>
      </c>
      <c r="G1845" s="5" t="s">
        <v>9664</v>
      </c>
      <c r="H1845" s="3" t="s">
        <v>2363</v>
      </c>
      <c r="I1845" s="7"/>
      <c r="J1845" s="8"/>
      <c r="K1845" s="26"/>
      <c r="L1845" s="6" t="str">
        <f>IFERROR(VLOOKUP(E1845,A:I,9, FALSE),"")</f>
        <v>Standard-Ausschnitt ursprünglich</v>
      </c>
      <c r="M1845" s="6" t="str">
        <f>IFERROR(INDEX(J:J,MATCH(TRUE,INDEX(B:B=H1845,0),0)),"")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1845" s="6"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row>
    <row r="1846" spans="1:14" ht="150" x14ac:dyDescent="0.25">
      <c r="A1846" s="5" t="str">
        <f>IF(TRIM(I1846)="","",E1846)</f>
        <v/>
      </c>
      <c r="B1846" s="5" t="str">
        <f>IF(TRIM(J1846)="","",H1846)</f>
        <v/>
      </c>
      <c r="C1846" s="5" t="str">
        <f>LEFT(F1846,FIND(".",F1846,6))</f>
        <v>Exif.Thumbnail.</v>
      </c>
      <c r="D1846" s="5" t="str">
        <f>VLOOKUP(C1846,PrefixUebersetzung,2,FALSE)</f>
        <v>Exif.Vorschaubild.</v>
      </c>
      <c r="E1846" s="5" t="str">
        <f>MID(F1846,FIND(".",F1846,6)+1,99)</f>
        <v>DefaultCropSize</v>
      </c>
      <c r="F1846" s="2" t="s">
        <v>8102</v>
      </c>
      <c r="G1846" s="5" t="s">
        <v>9664</v>
      </c>
      <c r="H1846" s="3" t="s">
        <v>2364</v>
      </c>
      <c r="I1846" s="7"/>
      <c r="J1846" s="8"/>
      <c r="K1846" s="26"/>
      <c r="L1846" s="6" t="str">
        <f>IFERROR(VLOOKUP(E1846,A:I,9, FALSE),"")</f>
        <v>Standard-Ausschnitgröße</v>
      </c>
      <c r="M1846" s="6" t="str">
        <f>IFERROR(INDEX(J:J,MATCH(TRUE,INDEX(B:B=H1846,0),0)),"")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1846" s="6"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row>
    <row r="1847" spans="1:14" ht="195" x14ac:dyDescent="0.25">
      <c r="A1847" s="5" t="str">
        <f>IF(TRIM(I1847)="","",E1847)</f>
        <v/>
      </c>
      <c r="B1847" s="5" t="str">
        <f>IF(TRIM(J1847)="","",H1847)</f>
        <v/>
      </c>
      <c r="C1847" s="5" t="str">
        <f>LEFT(F1847,FIND(".",F1847,6))</f>
        <v>Exif.Thumbnail.</v>
      </c>
      <c r="D1847" s="5" t="str">
        <f>VLOOKUP(C1847,PrefixUebersetzung,2,FALSE)</f>
        <v>Exif.Vorschaubild.</v>
      </c>
      <c r="E1847" s="5" t="str">
        <f>MID(F1847,FIND(".",F1847,6)+1,99)</f>
        <v>DefaultScale</v>
      </c>
      <c r="F1847" s="2" t="s">
        <v>8103</v>
      </c>
      <c r="G1847" s="5" t="s">
        <v>9671</v>
      </c>
      <c r="H1847" s="3" t="s">
        <v>2365</v>
      </c>
      <c r="I1847" s="7"/>
      <c r="J1847" s="8"/>
      <c r="K1847" s="26"/>
      <c r="L1847" s="6" t="str">
        <f>IFERROR(VLOOKUP(E1847,A:I,9, FALSE),"")</f>
        <v>Standard-Skalierung</v>
      </c>
      <c r="M1847" s="6" t="str">
        <f>IFERROR(INDEX(J:J,MATCH(TRUE,INDEX(B:B=H1847,0),0)),"")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1847" s="6"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row>
    <row r="1848" spans="1:14" ht="195" x14ac:dyDescent="0.25">
      <c r="A1848" s="5" t="str">
        <f>IF(TRIM(I1848)="","",E1848)</f>
        <v/>
      </c>
      <c r="B1848" s="5" t="str">
        <f>IF(TRIM(J1848)="","",H1848)</f>
        <v/>
      </c>
      <c r="C1848" s="5" t="str">
        <f>LEFT(F1848,FIND(".",F1848,6))</f>
        <v>Exif.Thumbnail.</v>
      </c>
      <c r="D1848" s="5" t="str">
        <f>VLOOKUP(C1848,PrefixUebersetzung,2,FALSE)</f>
        <v>Exif.Vorschaubild.</v>
      </c>
      <c r="E1848" s="5" t="str">
        <f>MID(F1848,FIND(".",F1848,6)+1,99)</f>
        <v>DNGBackwardVersion</v>
      </c>
      <c r="F1848" s="2" t="s">
        <v>8104</v>
      </c>
      <c r="G1848" s="5" t="s">
        <v>9670</v>
      </c>
      <c r="H1848" s="3" t="s">
        <v>2366</v>
      </c>
      <c r="I1848" s="7"/>
      <c r="J1848" s="8"/>
      <c r="K1848" s="26"/>
      <c r="L1848" s="6" t="str">
        <f>IFERROR(VLOOKUP(E1848,A:I,9, FALSE),"")</f>
        <v/>
      </c>
      <c r="M1848" s="6" t="str">
        <f>IFERROR(INDEX(J:J,MATCH(TRUE,INDEX(B:B=H1848,0),0)),"")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1848" s="6"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xml:space="preserve">Suffix not translated </v>
      </c>
    </row>
    <row r="1849" spans="1:14" ht="105" x14ac:dyDescent="0.25">
      <c r="A1849" s="5" t="str">
        <f>IF(TRIM(I1849)="","",E1849)</f>
        <v/>
      </c>
      <c r="B1849" s="5" t="str">
        <f>IF(TRIM(J1849)="","",H1849)</f>
        <v/>
      </c>
      <c r="C1849" s="5" t="str">
        <f>LEFT(F1849,FIND(".",F1849,6))</f>
        <v>Exif.Thumbnail.</v>
      </c>
      <c r="D1849" s="5" t="str">
        <f>VLOOKUP(C1849,PrefixUebersetzung,2,FALSE)</f>
        <v>Exif.Vorschaubild.</v>
      </c>
      <c r="E1849" s="5" t="str">
        <f>MID(F1849,FIND(".",F1849,6)+1,99)</f>
        <v>DNGPrivateData</v>
      </c>
      <c r="F1849" s="2" t="s">
        <v>8105</v>
      </c>
      <c r="G1849" s="5" t="s">
        <v>9670</v>
      </c>
      <c r="H1849" s="3" t="s">
        <v>2367</v>
      </c>
      <c r="I1849" s="7"/>
      <c r="J1849" s="8"/>
      <c r="K1849" s="26"/>
      <c r="L1849" s="6" t="str">
        <f>IFERROR(VLOOKUP(E1849,A:I,9, FALSE),"")</f>
        <v/>
      </c>
      <c r="M1849" s="6" t="str">
        <f>IFERROR(VLOOKUP(H1849,B:J,9,FALSE),"")</f>
        <v>Bietet eine Möglichkeit für Kamera-Hersteller, um private Daten in die DNG-Datei für die Nutzung durch ihre eigenen RAW-Konvertern zu speichern und diese Daten durch Programme, die DNG-Dateien bearbeiten, erhalten zu lassen.</v>
      </c>
      <c r="N1849" s="6"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xml:space="preserve">Suffix not translated </v>
      </c>
    </row>
    <row r="1850" spans="1:14" ht="75" x14ac:dyDescent="0.25">
      <c r="A1850" s="5" t="str">
        <f>IF(TRIM(I1850)="","",E1850)</f>
        <v/>
      </c>
      <c r="B1850" s="5" t="str">
        <f>IF(TRIM(J1850)="","",H1850)</f>
        <v/>
      </c>
      <c r="C1850" s="5" t="str">
        <f>LEFT(F1850,FIND(".",F1850,6))</f>
        <v>Exif.Thumbnail.</v>
      </c>
      <c r="D1850" s="5" t="str">
        <f>VLOOKUP(C1850,PrefixUebersetzung,2,FALSE)</f>
        <v>Exif.Vorschaubild.</v>
      </c>
      <c r="E1850" s="5" t="str">
        <f>MID(F1850,FIND(".",F1850,6)+1,99)</f>
        <v>DNGVersion</v>
      </c>
      <c r="F1850" s="2" t="s">
        <v>8106</v>
      </c>
      <c r="G1850" s="5" t="s">
        <v>9670</v>
      </c>
      <c r="H1850" s="3" t="s">
        <v>2368</v>
      </c>
      <c r="I1850" s="7"/>
      <c r="J1850" s="8"/>
      <c r="K1850" s="26"/>
      <c r="L1850" s="6" t="str">
        <f>IFERROR(VLOOKUP(E1850,A:I,9, FALSE),"")</f>
        <v>DNG Version</v>
      </c>
      <c r="M1850" s="6" t="str">
        <f>IFERROR(VLOOKUP(H1850,B:J,9,FALSE),"")</f>
        <v>Dieser Tag kodiert die DNG vierstufige Versionsnummer. Für Dateien kompatibel mit der Version 1.1.0.0 des DNG-Spezifikation sollte dieser Tag folgede Bytes enthalten: 1, 1, 0, 0.</v>
      </c>
      <c r="N1850" s="6"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row>
    <row r="1851" spans="1:14" ht="30" x14ac:dyDescent="0.25">
      <c r="A1851" s="5" t="str">
        <f>IF(TRIM(I1851)="","",E1851)</f>
        <v/>
      </c>
      <c r="B1851" s="5" t="str">
        <f>IF(TRIM(J1851)="","",H1851)</f>
        <v/>
      </c>
      <c r="C1851" s="5" t="str">
        <f>LEFT(F1851,FIND(".",F1851,6))</f>
        <v>Exif.Thumbnail.</v>
      </c>
      <c r="D1851" s="5" t="str">
        <f>VLOOKUP(C1851,PrefixUebersetzung,2,FALSE)</f>
        <v>Exif.Vorschaubild.</v>
      </c>
      <c r="E1851" s="5" t="str">
        <f>MID(F1851,FIND(".",F1851,6)+1,99)</f>
        <v>DocumentName</v>
      </c>
      <c r="F1851" s="2" t="s">
        <v>8107</v>
      </c>
      <c r="G1851" s="5" t="s">
        <v>9666</v>
      </c>
      <c r="H1851" s="3" t="s">
        <v>2369</v>
      </c>
      <c r="I1851" s="7"/>
      <c r="J1851" s="8"/>
      <c r="K1851" s="26"/>
      <c r="L1851" s="6" t="str">
        <f>IFERROR(VLOOKUP(E1851,A:I,9, FALSE),"")</f>
        <v>Dokumentname</v>
      </c>
      <c r="M1851" s="6" t="str">
        <f>IFERROR(VLOOKUP(H1851,B:J,9,FALSE),"")</f>
        <v>Der Name des Dokuments, aus dem dieses Bild gescannt wurde</v>
      </c>
      <c r="N1851" s="6"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row>
    <row r="1852" spans="1:14" ht="30" x14ac:dyDescent="0.25">
      <c r="A1852" s="5" t="str">
        <f>IF(TRIM(I1852)="","",E1852)</f>
        <v/>
      </c>
      <c r="B1852" s="5" t="str">
        <f>IF(TRIM(J1852)="","",H1852)</f>
        <v/>
      </c>
      <c r="C1852" s="5" t="str">
        <f>LEFT(F1852,FIND(".",F1852,6))</f>
        <v>Exif.Thumbnail.</v>
      </c>
      <c r="D1852" s="5" t="str">
        <f>VLOOKUP(C1852,PrefixUebersetzung,2,FALSE)</f>
        <v>Exif.Vorschaubild.</v>
      </c>
      <c r="E1852" s="5" t="str">
        <f>MID(F1852,FIND(".",F1852,6)+1,99)</f>
        <v>DotRange</v>
      </c>
      <c r="F1852" s="2" t="s">
        <v>8108</v>
      </c>
      <c r="G1852" s="5" t="s">
        <v>9670</v>
      </c>
      <c r="H1852" s="3" t="s">
        <v>2370</v>
      </c>
      <c r="I1852" s="7"/>
      <c r="J1852" s="8"/>
      <c r="K1852" s="26"/>
      <c r="L1852" s="6" t="str">
        <f>IFERROR(VLOOKUP(E1852,A:I,9, FALSE),"")</f>
        <v/>
      </c>
      <c r="M1852" s="6" t="str">
        <f>IFERROR(VLOOKUP(H1852,B:J,9,FALSE),"")</f>
        <v/>
      </c>
      <c r="N1852" s="6"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xml:space="preserve">Suffix not translated Description not translated </v>
      </c>
    </row>
    <row r="1853" spans="1:14" ht="75" x14ac:dyDescent="0.25">
      <c r="A1853" s="5" t="str">
        <f>IF(TRIM(I1853)="","",E1853)</f>
        <v/>
      </c>
      <c r="B1853" s="5" t="str">
        <f>IF(TRIM(J1853)="","",H1853)</f>
        <v/>
      </c>
      <c r="C1853" s="5" t="str">
        <f>LEFT(F1853,FIND(".",F1853,6))</f>
        <v>Exif.Thumbnail.</v>
      </c>
      <c r="D1853" s="5" t="str">
        <f>VLOOKUP(C1853,PrefixUebersetzung,2,FALSE)</f>
        <v>Exif.Vorschaubild.</v>
      </c>
      <c r="E1853" s="5" t="str">
        <f>MID(F1853,FIND(".",F1853,6)+1,99)</f>
        <v>ExifTag</v>
      </c>
      <c r="F1853" s="2" t="s">
        <v>8109</v>
      </c>
      <c r="G1853" s="5" t="s">
        <v>9667</v>
      </c>
      <c r="H1853" s="3" t="s">
        <v>2371</v>
      </c>
      <c r="I1853" s="7"/>
      <c r="J1853" s="8"/>
      <c r="K1853" s="26"/>
      <c r="L1853" s="6" t="str">
        <f>IFERROR(VLOOKUP(E1853,A:I,9, FALSE),"")</f>
        <v>ExifTag</v>
      </c>
      <c r="M1853" s="6" t="str">
        <f>IFERROR(VLOOKUP(H1853,B:J,9,FALSE),"")</f>
        <v>Ein Zeiger auf die Exif IFD. Exif IFD hat die gleiche Struktur wie die der IFD, die in TIFF spezifiziert ist. Für gewöhnlich enthält sie jedoch keine Bilddaten, wie im Fall von TIFF.</v>
      </c>
      <c r="N1853" s="6"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row>
    <row r="1854" spans="1:14" x14ac:dyDescent="0.25">
      <c r="A1854" s="5" t="str">
        <f>IF(TRIM(I1854)="","",E1854)</f>
        <v/>
      </c>
      <c r="B1854" s="5" t="str">
        <f>IF(TRIM(J1854)="","",H1854)</f>
        <v/>
      </c>
      <c r="C1854" s="5" t="str">
        <f>LEFT(F1854,FIND(".",F1854,6))</f>
        <v>Exif.Thumbnail.</v>
      </c>
      <c r="D1854" s="5" t="str">
        <f>VLOOKUP(C1854,PrefixUebersetzung,2,FALSE)</f>
        <v>Exif.Vorschaubild.</v>
      </c>
      <c r="E1854" s="5" t="str">
        <f>MID(F1854,FIND(".",F1854,6)+1,99)</f>
        <v>ExposureBiasValue</v>
      </c>
      <c r="F1854" s="2" t="s">
        <v>8110</v>
      </c>
      <c r="G1854" s="5" t="s">
        <v>9672</v>
      </c>
      <c r="H1854" s="3" t="s">
        <v>2372</v>
      </c>
      <c r="I1854" s="7"/>
      <c r="J1854" s="8"/>
      <c r="K1854" s="26"/>
      <c r="L1854" s="6" t="str">
        <f>IFERROR(VLOOKUP(E1854,A:I,9, FALSE),"")</f>
        <v>Belichtungskorrektur</v>
      </c>
      <c r="M1854" s="6" t="str">
        <f>IFERROR(VLOOKUP(H1854,B:J,9,FALSE),"")</f>
        <v>Belichtungskorrektur</v>
      </c>
      <c r="N1854" s="6"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row>
    <row r="1855" spans="1:14" ht="30" x14ac:dyDescent="0.25">
      <c r="A1855" s="5" t="str">
        <f>IF(TRIM(I1855)="","",E1855)</f>
        <v/>
      </c>
      <c r="B1855" s="5" t="str">
        <f>IF(TRIM(J1855)="","",H1855)</f>
        <v/>
      </c>
      <c r="C1855" s="5" t="str">
        <f>LEFT(F1855,FIND(".",F1855,6))</f>
        <v>Exif.Thumbnail.</v>
      </c>
      <c r="D1855" s="5" t="str">
        <f>VLOOKUP(C1855,PrefixUebersetzung,2,FALSE)</f>
        <v>Exif.Vorschaubild.</v>
      </c>
      <c r="E1855" s="5" t="str">
        <f>MID(F1855,FIND(".",F1855,6)+1,99)</f>
        <v>ExposureIndex</v>
      </c>
      <c r="F1855" s="2" t="s">
        <v>8111</v>
      </c>
      <c r="G1855" s="5" t="s">
        <v>9671</v>
      </c>
      <c r="H1855" s="3" t="s">
        <v>2373</v>
      </c>
      <c r="I1855" s="7"/>
      <c r="J1855" s="8"/>
      <c r="K1855" s="26"/>
      <c r="L1855" s="6" t="str">
        <f>IFERROR(VLOOKUP(E1855,A:I,9, FALSE),"")</f>
        <v>Belichtungsindex</v>
      </c>
      <c r="M1855" s="6" t="str">
        <f>IFERROR(VLOOKUP(H1855,B:J,9,FALSE),"")</f>
        <v>Belichtungsindex</v>
      </c>
      <c r="N1855" s="6"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row>
    <row r="1856" spans="1:14" ht="45" x14ac:dyDescent="0.25">
      <c r="A1856" s="5" t="str">
        <f>IF(TRIM(I1856)="","",E1856)</f>
        <v/>
      </c>
      <c r="B1856" s="5" t="str">
        <f>IF(TRIM(J1856)="","",H1856)</f>
        <v/>
      </c>
      <c r="C1856" s="5" t="str">
        <f>LEFT(F1856,FIND(".",F1856,6))</f>
        <v>Exif.Thumbnail.</v>
      </c>
      <c r="D1856" s="5" t="str">
        <f>VLOOKUP(C1856,PrefixUebersetzung,2,FALSE)</f>
        <v>Exif.Vorschaubild.</v>
      </c>
      <c r="E1856" s="5" t="str">
        <f>MID(F1856,FIND(".",F1856,6)+1,99)</f>
        <v>ExposureProgram</v>
      </c>
      <c r="F1856" s="2" t="s">
        <v>8112</v>
      </c>
      <c r="G1856" s="5" t="s">
        <v>9664</v>
      </c>
      <c r="H1856" s="3" t="s">
        <v>2374</v>
      </c>
      <c r="I1856" s="7"/>
      <c r="J1856" s="8"/>
      <c r="K1856" s="26"/>
      <c r="L1856" s="6" t="str">
        <f>IFERROR(VLOOKUP(E1856,A:I,9, FALSE),"")</f>
        <v>Belichtungsprogramm</v>
      </c>
      <c r="M1856" s="6" t="str">
        <f>IFERROR(VLOOKUP(H1856,B:J,9,FALSE),"")</f>
        <v>Durch die Kamera verwendetes Belichtungsprogramms während der Aufnahme.</v>
      </c>
      <c r="N1856" s="6"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row>
    <row r="1857" spans="1:14" x14ac:dyDescent="0.25">
      <c r="A1857" s="5" t="str">
        <f>IF(TRIM(I1857)="","",E1857)</f>
        <v/>
      </c>
      <c r="B1857" s="5" t="str">
        <f>IF(TRIM(J1857)="","",H1857)</f>
        <v/>
      </c>
      <c r="C1857" s="5" t="str">
        <f>LEFT(F1857,FIND(".",F1857,6))</f>
        <v>Exif.Thumbnail.</v>
      </c>
      <c r="D1857" s="5" t="str">
        <f>VLOOKUP(C1857,PrefixUebersetzung,2,FALSE)</f>
        <v>Exif.Vorschaubild.</v>
      </c>
      <c r="E1857" s="5" t="str">
        <f>MID(F1857,FIND(".",F1857,6)+1,99)</f>
        <v>ExposureTime</v>
      </c>
      <c r="F1857" s="2" t="s">
        <v>8113</v>
      </c>
      <c r="G1857" s="5" t="s">
        <v>9671</v>
      </c>
      <c r="H1857" s="3" t="s">
        <v>2375</v>
      </c>
      <c r="I1857" s="7"/>
      <c r="J1857" s="8"/>
      <c r="K1857" s="26"/>
      <c r="L1857" s="6" t="str">
        <f>IFERROR(VLOOKUP(E1857,A:I,9, FALSE),"")</f>
        <v>Belichtungszeit</v>
      </c>
      <c r="M1857" s="6" t="str">
        <f>IFERROR(VLOOKUP(H1857,B:J,9,FALSE),"")</f>
        <v>Belichtungszeit in Sekunden</v>
      </c>
      <c r="N1857" s="6"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row>
    <row r="1858" spans="1:14" ht="45" x14ac:dyDescent="0.25">
      <c r="A1858" s="5" t="str">
        <f>IF(TRIM(I1858)="","",E1858)</f>
        <v/>
      </c>
      <c r="B1858" s="5" t="str">
        <f>IF(TRIM(J1858)="","",H1858)</f>
        <v/>
      </c>
      <c r="C1858" s="5" t="str">
        <f>LEFT(F1858,FIND(".",F1858,6))</f>
        <v>Exif.Thumbnail.</v>
      </c>
      <c r="D1858" s="5" t="str">
        <f>VLOOKUP(C1858,PrefixUebersetzung,2,FALSE)</f>
        <v>Exif.Vorschaubild.</v>
      </c>
      <c r="E1858" s="5" t="str">
        <f>MID(F1858,FIND(".",F1858,6)+1,99)</f>
        <v>ExtraSamples</v>
      </c>
      <c r="F1858" s="2" t="s">
        <v>8114</v>
      </c>
      <c r="G1858" s="5" t="s">
        <v>9664</v>
      </c>
      <c r="H1858" s="3" t="s">
        <v>2376</v>
      </c>
      <c r="I1858" s="7"/>
      <c r="J1858" s="8"/>
      <c r="K1858" s="26"/>
      <c r="L1858" s="6" t="str">
        <f>IFERROR(VLOOKUP(E1858,A:I,9, FALSE),"")</f>
        <v/>
      </c>
      <c r="M1858" s="6" t="str">
        <f>IFERROR(VLOOKUP(H1858,B:J,9,FALSE),"")</f>
        <v/>
      </c>
      <c r="N1858" s="6"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xml:space="preserve">Suffix not translated Description not translated </v>
      </c>
    </row>
    <row r="1859" spans="1:14" ht="30" x14ac:dyDescent="0.25">
      <c r="A1859" s="5" t="str">
        <f>IF(TRIM(I1859)="","",E1859)</f>
        <v/>
      </c>
      <c r="B1859" s="5" t="str">
        <f>IF(TRIM(J1859)="","",H1859)</f>
        <v/>
      </c>
      <c r="C1859" s="5" t="str">
        <f>LEFT(F1859,FIND(".",F1859,6))</f>
        <v>Exif.Thumbnail.</v>
      </c>
      <c r="D1859" s="5" t="str">
        <f>VLOOKUP(C1859,PrefixUebersetzung,2,FALSE)</f>
        <v>Exif.Vorschaubild.</v>
      </c>
      <c r="E1859" s="5" t="str">
        <f>MID(F1859,FIND(".",F1859,6)+1,99)</f>
        <v>FillOrder</v>
      </c>
      <c r="F1859" s="2" t="s">
        <v>8115</v>
      </c>
      <c r="G1859" s="5" t="s">
        <v>9664</v>
      </c>
      <c r="H1859" s="3" t="s">
        <v>2377</v>
      </c>
      <c r="I1859" s="7"/>
      <c r="J1859" s="8"/>
      <c r="K1859" s="26"/>
      <c r="L1859" s="6" t="str">
        <f>IFERROR(VLOOKUP(E1859,A:I,9, FALSE),"")</f>
        <v>Reihenfolge in Byte</v>
      </c>
      <c r="M1859" s="6" t="str">
        <f>IFERROR(VLOOKUP(H1859,B:J,9,FALSE),"")</f>
        <v>Die logische Reihenfolge der Bits in einem Byte</v>
      </c>
      <c r="N1859" s="6"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row>
    <row r="1860" spans="1:14" ht="30" x14ac:dyDescent="0.25">
      <c r="A1860" s="5" t="str">
        <f>IF(TRIM(I1860)="","",E1860)</f>
        <v/>
      </c>
      <c r="B1860" s="5" t="str">
        <f>IF(TRIM(J1860)="","",H1860)</f>
        <v/>
      </c>
      <c r="C1860" s="5" t="str">
        <f>LEFT(F1860,FIND(".",F1860,6))</f>
        <v>Exif.Thumbnail.</v>
      </c>
      <c r="D1860" s="5" t="str">
        <f>VLOOKUP(C1860,PrefixUebersetzung,2,FALSE)</f>
        <v>Exif.Vorschaubild.</v>
      </c>
      <c r="E1860" s="5" t="str">
        <f>MID(F1860,FIND(".",F1860,6)+1,99)</f>
        <v>Flash</v>
      </c>
      <c r="F1860" s="2" t="s">
        <v>8116</v>
      </c>
      <c r="G1860" s="5" t="s">
        <v>9664</v>
      </c>
      <c r="H1860" s="3" t="s">
        <v>2378</v>
      </c>
      <c r="I1860" s="7"/>
      <c r="J1860" s="8"/>
      <c r="K1860" s="26"/>
      <c r="L1860" s="6" t="str">
        <f>IFERROR(VLOOKUP(E1860,A:I,9, FALSE),"")</f>
        <v>Blitz</v>
      </c>
      <c r="M1860" s="6" t="str">
        <f>IFERROR(VLOOKUP(H1860,B:J,9,FALSE),"")</f>
        <v>Status des Blitzes während der Bildaufnahme</v>
      </c>
      <c r="N1860" s="6"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row>
    <row r="1861" spans="1:14" x14ac:dyDescent="0.25">
      <c r="A1861" s="5" t="str">
        <f>IF(TRIM(I1861)="","",E1861)</f>
        <v/>
      </c>
      <c r="B1861" s="5" t="str">
        <f>IF(TRIM(J1861)="","",H1861)</f>
        <v/>
      </c>
      <c r="C1861" s="5" t="str">
        <f>LEFT(F1861,FIND(".",F1861,6))</f>
        <v>Exif.Thumbnail.</v>
      </c>
      <c r="D1861" s="5" t="str">
        <f>VLOOKUP(C1861,PrefixUebersetzung,2,FALSE)</f>
        <v>Exif.Vorschaubild.</v>
      </c>
      <c r="E1861" s="5" t="str">
        <f>MID(F1861,FIND(".",F1861,6)+1,99)</f>
        <v>FlashEnergy</v>
      </c>
      <c r="F1861" s="2" t="s">
        <v>8117</v>
      </c>
      <c r="G1861" s="5" t="s">
        <v>9671</v>
      </c>
      <c r="H1861" s="3" t="s">
        <v>2379</v>
      </c>
      <c r="I1861" s="7"/>
      <c r="J1861" s="8"/>
      <c r="K1861" s="26"/>
      <c r="L1861" s="6" t="str">
        <f>IFERROR(VLOOKUP(E1861,A:I,9, FALSE),"")</f>
        <v>Blitzenergie</v>
      </c>
      <c r="M1861" s="6" t="str">
        <f>IFERROR(VLOOKUP(H1861,B:J,9,FALSE),"")</f>
        <v>Blitzenergie (BCPS).</v>
      </c>
      <c r="N1861" s="6"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row>
    <row r="1862" spans="1:14" x14ac:dyDescent="0.25">
      <c r="A1862" s="5" t="str">
        <f>IF(TRIM(I1862)="","",E1862)</f>
        <v/>
      </c>
      <c r="B1862" s="5" t="str">
        <f>IF(TRIM(J1862)="","",H1862)</f>
        <v/>
      </c>
      <c r="C1862" s="5" t="str">
        <f>LEFT(F1862,FIND(".",F1862,6))</f>
        <v>Exif.Thumbnail.</v>
      </c>
      <c r="D1862" s="5" t="str">
        <f>VLOOKUP(C1862,PrefixUebersetzung,2,FALSE)</f>
        <v>Exif.Vorschaubild.</v>
      </c>
      <c r="E1862" s="5" t="str">
        <f>MID(F1862,FIND(".",F1862,6)+1,99)</f>
        <v>FNumber</v>
      </c>
      <c r="F1862" s="2" t="s">
        <v>8118</v>
      </c>
      <c r="G1862" s="5" t="s">
        <v>9671</v>
      </c>
      <c r="H1862" s="3" t="s">
        <v>2380</v>
      </c>
      <c r="I1862" s="7"/>
      <c r="J1862" s="8"/>
      <c r="K1862" s="26"/>
      <c r="L1862" s="6" t="str">
        <f>IFERROR(VLOOKUP(E1862,A:I,9, FALSE),"")</f>
        <v>Blendenzahl</v>
      </c>
      <c r="M1862" s="6" t="str">
        <f>IFERROR(VLOOKUP(H1862,B:J,9,FALSE),"")</f>
        <v>Blendenzahl</v>
      </c>
      <c r="N1862" s="6"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row>
    <row r="1863" spans="1:14" ht="30" x14ac:dyDescent="0.25">
      <c r="A1863" s="5" t="str">
        <f>IF(TRIM(I1863)="","",E1863)</f>
        <v/>
      </c>
      <c r="B1863" s="5" t="str">
        <f>IF(TRIM(J1863)="","",H1863)</f>
        <v/>
      </c>
      <c r="C1863" s="5" t="str">
        <f>LEFT(F1863,FIND(".",F1863,6))</f>
        <v>Exif.Thumbnail.</v>
      </c>
      <c r="D1863" s="5" t="str">
        <f>VLOOKUP(C1863,PrefixUebersetzung,2,FALSE)</f>
        <v>Exif.Vorschaubild.</v>
      </c>
      <c r="E1863" s="5" t="str">
        <f>MID(F1863,FIND(".",F1863,6)+1,99)</f>
        <v>FocalLength</v>
      </c>
      <c r="F1863" s="2" t="s">
        <v>8119</v>
      </c>
      <c r="G1863" s="5" t="s">
        <v>9671</v>
      </c>
      <c r="H1863" s="3" t="s">
        <v>2381</v>
      </c>
      <c r="I1863" s="7"/>
      <c r="J1863" s="8"/>
      <c r="K1863" s="26"/>
      <c r="L1863" s="6" t="str">
        <f>IFERROR(VLOOKUP(E1863,A:I,9, FALSE),"")</f>
        <v>Brennweite</v>
      </c>
      <c r="M1863" s="6" t="str">
        <f>IFERROR(VLOOKUP(H1863,B:J,9,FALSE),"")</f>
        <v>Die tatsächliche Brennweite des Objektives in mm</v>
      </c>
      <c r="N1863" s="6"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row>
    <row r="1864" spans="1:14" ht="45" x14ac:dyDescent="0.25">
      <c r="A1864" s="5" t="str">
        <f>IF(TRIM(I1864)="","",E1864)</f>
        <v/>
      </c>
      <c r="B1864" s="5" t="str">
        <f>IF(TRIM(J1864)="","",H1864)</f>
        <v/>
      </c>
      <c r="C1864" s="5" t="str">
        <f>LEFT(F1864,FIND(".",F1864,6))</f>
        <v>Exif.Thumbnail.</v>
      </c>
      <c r="D1864" s="5" t="str">
        <f>VLOOKUP(C1864,PrefixUebersetzung,2,FALSE)</f>
        <v>Exif.Vorschaubild.</v>
      </c>
      <c r="E1864" s="5" t="str">
        <f>MID(F1864,FIND(".",F1864,6)+1,99)</f>
        <v>FocalPlaneResolutionUnit</v>
      </c>
      <c r="F1864" s="2" t="s">
        <v>8120</v>
      </c>
      <c r="G1864" s="5" t="s">
        <v>9664</v>
      </c>
      <c r="H1864" s="3" t="s">
        <v>2382</v>
      </c>
      <c r="I1864" s="7"/>
      <c r="J1864" s="8"/>
      <c r="K1864" s="26"/>
      <c r="L1864" s="6" t="str">
        <f>IFERROR(VLOOKUP(E1864,A:I,9, FALSE),"")</f>
        <v>Auflösung Brennebene Einheit</v>
      </c>
      <c r="M1864" s="6" t="str">
        <f>IFERROR(VLOOKUP(H1864,B:J,9,FALSE),"")</f>
        <v>Maßeinheit für FocalPlaneXResolution(Tag 37390) and FocalPlaneYResolution(Tag 37391)</v>
      </c>
      <c r="N1864" s="6"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row>
    <row r="1865" spans="1:14" ht="60" x14ac:dyDescent="0.25">
      <c r="A1865" s="5" t="str">
        <f>IF(TRIM(I1865)="","",E1865)</f>
        <v/>
      </c>
      <c r="B1865" s="5" t="str">
        <f>IF(TRIM(J1865)="","",H1865)</f>
        <v/>
      </c>
      <c r="C1865" s="5" t="str">
        <f>LEFT(F1865,FIND(".",F1865,6))</f>
        <v>Exif.Thumbnail.</v>
      </c>
      <c r="D1865" s="5" t="str">
        <f>VLOOKUP(C1865,PrefixUebersetzung,2,FALSE)</f>
        <v>Exif.Vorschaubild.</v>
      </c>
      <c r="E1865" s="5" t="str">
        <f>MID(F1865,FIND(".",F1865,6)+1,99)</f>
        <v>FocalPlaneXResolution</v>
      </c>
      <c r="F1865" s="2" t="s">
        <v>8121</v>
      </c>
      <c r="G1865" s="5" t="s">
        <v>9671</v>
      </c>
      <c r="H1865" s="3" t="s">
        <v>2383</v>
      </c>
      <c r="I1865" s="7"/>
      <c r="J1865" s="8"/>
      <c r="K1865" s="26"/>
      <c r="L1865" s="6" t="str">
        <f>IFERROR(VLOOKUP(E1865,A:I,9, FALSE),"")</f>
        <v>Auflösung Brennebene X</v>
      </c>
      <c r="M1865" s="6" t="str">
        <f>IFERROR(VLOOKUP(H1865,B:J,9,FALSE),"")</f>
        <v>Anzahl der Pixel pro FocalPlaneResolutionUnit (Tag 37392) in Richtung ImageWidth für das Haupt-Bild</v>
      </c>
      <c r="N1865" s="6"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row>
    <row r="1866" spans="1:14" ht="60" x14ac:dyDescent="0.25">
      <c r="A1866" s="5" t="str">
        <f>IF(TRIM(I1866)="","",E1866)</f>
        <v/>
      </c>
      <c r="B1866" s="5" t="str">
        <f>IF(TRIM(J1866)="","",H1866)</f>
        <v/>
      </c>
      <c r="C1866" s="5" t="str">
        <f>LEFT(F1866,FIND(".",F1866,6))</f>
        <v>Exif.Thumbnail.</v>
      </c>
      <c r="D1866" s="5" t="str">
        <f>VLOOKUP(C1866,PrefixUebersetzung,2,FALSE)</f>
        <v>Exif.Vorschaubild.</v>
      </c>
      <c r="E1866" s="5" t="str">
        <f>MID(F1866,FIND(".",F1866,6)+1,99)</f>
        <v>FocalPlaneYResolution</v>
      </c>
      <c r="F1866" s="2" t="s">
        <v>8122</v>
      </c>
      <c r="G1866" s="5" t="s">
        <v>9671</v>
      </c>
      <c r="H1866" s="3" t="s">
        <v>2384</v>
      </c>
      <c r="I1866" s="7"/>
      <c r="J1866" s="8"/>
      <c r="K1866" s="26"/>
      <c r="L1866" s="6" t="str">
        <f>IFERROR(VLOOKUP(E1866,A:I,9, FALSE),"")</f>
        <v>Auflösung Brennebene Y</v>
      </c>
      <c r="M1866" s="6" t="str">
        <f>IFERROR(VLOOKUP(H1866,B:J,9,FALSE),"")</f>
        <v>Anzahl der Pixel pro FocalPlaneResolutionUnit (Tag 37392) in Richtung ImageLength für das Haupt-Bild</v>
      </c>
      <c r="N1866" s="6"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row>
    <row r="1867" spans="1:14" ht="45" x14ac:dyDescent="0.25">
      <c r="A1867" s="5" t="str">
        <f>IF(TRIM(I1867)="","",E1867)</f>
        <v/>
      </c>
      <c r="B1867" s="5" t="str">
        <f>IF(TRIM(J1867)="","",H1867)</f>
        <v/>
      </c>
      <c r="C1867" s="5" t="str">
        <f>LEFT(F1867,FIND(".",F1867,6))</f>
        <v>Exif.Thumbnail.</v>
      </c>
      <c r="D1867" s="5" t="str">
        <f>VLOOKUP(C1867,PrefixUebersetzung,2,FALSE)</f>
        <v>Exif.Vorschaubild.</v>
      </c>
      <c r="E1867" s="5" t="str">
        <f>MID(F1867,FIND(".",F1867,6)+1,99)</f>
        <v>ForwardMatrix1</v>
      </c>
      <c r="F1867" s="2" t="s">
        <v>8123</v>
      </c>
      <c r="G1867" s="5" t="s">
        <v>9672</v>
      </c>
      <c r="H1867" s="3" t="s">
        <v>2385</v>
      </c>
      <c r="I1867" s="7"/>
      <c r="J1867" s="8"/>
      <c r="K1867" s="26"/>
      <c r="L1867" s="6" t="str">
        <f>IFERROR(VLOOKUP(E1867,A:I,9, FALSE),"")</f>
        <v/>
      </c>
      <c r="M1867" s="6" t="str">
        <f>IFERROR(VLOOKUP(H1867,B:J,9,FALSE),"")</f>
        <v>Dieser Tag definiert eine Matrix, die weiß-abgegelichene Kamera-Farben auf XYZ D50 Farben abbildet</v>
      </c>
      <c r="N1867" s="6"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xml:space="preserve">Suffix not translated </v>
      </c>
    </row>
    <row r="1868" spans="1:14" ht="45" x14ac:dyDescent="0.25">
      <c r="A1868" s="5" t="str">
        <f>IF(TRIM(I1868)="","",E1868)</f>
        <v/>
      </c>
      <c r="B1868" s="5" t="str">
        <f>IF(TRIM(J1868)="","",H1868)</f>
        <v/>
      </c>
      <c r="C1868" s="5" t="str">
        <f>LEFT(F1868,FIND(".",F1868,6))</f>
        <v>Exif.Thumbnail.</v>
      </c>
      <c r="D1868" s="5" t="str">
        <f>VLOOKUP(C1868,PrefixUebersetzung,2,FALSE)</f>
        <v>Exif.Vorschaubild.</v>
      </c>
      <c r="E1868" s="5" t="str">
        <f>MID(F1868,FIND(".",F1868,6)+1,99)</f>
        <v>ForwardMatrix2</v>
      </c>
      <c r="F1868" s="2" t="s">
        <v>8124</v>
      </c>
      <c r="G1868" s="5" t="s">
        <v>9672</v>
      </c>
      <c r="H1868" s="3" t="s">
        <v>2385</v>
      </c>
      <c r="I1868" s="7"/>
      <c r="J1868" s="8"/>
      <c r="K1868" s="26"/>
      <c r="L1868" s="6" t="str">
        <f>IFERROR(VLOOKUP(E1868,A:I,9, FALSE),"")</f>
        <v/>
      </c>
      <c r="M1868" s="6" t="str">
        <f>IFERROR(VLOOKUP(H1868,B:J,9,FALSE),"")</f>
        <v>Dieser Tag definiert eine Matrix, die weiß-abgegelichene Kamera-Farben auf XYZ D50 Farben abbildet</v>
      </c>
      <c r="N1868" s="6"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xml:space="preserve">Suffix not translated </v>
      </c>
    </row>
    <row r="1869" spans="1:14" ht="120" x14ac:dyDescent="0.25">
      <c r="A1869" s="5" t="str">
        <f>IF(TRIM(I1869)="","",E1869)</f>
        <v/>
      </c>
      <c r="B1869" s="5" t="str">
        <f>IF(TRIM(J1869)="","",H1869)</f>
        <v/>
      </c>
      <c r="C1869" s="5" t="str">
        <f>LEFT(F1869,FIND(".",F1869,6))</f>
        <v>Exif.Thumbnail.</v>
      </c>
      <c r="D1869" s="5" t="str">
        <f>VLOOKUP(C1869,PrefixUebersetzung,2,FALSE)</f>
        <v>Exif.Vorschaubild.</v>
      </c>
      <c r="E1869" s="5" t="str">
        <f>MID(F1869,FIND(".",F1869,6)+1,99)</f>
        <v>FrameRate</v>
      </c>
      <c r="F1869" s="2" t="s">
        <v>8125</v>
      </c>
      <c r="G1869" s="5" t="s">
        <v>9672</v>
      </c>
      <c r="H1869" s="3" t="s">
        <v>8004</v>
      </c>
      <c r="I1869" s="7"/>
      <c r="J1869" s="8"/>
      <c r="K1869" s="26"/>
      <c r="L1869" s="6" t="str">
        <f>IFERROR(VLOOKUP(E1869,A:I,9, FALSE),"")</f>
        <v>Frame-Rate</v>
      </c>
      <c r="M1869" s="6" t="str">
        <f>IFERROR(INDEX(J:J,MATCH(TRUE,INDEX(B:B=H1869,0),0)),"")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1869" s="6"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row>
    <row r="1870" spans="1:14" ht="60" x14ac:dyDescent="0.25">
      <c r="A1870" s="5" t="str">
        <f>IF(TRIM(I1870)="","",E1870)</f>
        <v/>
      </c>
      <c r="B1870" s="5" t="str">
        <f>IF(TRIM(J1870)="","",H1870)</f>
        <v/>
      </c>
      <c r="C1870" s="5" t="str">
        <f>LEFT(F1870,FIND(".",F1870,6))</f>
        <v>Exif.Thumbnail.</v>
      </c>
      <c r="D1870" s="5" t="str">
        <f>VLOOKUP(C1870,PrefixUebersetzung,2,FALSE)</f>
        <v>Exif.Vorschaubild.</v>
      </c>
      <c r="E1870" s="5" t="str">
        <f>MID(F1870,FIND(".",F1870,6)+1,99)</f>
        <v>GPSTag</v>
      </c>
      <c r="F1870" s="2" t="s">
        <v>8126</v>
      </c>
      <c r="G1870" s="5" t="s">
        <v>9667</v>
      </c>
      <c r="H1870" s="3" t="s">
        <v>2386</v>
      </c>
      <c r="I1870" s="7"/>
      <c r="J1870" s="8"/>
      <c r="K1870" s="26"/>
      <c r="L1870" s="6" t="str">
        <f>IFERROR(VLOOKUP(E1870,A:I,9, FALSE),"")</f>
        <v>GPS Tag</v>
      </c>
      <c r="M1870" s="6" t="str">
        <f>IFERROR(VLOOKUP(H1870,B:J,9,FALSE),"")</f>
        <v>Ein Zeiger auf die GPS IFD Info. Die Interoperabilitäts-Struktur des GPS Info IFD, wie die Exif IFD, hat keine Bilddaten.</v>
      </c>
      <c r="N1870" s="6"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row>
    <row r="1871" spans="1:14" ht="30" x14ac:dyDescent="0.25">
      <c r="A1871" s="5" t="str">
        <f>IF(TRIM(I1871)="","",E1871)</f>
        <v/>
      </c>
      <c r="B1871" s="5" t="str">
        <f>IF(TRIM(J1871)="","",H1871)</f>
        <v/>
      </c>
      <c r="C1871" s="5" t="str">
        <f>LEFT(F1871,FIND(".",F1871,6))</f>
        <v>Exif.Thumbnail.</v>
      </c>
      <c r="D1871" s="5" t="str">
        <f>VLOOKUP(C1871,PrefixUebersetzung,2,FALSE)</f>
        <v>Exif.Vorschaubild.</v>
      </c>
      <c r="E1871" s="5" t="str">
        <f>MID(F1871,FIND(".",F1871,6)+1,99)</f>
        <v>GrayResponseCurve</v>
      </c>
      <c r="F1871" s="2" t="s">
        <v>8127</v>
      </c>
      <c r="G1871" s="5" t="s">
        <v>9664</v>
      </c>
      <c r="H1871" s="3" t="s">
        <v>2387</v>
      </c>
      <c r="I1871" s="7"/>
      <c r="J1871" s="8"/>
      <c r="K1871" s="26"/>
      <c r="L1871" s="6" t="str">
        <f>IFERROR(VLOOKUP(E1871,A:I,9, FALSE),"")</f>
        <v>Grauskalen Kurve</v>
      </c>
      <c r="M1871" s="6" t="str">
        <f>IFERROR(VLOOKUP(H1871,B:J,9,FALSE),"")</f>
        <v>Für Grauskalendaten: optische Dichte für jeden möglichen Pixelwert.</v>
      </c>
      <c r="N1871" s="6"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row>
    <row r="1872" spans="1:14" ht="45" x14ac:dyDescent="0.25">
      <c r="A1872" s="5" t="str">
        <f>IF(TRIM(I1872)="","",E1872)</f>
        <v/>
      </c>
      <c r="B1872" s="5" t="str">
        <f>IF(TRIM(J1872)="","",H1872)</f>
        <v/>
      </c>
      <c r="C1872" s="5" t="str">
        <f>LEFT(F1872,FIND(".",F1872,6))</f>
        <v>Exif.Thumbnail.</v>
      </c>
      <c r="D1872" s="5" t="str">
        <f>VLOOKUP(C1872,PrefixUebersetzung,2,FALSE)</f>
        <v>Exif.Vorschaubild.</v>
      </c>
      <c r="E1872" s="5" t="str">
        <f>MID(F1872,FIND(".",F1872,6)+1,99)</f>
        <v>GrayResponseUnit</v>
      </c>
      <c r="F1872" s="2" t="s">
        <v>8128</v>
      </c>
      <c r="G1872" s="5" t="s">
        <v>9664</v>
      </c>
      <c r="H1872" s="3" t="s">
        <v>2388</v>
      </c>
      <c r="I1872" s="7"/>
      <c r="J1872" s="8"/>
      <c r="K1872" s="26"/>
      <c r="L1872" s="6" t="str">
        <f>IFERROR(VLOOKUP(E1872,A:I,9, FALSE),"")</f>
        <v>Grauskalen Einheit</v>
      </c>
      <c r="M1872" s="6" t="str">
        <f>IFERROR(VLOOKUP(H1872,B:J,9,FALSE),"")</f>
        <v>Die Genauigkeit der Informationen, die in der GrayResponseCurve enthalten sind.</v>
      </c>
      <c r="N1872" s="6"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row>
    <row r="1873" spans="1:14" ht="60" x14ac:dyDescent="0.25">
      <c r="A1873" s="5" t="str">
        <f>IF(TRIM(I1873)="","",E1873)</f>
        <v/>
      </c>
      <c r="B1873" s="5" t="str">
        <f>IF(TRIM(J1873)="","",H1873)</f>
        <v/>
      </c>
      <c r="C1873" s="5" t="str">
        <f>LEFT(F1873,FIND(".",F1873,6))</f>
        <v>Exif.Thumbnail.</v>
      </c>
      <c r="D1873" s="5" t="str">
        <f>VLOOKUP(C1873,PrefixUebersetzung,2,FALSE)</f>
        <v>Exif.Vorschaubild.</v>
      </c>
      <c r="E1873" s="5" t="str">
        <f>MID(F1873,FIND(".",F1873,6)+1,99)</f>
        <v>HalftoneHints</v>
      </c>
      <c r="F1873" s="2" t="s">
        <v>8129</v>
      </c>
      <c r="G1873" s="5" t="s">
        <v>9664</v>
      </c>
      <c r="H1873" s="3" t="s">
        <v>2389</v>
      </c>
      <c r="I1873" s="7"/>
      <c r="J1873" s="8"/>
      <c r="K1873" s="26"/>
      <c r="L1873" s="6" t="str">
        <f>IFERROR(VLOOKUP(E1873,A:I,9, FALSE),"")</f>
        <v>Halbton Hinweise</v>
      </c>
      <c r="M1873" s="6" t="str">
        <f>IFERROR(VLOOKUP(H1873,B:J,9,FALSE),"")</f>
        <v/>
      </c>
      <c r="N1873" s="6"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xml:space="preserve">Description not translated </v>
      </c>
    </row>
    <row r="1874" spans="1:14" ht="60" x14ac:dyDescent="0.25">
      <c r="A1874" s="5" t="str">
        <f>IF(TRIM(I1874)="","",E1874)</f>
        <v/>
      </c>
      <c r="B1874" s="5" t="str">
        <f>IF(TRIM(J1874)="","",H1874)</f>
        <v/>
      </c>
      <c r="C1874" s="5" t="str">
        <f>LEFT(F1874,FIND(".",F1874,6))</f>
        <v>Exif.Thumbnail.</v>
      </c>
      <c r="D1874" s="5" t="str">
        <f>VLOOKUP(C1874,PrefixUebersetzung,2,FALSE)</f>
        <v>Exif.Vorschaubild.</v>
      </c>
      <c r="E1874" s="5" t="str">
        <f>MID(F1874,FIND(".",F1874,6)+1,99)</f>
        <v>HostComputer</v>
      </c>
      <c r="F1874" s="2" t="s">
        <v>8130</v>
      </c>
      <c r="G1874" s="5" t="s">
        <v>9666</v>
      </c>
      <c r="H1874" s="3" t="s">
        <v>2390</v>
      </c>
      <c r="I1874" s="7"/>
      <c r="J1874" s="8"/>
      <c r="K1874" s="26"/>
      <c r="L1874" s="6" t="str">
        <f>IFERROR(VLOOKUP(E1874,A:I,9, FALSE),"")</f>
        <v>Host-Computer</v>
      </c>
      <c r="M1874" s="6" t="str">
        <f>IFERROR(VLOOKUP(H1874,B:J,9,FALSE),"")</f>
        <v>Dieser Tag zeichnet Informationen über den Host-Computer auf, der verwendet wurde, um das Bild zu erzeugen.</v>
      </c>
      <c r="N1874" s="6"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row>
    <row r="1875" spans="1:14" ht="135" x14ac:dyDescent="0.25">
      <c r="A1875" s="5" t="str">
        <f>IF(TRIM(I1875)="","",E1875)</f>
        <v/>
      </c>
      <c r="B1875" s="5" t="str">
        <f>IF(TRIM(J1875)="","",H1875)</f>
        <v/>
      </c>
      <c r="C1875" s="5" t="str">
        <f>LEFT(F1875,FIND(".",F1875,6))</f>
        <v>Exif.Thumbnail.</v>
      </c>
      <c r="D1875" s="5" t="str">
        <f>VLOOKUP(C1875,PrefixUebersetzung,2,FALSE)</f>
        <v>Exif.Vorschaubild.</v>
      </c>
      <c r="E1875" s="5" t="str">
        <f>MID(F1875,FIND(".",F1875,6)+1,99)</f>
        <v>ImageDescription</v>
      </c>
      <c r="F1875" s="2" t="s">
        <v>8131</v>
      </c>
      <c r="G1875" s="5" t="s">
        <v>9666</v>
      </c>
      <c r="H1875" s="3" t="s">
        <v>2391</v>
      </c>
      <c r="I1875" s="7"/>
      <c r="J1875" s="8"/>
      <c r="K1875" s="26"/>
      <c r="L1875" s="6" t="str">
        <f>IFERROR(VLOOKUP(E1875,A:I,9, FALSE),"")</f>
        <v>Bildbeschreibung</v>
      </c>
      <c r="M1875" s="6" t="str">
        <f>IFERROR(VLOOKUP(H1875,B:J,9,FALSE),"")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1875" s="6"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row>
    <row r="1876" spans="1:14" ht="30" x14ac:dyDescent="0.25">
      <c r="A1876" s="5" t="str">
        <f>IF(TRIM(I1876)="","",E1876)</f>
        <v/>
      </c>
      <c r="B1876" s="5" t="str">
        <f>IF(TRIM(J1876)="","",H1876)</f>
        <v/>
      </c>
      <c r="C1876" s="5" t="str">
        <f>LEFT(F1876,FIND(".",F1876,6))</f>
        <v>Exif.Thumbnail.</v>
      </c>
      <c r="D1876" s="5" t="str">
        <f>VLOOKUP(C1876,PrefixUebersetzung,2,FALSE)</f>
        <v>Exif.Vorschaubild.</v>
      </c>
      <c r="E1876" s="5" t="str">
        <f>MID(F1876,FIND(".",F1876,6)+1,99)</f>
        <v>ImageHistory</v>
      </c>
      <c r="F1876" s="2" t="s">
        <v>8132</v>
      </c>
      <c r="G1876" s="5" t="s">
        <v>9666</v>
      </c>
      <c r="H1876" s="3" t="s">
        <v>2392</v>
      </c>
      <c r="I1876" s="7"/>
      <c r="J1876" s="8"/>
      <c r="K1876" s="26"/>
      <c r="L1876" s="6" t="str">
        <f>IFERROR(VLOOKUP(E1876,A:I,9, FALSE),"")</f>
        <v>Bildänderungshistorie</v>
      </c>
      <c r="M1876" s="6" t="str">
        <f>IFERROR(VLOOKUP(H1876,B:J,9,FALSE),"")</f>
        <v>Aufzeichnung, welche Änderungen an dem Bild vorgenommen wurden.</v>
      </c>
      <c r="N1876" s="6"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row>
    <row r="1877" spans="1:14" ht="90" x14ac:dyDescent="0.25">
      <c r="A1877" s="5" t="str">
        <f>IF(TRIM(I1877)="","",E1877)</f>
        <v/>
      </c>
      <c r="B1877" s="5" t="str">
        <f>IF(TRIM(J1877)="","",H1877)</f>
        <v/>
      </c>
      <c r="C1877" s="5" t="str">
        <f>LEFT(F1877,FIND(".",F1877,6))</f>
        <v>Exif.Thumbnail.</v>
      </c>
      <c r="D1877" s="5" t="str">
        <f>VLOOKUP(C1877,PrefixUebersetzung,2,FALSE)</f>
        <v>Exif.Vorschaubild.</v>
      </c>
      <c r="E1877" s="5" t="str">
        <f>MID(F1877,FIND(".",F1877,6)+1,99)</f>
        <v>ImageID</v>
      </c>
      <c r="F1877" s="2" t="s">
        <v>8133</v>
      </c>
      <c r="G1877" s="5" t="s">
        <v>9666</v>
      </c>
      <c r="H1877" s="3" t="s">
        <v>2393</v>
      </c>
      <c r="I1877" s="7"/>
      <c r="J1877" s="8"/>
      <c r="K1877" s="26"/>
      <c r="L1877" s="6" t="str">
        <f>IFERROR(VLOOKUP(E1877,A:I,9, FALSE),"")</f>
        <v>Bild-Id</v>
      </c>
      <c r="M1877" s="6" t="str">
        <f>IFERROR(VLOOKUP(H1877,B:J,9,FALSE),"")</f>
        <v>ImageID ist der vollständige Pfad des Originals, hochauflösendes Bild, oder jede andere identifizierende Zeichenfolge, die eindeutig das ursprüngliche Bild identifiziert (Adobe OPI).</v>
      </c>
      <c r="N1877" s="6"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row>
    <row r="1878" spans="1:14" ht="60" x14ac:dyDescent="0.25">
      <c r="A1878" s="5" t="str">
        <f>IF(TRIM(I1878)="","",E1878)</f>
        <v/>
      </c>
      <c r="B1878" s="5" t="str">
        <f>IF(TRIM(J1878)="","",H1878)</f>
        <v/>
      </c>
      <c r="C1878" s="5" t="str">
        <f>LEFT(F1878,FIND(".",F1878,6))</f>
        <v>Exif.Thumbnail.</v>
      </c>
      <c r="D1878" s="5" t="str">
        <f>VLOOKUP(C1878,PrefixUebersetzung,2,FALSE)</f>
        <v>Exif.Vorschaubild.</v>
      </c>
      <c r="E1878" s="5" t="str">
        <f>MID(F1878,FIND(".",F1878,6)+1,99)</f>
        <v>ImageLength</v>
      </c>
      <c r="F1878" s="2" t="s">
        <v>8134</v>
      </c>
      <c r="G1878" s="5" t="s">
        <v>9667</v>
      </c>
      <c r="H1878" s="3" t="s">
        <v>2394</v>
      </c>
      <c r="I1878" s="7"/>
      <c r="J1878" s="8"/>
      <c r="K1878" s="26"/>
      <c r="L1878" s="6" t="str">
        <f>IFERROR(VLOOKUP(E1878,A:I,9, FALSE),"")</f>
        <v>Bildlänge</v>
      </c>
      <c r="M1878" s="6" t="str">
        <f>IFERROR(VLOOKUP(H1878,B:J,9,FALSE),"")</f>
        <v>Die Anzahl der Zeilen in den  Bilddaten. In JPEG komprimierten Dateien wird ein JPEG Marker anstelle dieses Tags verwendet.</v>
      </c>
      <c r="N1878" s="6"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row>
    <row r="1879" spans="1:14" ht="45" x14ac:dyDescent="0.25">
      <c r="A1879" s="5" t="str">
        <f>IF(TRIM(I1879)="","",E1879)</f>
        <v/>
      </c>
      <c r="B1879" s="5" t="str">
        <f>IF(TRIM(J1879)="","",H1879)</f>
        <v/>
      </c>
      <c r="C1879" s="5" t="str">
        <f>LEFT(F1879,FIND(".",F1879,6))</f>
        <v>Exif.Thumbnail.</v>
      </c>
      <c r="D1879" s="5" t="str">
        <f>VLOOKUP(C1879,PrefixUebersetzung,2,FALSE)</f>
        <v>Exif.Vorschaubild.</v>
      </c>
      <c r="E1879" s="5" t="str">
        <f>MID(F1879,FIND(".",F1879,6)+1,99)</f>
        <v>ImageNumber</v>
      </c>
      <c r="F1879" s="2" t="s">
        <v>8135</v>
      </c>
      <c r="G1879" s="5" t="s">
        <v>9667</v>
      </c>
      <c r="H1879" s="3" t="s">
        <v>2395</v>
      </c>
      <c r="I1879" s="7"/>
      <c r="J1879" s="8"/>
      <c r="K1879" s="26"/>
      <c r="L1879" s="6" t="str">
        <f>IFERROR(VLOOKUP(E1879,A:I,9, FALSE),"")</f>
        <v>Bildnummer</v>
      </c>
      <c r="M1879" s="6" t="str">
        <f>IFERROR(VLOOKUP(H1879,B:J,9,FALSE),"")</f>
        <v>Nummer, die dem Bild zugewiesen wurde, z.B. in einer verketteten Sammlung von Bildern.</v>
      </c>
      <c r="N1879" s="6"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row>
    <row r="1880" spans="1:14" ht="30" x14ac:dyDescent="0.25">
      <c r="A1880" s="5" t="str">
        <f>IF(TRIM(I1880)="","",E1880)</f>
        <v/>
      </c>
      <c r="B1880" s="5" t="str">
        <f>IF(TRIM(J1880)="","",H1880)</f>
        <v/>
      </c>
      <c r="C1880" s="5" t="str">
        <f>LEFT(F1880,FIND(".",F1880,6))</f>
        <v>Exif.Thumbnail.</v>
      </c>
      <c r="D1880" s="5" t="str">
        <f>VLOOKUP(C1880,PrefixUebersetzung,2,FALSE)</f>
        <v>Exif.Vorschaubild.</v>
      </c>
      <c r="E1880" s="5" t="str">
        <f>MID(F1880,FIND(".",F1880,6)+1,99)</f>
        <v>ImageResources</v>
      </c>
      <c r="F1880" s="2" t="s">
        <v>8136</v>
      </c>
      <c r="G1880" s="5" t="s">
        <v>9670</v>
      </c>
      <c r="H1880" s="3" t="s">
        <v>2396</v>
      </c>
      <c r="I1880" s="7"/>
      <c r="J1880" s="8"/>
      <c r="K1880" s="26"/>
      <c r="L1880" s="6" t="str">
        <f>IFERROR(VLOOKUP(E1880,A:I,9, FALSE),"")</f>
        <v>Bildressourcen</v>
      </c>
      <c r="M1880" s="6" t="str">
        <f>IFERROR(VLOOKUP(H1880,B:J,9,FALSE),"")</f>
        <v>Enthält Informationen, die von Adobe Photoshop eingebettet wurden.</v>
      </c>
      <c r="N1880" s="6"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row>
    <row r="1881" spans="1:14" ht="90" x14ac:dyDescent="0.25">
      <c r="A1881" s="5" t="str">
        <f>IF(TRIM(I1881)="","",E1881)</f>
        <v/>
      </c>
      <c r="B1881" s="5" t="str">
        <f>IF(TRIM(J1881)="","",H1881)</f>
        <v/>
      </c>
      <c r="C1881" s="5" t="str">
        <f>LEFT(F1881,FIND(".",F1881,6))</f>
        <v>Exif.Thumbnail.</v>
      </c>
      <c r="D1881" s="5" t="str">
        <f>VLOOKUP(C1881,PrefixUebersetzung,2,FALSE)</f>
        <v>Exif.Vorschaubild.</v>
      </c>
      <c r="E1881" s="5" t="str">
        <f>MID(F1881,FIND(".",F1881,6)+1,99)</f>
        <v>ImageWidth</v>
      </c>
      <c r="F1881" s="2" t="s">
        <v>8137</v>
      </c>
      <c r="G1881" s="5" t="s">
        <v>9667</v>
      </c>
      <c r="H1881" s="3" t="s">
        <v>2397</v>
      </c>
      <c r="I1881" s="7"/>
      <c r="J1881" s="8"/>
      <c r="K1881" s="26"/>
      <c r="L1881" s="6" t="str">
        <f>IFERROR(VLOOKUP(E1881,A:I,9, FALSE),"")</f>
        <v>Bildbreite</v>
      </c>
      <c r="M1881" s="6" t="str">
        <f>IFERROR(VLOOKUP(H1881,B:J,9,FALSE),"")</f>
        <v>Die Anzahl der Spalten in den  Bilddaten, gleich der Anzahl von Pixeln pro Zeile. In JPEG komprimierten Dateien wird ein JPEG Marker anstelle dieses Tags verwendet.</v>
      </c>
      <c r="N1881" s="6"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row>
    <row r="1882" spans="1:14" ht="75" x14ac:dyDescent="0.25">
      <c r="A1882" s="5" t="str">
        <f>IF(TRIM(I1882)="","",E1882)</f>
        <v/>
      </c>
      <c r="B1882" s="5" t="str">
        <f>IF(TRIM(J1882)="","",H1882)</f>
        <v/>
      </c>
      <c r="C1882" s="5" t="str">
        <f>LEFT(F1882,FIND(".",F1882,6))</f>
        <v>Exif.Thumbnail.</v>
      </c>
      <c r="D1882" s="5" t="str">
        <f>VLOOKUP(C1882,PrefixUebersetzung,2,FALSE)</f>
        <v>Exif.Vorschaubild.</v>
      </c>
      <c r="E1882" s="5" t="str">
        <f>MID(F1882,FIND(".",F1882,6)+1,99)</f>
        <v>Indexed</v>
      </c>
      <c r="F1882" s="2" t="s">
        <v>8138</v>
      </c>
      <c r="G1882" s="5" t="s">
        <v>9664</v>
      </c>
      <c r="H1882" s="3" t="s">
        <v>2398</v>
      </c>
      <c r="I1882" s="7"/>
      <c r="J1882" s="8"/>
      <c r="K1882" s="26"/>
      <c r="L1882" s="6" t="str">
        <f>IFERROR(VLOOKUP(E1882,A:I,9, FALSE),"")</f>
        <v>Indiziert (mit Farbtabelle)</v>
      </c>
      <c r="M1882" s="6" t="str">
        <f>IFERROR(VLOOKUP(H1882,B:J,9,FALSE),"")</f>
        <v>Indizierte Bilder sind Bilder, in denen die "Pixel" keine Farbwerte repräsentieren, sondern einen Index (in der Regel 8-Bit) in eine separaten Farbtabelle, die ColorMap.</v>
      </c>
      <c r="N1882" s="6"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row>
    <row r="1883" spans="1:14" ht="45" x14ac:dyDescent="0.25">
      <c r="A1883" s="5" t="str">
        <f>IF(TRIM(I1883)="","",E1883)</f>
        <v/>
      </c>
      <c r="B1883" s="5" t="str">
        <f>IF(TRIM(J1883)="","",H1883)</f>
        <v/>
      </c>
      <c r="C1883" s="5" t="str">
        <f>LEFT(F1883,FIND(".",F1883,6))</f>
        <v>Exif.Thumbnail.</v>
      </c>
      <c r="D1883" s="5" t="str">
        <f>VLOOKUP(C1883,PrefixUebersetzung,2,FALSE)</f>
        <v>Exif.Vorschaubild.</v>
      </c>
      <c r="E1883" s="5" t="str">
        <f>MID(F1883,FIND(".",F1883,6)+1,99)</f>
        <v>InkNames</v>
      </c>
      <c r="F1883" s="2" t="s">
        <v>8139</v>
      </c>
      <c r="G1883" s="5" t="s">
        <v>9666</v>
      </c>
      <c r="H1883" s="3" t="s">
        <v>2399</v>
      </c>
      <c r="I1883" s="7"/>
      <c r="J1883" s="8"/>
      <c r="K1883" s="26"/>
      <c r="L1883" s="6" t="str">
        <f>IFERROR(VLOOKUP(E1883,A:I,9, FALSE),"")</f>
        <v>Farbnamen</v>
      </c>
      <c r="M1883" s="6" t="str">
        <f>IFERROR(VLOOKUP(H1883,B:J,9,FALSE),"")</f>
        <v>Die Namen der Farben, die in einem separaten (PhotometricInterpretation = 5) Bild verwendet werden.</v>
      </c>
      <c r="N1883" s="6"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row>
    <row r="1884" spans="1:14" ht="45" x14ac:dyDescent="0.25">
      <c r="A1884" s="5" t="str">
        <f>IF(TRIM(I1884)="","",E1884)</f>
        <v/>
      </c>
      <c r="B1884" s="5" t="str">
        <f>IF(TRIM(J1884)="","",H1884)</f>
        <v/>
      </c>
      <c r="C1884" s="5" t="str">
        <f>LEFT(F1884,FIND(".",F1884,6))</f>
        <v>Exif.Thumbnail.</v>
      </c>
      <c r="D1884" s="5" t="str">
        <f>VLOOKUP(C1884,PrefixUebersetzung,2,FALSE)</f>
        <v>Exif.Vorschaubild.</v>
      </c>
      <c r="E1884" s="5" t="str">
        <f>MID(F1884,FIND(".",F1884,6)+1,99)</f>
        <v>InkSet</v>
      </c>
      <c r="F1884" s="2" t="s">
        <v>8140</v>
      </c>
      <c r="G1884" s="5" t="s">
        <v>9664</v>
      </c>
      <c r="H1884" s="3" t="s">
        <v>2400</v>
      </c>
      <c r="I1884" s="7"/>
      <c r="J1884" s="8"/>
      <c r="K1884" s="26"/>
      <c r="L1884" s="6" t="str">
        <f>IFERROR(VLOOKUP(E1884,A:I,9, FALSE),"")</f>
        <v>Farbenset</v>
      </c>
      <c r="M1884" s="6" t="str">
        <f>IFERROR(VLOOKUP(H1884,B:J,9,FALSE),"")</f>
        <v>Der Satz von Farben, die in einem separaten (PhotometricInterpretation = 5) Bildes verwendet werden.</v>
      </c>
      <c r="N1884" s="6"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row>
    <row r="1885" spans="1:14" ht="45" x14ac:dyDescent="0.25">
      <c r="A1885" s="5" t="str">
        <f>IF(TRIM(I1885)="","",E1885)</f>
        <v/>
      </c>
      <c r="B1885" s="5" t="str">
        <f>IF(TRIM(J1885)="","",H1885)</f>
        <v/>
      </c>
      <c r="C1885" s="5" t="str">
        <f>LEFT(F1885,FIND(".",F1885,6))</f>
        <v>Exif.Thumbnail.</v>
      </c>
      <c r="D1885" s="5" t="str">
        <f>VLOOKUP(C1885,PrefixUebersetzung,2,FALSE)</f>
        <v>Exif.Vorschaubild.</v>
      </c>
      <c r="E1885" s="5" t="str">
        <f>MID(F1885,FIND(".",F1885,6)+1,99)</f>
        <v>InterColorProfile</v>
      </c>
      <c r="F1885" s="2" t="s">
        <v>8141</v>
      </c>
      <c r="G1885" s="5" t="s">
        <v>9669</v>
      </c>
      <c r="H1885" s="3" t="s">
        <v>2401</v>
      </c>
      <c r="I1885" s="7"/>
      <c r="J1885" s="8"/>
      <c r="K1885" s="26"/>
      <c r="L1885" s="6" t="str">
        <f>IFERROR(VLOOKUP(E1885,A:I,9, FALSE),"")</f>
        <v>InterColor Profil</v>
      </c>
      <c r="M1885" s="6" t="str">
        <f>IFERROR(VLOOKUP(H1885,B:J,9,FALSE),"")</f>
        <v>Enthält ein(e) Farbraum Charakterisierung / Profil im INTERCOLOR Consortium (ICC) Format</v>
      </c>
      <c r="N1885" s="6"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row>
    <row r="1886" spans="1:14" x14ac:dyDescent="0.25">
      <c r="A1886" s="5" t="str">
        <f>IF(TRIM(I1886)="","",E1886)</f>
        <v/>
      </c>
      <c r="B1886" s="5" t="str">
        <f>IF(TRIM(J1886)="","",H1886)</f>
        <v/>
      </c>
      <c r="C1886" s="5" t="str">
        <f>LEFT(F1886,FIND(".",F1886,6))</f>
        <v>Exif.Thumbnail.</v>
      </c>
      <c r="D1886" s="5" t="str">
        <f>VLOOKUP(C1886,PrefixUebersetzung,2,FALSE)</f>
        <v>Exif.Vorschaubild.</v>
      </c>
      <c r="E1886" s="5" t="str">
        <f>MID(F1886,FIND(".",F1886,6)+1,99)</f>
        <v>Interlace</v>
      </c>
      <c r="F1886" s="2" t="s">
        <v>8142</v>
      </c>
      <c r="G1886" s="5" t="s">
        <v>9664</v>
      </c>
      <c r="H1886" s="3" t="s">
        <v>2402</v>
      </c>
      <c r="I1886" s="7"/>
      <c r="J1886" s="8"/>
      <c r="K1886" s="26"/>
      <c r="L1886" s="6" t="str">
        <f>IFERROR(VLOOKUP(E1886,A:I,9, FALSE),"")</f>
        <v>Interlace</v>
      </c>
      <c r="M1886" s="6" t="str">
        <f>IFERROR(VLOOKUP(H1886,B:J,9,FALSE),"")</f>
        <v>Feldnummer bei Mehrfeld-Bildern</v>
      </c>
      <c r="N1886" s="6"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row>
    <row r="1887" spans="1:14" x14ac:dyDescent="0.25">
      <c r="A1887" s="5" t="str">
        <f>IF(TRIM(I1887)="","",E1887)</f>
        <v/>
      </c>
      <c r="B1887" s="5" t="str">
        <f>IF(TRIM(J1887)="","",H1887)</f>
        <v/>
      </c>
      <c r="C1887" s="5" t="str">
        <f>LEFT(F1887,FIND(".",F1887,6))</f>
        <v>Exif.Thumbnail.</v>
      </c>
      <c r="D1887" s="5" t="str">
        <f>VLOOKUP(C1887,PrefixUebersetzung,2,FALSE)</f>
        <v>Exif.Vorschaubild.</v>
      </c>
      <c r="E1887" s="5" t="str">
        <f>MID(F1887,FIND(".",F1887,6)+1,99)</f>
        <v>IPTCNAA</v>
      </c>
      <c r="F1887" s="2" t="s">
        <v>8143</v>
      </c>
      <c r="G1887" s="5" t="s">
        <v>9667</v>
      </c>
      <c r="H1887" s="3" t="s">
        <v>2403</v>
      </c>
      <c r="I1887" s="7"/>
      <c r="J1887" s="8"/>
      <c r="K1887" s="26"/>
      <c r="L1887" s="6" t="str">
        <f>IFERROR(VLOOKUP(E1887,A:I,9, FALSE),"")</f>
        <v>IPTCNAA</v>
      </c>
      <c r="M1887" s="6" t="str">
        <f>IFERROR(VLOOKUP(H1887,B:J,9,FALSE),"")</f>
        <v>Enthält ein IPTC/NAA Datensatz</v>
      </c>
      <c r="N1887" s="6"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row>
    <row r="1888" spans="1:14" ht="45" x14ac:dyDescent="0.25">
      <c r="A1888" s="5" t="str">
        <f>IF(TRIM(I1888)="","",E1888)</f>
        <v/>
      </c>
      <c r="B1888" s="5" t="str">
        <f>IF(TRIM(J1888)="","",H1888)</f>
        <v/>
      </c>
      <c r="C1888" s="5" t="str">
        <f>LEFT(F1888,FIND(".",F1888,6))</f>
        <v>Exif.Thumbnail.</v>
      </c>
      <c r="D1888" s="5" t="str">
        <f>VLOOKUP(C1888,PrefixUebersetzung,2,FALSE)</f>
        <v>Exif.Vorschaubild.</v>
      </c>
      <c r="E1888" s="5" t="str">
        <f>MID(F1888,FIND(".",F1888,6)+1,99)</f>
        <v>ISOSpeedRatings</v>
      </c>
      <c r="F1888" s="2" t="s">
        <v>8144</v>
      </c>
      <c r="G1888" s="5" t="s">
        <v>9664</v>
      </c>
      <c r="H1888" s="3" t="s">
        <v>2404</v>
      </c>
      <c r="I1888" s="7"/>
      <c r="J1888" s="8"/>
      <c r="K1888" s="26"/>
      <c r="L1888" s="6" t="str">
        <f>IFERROR(VLOOKUP(E1888,A:I,9, FALSE),"")</f>
        <v>ISO-Empfindlichkeit/Bewertung</v>
      </c>
      <c r="M1888" s="6" t="str">
        <f>IFERROR(VLOOKUP(H1888,B:J,9,FALSE),"")</f>
        <v>ISO-Empfindlichkeit/Bewertung der Kamera oder des Eingabegerätes, wie in ISO 12232 spezifiziert.</v>
      </c>
      <c r="N1888" s="6"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row>
    <row r="1889" spans="1:14" ht="45" x14ac:dyDescent="0.25">
      <c r="A1889" s="5" t="str">
        <f>IF(TRIM(I1889)="","",E1889)</f>
        <v/>
      </c>
      <c r="B1889" s="5" t="str">
        <f>IF(TRIM(J1889)="","",H1889)</f>
        <v/>
      </c>
      <c r="C1889" s="5" t="str">
        <f>LEFT(F1889,FIND(".",F1889,6))</f>
        <v>Exif.Thumbnail.</v>
      </c>
      <c r="D1889" s="5" t="str">
        <f>VLOOKUP(C1889,PrefixUebersetzung,2,FALSE)</f>
        <v>Exif.Vorschaubild.</v>
      </c>
      <c r="E1889" s="5" t="str">
        <f>MID(F1889,FIND(".",F1889,6)+1,99)</f>
        <v>JPEGACTables</v>
      </c>
      <c r="F1889" s="2" t="s">
        <v>8145</v>
      </c>
      <c r="G1889" s="5" t="s">
        <v>9667</v>
      </c>
      <c r="H1889" s="3" t="s">
        <v>2405</v>
      </c>
      <c r="I1889" s="7"/>
      <c r="J1889" s="8"/>
      <c r="K1889" s="26"/>
      <c r="L1889" s="6" t="str">
        <f>IFERROR(VLOOKUP(E1889,A:I,9, FALSE),"")</f>
        <v>JPEGAC Tabellen</v>
      </c>
      <c r="M1889" s="6" t="str">
        <f>IFERROR(VLOOKUP(H1889,B:J,9,FALSE),"")</f>
        <v>Dieses Feld verweist auf eine Liste von Offsets zu den Huffman AC Tabellen, eine pro Komponente.</v>
      </c>
      <c r="N1889" s="6"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row>
    <row r="1890" spans="1:14" ht="60" x14ac:dyDescent="0.25">
      <c r="A1890" s="5" t="str">
        <f>IF(TRIM(I1890)="","",E1890)</f>
        <v/>
      </c>
      <c r="B1890" s="5" t="str">
        <f>IF(TRIM(J1890)="","",H1890)</f>
        <v/>
      </c>
      <c r="C1890" s="5" t="str">
        <f>LEFT(F1890,FIND(".",F1890,6))</f>
        <v>Exif.Thumbnail.</v>
      </c>
      <c r="D1890" s="5" t="str">
        <f>VLOOKUP(C1890,PrefixUebersetzung,2,FALSE)</f>
        <v>Exif.Vorschaubild.</v>
      </c>
      <c r="E1890" s="5" t="str">
        <f>MID(F1890,FIND(".",F1890,6)+1,99)</f>
        <v>JPEGDCTables</v>
      </c>
      <c r="F1890" s="2" t="s">
        <v>8146</v>
      </c>
      <c r="G1890" s="5" t="s">
        <v>9667</v>
      </c>
      <c r="H1890" s="3" t="s">
        <v>2406</v>
      </c>
      <c r="I1890" s="7"/>
      <c r="J1890" s="8"/>
      <c r="K1890" s="26"/>
      <c r="L1890" s="6" t="str">
        <f>IFERROR(VLOOKUP(E1890,A:I,9, FALSE),"")</f>
        <v>JPEGDC Tabellen</v>
      </c>
      <c r="M1890" s="6" t="str">
        <f>IFERROR(VLOOKUP(H1890,B:J,9,FALSE),"")</f>
        <v>Dieses Feld zeigt auf eine Liste von Offsets zu den DC Huffman-Tabellen oder den verlustfreien Huffman-Tabellen, eine pro Komponente.</v>
      </c>
      <c r="N1890" s="6"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4" ht="60" x14ac:dyDescent="0.25">
      <c r="A1891" s="5" t="str">
        <f>IF(TRIM(I1891)="","",E1891)</f>
        <v/>
      </c>
      <c r="B1891" s="5" t="str">
        <f>IF(TRIM(J1891)="","",H1891)</f>
        <v/>
      </c>
      <c r="C1891" s="5" t="str">
        <f>LEFT(F1891,FIND(".",F1891,6))</f>
        <v>Exif.Thumbnail.</v>
      </c>
      <c r="D1891" s="5" t="str">
        <f>VLOOKUP(C1891,PrefixUebersetzung,2,FALSE)</f>
        <v>Exif.Vorschaubild.</v>
      </c>
      <c r="E1891" s="5" t="str">
        <f>MID(F1891,FIND(".",F1891,6)+1,99)</f>
        <v>JPEGInterchangeFormat</v>
      </c>
      <c r="F1891" s="2" t="s">
        <v>8147</v>
      </c>
      <c r="G1891" s="5" t="s">
        <v>9667</v>
      </c>
      <c r="H1891" s="3" t="s">
        <v>2407</v>
      </c>
      <c r="I1891" s="7"/>
      <c r="J1891" s="8"/>
      <c r="K1891" s="26"/>
      <c r="L1891" s="6" t="str">
        <f>IFERROR(VLOOKUP(E1891,A:I,9, FALSE),"")</f>
        <v>JPEG-Austauschformat</v>
      </c>
      <c r="M1891" s="6" t="str">
        <f>IFERROR(VLOOKUP(H1891,B:J,9,FALSE),"")</f>
        <v>Der Offset zum Startbyte (SOI) von JPEG-komprimierten Miniaturbilddaten. Dies wird nicht für primäre JPEG-Bilddaten verwendet.</v>
      </c>
      <c r="N1891" s="6"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row>
    <row r="1892" spans="1:14" ht="210" x14ac:dyDescent="0.25">
      <c r="A1892" s="5" t="str">
        <f>IF(TRIM(I1892)="","",E1892)</f>
        <v/>
      </c>
      <c r="B1892" s="5" t="str">
        <f>IF(TRIM(J1892)="","",H1892)</f>
        <v/>
      </c>
      <c r="C1892" s="5" t="str">
        <f>LEFT(F1892,FIND(".",F1892,6))</f>
        <v>Exif.Thumbnail.</v>
      </c>
      <c r="D1892" s="5" t="str">
        <f>VLOOKUP(C1892,PrefixUebersetzung,2,FALSE)</f>
        <v>Exif.Vorschaubild.</v>
      </c>
      <c r="E1892" s="5" t="str">
        <f>MID(F1892,FIND(".",F1892,6)+1,99)</f>
        <v>JPEGInterchangeFormatLength</v>
      </c>
      <c r="F1892" s="2" t="s">
        <v>8148</v>
      </c>
      <c r="G1892" s="5" t="s">
        <v>9667</v>
      </c>
      <c r="H1892" s="3" t="s">
        <v>2408</v>
      </c>
      <c r="I1892" s="7"/>
      <c r="J1892" s="8"/>
      <c r="K1892" s="26"/>
      <c r="L1892" s="6" t="str">
        <f>IFERROR(VLOOKUP(E1892,A:I,9, FALSE),"")</f>
        <v>JPEGInterchangeFormat Länge</v>
      </c>
      <c r="M1892" s="6" t="str">
        <f>IFERROR(INDEX(J:J,MATCH(TRUE,INDEX(B:B=H1892,0),0)),"")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1892" s="6"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row>
    <row r="1893" spans="1:14" ht="30" x14ac:dyDescent="0.25">
      <c r="A1893" s="5" t="str">
        <f>IF(TRIM(I1893)="","",E1893)</f>
        <v/>
      </c>
      <c r="B1893" s="5" t="str">
        <f>IF(TRIM(J1893)="","",H1893)</f>
        <v/>
      </c>
      <c r="C1893" s="5" t="str">
        <f>LEFT(F1893,FIND(".",F1893,6))</f>
        <v>Exif.Thumbnail.</v>
      </c>
      <c r="D1893" s="5" t="str">
        <f>VLOOKUP(C1893,PrefixUebersetzung,2,FALSE)</f>
        <v>Exif.Vorschaubild.</v>
      </c>
      <c r="E1893" s="5" t="str">
        <f>MID(F1893,FIND(".",F1893,6)+1,99)</f>
        <v>JPEGLosslessPredictors</v>
      </c>
      <c r="F1893" s="2" t="s">
        <v>8149</v>
      </c>
      <c r="G1893" s="5" t="s">
        <v>9664</v>
      </c>
      <c r="H1893" s="3" t="s">
        <v>2409</v>
      </c>
      <c r="I1893" s="7"/>
      <c r="J1893" s="8"/>
      <c r="K1893" s="26"/>
      <c r="L1893" s="6" t="str">
        <f>IFERROR(VLOOKUP(E1893,A:I,9, FALSE),"")</f>
        <v/>
      </c>
      <c r="M1893" s="6" t="str">
        <f>IFERROR(VLOOKUP(H1893,B:J,9,FALSE),"")</f>
        <v/>
      </c>
      <c r="N1893" s="6"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xml:space="preserve">Suffix not translated Description not translated </v>
      </c>
    </row>
    <row r="1894" spans="1:14" ht="30" x14ac:dyDescent="0.25">
      <c r="A1894" s="5" t="str">
        <f>IF(TRIM(I1894)="","",E1894)</f>
        <v/>
      </c>
      <c r="B1894" s="5" t="str">
        <f>IF(TRIM(J1894)="","",H1894)</f>
        <v/>
      </c>
      <c r="C1894" s="5" t="str">
        <f>LEFT(F1894,FIND(".",F1894,6))</f>
        <v>Exif.Thumbnail.</v>
      </c>
      <c r="D1894" s="5" t="str">
        <f>VLOOKUP(C1894,PrefixUebersetzung,2,FALSE)</f>
        <v>Exif.Vorschaubild.</v>
      </c>
      <c r="E1894" s="5" t="str">
        <f>MID(F1894,FIND(".",F1894,6)+1,99)</f>
        <v>JPEGPointTransforms</v>
      </c>
      <c r="F1894" s="2" t="s">
        <v>8150</v>
      </c>
      <c r="G1894" s="5" t="s">
        <v>9664</v>
      </c>
      <c r="H1894" s="3" t="s">
        <v>2410</v>
      </c>
      <c r="I1894" s="7"/>
      <c r="J1894" s="8"/>
      <c r="K1894" s="26"/>
      <c r="L1894" s="6" t="str">
        <f>IFERROR(VLOOKUP(E1894,A:I,9, FALSE),"")</f>
        <v/>
      </c>
      <c r="M1894" s="6" t="str">
        <f>IFERROR(VLOOKUP(H1894,B:J,9,FALSE),"")</f>
        <v/>
      </c>
      <c r="N1894" s="6"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xml:space="preserve">Suffix not translated Description not translated </v>
      </c>
    </row>
    <row r="1895" spans="1:14" ht="30" x14ac:dyDescent="0.25">
      <c r="A1895" s="5" t="str">
        <f>IF(TRIM(I1895)="","",E1895)</f>
        <v/>
      </c>
      <c r="B1895" s="5" t="str">
        <f>IF(TRIM(J1895)="","",H1895)</f>
        <v/>
      </c>
      <c r="C1895" s="5" t="str">
        <f>LEFT(F1895,FIND(".",F1895,6))</f>
        <v>Exif.Thumbnail.</v>
      </c>
      <c r="D1895" s="5" t="str">
        <f>VLOOKUP(C1895,PrefixUebersetzung,2,FALSE)</f>
        <v>Exif.Vorschaubild.</v>
      </c>
      <c r="E1895" s="5" t="str">
        <f>MID(F1895,FIND(".",F1895,6)+1,99)</f>
        <v>JPEGProc</v>
      </c>
      <c r="F1895" s="2" t="s">
        <v>8151</v>
      </c>
      <c r="G1895" s="5" t="s">
        <v>9667</v>
      </c>
      <c r="H1895" s="3" t="s">
        <v>2411</v>
      </c>
      <c r="I1895" s="7"/>
      <c r="J1895" s="8"/>
      <c r="K1895" s="26"/>
      <c r="L1895" s="6" t="str">
        <f>IFERROR(VLOOKUP(E1895,A:I,9, FALSE),"")</f>
        <v>JPEG Prozess</v>
      </c>
      <c r="M1895" s="6" t="str">
        <f>IFERROR(VLOOKUP(H1895,B:J,9,FALSE),"")</f>
        <v>Verwendeter Prozess, um die komprimierten Daten zu erzeugen</v>
      </c>
      <c r="N1895" s="6"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row>
    <row r="1896" spans="1:14" ht="60" x14ac:dyDescent="0.25">
      <c r="A1896" s="5" t="str">
        <f>IF(TRIM(I1896)="","",E1896)</f>
        <v/>
      </c>
      <c r="B1896" s="5" t="str">
        <f>IF(TRIM(J1896)="","",H1896)</f>
        <v/>
      </c>
      <c r="C1896" s="5" t="str">
        <f>LEFT(F1896,FIND(".",F1896,6))</f>
        <v>Exif.Thumbnail.</v>
      </c>
      <c r="D1896" s="5" t="str">
        <f>VLOOKUP(C1896,PrefixUebersetzung,2,FALSE)</f>
        <v>Exif.Vorschaubild.</v>
      </c>
      <c r="E1896" s="5" t="str">
        <f>MID(F1896,FIND(".",F1896,6)+1,99)</f>
        <v>JPEGQTables</v>
      </c>
      <c r="F1896" s="2" t="s">
        <v>8152</v>
      </c>
      <c r="G1896" s="5" t="s">
        <v>9667</v>
      </c>
      <c r="H1896" s="3" t="s">
        <v>2412</v>
      </c>
      <c r="I1896" s="7"/>
      <c r="J1896" s="8"/>
      <c r="K1896" s="26"/>
      <c r="L1896" s="6" t="str">
        <f>IFERROR(VLOOKUP(E1896,A:I,9, FALSE),"")</f>
        <v>JPEGQ Tabellen</v>
      </c>
      <c r="M1896" s="6" t="str">
        <f>IFERROR(VLOOKUP(H1896,B:J,9,FALSE),"")</f>
        <v>Dieses Feld zeigt auf eine Liste von Offsets zu den Quantisierungstabellen, eine pro Komponente.</v>
      </c>
      <c r="N1896" s="6"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row>
    <row r="1897" spans="1:14" ht="30" x14ac:dyDescent="0.25">
      <c r="A1897" s="5" t="str">
        <f>IF(TRIM(I1897)="","",E1897)</f>
        <v/>
      </c>
      <c r="B1897" s="5" t="str">
        <f>IF(TRIM(J1897)="","",H1897)</f>
        <v/>
      </c>
      <c r="C1897" s="5" t="str">
        <f>LEFT(F1897,FIND(".",F1897,6))</f>
        <v>Exif.Thumbnail.</v>
      </c>
      <c r="D1897" s="5" t="str">
        <f>VLOOKUP(C1897,PrefixUebersetzung,2,FALSE)</f>
        <v>Exif.Vorschaubild.</v>
      </c>
      <c r="E1897" s="5" t="str">
        <f>MID(F1897,FIND(".",F1897,6)+1,99)</f>
        <v>JPEGRestartInterval</v>
      </c>
      <c r="F1897" s="2" t="s">
        <v>8153</v>
      </c>
      <c r="G1897" s="5" t="s">
        <v>9664</v>
      </c>
      <c r="H1897" s="3" t="s">
        <v>2413</v>
      </c>
      <c r="I1897" s="7"/>
      <c r="J1897" s="8"/>
      <c r="K1897" s="26"/>
      <c r="L1897" s="6" t="str">
        <f>IFERROR(VLOOKUP(E1897,A:I,9, FALSE),"")</f>
        <v/>
      </c>
      <c r="M1897" s="6" t="str">
        <f>IFERROR(VLOOKUP(H1897,B:J,9,FALSE),"")</f>
        <v/>
      </c>
      <c r="N1897" s="6"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xml:space="preserve">Suffix not translated Description not translated </v>
      </c>
    </row>
    <row r="1898" spans="1:14" ht="90" x14ac:dyDescent="0.25">
      <c r="A1898" s="5" t="str">
        <f>IF(TRIM(I1898)="","",E1898)</f>
        <v/>
      </c>
      <c r="B1898" s="5" t="str">
        <f>IF(TRIM(J1898)="","",H1898)</f>
        <v>This optional tag may be used to encode the JPEG quantization and Huffman tables for subsequent use by the JPEG decompression process.</v>
      </c>
      <c r="C1898" s="5" t="str">
        <f>LEFT(F1898,FIND(".",F1898,6))</f>
        <v>Exif.Thumbnail.</v>
      </c>
      <c r="D1898" s="5" t="str">
        <f>VLOOKUP(C1898,PrefixUebersetzung,2,FALSE)</f>
        <v>Exif.Vorschaubild.</v>
      </c>
      <c r="E1898" s="5" t="str">
        <f>MID(F1898,FIND(".",F1898,6)+1,99)</f>
        <v>JPEGTables</v>
      </c>
      <c r="F1898" s="2" t="s">
        <v>8154</v>
      </c>
      <c r="G1898" s="5" t="s">
        <v>9669</v>
      </c>
      <c r="H1898" s="3" t="s">
        <v>8155</v>
      </c>
      <c r="I1898" s="5"/>
      <c r="J1898" s="8" t="s">
        <v>8813</v>
      </c>
      <c r="K1898" s="26"/>
      <c r="L1898" s="6" t="str">
        <f>IFERROR(VLOOKUP(E1898,A:I,9, FALSE),"")</f>
        <v>JPEG Tabellen</v>
      </c>
      <c r="M1898" s="6" t="str">
        <f>IFERROR(VLOOKUP(H1898,B:J,9,FALSE),"")</f>
        <v>Dieses optionale Tag kann verwendet werden, um die JPEG-Quantisierung und Huffman-Tabellen zur nachfolgenden Verwendung durch den JPEG-Dekompression zu kodieren.</v>
      </c>
      <c r="N1898" s="6"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xml:space="preserve">Description translation&lt;&gt; lookup </v>
      </c>
    </row>
    <row r="1899" spans="1:14" ht="90" x14ac:dyDescent="0.25">
      <c r="A1899" s="5" t="str">
        <f>IF(TRIM(I1899)="","",E1899)</f>
        <v/>
      </c>
      <c r="B1899" s="5" t="str">
        <f>IF(TRIM(J1899)="","",H1899)</f>
        <v/>
      </c>
      <c r="C1899" s="5" t="str">
        <f>LEFT(F1899,FIND(".",F1899,6))</f>
        <v>Exif.Thumbnail.</v>
      </c>
      <c r="D1899" s="5" t="str">
        <f>VLOOKUP(C1899,PrefixUebersetzung,2,FALSE)</f>
        <v>Exif.Vorschaubild.</v>
      </c>
      <c r="E1899" s="5" t="str">
        <f>MID(F1899,FIND(".",F1899,6)+1,99)</f>
        <v>LensInfo</v>
      </c>
      <c r="F1899" s="2" t="s">
        <v>8156</v>
      </c>
      <c r="G1899" s="5" t="s">
        <v>9671</v>
      </c>
      <c r="H1899" s="3" t="s">
        <v>2414</v>
      </c>
      <c r="I1899" s="7"/>
      <c r="J1899" s="8"/>
      <c r="K1899" s="26"/>
      <c r="L1899" s="6" t="str">
        <f>IFERROR(VLOOKUP(E1899,A:I,9, FALSE),"")</f>
        <v>Objektiv Information</v>
      </c>
      <c r="M1899" s="6" t="str">
        <f>IFERROR(VLOOKUP(H1899,B:J,9,FALSE),"")</f>
        <v>Enthält Informationen über das Objektiv, mit dem das Bild aufgenommen wurde. Wenn die minimale Blendenstufen unbekannt sind, sollten sie als 0/0 kodiert werden.</v>
      </c>
      <c r="N1899" s="6"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row>
    <row r="1900" spans="1:14" x14ac:dyDescent="0.25">
      <c r="A1900" s="5" t="str">
        <f>IF(TRIM(I1900)="","",E1900)</f>
        <v/>
      </c>
      <c r="B1900" s="5" t="str">
        <f>IF(TRIM(J1900)="","",H1900)</f>
        <v/>
      </c>
      <c r="C1900" s="5" t="str">
        <f>LEFT(F1900,FIND(".",F1900,6))</f>
        <v>Exif.Thumbnail.</v>
      </c>
      <c r="D1900" s="5" t="str">
        <f>VLOOKUP(C1900,PrefixUebersetzung,2,FALSE)</f>
        <v>Exif.Vorschaubild.</v>
      </c>
      <c r="E1900" s="5" t="str">
        <f>MID(F1900,FIND(".",F1900,6)+1,99)</f>
        <v>LightSource</v>
      </c>
      <c r="F1900" s="2" t="s">
        <v>8157</v>
      </c>
      <c r="G1900" s="5" t="s">
        <v>9664</v>
      </c>
      <c r="H1900" s="3" t="s">
        <v>2415</v>
      </c>
      <c r="I1900" s="7"/>
      <c r="J1900" s="8"/>
      <c r="K1900" s="26"/>
      <c r="L1900" s="6" t="str">
        <f>IFERROR(VLOOKUP(E1900,A:I,9, FALSE),"")</f>
        <v>Lichtquelle</v>
      </c>
      <c r="M1900" s="6" t="str">
        <f>IFERROR(VLOOKUP(H1900,B:J,9,FALSE),"")</f>
        <v>Die Art der Lichtquelle.</v>
      </c>
      <c r="N1900" s="6"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row>
    <row r="1901" spans="1:14" ht="180" x14ac:dyDescent="0.25">
      <c r="A1901" s="5" t="str">
        <f>IF(TRIM(I1901)="","",E1901)</f>
        <v/>
      </c>
      <c r="B1901" s="5" t="str">
        <f>IF(TRIM(J1901)="","",H1901)</f>
        <v/>
      </c>
      <c r="C1901" s="5" t="str">
        <f>LEFT(F1901,FIND(".",F1901,6))</f>
        <v>Exif.Thumbnail.</v>
      </c>
      <c r="D1901" s="5" t="str">
        <f>VLOOKUP(C1901,PrefixUebersetzung,2,FALSE)</f>
        <v>Exif.Vorschaubild.</v>
      </c>
      <c r="E1901" s="5" t="str">
        <f>MID(F1901,FIND(".",F1901,6)+1,99)</f>
        <v>LinearizationTable</v>
      </c>
      <c r="F1901" s="2" t="s">
        <v>8158</v>
      </c>
      <c r="G1901" s="5" t="s">
        <v>9664</v>
      </c>
      <c r="H1901" s="3" t="s">
        <v>2416</v>
      </c>
      <c r="I1901" s="7"/>
      <c r="J1901" s="8"/>
      <c r="K1901" s="26"/>
      <c r="L1901" s="6" t="str">
        <f>IFERROR(VLOOKUP(E1901,A:I,9, FALSE),"")</f>
        <v>Linearisierungstabelle</v>
      </c>
      <c r="M1901" s="6" t="str">
        <f>IFERROR(INDEX(J:J,MATCH(TRUE,INDEX(B:B=H1901,0),0)),"")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1901" s="6"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row>
    <row r="1902" spans="1:14" ht="210" x14ac:dyDescent="0.25">
      <c r="A1902" s="5" t="str">
        <f>IF(TRIM(I1902)="","",E1902)</f>
        <v/>
      </c>
      <c r="B1902" s="5" t="str">
        <f>IF(TRIM(J1902)="","",H1902)</f>
        <v/>
      </c>
      <c r="C1902" s="5" t="str">
        <f>LEFT(F1902,FIND(".",F1902,6))</f>
        <v>Exif.Thumbnail.</v>
      </c>
      <c r="D1902" s="5" t="str">
        <f>VLOOKUP(C1902,PrefixUebersetzung,2,FALSE)</f>
        <v>Exif.Vorschaubild.</v>
      </c>
      <c r="E1902" s="5" t="str">
        <f>MID(F1902,FIND(".",F1902,6)+1,99)</f>
        <v>LinearResponseLimit</v>
      </c>
      <c r="F1902" s="2" t="s">
        <v>8159</v>
      </c>
      <c r="G1902" s="5" t="s">
        <v>9671</v>
      </c>
      <c r="H1902" s="3" t="s">
        <v>2417</v>
      </c>
      <c r="I1902" s="7"/>
      <c r="J1902" s="8"/>
      <c r="K1902" s="26"/>
      <c r="L1902" s="6" t="str">
        <f>IFERROR(VLOOKUP(E1902,A:I,9, FALSE),"")</f>
        <v/>
      </c>
      <c r="M1902" s="6" t="str">
        <f>IFERROR(INDEX(J:J,MATCH(TRUE,INDEX(B:B=H1902,0),0)),"")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1902" s="6"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xml:space="preserve">Suffix not translated </v>
      </c>
    </row>
    <row r="1903" spans="1:14" ht="75" x14ac:dyDescent="0.25">
      <c r="A1903" s="5" t="str">
        <f>IF(TRIM(I1903)="","",E1903)</f>
        <v/>
      </c>
      <c r="B1903" s="5" t="str">
        <f>IF(TRIM(J1903)="","",H1903)</f>
        <v/>
      </c>
      <c r="C1903" s="5" t="str">
        <f>LEFT(F1903,FIND(".",F1903,6))</f>
        <v>Exif.Thumbnail.</v>
      </c>
      <c r="D1903" s="5" t="str">
        <f>VLOOKUP(C1903,PrefixUebersetzung,2,FALSE)</f>
        <v>Exif.Vorschaubild.</v>
      </c>
      <c r="E1903" s="5" t="str">
        <f>MID(F1903,FIND(".",F1903,6)+1,99)</f>
        <v>LocalizedCameraModel</v>
      </c>
      <c r="F1903" s="2" t="s">
        <v>8160</v>
      </c>
      <c r="G1903" s="5" t="s">
        <v>9670</v>
      </c>
      <c r="H1903" s="3" t="s">
        <v>2418</v>
      </c>
      <c r="I1903" s="7"/>
      <c r="J1903" s="8"/>
      <c r="K1903" s="26"/>
      <c r="L1903" s="6" t="str">
        <f>IFERROR(VLOOKUP(E1903,A:I,9, FALSE),"")</f>
        <v>Kameramodell (lokalisiert)</v>
      </c>
      <c r="M1903" s="6" t="str">
        <f>IFERROR(VLOOKUP(H1903,B:J,9,FALSE),"")</f>
        <v>Ähnlich wie UniqueCameraModel; wobei hier der Name für verschiedene Märkte lokalisiert werden kann, entsprechend der Lokalisierung des Kamera-Namens.</v>
      </c>
      <c r="N1903" s="6"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row>
    <row r="1904" spans="1:14" ht="90" x14ac:dyDescent="0.25">
      <c r="A1904" s="5" t="str">
        <f>IF(TRIM(I1904)="","",E1904)</f>
        <v/>
      </c>
      <c r="B1904" s="5" t="str">
        <f>IF(TRIM(J1904)="","",H1904)</f>
        <v/>
      </c>
      <c r="C1904" s="5" t="str">
        <f>LEFT(F1904,FIND(".",F1904,6))</f>
        <v>Exif.Thumbnail.</v>
      </c>
      <c r="D1904" s="5" t="str">
        <f>VLOOKUP(C1904,PrefixUebersetzung,2,FALSE)</f>
        <v>Exif.Vorschaubild.</v>
      </c>
      <c r="E1904" s="5" t="str">
        <f>MID(F1904,FIND(".",F1904,6)+1,99)</f>
        <v>Make</v>
      </c>
      <c r="F1904" s="2" t="s">
        <v>8161</v>
      </c>
      <c r="G1904" s="5" t="s">
        <v>9666</v>
      </c>
      <c r="H1904" s="3" t="s">
        <v>2419</v>
      </c>
      <c r="I1904" s="7"/>
      <c r="J1904" s="8"/>
      <c r="K1904" s="26"/>
      <c r="L1904" s="6" t="str">
        <f>IFERROR(VLOOKUP(E1904,A:I,9, FALSE),"")</f>
        <v>Hersteller</v>
      </c>
      <c r="M1904" s="6" t="str">
        <f>IFERROR(VLOOKUP(H1904,B:J,9,FALSE),"")</f>
        <v>Der Hersteller des Aufnahmegeräts. Dies ist der Hersteller des DSC, Scanners, Video-Digitizers oder anderen Gerätes, das das Bild erzeugt. Wenn das Feld leer ist, wird es als unbekannt behandelt.</v>
      </c>
      <c r="N1904" s="6"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row>
    <row r="1905" spans="1:14" ht="120" x14ac:dyDescent="0.25">
      <c r="A1905" s="5" t="str">
        <f>IF(TRIM(I1905)="","",E1905)</f>
        <v/>
      </c>
      <c r="B1905" s="5" t="str">
        <f>IF(TRIM(J1905)="","",H1905)</f>
        <v/>
      </c>
      <c r="C1905" s="5" t="str">
        <f>LEFT(F1905,FIND(".",F1905,6))</f>
        <v>Exif.Thumbnail.</v>
      </c>
      <c r="D1905" s="5" t="str">
        <f>VLOOKUP(C1905,PrefixUebersetzung,2,FALSE)</f>
        <v>Exif.Vorschaubild.</v>
      </c>
      <c r="E1905" s="5" t="str">
        <f>MID(F1905,FIND(".",F1905,6)+1,99)</f>
        <v>MakerNoteSafety</v>
      </c>
      <c r="F1905" s="2" t="s">
        <v>8162</v>
      </c>
      <c r="G1905" s="5" t="s">
        <v>9664</v>
      </c>
      <c r="H1905" s="3" t="s">
        <v>2420</v>
      </c>
      <c r="I1905" s="7"/>
      <c r="J1905" s="8"/>
      <c r="K1905" s="26"/>
      <c r="L1905" s="6" t="str">
        <f>IFERROR(VLOOKUP(E1905,A:I,9, FALSE),"")</f>
        <v/>
      </c>
      <c r="M1905" s="6" t="str">
        <f>IFERROR(INDEX(J:J,MATCH(TRUE,INDEX(B:B=H1905,0),0)),"")</f>
        <v/>
      </c>
      <c r="N1905" s="6"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row>
    <row r="1906" spans="1:14" ht="120" x14ac:dyDescent="0.25">
      <c r="A1906" s="5" t="str">
        <f>IF(TRIM(I1906)="","",E1906)</f>
        <v/>
      </c>
      <c r="B1906" s="5" t="str">
        <f>IF(TRIM(J1906)="","",H1906)</f>
        <v/>
      </c>
      <c r="C1906" s="5" t="str">
        <f>LEFT(F1906,FIND(".",F1906,6))</f>
        <v>Exif.Thumbnail.</v>
      </c>
      <c r="D1906" s="5" t="str">
        <f>VLOOKUP(C1906,PrefixUebersetzung,2,FALSE)</f>
        <v>Exif.Vorschaubild.</v>
      </c>
      <c r="E1906" s="5" t="str">
        <f>MID(F1906,FIND(".",F1906,6)+1,99)</f>
        <v>MaskedAreas</v>
      </c>
      <c r="F1906" s="2" t="s">
        <v>8163</v>
      </c>
      <c r="G1906" s="5" t="s">
        <v>9664</v>
      </c>
      <c r="H1906" s="3" t="s">
        <v>2421</v>
      </c>
      <c r="I1906" s="7"/>
      <c r="J1906" s="8"/>
      <c r="K1906" s="26"/>
      <c r="L1906" s="6" t="str">
        <f>IFERROR(VLOOKUP(E1906,A:I,9, FALSE),"")</f>
        <v>Maskierte Bereiche</v>
      </c>
      <c r="M1906" s="6" t="str">
        <f>IFERROR(INDEX(J:J,MATCH(TRUE,INDEX(B:B=H1906,0),0)),"")</f>
        <v/>
      </c>
      <c r="N1906" s="6"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xml:space="preserve">Description not translated </v>
      </c>
    </row>
    <row r="1907" spans="1:14" ht="30" x14ac:dyDescent="0.25">
      <c r="A1907" s="5" t="str">
        <f>IF(TRIM(I1907)="","",E1907)</f>
        <v/>
      </c>
      <c r="B1907" s="5" t="str">
        <f>IF(TRIM(J1907)="","",H1907)</f>
        <v/>
      </c>
      <c r="C1907" s="5" t="str">
        <f>LEFT(F1907,FIND(".",F1907,6))</f>
        <v>Exif.Thumbnail.</v>
      </c>
      <c r="D1907" s="5" t="str">
        <f>VLOOKUP(C1907,PrefixUebersetzung,2,FALSE)</f>
        <v>Exif.Vorschaubild.</v>
      </c>
      <c r="E1907" s="5" t="str">
        <f>MID(F1907,FIND(".",F1907,6)+1,99)</f>
        <v>MaxApertureValue</v>
      </c>
      <c r="F1907" s="2" t="s">
        <v>8164</v>
      </c>
      <c r="G1907" s="5" t="s">
        <v>9671</v>
      </c>
      <c r="H1907" s="3" t="s">
        <v>2422</v>
      </c>
      <c r="I1907" s="5"/>
      <c r="J1907" s="8"/>
      <c r="K1907" s="26"/>
      <c r="L1907" s="6" t="str">
        <f>IFERROR(VLOOKUP(E1907,A:I,9, FALSE),"")</f>
        <v>Blende größte</v>
      </c>
      <c r="M1907" s="6" t="str">
        <f>IFERROR(VLOOKUP(H1907,B:J,9,FALSE),"")</f>
        <v>Größte Blende (kleinster Blendenwert) des Objektivs</v>
      </c>
      <c r="N1907" s="6"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row>
    <row r="1908" spans="1:14" x14ac:dyDescent="0.25">
      <c r="A1908" s="5" t="str">
        <f>IF(TRIM(I1908)="","",E1908)</f>
        <v/>
      </c>
      <c r="B1908" s="5" t="str">
        <f>IF(TRIM(J1908)="","",H1908)</f>
        <v/>
      </c>
      <c r="C1908" s="5" t="str">
        <f>LEFT(F1908,FIND(".",F1908,6))</f>
        <v>Exif.Thumbnail.</v>
      </c>
      <c r="D1908" s="5" t="str">
        <f>VLOOKUP(C1908,PrefixUebersetzung,2,FALSE)</f>
        <v>Exif.Vorschaubild.</v>
      </c>
      <c r="E1908" s="5" t="str">
        <f>MID(F1908,FIND(".",F1908,6)+1,99)</f>
        <v>MeteringMode</v>
      </c>
      <c r="F1908" s="2" t="s">
        <v>8165</v>
      </c>
      <c r="G1908" s="5" t="s">
        <v>9664</v>
      </c>
      <c r="H1908" s="3" t="s">
        <v>2423</v>
      </c>
      <c r="I1908" s="5"/>
      <c r="J1908" s="8"/>
      <c r="K1908" s="26"/>
      <c r="L1908" s="6" t="str">
        <f>IFERROR(VLOOKUP(E1908,A:I,9, FALSE),"")</f>
        <v>Messmethode</v>
      </c>
      <c r="M1908" s="6" t="str">
        <f>IFERROR(VLOOKUP(H1908,B:J,9,FALSE),"")</f>
        <v>Messmethode</v>
      </c>
      <c r="N1908" s="6"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row>
    <row r="1909" spans="1:14" ht="105" x14ac:dyDescent="0.25">
      <c r="A1909" s="5" t="str">
        <f>IF(TRIM(I1909)="","",E1909)</f>
        <v/>
      </c>
      <c r="B1909" s="5" t="str">
        <f>IF(TRIM(J1909)="","",H1909)</f>
        <v/>
      </c>
      <c r="C1909" s="5" t="str">
        <f>LEFT(F1909,FIND(".",F1909,6))</f>
        <v>Exif.Thumbnail.</v>
      </c>
      <c r="D1909" s="5" t="str">
        <f>VLOOKUP(C1909,PrefixUebersetzung,2,FALSE)</f>
        <v>Exif.Vorschaubild.</v>
      </c>
      <c r="E1909" s="5" t="str">
        <f>MID(F1909,FIND(".",F1909,6)+1,99)</f>
        <v>Model</v>
      </c>
      <c r="F1909" s="2" t="s">
        <v>8166</v>
      </c>
      <c r="G1909" s="5" t="s">
        <v>9666</v>
      </c>
      <c r="H1909" s="3" t="s">
        <v>2424</v>
      </c>
      <c r="I1909" s="5"/>
      <c r="J1909" s="8"/>
      <c r="K1909" s="26"/>
      <c r="L1909" s="6" t="str">
        <f>IFERROR(VLOOKUP(E1909,A:I,9, FALSE),"")</f>
        <v>Modell</v>
      </c>
      <c r="M1909" s="6" t="str">
        <f>IFERROR(VLOOKUP(H1909,B:J,9,FALSE),"")</f>
        <v>Der Name des Modells oder der Modellnummer des Geräts. Dies ist der Modell-Namen oder die Nummer des DSC, Scanners, Video-Digitizers oder anderen Gerätes, das das Bild erzeugt hat. Wenn das Feld leer ist, wird es als unbekannt behandelt.</v>
      </c>
      <c r="N1909" s="6"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4" ht="45" x14ac:dyDescent="0.25">
      <c r="A1910" s="5" t="str">
        <f>IF(TRIM(I1910)="","",E1910)</f>
        <v/>
      </c>
      <c r="B1910" s="5" t="str">
        <f>IF(TRIM(J1910)="","",H1910)</f>
        <v/>
      </c>
      <c r="C1910" s="5" t="str">
        <f>LEFT(F1910,FIND(".",F1910,6))</f>
        <v>Exif.Thumbnail.</v>
      </c>
      <c r="D1910" s="5" t="str">
        <f>VLOOKUP(C1910,PrefixUebersetzung,2,FALSE)</f>
        <v>Exif.Vorschaubild.</v>
      </c>
      <c r="E1910" s="5" t="str">
        <f>MID(F1910,FIND(".",F1910,6)+1,99)</f>
        <v>NewSubfileType</v>
      </c>
      <c r="F1910" s="2" t="s">
        <v>8167</v>
      </c>
      <c r="G1910" s="5" t="s">
        <v>9667</v>
      </c>
      <c r="H1910" s="3" t="s">
        <v>2425</v>
      </c>
      <c r="I1910" s="5"/>
      <c r="J1910" s="8"/>
      <c r="K1910" s="26"/>
      <c r="L1910" s="6" t="str">
        <f>IFERROR(VLOOKUP(E1910,A:I,9, FALSE),"")</f>
        <v/>
      </c>
      <c r="M1910" s="6" t="str">
        <f>IFERROR(VLOOKUP(H1910,B:J,9,FALSE),"")</f>
        <v>Ein allgemeiner Hinweis auf die Art der Daten, die in diesem subfile enthalten sind.</v>
      </c>
      <c r="N1910" s="6"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xml:space="preserve">Suffix not translated </v>
      </c>
    </row>
    <row r="1911" spans="1:14" x14ac:dyDescent="0.25">
      <c r="A1911" s="5" t="str">
        <f>IF(TRIM(I1911)="","",E1911)</f>
        <v/>
      </c>
      <c r="B1911" s="5" t="str">
        <f>IF(TRIM(J1911)="","",H1911)</f>
        <v/>
      </c>
      <c r="C1911" s="5" t="str">
        <f>LEFT(F1911,FIND(".",F1911,6))</f>
        <v>Exif.Thumbnail.</v>
      </c>
      <c r="D1911" s="5" t="str">
        <f>VLOOKUP(C1911,PrefixUebersetzung,2,FALSE)</f>
        <v>Exif.Vorschaubild.</v>
      </c>
      <c r="E1911" s="5" t="str">
        <f>MID(F1911,FIND(".",F1911,6)+1,99)</f>
        <v>Noise</v>
      </c>
      <c r="F1911" s="2" t="s">
        <v>8168</v>
      </c>
      <c r="G1911" s="5" t="s">
        <v>9669</v>
      </c>
      <c r="H1911" s="3" t="s">
        <v>2426</v>
      </c>
      <c r="I1911" s="5"/>
      <c r="J1911" s="8"/>
      <c r="K1911" s="26"/>
      <c r="L1911" s="6" t="str">
        <f>IFERROR(VLOOKUP(E1911,A:I,9, FALSE),"")</f>
        <v>Rauschen</v>
      </c>
      <c r="M1911" s="6" t="str">
        <f>IFERROR(VLOOKUP(H1911,B:J,9,FALSE),"")</f>
        <v>Rauschen Messwerte</v>
      </c>
      <c r="N1911" s="6"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row>
    <row r="1912" spans="1:14" ht="135" x14ac:dyDescent="0.25">
      <c r="A1912" s="5" t="str">
        <f>IF(TRIM(I1912)="","",E1912)</f>
        <v/>
      </c>
      <c r="B1912" s="5" t="str">
        <f>IF(TRIM(J1912)="","",H1912)</f>
        <v/>
      </c>
      <c r="C1912" s="5" t="str">
        <f>LEFT(F1912,FIND(".",F1912,6))</f>
        <v>Exif.Thumbnail.</v>
      </c>
      <c r="D1912" s="5" t="str">
        <f>VLOOKUP(C1912,PrefixUebersetzung,2,FALSE)</f>
        <v>Exif.Vorschaubild.</v>
      </c>
      <c r="E1912" s="5" t="str">
        <f>MID(F1912,FIND(".",F1912,6)+1,99)</f>
        <v>NoiseProfile</v>
      </c>
      <c r="F1912" s="2" t="s">
        <v>8169</v>
      </c>
      <c r="G1912" s="5" t="s">
        <v>9674</v>
      </c>
      <c r="H1912" s="3" t="s">
        <v>2427</v>
      </c>
      <c r="I1912" s="7"/>
      <c r="J1912" s="8"/>
      <c r="K1912" s="26"/>
      <c r="L1912" s="6" t="str">
        <f>IFERROR(VLOOKUP(E1912,A:I,9, FALSE),"")</f>
        <v>Rauschprofil</v>
      </c>
      <c r="M1912" s="6" t="str">
        <f>IFERROR(INDEX(J:J,MATCH(TRUE,INDEX(B:B=H1912,0),0)),"")</f>
        <v/>
      </c>
      <c r="N1912" s="6"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xml:space="preserve">Description not translated </v>
      </c>
    </row>
    <row r="1913" spans="1:14" ht="210" x14ac:dyDescent="0.25">
      <c r="A1913" s="5" t="str">
        <f>IF(TRIM(I1913)="","",E1913)</f>
        <v/>
      </c>
      <c r="B1913" s="5" t="str">
        <f>IF(TRIM(J1913)="","",H1913)</f>
        <v/>
      </c>
      <c r="C1913" s="5" t="str">
        <f>LEFT(F1913,FIND(".",F1913,6))</f>
        <v>Exif.Thumbnail.</v>
      </c>
      <c r="D1913" s="5" t="str">
        <f>VLOOKUP(C1913,PrefixUebersetzung,2,FALSE)</f>
        <v>Exif.Vorschaubild.</v>
      </c>
      <c r="E1913" s="5" t="str">
        <f>MID(F1913,FIND(".",F1913,6)+1,99)</f>
        <v>NoiseReductionApplied</v>
      </c>
      <c r="F1913" s="2" t="s">
        <v>8170</v>
      </c>
      <c r="G1913" s="5" t="s">
        <v>9671</v>
      </c>
      <c r="H1913" s="3" t="s">
        <v>2428</v>
      </c>
      <c r="I1913" s="7"/>
      <c r="J1913" s="8"/>
      <c r="K1913" s="26"/>
      <c r="L1913" s="6" t="str">
        <f>IFERROR(VLOOKUP(E1913,A:I,9, FALSE),"")</f>
        <v>Entrauschen angewendet</v>
      </c>
      <c r="M1913" s="6" t="str">
        <f>IFERROR(INDEX(J:J,MATCH(TRUE,INDEX(B:B=H1913,0),0)),"")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1913" s="6"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row>
    <row r="1914" spans="1:14" ht="45" x14ac:dyDescent="0.25">
      <c r="A1914" s="5" t="str">
        <f>IF(TRIM(I1914)="","",E1914)</f>
        <v/>
      </c>
      <c r="B1914" s="5" t="str">
        <f>IF(TRIM(J1914)="","",H1914)</f>
        <v/>
      </c>
      <c r="C1914" s="5" t="str">
        <f>LEFT(F1914,FIND(".",F1914,6))</f>
        <v>Exif.Thumbnail.</v>
      </c>
      <c r="D1914" s="5" t="str">
        <f>VLOOKUP(C1914,PrefixUebersetzung,2,FALSE)</f>
        <v>Exif.Vorschaubild.</v>
      </c>
      <c r="E1914" s="5" t="str">
        <f>MID(F1914,FIND(".",F1914,6)+1,99)</f>
        <v>NumberOfInks</v>
      </c>
      <c r="F1914" s="2" t="s">
        <v>8171</v>
      </c>
      <c r="G1914" s="5" t="s">
        <v>9664</v>
      </c>
      <c r="H1914" s="3" t="s">
        <v>2429</v>
      </c>
      <c r="I1914" s="7"/>
      <c r="J1914" s="8"/>
      <c r="K1914" s="26"/>
      <c r="L1914" s="6" t="str">
        <f>IFERROR(VLOOKUP(E1914,A:I,9, FALSE),"")</f>
        <v>Anzahl der Farben</v>
      </c>
      <c r="M1914" s="6" t="str">
        <f>IFERROR(VLOOKUP(H1914,B:J,9,FALSE),"")</f>
        <v>Die Anzahl der Farben. Gewöhnlich gleich SamplesPerPixel, es sei denn, es gibt zusätzliche Proben.</v>
      </c>
      <c r="N1914" s="6"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c>
    </row>
    <row r="1915" spans="1:14" ht="45" x14ac:dyDescent="0.25">
      <c r="A1915" s="5" t="str">
        <f>IF(TRIM(I1915)="","",E1915)</f>
        <v/>
      </c>
      <c r="B1915" s="5" t="str">
        <f>IF(TRIM(J1915)="","",H1915)</f>
        <v/>
      </c>
      <c r="C1915" s="5" t="str">
        <f>LEFT(F1915,FIND(".",F1915,6))</f>
        <v>Exif.Thumbnail.</v>
      </c>
      <c r="D1915" s="5" t="str">
        <f>VLOOKUP(C1915,PrefixUebersetzung,2,FALSE)</f>
        <v>Exif.Vorschaubild.</v>
      </c>
      <c r="E1915" s="5" t="str">
        <f>MID(F1915,FIND(".",F1915,6)+1,99)</f>
        <v>OECF</v>
      </c>
      <c r="F1915" s="2" t="s">
        <v>8172</v>
      </c>
      <c r="G1915" s="5" t="s">
        <v>9669</v>
      </c>
      <c r="H1915" s="3" t="s">
        <v>2430</v>
      </c>
      <c r="I1915" s="7"/>
      <c r="J1915" s="8"/>
      <c r="K1915" s="26"/>
      <c r="L1915" s="6" t="str">
        <f>IFERROR(VLOOKUP(E1915,A:I,9, FALSE),"")</f>
        <v>OECF</v>
      </c>
      <c r="M1915" s="6" t="str">
        <f>IFERROR(VLOOKUP(H1915,B:J,9,FALSE),"")</f>
        <v>Gibt die Opto-Elektro-Conversion-Funktion (OECF) an, die in ISO 14524 spezifiziert ist.</v>
      </c>
      <c r="N1915" s="6"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c>
    </row>
    <row r="1916" spans="1:14" ht="30" x14ac:dyDescent="0.25">
      <c r="A1916" s="5" t="str">
        <f>IF(TRIM(I1916)="","",E1916)</f>
        <v/>
      </c>
      <c r="B1916" s="5" t="str">
        <f>IF(TRIM(J1916)="","",H1916)</f>
        <v/>
      </c>
      <c r="C1916" s="5" t="str">
        <f>LEFT(F1916,FIND(".",F1916,6))</f>
        <v>Exif.Thumbnail.</v>
      </c>
      <c r="D1916" s="5" t="str">
        <f>VLOOKUP(C1916,PrefixUebersetzung,2,FALSE)</f>
        <v>Exif.Vorschaubild.</v>
      </c>
      <c r="E1916" s="5" t="str">
        <f>MID(F1916,FIND(".",F1916,6)+1,99)</f>
        <v>OpcodeList1</v>
      </c>
      <c r="F1916" s="2" t="s">
        <v>8173</v>
      </c>
      <c r="G1916" s="5" t="s">
        <v>9669</v>
      </c>
      <c r="H1916" s="3" t="s">
        <v>2431</v>
      </c>
      <c r="I1916" s="7"/>
      <c r="J1916" s="8"/>
      <c r="K1916" s="26"/>
      <c r="L1916" s="6" t="str">
        <f>IFERROR(VLOOKUP(E1916,A:I,9, FALSE),"")</f>
        <v/>
      </c>
      <c r="M1916" s="6" t="str">
        <f>IFERROR(VLOOKUP(H1916,B:J,9,FALSE),"")</f>
        <v/>
      </c>
      <c r="N1916" s="6"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row>
    <row r="1917" spans="1:14" ht="45" x14ac:dyDescent="0.25">
      <c r="A1917" s="5" t="str">
        <f>IF(TRIM(I1917)="","",E1917)</f>
        <v/>
      </c>
      <c r="B1917" s="5" t="str">
        <f>IF(TRIM(J1917)="","",H1917)</f>
        <v/>
      </c>
      <c r="C1917" s="5" t="str">
        <f>LEFT(F1917,FIND(".",F1917,6))</f>
        <v>Exif.Thumbnail.</v>
      </c>
      <c r="D1917" s="5" t="str">
        <f>VLOOKUP(C1917,PrefixUebersetzung,2,FALSE)</f>
        <v>Exif.Vorschaubild.</v>
      </c>
      <c r="E1917" s="5" t="str">
        <f>MID(F1917,FIND(".",F1917,6)+1,99)</f>
        <v>OpcodeList2</v>
      </c>
      <c r="F1917" s="2" t="s">
        <v>8174</v>
      </c>
      <c r="G1917" s="5" t="s">
        <v>9669</v>
      </c>
      <c r="H1917" s="3" t="s">
        <v>2432</v>
      </c>
      <c r="I1917" s="7"/>
      <c r="J1917" s="8"/>
      <c r="K1917" s="26"/>
      <c r="L1917" s="6" t="str">
        <f>IFERROR(VLOOKUP(E1917,A:I,9, FALSE),"")</f>
        <v/>
      </c>
      <c r="M1917" s="6" t="str">
        <f>IFERROR(VLOOKUP(H1917,B:J,9,FALSE),"")</f>
        <v/>
      </c>
      <c r="N1917" s="6"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row>
    <row r="1918" spans="1:14" ht="30" x14ac:dyDescent="0.25">
      <c r="A1918" s="5" t="str">
        <f>IF(TRIM(I1918)="","",E1918)</f>
        <v/>
      </c>
      <c r="B1918" s="5" t="str">
        <f>IF(TRIM(J1918)="","",H1918)</f>
        <v/>
      </c>
      <c r="C1918" s="5" t="str">
        <f>LEFT(F1918,FIND(".",F1918,6))</f>
        <v>Exif.Thumbnail.</v>
      </c>
      <c r="D1918" s="5" t="str">
        <f>VLOOKUP(C1918,PrefixUebersetzung,2,FALSE)</f>
        <v>Exif.Vorschaubild.</v>
      </c>
      <c r="E1918" s="5" t="str">
        <f>MID(F1918,FIND(".",F1918,6)+1,99)</f>
        <v>OpcodeList3</v>
      </c>
      <c r="F1918" s="2" t="s">
        <v>8175</v>
      </c>
      <c r="G1918" s="5" t="s">
        <v>9669</v>
      </c>
      <c r="H1918" s="3" t="s">
        <v>2433</v>
      </c>
      <c r="I1918" s="7"/>
      <c r="J1918" s="8"/>
      <c r="K1918" s="26"/>
      <c r="L1918" s="6" t="str">
        <f>IFERROR(VLOOKUP(E1918,A:I,9, FALSE),"")</f>
        <v/>
      </c>
      <c r="M1918" s="6" t="str">
        <f>IFERROR(VLOOKUP(H1918,B:J,9,FALSE),"")</f>
        <v/>
      </c>
      <c r="N1918" s="6"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row>
    <row r="1919" spans="1:14" ht="60" x14ac:dyDescent="0.25">
      <c r="A1919" s="5" t="str">
        <f>IF(TRIM(I1919)="","",E1919)</f>
        <v/>
      </c>
      <c r="B1919" s="5" t="str">
        <f>IF(TRIM(J1919)="","",H1919)</f>
        <v/>
      </c>
      <c r="C1919" s="5" t="str">
        <f>LEFT(F1919,FIND(".",F1919,6))</f>
        <v>Exif.Thumbnail.</v>
      </c>
      <c r="D1919" s="5" t="str">
        <f>VLOOKUP(C1919,PrefixUebersetzung,2,FALSE)</f>
        <v>Exif.Vorschaubild.</v>
      </c>
      <c r="E1919" s="5" t="str">
        <f>MID(F1919,FIND(".",F1919,6)+1,99)</f>
        <v>OPIProxy</v>
      </c>
      <c r="F1919" s="2" t="s">
        <v>8176</v>
      </c>
      <c r="G1919" s="5" t="s">
        <v>9664</v>
      </c>
      <c r="H1919" s="3" t="s">
        <v>2434</v>
      </c>
      <c r="I1919" s="7"/>
      <c r="J1919" s="8"/>
      <c r="K1919" s="26"/>
      <c r="L1919" s="6" t="str">
        <f>IFERROR(VLOOKUP(E1919,A:I,9, FALSE),"")</f>
        <v/>
      </c>
      <c r="M1919" s="6" t="str">
        <f>IFERROR(VLOOKUP(H1919,B:J,9,FALSE),"")</f>
        <v>OPIProxy gibt Aufschluss darüber, ob dieses Bild eine niedrig-auflösende Näherung von einem hochauflösenden Bild ist (Adobe OPI).</v>
      </c>
      <c r="N1919" s="6"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v>
      </c>
    </row>
    <row r="1920" spans="1:14" ht="30" x14ac:dyDescent="0.25">
      <c r="A1920" s="5" t="str">
        <f>IF(TRIM(I1920)="","",E1920)</f>
        <v/>
      </c>
      <c r="B1920" s="5" t="str">
        <f>IF(TRIM(J1920)="","",H1920)</f>
        <v/>
      </c>
      <c r="C1920" s="5" t="str">
        <f>LEFT(F1920,FIND(".",F1920,6))</f>
        <v>Exif.Thumbnail.</v>
      </c>
      <c r="D1920" s="5" t="str">
        <f>VLOOKUP(C1920,PrefixUebersetzung,2,FALSE)</f>
        <v>Exif.Vorschaubild.</v>
      </c>
      <c r="E1920" s="5" t="str">
        <f>MID(F1920,FIND(".",F1920,6)+1,99)</f>
        <v>Orientation</v>
      </c>
      <c r="F1920" s="2" t="s">
        <v>8177</v>
      </c>
      <c r="G1920" s="5" t="s">
        <v>9664</v>
      </c>
      <c r="H1920" s="3" t="s">
        <v>2435</v>
      </c>
      <c r="I1920" s="7"/>
      <c r="J1920" s="8"/>
      <c r="K1920" s="26"/>
      <c r="L1920" s="6" t="str">
        <f>IFERROR(VLOOKUP(E1920,A:I,9, FALSE),"")</f>
        <v>Ausrichtung</v>
      </c>
      <c r="M1920" s="6" t="str">
        <f>IFERROR(VLOOKUP(H1920,B:J,9,FALSE),"")</f>
        <v>Bild-Ausrichtung in Bezug auf die Zeilen und Spalten</v>
      </c>
      <c r="N1920" s="6"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4" ht="180" x14ac:dyDescent="0.25">
      <c r="A1921" s="5" t="str">
        <f>IF(TRIM(I1921)="","",E1921)</f>
        <v/>
      </c>
      <c r="B1921" s="5" t="str">
        <f>IF(TRIM(J1921)="","",H1921)</f>
        <v/>
      </c>
      <c r="C1921" s="5" t="str">
        <f>LEFT(F1921,FIND(".",F1921,6))</f>
        <v>Exif.Thumbnail.</v>
      </c>
      <c r="D1921" s="5" t="str">
        <f>VLOOKUP(C1921,PrefixUebersetzung,2,FALSE)</f>
        <v>Exif.Vorschaubild.</v>
      </c>
      <c r="E1921" s="5" t="str">
        <f>MID(F1921,FIND(".",F1921,6)+1,99)</f>
        <v>OriginalRawFileData</v>
      </c>
      <c r="F1921" s="2" t="s">
        <v>8178</v>
      </c>
      <c r="G1921" s="5" t="s">
        <v>9669</v>
      </c>
      <c r="H1921" s="3" t="s">
        <v>2436</v>
      </c>
      <c r="I1921" s="7"/>
      <c r="J1921" s="13"/>
      <c r="K1921" s="26"/>
      <c r="L1921" s="6" t="str">
        <f>IFERROR(VLOOKUP(E1921,A:I,9, FALSE),"")</f>
        <v>RAW Datei-Daten original</v>
      </c>
      <c r="M1921" s="6" t="str">
        <f>IFERROR(INDEX(J:J,MATCH(TRUE,INDEX(B:B=H1921,0),0)),"")</f>
        <v/>
      </c>
      <c r="N1921" s="6"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Description not translated </v>
      </c>
    </row>
    <row r="1922" spans="1:14" ht="30" x14ac:dyDescent="0.25">
      <c r="A1922" s="5" t="str">
        <f>IF(TRIM(I1922)="","",E1922)</f>
        <v/>
      </c>
      <c r="B1922" s="5" t="str">
        <f>IF(TRIM(J1922)="","",H1922)</f>
        <v/>
      </c>
      <c r="C1922" s="5" t="str">
        <f>LEFT(F1922,FIND(".",F1922,6))</f>
        <v>Exif.Thumbnail.</v>
      </c>
      <c r="D1922" s="5" t="str">
        <f>VLOOKUP(C1922,PrefixUebersetzung,2,FALSE)</f>
        <v>Exif.Vorschaubild.</v>
      </c>
      <c r="E1922" s="5" t="str">
        <f>MID(F1922,FIND(".",F1922,6)+1,99)</f>
        <v>OriginalRawFileDigest</v>
      </c>
      <c r="F1922" s="2" t="s">
        <v>8179</v>
      </c>
      <c r="G1922" s="5" t="s">
        <v>9669</v>
      </c>
      <c r="H1922" s="3" t="s">
        <v>2437</v>
      </c>
      <c r="I1922" s="7"/>
      <c r="J1922" s="8"/>
      <c r="K1922" s="26"/>
      <c r="L1922" s="6" t="str">
        <f>IFERROR(VLOOKUP(E1922,A:I,9, FALSE),"")</f>
        <v/>
      </c>
      <c r="M1922" s="6" t="str">
        <f>IFERROR(VLOOKUP(H1922,B:J,9,FALSE),"")</f>
        <v/>
      </c>
      <c r="N1922" s="6"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xml:space="preserve">Suffix not translated Description not translated </v>
      </c>
    </row>
    <row r="1923" spans="1:14" ht="75" x14ac:dyDescent="0.25">
      <c r="A1923" s="5" t="str">
        <f>IF(TRIM(I1923)="","",E1923)</f>
        <v/>
      </c>
      <c r="B1923" s="5" t="str">
        <f>IF(TRIM(J1923)="","",H1923)</f>
        <v/>
      </c>
      <c r="C1923" s="5" t="str">
        <f>LEFT(F1923,FIND(".",F1923,6))</f>
        <v>Exif.Thumbnail.</v>
      </c>
      <c r="D1923" s="5" t="str">
        <f>VLOOKUP(C1923,PrefixUebersetzung,2,FALSE)</f>
        <v>Exif.Vorschaubild.</v>
      </c>
      <c r="E1923" s="5" t="str">
        <f>MID(F1923,FIND(".",F1923,6)+1,99)</f>
        <v>OriginalRawFileName</v>
      </c>
      <c r="F1923" s="2" t="s">
        <v>8180</v>
      </c>
      <c r="G1923" s="5" t="s">
        <v>9670</v>
      </c>
      <c r="H1923" s="3" t="s">
        <v>2438</v>
      </c>
      <c r="I1923" s="7"/>
      <c r="J1923" s="13"/>
      <c r="K1923" s="26"/>
      <c r="L1923" s="6" t="str">
        <f>IFERROR(VLOOKUP(E1923,A:I,9, FALSE),"")</f>
        <v>RAW Dateiname original</v>
      </c>
      <c r="M1923" s="6" t="str">
        <f>IFERROR(VLOOKUP(H1923,B:J,9,FALSE),"")</f>
        <v>Wenn die DNG-Datei aus einer Nicht-DNG RAW-Datei umgewandelt wurde, dann enthält dieses Tag den Dateinamen jener ursprünglichen RAW-Datei.</v>
      </c>
      <c r="N1923" s="6"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4" ht="30" x14ac:dyDescent="0.25">
      <c r="A1924" s="5" t="str">
        <f>IF(TRIM(I1924)="","",E1924)</f>
        <v/>
      </c>
      <c r="B1924" s="5" t="str">
        <f>IF(TRIM(J1924)="","",H1924)</f>
        <v/>
      </c>
      <c r="C1924" s="5" t="str">
        <f>LEFT(F1924,FIND(".",F1924,6))</f>
        <v>Exif.Thumbnail.</v>
      </c>
      <c r="D1924" s="5" t="str">
        <f>VLOOKUP(C1924,PrefixUebersetzung,2,FALSE)</f>
        <v>Exif.Vorschaubild.</v>
      </c>
      <c r="E1924" s="5" t="str">
        <f>MID(F1924,FIND(".",F1924,6)+1,99)</f>
        <v>PageNumber</v>
      </c>
      <c r="F1924" s="2" t="s">
        <v>8181</v>
      </c>
      <c r="G1924" s="5" t="s">
        <v>9664</v>
      </c>
      <c r="H1924" s="3" t="s">
        <v>7044</v>
      </c>
      <c r="I1924" s="7"/>
      <c r="J1924" s="8"/>
      <c r="K1924" s="26"/>
      <c r="L1924" s="6" t="str">
        <f>IFERROR(VLOOKUP(E1924,A:I,9, FALSE),"")</f>
        <v>Seitennummer</v>
      </c>
      <c r="M1924" s="6" t="str">
        <f>IFERROR(VLOOKUP(H1924,B:J,9,FALSE),"")</f>
        <v>Die Seitennummer der Seite, von der dieses Bild gescannt wurde</v>
      </c>
      <c r="N1924" s="6"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row>
    <row r="1925" spans="1:14" ht="30" x14ac:dyDescent="0.25">
      <c r="A1925" s="5" t="str">
        <f>IF(TRIM(I1925)="","",E1925)</f>
        <v/>
      </c>
      <c r="B1925" s="5" t="str">
        <f>IF(TRIM(J1925)="","",H1925)</f>
        <v/>
      </c>
      <c r="C1925" s="5" t="str">
        <f>LEFT(F1925,FIND(".",F1925,6))</f>
        <v>Exif.Thumbnail.</v>
      </c>
      <c r="D1925" s="5" t="str">
        <f>VLOOKUP(C1925,PrefixUebersetzung,2,FALSE)</f>
        <v>Exif.Vorschaubild.</v>
      </c>
      <c r="E1925" s="5" t="str">
        <f>MID(F1925,FIND(".",F1925,6)+1,99)</f>
        <v>PhotometricInterpretation</v>
      </c>
      <c r="F1925" s="2" t="s">
        <v>8182</v>
      </c>
      <c r="G1925" s="5" t="s">
        <v>9664</v>
      </c>
      <c r="H1925" s="3" t="s">
        <v>2439</v>
      </c>
      <c r="I1925" s="7"/>
      <c r="J1925" s="8"/>
      <c r="K1925" s="26"/>
      <c r="L1925" s="6" t="str">
        <f>IFERROR(VLOOKUP(E1925,A:I,9, FALSE),"")</f>
        <v/>
      </c>
      <c r="M1925" s="6" t="str">
        <f>IFERROR(VLOOKUP(H1925,B:J,9,FALSE),"")</f>
        <v/>
      </c>
      <c r="N1925" s="6"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xml:space="preserve">Suffix not translated Description not translated </v>
      </c>
    </row>
    <row r="1926" spans="1:14" ht="75" x14ac:dyDescent="0.25">
      <c r="A1926" s="5" t="str">
        <f>IF(TRIM(I1926)="","",E1926)</f>
        <v/>
      </c>
      <c r="B1926" s="5" t="str">
        <f>IF(TRIM(J1926)="","",H1926)</f>
        <v/>
      </c>
      <c r="C1926" s="5" t="str">
        <f>LEFT(F1926,FIND(".",F1926,6))</f>
        <v>Exif.Thumbnail.</v>
      </c>
      <c r="D1926" s="5" t="str">
        <f>VLOOKUP(C1926,PrefixUebersetzung,2,FALSE)</f>
        <v>Exif.Vorschaubild.</v>
      </c>
      <c r="E1926" s="5" t="str">
        <f>MID(F1926,FIND(".",F1926,6)+1,99)</f>
        <v>PlanarConfiguration</v>
      </c>
      <c r="F1926" s="2" t="s">
        <v>8183</v>
      </c>
      <c r="G1926" s="5" t="s">
        <v>9664</v>
      </c>
      <c r="H1926" s="3" t="s">
        <v>2440</v>
      </c>
      <c r="I1926" s="7"/>
      <c r="J1926" s="8"/>
      <c r="K1926" s="26"/>
      <c r="L1926" s="6" t="str">
        <f>IFERROR(VLOOKUP(E1926,A:I,9, FALSE),"")</f>
        <v/>
      </c>
      <c r="M1926" s="6" t="str">
        <f>IFERROR(VLOOKUP(H1926,B:J,9,FALSE),"")</f>
        <v/>
      </c>
      <c r="N1926" s="6"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xml:space="preserve">Suffix not translated Description not translated </v>
      </c>
    </row>
    <row r="1927" spans="1:14" ht="60" x14ac:dyDescent="0.25">
      <c r="A1927" s="5" t="str">
        <f>IF(TRIM(I1927)="","",E1927)</f>
        <v/>
      </c>
      <c r="B1927" s="5" t="str">
        <f>IF(TRIM(J1927)="","",H1927)</f>
        <v/>
      </c>
      <c r="C1927" s="5" t="str">
        <f>LEFT(F1927,FIND(".",F1927,6))</f>
        <v>Exif.Thumbnail.</v>
      </c>
      <c r="D1927" s="5" t="str">
        <f>VLOOKUP(C1927,PrefixUebersetzung,2,FALSE)</f>
        <v>Exif.Vorschaubild.</v>
      </c>
      <c r="E1927" s="5" t="str">
        <f>MID(F1927,FIND(".",F1927,6)+1,99)</f>
        <v>Predictor</v>
      </c>
      <c r="F1927" s="2" t="s">
        <v>8184</v>
      </c>
      <c r="G1927" s="5" t="s">
        <v>9664</v>
      </c>
      <c r="H1927" s="3" t="s">
        <v>2441</v>
      </c>
      <c r="I1927" s="7"/>
      <c r="J1927" s="8"/>
      <c r="K1927" s="26"/>
      <c r="L1927" s="6" t="str">
        <f>IFERROR(VLOOKUP(E1927,A:I,9, FALSE),"")</f>
        <v>Prädiktor</v>
      </c>
      <c r="M1927" s="6" t="str">
        <f>IFERROR(VLOOKUP(H1927,B:J,9,FALSE),"")</f>
        <v>Ein Prädiktor ein mathematischer Operator, der auf die Bilddaten angewendet wird, bevor ein Codierungsschema angewendet wird.</v>
      </c>
      <c r="N1927" s="6"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4" ht="60" x14ac:dyDescent="0.25">
      <c r="A1928" s="5" t="str">
        <f>IF(TRIM(I1928)="","",E1928)</f>
        <v/>
      </c>
      <c r="B1928" s="5" t="str">
        <f>IF(TRIM(J1928)="","",H1928)</f>
        <v/>
      </c>
      <c r="C1928" s="5" t="str">
        <f>LEFT(F1928,FIND(".",F1928,6))</f>
        <v>Exif.Thumbnail.</v>
      </c>
      <c r="D1928" s="5" t="str">
        <f>VLOOKUP(C1928,PrefixUebersetzung,2,FALSE)</f>
        <v>Exif.Vorschaubild.</v>
      </c>
      <c r="E1928" s="5" t="str">
        <f>MID(F1928,FIND(".",F1928,6)+1,99)</f>
        <v>PreviewApplicationName</v>
      </c>
      <c r="F1928" s="2" t="s">
        <v>8185</v>
      </c>
      <c r="G1928" s="5" t="s">
        <v>9670</v>
      </c>
      <c r="H1928" s="3" t="s">
        <v>2442</v>
      </c>
      <c r="I1928" s="7"/>
      <c r="J1928" s="8"/>
      <c r="K1928" s="26"/>
      <c r="L1928" s="6" t="str">
        <f>IFERROR(VLOOKUP(E1928,A:I,9, FALSE),"")</f>
        <v>Vorschau Applikation Name</v>
      </c>
      <c r="M1928" s="6" t="str">
        <f>IFERROR(VLOOKUP(H1928,B:J,9,FALSE),"")</f>
        <v>Eine UTF-8-codierte Zeichenfolge mit dem Namen der Anwendung, die das im IFD gespeicherte Vorschaubild erzeugt hat.</v>
      </c>
      <c r="N1928" s="6"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4" ht="60" x14ac:dyDescent="0.25">
      <c r="A1929" s="5" t="str">
        <f>IF(TRIM(I1929)="","",E1929)</f>
        <v/>
      </c>
      <c r="B1929" s="5" t="str">
        <f>IF(TRIM(J1929)="","",H1929)</f>
        <v/>
      </c>
      <c r="C1929" s="5" t="str">
        <f>LEFT(F1929,FIND(".",F1929,6))</f>
        <v>Exif.Thumbnail.</v>
      </c>
      <c r="D1929" s="5" t="str">
        <f>VLOOKUP(C1929,PrefixUebersetzung,2,FALSE)</f>
        <v>Exif.Vorschaubild.</v>
      </c>
      <c r="E1929" s="5" t="str">
        <f>MID(F1929,FIND(".",F1929,6)+1,99)</f>
        <v>PreviewApplicationVersion</v>
      </c>
      <c r="F1929" s="2" t="s">
        <v>8186</v>
      </c>
      <c r="G1929" s="5" t="s">
        <v>9670</v>
      </c>
      <c r="H1929" s="3" t="s">
        <v>2443</v>
      </c>
      <c r="I1929" s="7"/>
      <c r="J1929" s="8"/>
      <c r="K1929" s="26"/>
      <c r="L1929" s="6" t="str">
        <f>IFERROR(VLOOKUP(E1929,A:I,9, FALSE),"")</f>
        <v>Vorschau Applikation Version</v>
      </c>
      <c r="M1929" s="6" t="str">
        <f>IFERROR(VLOOKUP(H1929,B:J,9,FALSE),"")</f>
        <v>Eine UTF-8-codierte Zeichenfolge mit der Version der Anwendung, die das im IFD gespeicherte Vorschaubild erzeugt hat.</v>
      </c>
      <c r="N1929" s="6"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4" ht="105" x14ac:dyDescent="0.25">
      <c r="A1930" s="5" t="str">
        <f>IF(TRIM(I1930)="","",E1930)</f>
        <v/>
      </c>
      <c r="B1930" s="5" t="str">
        <f>IF(TRIM(J1930)="","",H1930)</f>
        <v/>
      </c>
      <c r="C1930" s="5" t="str">
        <f>LEFT(F1930,FIND(".",F1930,6))</f>
        <v>Exif.Thumbnail.</v>
      </c>
      <c r="D1930" s="5" t="str">
        <f>VLOOKUP(C1930,PrefixUebersetzung,2,FALSE)</f>
        <v>Exif.Vorschaubild.</v>
      </c>
      <c r="E1930" s="5" t="str">
        <f>MID(F1930,FIND(".",F1930,6)+1,99)</f>
        <v>PreviewColorSpace</v>
      </c>
      <c r="F1930" s="2" t="s">
        <v>8187</v>
      </c>
      <c r="G1930" s="5" t="s">
        <v>9667</v>
      </c>
      <c r="H1930" s="3" t="s">
        <v>2444</v>
      </c>
      <c r="I1930" s="7"/>
      <c r="J1930" s="8"/>
      <c r="K1930" s="26"/>
      <c r="L1930" s="6" t="str">
        <f>IFERROR(VLOOKUP(E1930,A:I,9, FALSE),"")</f>
        <v>Vorschau Farbraum</v>
      </c>
      <c r="M1930" s="6" t="str">
        <f>IFERROR(VLOOKUP(H1930,B:J,9,FALSE),"")</f>
        <v>Dieser Tag gibt den Farbraum an, in dem die gerenderte Vorschau in diesem IFD gespeichert ist. Der Standardwert für diese Variable ist sRGB für Farbvorschauen and Gray Gamma 2.2 für monochrome Vorschauen.</v>
      </c>
      <c r="N1930" s="6"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4" ht="75" x14ac:dyDescent="0.25">
      <c r="A1931" s="5" t="str">
        <f>IF(TRIM(I1931)="","",E1931)</f>
        <v/>
      </c>
      <c r="B1931" s="5" t="str">
        <f>IF(TRIM(J1931)="","",H1931)</f>
        <v/>
      </c>
      <c r="C1931" s="5" t="str">
        <f>LEFT(F1931,FIND(".",F1931,6))</f>
        <v>Exif.Thumbnail.</v>
      </c>
      <c r="D1931" s="5" t="str">
        <f>VLOOKUP(C1931,PrefixUebersetzung,2,FALSE)</f>
        <v>Exif.Vorschaubild.</v>
      </c>
      <c r="E1931" s="5" t="str">
        <f>MID(F1931,FIND(".",F1931,6)+1,99)</f>
        <v>PreviewDateTime</v>
      </c>
      <c r="F1931" s="2" t="s">
        <v>8188</v>
      </c>
      <c r="G1931" s="5" t="s">
        <v>9666</v>
      </c>
      <c r="H1931" s="3" t="s">
        <v>2445</v>
      </c>
      <c r="I1931" s="7"/>
      <c r="J1931" s="8"/>
      <c r="K1931" s="26"/>
      <c r="L1931" s="6" t="str">
        <f>IFERROR(VLOOKUP(E1931,A:I,9, FALSE),"")</f>
        <v>Vorschau Datum/Zeit</v>
      </c>
      <c r="M1931" s="6" t="str">
        <f>IFERROR(VLOOKUP(H1931,B:J,9,FALSE),"")</f>
        <v>Dieser Tag ist eine ASCII-Zeichenfolge mit Datum/Uhrzeit, an dem die in der IFD gespeicherte die Vorschau erstellt wurde. Das Datum/Uhrzeit wird mit ISO 8601 kodiert.</v>
      </c>
      <c r="N1931" s="6"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4" ht="45" x14ac:dyDescent="0.25">
      <c r="A1932" s="5" t="str">
        <f>IF(TRIM(I1932)="","",E1932)</f>
        <v/>
      </c>
      <c r="B1932" s="5" t="str">
        <f>IF(TRIM(J1932)="","",H1932)</f>
        <v/>
      </c>
      <c r="C1932" s="5" t="str">
        <f>LEFT(F1932,FIND(".",F1932,6))</f>
        <v>Exif.Thumbnail.</v>
      </c>
      <c r="D1932" s="5" t="str">
        <f>VLOOKUP(C1932,PrefixUebersetzung,2,FALSE)</f>
        <v>Exif.Vorschaubild.</v>
      </c>
      <c r="E1932" s="5" t="str">
        <f>MID(F1932,FIND(".",F1932,6)+1,99)</f>
        <v>PreviewSettingsDigest</v>
      </c>
      <c r="F1932" s="2" t="s">
        <v>8189</v>
      </c>
      <c r="G1932" s="5" t="s">
        <v>9670</v>
      </c>
      <c r="H1932" s="3" t="s">
        <v>2446</v>
      </c>
      <c r="I1932" s="7"/>
      <c r="J1932" s="8"/>
      <c r="K1932" s="26"/>
      <c r="L1932" s="6" t="str">
        <f>IFERROR(VLOOKUP(E1932,A:I,9, FALSE),"")</f>
        <v/>
      </c>
      <c r="M1932" s="6" t="str">
        <f>IFERROR(VLOOKUP(H1932,B:J,9,FALSE),"")</f>
        <v/>
      </c>
      <c r="N1932" s="6"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xml:space="preserve">Suffix not translated Description not translated </v>
      </c>
    </row>
    <row r="1933" spans="1:14" ht="45" x14ac:dyDescent="0.25">
      <c r="A1933" s="5" t="str">
        <f>IF(TRIM(I1933)="","",E1933)</f>
        <v/>
      </c>
      <c r="B1933" s="5" t="str">
        <f>IF(TRIM(J1933)="","",H1933)</f>
        <v/>
      </c>
      <c r="C1933" s="5" t="str">
        <f>LEFT(F1933,FIND(".",F1933,6))</f>
        <v>Exif.Thumbnail.</v>
      </c>
      <c r="D1933" s="5" t="str">
        <f>VLOOKUP(C1933,PrefixUebersetzung,2,FALSE)</f>
        <v>Exif.Vorschaubild.</v>
      </c>
      <c r="E1933" s="5" t="str">
        <f>MID(F1933,FIND(".",F1933,6)+1,99)</f>
        <v>PreviewSettingsName</v>
      </c>
      <c r="F1933" s="2" t="s">
        <v>8190</v>
      </c>
      <c r="G1933" s="5" t="s">
        <v>9670</v>
      </c>
      <c r="H1933" s="3" t="s">
        <v>2447</v>
      </c>
      <c r="I1933" s="7"/>
      <c r="J1933" s="8"/>
      <c r="K1933" s="26"/>
      <c r="L1933" s="6" t="str">
        <f>IFERROR(VLOOKUP(E1933,A:I,9, FALSE),"")</f>
        <v/>
      </c>
      <c r="M1933" s="6" t="str">
        <f>IFERROR(VLOOKUP(H1933,B:J,9,FALSE),"")</f>
        <v/>
      </c>
      <c r="N1933" s="6"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xml:space="preserve">Suffix not translated Description not translated </v>
      </c>
    </row>
    <row r="1934" spans="1:14" ht="75" x14ac:dyDescent="0.25">
      <c r="A1934" s="5" t="str">
        <f>IF(TRIM(I1934)="","",E1934)</f>
        <v/>
      </c>
      <c r="B1934" s="5" t="str">
        <f>IF(TRIM(J1934)="","",H1934)</f>
        <v/>
      </c>
      <c r="C1934" s="5" t="str">
        <f>LEFT(F1934,FIND(".",F1934,6))</f>
        <v>Exif.Thumbnail.</v>
      </c>
      <c r="D1934" s="5" t="str">
        <f>VLOOKUP(C1934,PrefixUebersetzung,2,FALSE)</f>
        <v>Exif.Vorschaubild.</v>
      </c>
      <c r="E1934" s="5" t="str">
        <f>MID(F1934,FIND(".",F1934,6)+1,99)</f>
        <v>PrimaryChromaticities</v>
      </c>
      <c r="F1934" s="2" t="s">
        <v>8191</v>
      </c>
      <c r="G1934" s="5" t="s">
        <v>9671</v>
      </c>
      <c r="H1934" s="3" t="s">
        <v>2448</v>
      </c>
      <c r="I1934" s="7"/>
      <c r="J1934" s="8"/>
      <c r="K1934" s="26"/>
      <c r="L1934" s="6" t="str">
        <f>IFERROR(VLOOKUP(E1934,A:I,9, FALSE),"")</f>
        <v>Primäre Farbigkeit</v>
      </c>
      <c r="M1934" s="6" t="str">
        <f>IFERROR(VLOOKUP(H1934,B:J,9,FALSE),"")</f>
        <v>Die Chromatizität der drei primären Farben des Bildes. Normalerweise ist dieses Tag nicht notwendig, da der Farbraum im Farbraum-Informations-Tag (&lt;ColorSpace&gt;) angegeben wird.</v>
      </c>
      <c r="N1934" s="6"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4" x14ac:dyDescent="0.25">
      <c r="A1935" s="5" t="str">
        <f>IF(TRIM(I1935)="","",E1935)</f>
        <v/>
      </c>
      <c r="B1935" s="5" t="str">
        <f>IF(TRIM(J1935)="","",H1935)</f>
        <v/>
      </c>
      <c r="C1935" s="5" t="str">
        <f>LEFT(F1935,FIND(".",F1935,6))</f>
        <v>Exif.Thumbnail.</v>
      </c>
      <c r="D1935" s="5" t="str">
        <f>VLOOKUP(C1935,PrefixUebersetzung,2,FALSE)</f>
        <v>Exif.Vorschaubild.</v>
      </c>
      <c r="E1935" s="5" t="str">
        <f>MID(F1935,FIND(".",F1935,6)+1,99)</f>
        <v>PrintImageMatching</v>
      </c>
      <c r="F1935" s="2" t="s">
        <v>8192</v>
      </c>
      <c r="G1935" s="5" t="s">
        <v>9669</v>
      </c>
      <c r="H1935" s="3" t="s">
        <v>2449</v>
      </c>
      <c r="I1935" s="7"/>
      <c r="J1935" s="13"/>
      <c r="K1935" s="26"/>
      <c r="L1935" s="6" t="str">
        <f>IFERROR(VLOOKUP(E1935,A:I,9, FALSE),"")</f>
        <v/>
      </c>
      <c r="M1935" s="6" t="str">
        <f>IFERROR(VLOOKUP(H1935,B:J,9,FALSE),"")</f>
        <v/>
      </c>
      <c r="N1935" s="6"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Description not translated </v>
      </c>
    </row>
    <row r="1936" spans="1:14" ht="45" x14ac:dyDescent="0.25">
      <c r="A1936" s="5" t="str">
        <f>IF(TRIM(I1936)="","",E1936)</f>
        <v/>
      </c>
      <c r="B1936" s="5" t="str">
        <f>IF(TRIM(J1936)="","",H1936)</f>
        <v/>
      </c>
      <c r="C1936" s="5" t="str">
        <f>LEFT(F1936,FIND(".",F1936,6))</f>
        <v>Exif.Thumbnail.</v>
      </c>
      <c r="D1936" s="5" t="str">
        <f>VLOOKUP(C1936,PrefixUebersetzung,2,FALSE)</f>
        <v>Exif.Vorschaubild.</v>
      </c>
      <c r="E1936" s="5" t="str">
        <f>MID(F1936,FIND(".",F1936,6)+1,99)</f>
        <v>ProcessingSoftware</v>
      </c>
      <c r="F1936" s="2" t="s">
        <v>8193</v>
      </c>
      <c r="G1936" s="5" t="s">
        <v>9666</v>
      </c>
      <c r="H1936" s="3" t="s">
        <v>2450</v>
      </c>
      <c r="I1936" s="7"/>
      <c r="J1936" s="8"/>
      <c r="K1936" s="26"/>
      <c r="L1936" s="6" t="str">
        <f>IFERROR(VLOOKUP(E1936,A:I,9, FALSE),"")</f>
        <v>Verarbeitungs-Software</v>
      </c>
      <c r="M1936" s="6" t="str">
        <f>IFERROR(VLOOKUP(H1936,B:J,9,FALSE),"")</f>
        <v>Der Name und die Version der Software, die für Nachbearbeitung des Bildes verwendet wurde.</v>
      </c>
      <c r="N1936" s="6"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ht="105" x14ac:dyDescent="0.25">
      <c r="A1937" s="5" t="str">
        <f>IF(TRIM(I1937)="","",E1937)</f>
        <v/>
      </c>
      <c r="B1937" s="5" t="str">
        <f>IF(TRIM(J1937)="","",H1937)</f>
        <v/>
      </c>
      <c r="C1937" s="5" t="str">
        <f>LEFT(F1937,FIND(".",F1937,6))</f>
        <v>Exif.Thumbnail.</v>
      </c>
      <c r="D1937" s="5" t="str">
        <f>VLOOKUP(C1937,PrefixUebersetzung,2,FALSE)</f>
        <v>Exif.Vorschaubild.</v>
      </c>
      <c r="E1937" s="5" t="str">
        <f>MID(F1937,FIND(".",F1937,6)+1,99)</f>
        <v>ProfileCalibrationSignature</v>
      </c>
      <c r="F1937" s="2" t="s">
        <v>8194</v>
      </c>
      <c r="G1937" s="5" t="s">
        <v>9670</v>
      </c>
      <c r="H1937" s="3" t="s">
        <v>2451</v>
      </c>
      <c r="I1937" s="7"/>
      <c r="J1937" s="8"/>
      <c r="K1937" s="26"/>
      <c r="L1937" s="6" t="str">
        <f>IFERROR(VLOOKUP(E1937,A:I,9, FALSE),"")</f>
        <v/>
      </c>
      <c r="M1937" s="6" t="str">
        <f>IFERROR(INDEX(J:J,MATCH(TRUE,INDEX(B:B=H1937,0),0)),"")</f>
        <v/>
      </c>
      <c r="N1937" s="6"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xml:space="preserve">Suffix not translated Description not translated </v>
      </c>
    </row>
    <row r="1938" spans="1:14" ht="90" x14ac:dyDescent="0.25">
      <c r="A1938" s="5" t="str">
        <f>IF(TRIM(I1938)="","",E1938)</f>
        <v/>
      </c>
      <c r="B1938" s="5" t="str">
        <f>IF(TRIM(J1938)="","",H1938)</f>
        <v/>
      </c>
      <c r="C1938" s="5" t="str">
        <f>LEFT(F1938,FIND(".",F1938,6))</f>
        <v>Exif.Thumbnail.</v>
      </c>
      <c r="D1938" s="5" t="str">
        <f>VLOOKUP(C1938,PrefixUebersetzung,2,FALSE)</f>
        <v>Exif.Vorschaubild.</v>
      </c>
      <c r="E1938" s="5" t="str">
        <f>MID(F1938,FIND(".",F1938,6)+1,99)</f>
        <v>ProfileCopyright</v>
      </c>
      <c r="F1938" s="2" t="s">
        <v>8195</v>
      </c>
      <c r="G1938" s="5" t="s">
        <v>9670</v>
      </c>
      <c r="H1938" s="3" t="s">
        <v>2452</v>
      </c>
      <c r="I1938" s="7"/>
      <c r="J1938" s="8"/>
      <c r="K1938" s="26"/>
      <c r="L1938" s="6" t="str">
        <f>IFERROR(VLOOKUP(E1938,A:I,9, FALSE),"")</f>
        <v>Profil Copyright</v>
      </c>
      <c r="M1938" s="6" t="str">
        <f>IFERROR(VLOOKUP(H1938,B:J,9,FALSE),"")</f>
        <v>Ein UTF-8-codierte Zeichenfolge, mit Copyright-Informationen für das Kamera Profil. Diese Zeichenfolge sollte immer zusammen mit den anderen Kamera Profil-Tags erhalten werden.</v>
      </c>
      <c r="N1938" s="6"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ht="45" x14ac:dyDescent="0.25">
      <c r="A1939" s="5" t="str">
        <f>IF(TRIM(I1939)="","",E1939)</f>
        <v/>
      </c>
      <c r="B1939" s="5" t="str">
        <f>IF(TRIM(J1939)="","",H1939)</f>
        <v/>
      </c>
      <c r="C1939" s="5" t="str">
        <f>LEFT(F1939,FIND(".",F1939,6))</f>
        <v>Exif.Thumbnail.</v>
      </c>
      <c r="D1939" s="5" t="str">
        <f>VLOOKUP(C1939,PrefixUebersetzung,2,FALSE)</f>
        <v>Exif.Vorschaubild.</v>
      </c>
      <c r="E1939" s="5" t="str">
        <f>MID(F1939,FIND(".",F1939,6)+1,99)</f>
        <v>ProfileEmbedPolicy</v>
      </c>
      <c r="F1939" s="2" t="s">
        <v>8196</v>
      </c>
      <c r="G1939" s="5" t="s">
        <v>9667</v>
      </c>
      <c r="H1939" s="3" t="s">
        <v>2453</v>
      </c>
      <c r="I1939" s="7"/>
      <c r="J1939" s="8"/>
      <c r="K1939" s="26"/>
      <c r="L1939" s="6" t="str">
        <f>IFERROR(VLOOKUP(E1939,A:I,9, FALSE),"")</f>
        <v/>
      </c>
      <c r="M1939" s="6" t="str">
        <f>IFERROR(VLOOKUP(H1939,B:J,9,FALSE),"")</f>
        <v>Dieser Tag enthält Informationen über die Nutzungsregeln für das zugeordnete Kamera-Profil.</v>
      </c>
      <c r="N1939" s="6"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xml:space="preserve">Suffix not translated </v>
      </c>
    </row>
    <row r="1940" spans="1:14" ht="165" x14ac:dyDescent="0.25">
      <c r="A1940" s="5" t="str">
        <f>IF(TRIM(I1940)="","",E1940)</f>
        <v/>
      </c>
      <c r="B1940" s="5" t="str">
        <f>IF(TRIM(J1940)="","",H1940)</f>
        <v/>
      </c>
      <c r="C1940" s="5" t="str">
        <f>LEFT(F1940,FIND(".",F1940,6))</f>
        <v>Exif.Thumbnail.</v>
      </c>
      <c r="D1940" s="5" t="str">
        <f>VLOOKUP(C1940,PrefixUebersetzung,2,FALSE)</f>
        <v>Exif.Vorschaubild.</v>
      </c>
      <c r="E1940" s="5" t="str">
        <f>MID(F1940,FIND(".",F1940,6)+1,99)</f>
        <v>ProfileHueSatMapData1</v>
      </c>
      <c r="F1940" s="2" t="s">
        <v>8197</v>
      </c>
      <c r="G1940" s="5" t="s">
        <v>9675</v>
      </c>
      <c r="H1940" s="3" t="s">
        <v>2454</v>
      </c>
      <c r="I1940" s="7"/>
      <c r="J1940" s="8"/>
      <c r="K1940" s="26"/>
      <c r="L1940" s="6" t="str">
        <f>IFERROR(VLOOKUP(E1940,A:I,9, FALSE),"")</f>
        <v/>
      </c>
      <c r="M1940" s="6" t="str">
        <f>IFERROR(INDEX(J:J,MATCH(TRUE,INDEX(B:B=H1940,0),0)),"")</f>
        <v/>
      </c>
      <c r="N1940" s="6"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xml:space="preserve">Suffix not translated Description not translated </v>
      </c>
    </row>
    <row r="1941" spans="1:14" ht="165" x14ac:dyDescent="0.25">
      <c r="A1941" s="5" t="str">
        <f>IF(TRIM(I1941)="","",E1941)</f>
        <v/>
      </c>
      <c r="B1941" s="5" t="str">
        <f>IF(TRIM(J1941)="","",H1941)</f>
        <v/>
      </c>
      <c r="C1941" s="5" t="str">
        <f>LEFT(F1941,FIND(".",F1941,6))</f>
        <v>Exif.Thumbnail.</v>
      </c>
      <c r="D1941" s="5" t="str">
        <f>VLOOKUP(C1941,PrefixUebersetzung,2,FALSE)</f>
        <v>Exif.Vorschaubild.</v>
      </c>
      <c r="E1941" s="5" t="str">
        <f>MID(F1941,FIND(".",F1941,6)+1,99)</f>
        <v>ProfileHueSatMapData2</v>
      </c>
      <c r="F1941" s="2" t="s">
        <v>8198</v>
      </c>
      <c r="G1941" s="5" t="s">
        <v>9675</v>
      </c>
      <c r="H1941" s="3" t="s">
        <v>2455</v>
      </c>
      <c r="I1941" s="7"/>
      <c r="J1941" s="8"/>
      <c r="K1941" s="26"/>
      <c r="L1941" s="6" t="str">
        <f>IFERROR(VLOOKUP(E1941,A:I,9, FALSE),"")</f>
        <v/>
      </c>
      <c r="M1941" s="6" t="str">
        <f>IFERROR(INDEX(J:J,MATCH(TRUE,INDEX(B:B=H1941,0),0)),"")</f>
        <v/>
      </c>
      <c r="N1941" s="6"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xml:space="preserve">Suffix not translated Description not translated </v>
      </c>
    </row>
    <row r="1942" spans="1:14" ht="105" x14ac:dyDescent="0.25">
      <c r="A1942" s="5" t="str">
        <f>IF(TRIM(I1942)="","",E1942)</f>
        <v/>
      </c>
      <c r="B1942" s="5" t="str">
        <f>IF(TRIM(J1942)="","",H1942)</f>
        <v/>
      </c>
      <c r="C1942" s="5" t="str">
        <f>LEFT(F1942,FIND(".",F1942,6))</f>
        <v>Exif.Thumbnail.</v>
      </c>
      <c r="D1942" s="5" t="str">
        <f>VLOOKUP(C1942,PrefixUebersetzung,2,FALSE)</f>
        <v>Exif.Vorschaubild.</v>
      </c>
      <c r="E1942" s="5" t="str">
        <f>MID(F1942,FIND(".",F1942,6)+1,99)</f>
        <v>ProfileHueSatMapDims</v>
      </c>
      <c r="F1942" s="2" t="s">
        <v>8199</v>
      </c>
      <c r="G1942" s="5" t="s">
        <v>9667</v>
      </c>
      <c r="H1942" s="3" t="s">
        <v>2456</v>
      </c>
      <c r="I1942" s="7"/>
      <c r="J1942" s="8"/>
      <c r="K1942" s="26"/>
      <c r="L1942" s="6" t="str">
        <f>IFERROR(VLOOKUP(E1942,A:I,9, FALSE),"")</f>
        <v/>
      </c>
      <c r="M1942" s="6" t="str">
        <f>IFERROR(INDEX(J:J,MATCH(TRUE,INDEX(B:B=H1942,0),0)),"")</f>
        <v/>
      </c>
      <c r="N1942" s="6"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xml:space="preserve">Suffix not translated Description not translated </v>
      </c>
    </row>
    <row r="1943" spans="1:14" ht="255" x14ac:dyDescent="0.25">
      <c r="A1943" s="5" t="str">
        <f>IF(TRIM(I1943)="","",E1943)</f>
        <v/>
      </c>
      <c r="B1943" s="5" t="str">
        <f>IF(TRIM(J1943)="","",H1943)</f>
        <v/>
      </c>
      <c r="C1943" s="5" t="str">
        <f>LEFT(F1943,FIND(".",F1943,6))</f>
        <v>Exif.Thumbnail.</v>
      </c>
      <c r="D1943" s="5" t="str">
        <f>VLOOKUP(C1943,PrefixUebersetzung,2,FALSE)</f>
        <v>Exif.Vorschaubild.</v>
      </c>
      <c r="E1943" s="5" t="str">
        <f>MID(F1943,FIND(".",F1943,6)+1,99)</f>
        <v>ProfileLookTableData</v>
      </c>
      <c r="F1943" s="2" t="s">
        <v>8200</v>
      </c>
      <c r="G1943" s="5" t="s">
        <v>9675</v>
      </c>
      <c r="H1943" s="3" t="s">
        <v>2457</v>
      </c>
      <c r="I1943" s="7"/>
      <c r="J1943" s="8"/>
      <c r="K1943" s="26"/>
      <c r="L1943" s="6" t="str">
        <f>IFERROR(VLOOKUP(E1943,A:I,9, FALSE),"")</f>
        <v/>
      </c>
      <c r="M1943" s="6" t="str">
        <f>IFERROR(INDEX(J:J,MATCH(TRUE,INDEX(B:B=H1943,0),0)),"")</f>
        <v/>
      </c>
      <c r="N1943" s="6"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xml:space="preserve">Suffix not translated Description not translated </v>
      </c>
    </row>
    <row r="1944" spans="1:14" ht="45" x14ac:dyDescent="0.25">
      <c r="A1944" s="5" t="str">
        <f>IF(TRIM(I1944)="","",E1944)</f>
        <v/>
      </c>
      <c r="B1944" s="5" t="str">
        <f>IF(TRIM(J1944)="","",H1944)</f>
        <v/>
      </c>
      <c r="C1944" s="5" t="str">
        <f>LEFT(F1944,FIND(".",F1944,6))</f>
        <v>Exif.Thumbnail.</v>
      </c>
      <c r="D1944" s="5" t="str">
        <f>VLOOKUP(C1944,PrefixUebersetzung,2,FALSE)</f>
        <v>Exif.Vorschaubild.</v>
      </c>
      <c r="E1944" s="5" t="str">
        <f>MID(F1944,FIND(".",F1944,6)+1,99)</f>
        <v>ProfileLookTableDims</v>
      </c>
      <c r="F1944" s="2" t="s">
        <v>8201</v>
      </c>
      <c r="G1944" s="5" t="s">
        <v>9667</v>
      </c>
      <c r="H1944" s="3" t="s">
        <v>2458</v>
      </c>
      <c r="I1944" s="7"/>
      <c r="J1944" s="8"/>
      <c r="K1944" s="26"/>
      <c r="L1944" s="6" t="str">
        <f>IFERROR(VLOOKUP(E1944,A:I,9, FALSE),"")</f>
        <v/>
      </c>
      <c r="M1944" s="6" t="str">
        <f>IFERROR(VLOOKUP(H1944,B:J,9,FALSE),"")</f>
        <v/>
      </c>
      <c r="N1944" s="6"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xml:space="preserve">Suffix not translated Description not translated </v>
      </c>
    </row>
    <row r="1945" spans="1:14" ht="120" x14ac:dyDescent="0.25">
      <c r="A1945" s="5" t="str">
        <f>IF(TRIM(I1945)="","",E1945)</f>
        <v/>
      </c>
      <c r="B1945" s="5" t="str">
        <f>IF(TRIM(J1945)="","",H1945)</f>
        <v/>
      </c>
      <c r="C1945" s="5" t="str">
        <f>LEFT(F1945,FIND(".",F1945,6))</f>
        <v>Exif.Thumbnail.</v>
      </c>
      <c r="D1945" s="5" t="str">
        <f>VLOOKUP(C1945,PrefixUebersetzung,2,FALSE)</f>
        <v>Exif.Vorschaubild.</v>
      </c>
      <c r="E1945" s="5" t="str">
        <f>MID(F1945,FIND(".",F1945,6)+1,99)</f>
        <v>ProfileName</v>
      </c>
      <c r="F1945" s="2" t="s">
        <v>8202</v>
      </c>
      <c r="G1945" s="5" t="s">
        <v>9670</v>
      </c>
      <c r="H1945" s="3" t="s">
        <v>2459</v>
      </c>
      <c r="I1945" s="7"/>
      <c r="J1945" s="8"/>
      <c r="K1945" s="26"/>
      <c r="L1945" s="6" t="str">
        <f>IFERROR(VLOOKUP(E1945,A:I,9, FALSE),"")</f>
        <v>Profil Name</v>
      </c>
      <c r="M1945" s="6" t="str">
        <f>IFERROR(VLOOKUP(H1945,B:J,9,FALSE),"")</f>
        <v>Ein UTF-8-codierte Zeichenfolge mit dem Namen des Kamera-Profils. Dieses Tag ist optional, wenn nur ein einziges Kamera Profil in der Datei gespeichert ist. Es ist erforderlich für alle Kamera-Profile, wenn mehr als ein Kamera-Profil in der Datei gespeichert ist.</v>
      </c>
      <c r="N1945" s="6"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row>
    <row r="1946" spans="1:14" ht="225" x14ac:dyDescent="0.25">
      <c r="A1946" s="5" t="str">
        <f>IF(TRIM(I1946)="","",E1946)</f>
        <v/>
      </c>
      <c r="B1946" s="5" t="str">
        <f>IF(TRIM(J1946)="","",H1946)</f>
        <v/>
      </c>
      <c r="C1946" s="5" t="str">
        <f>LEFT(F1946,FIND(".",F1946,6))</f>
        <v>Exif.Thumbnail.</v>
      </c>
      <c r="D1946" s="5" t="str">
        <f>VLOOKUP(C1946,PrefixUebersetzung,2,FALSE)</f>
        <v>Exif.Vorschaubild.</v>
      </c>
      <c r="E1946" s="5" t="str">
        <f>MID(F1946,FIND(".",F1946,6)+1,99)</f>
        <v>ProfileToneCurve</v>
      </c>
      <c r="F1946" s="2" t="s">
        <v>8203</v>
      </c>
      <c r="G1946" s="5" t="s">
        <v>9675</v>
      </c>
      <c r="H1946" s="3" t="s">
        <v>2460</v>
      </c>
      <c r="I1946" s="7"/>
      <c r="J1946" s="8"/>
      <c r="K1946" s="26"/>
      <c r="L1946" s="6" t="str">
        <f>IFERROR(VLOOKUP(E1946,A:I,9, FALSE),"")</f>
        <v>Profil Tonkurve</v>
      </c>
      <c r="M1946" s="6" t="str">
        <f>IFERROR(INDEX(J:J,MATCH(TRUE,INDEX(B:B=H1946,0),0)),"")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1946" s="6"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row>
    <row r="1947" spans="1:14" ht="30" x14ac:dyDescent="0.25">
      <c r="A1947" s="5" t="str">
        <f>IF(TRIM(I1947)="","",E1947)</f>
        <v/>
      </c>
      <c r="B1947" s="5" t="str">
        <f>IF(TRIM(J1947)="","",H1947)</f>
        <v/>
      </c>
      <c r="C1947" s="5" t="str">
        <f>LEFT(F1947,FIND(".",F1947,6))</f>
        <v>Exif.Thumbnail.</v>
      </c>
      <c r="D1947" s="5" t="str">
        <f>VLOOKUP(C1947,PrefixUebersetzung,2,FALSE)</f>
        <v>Exif.Vorschaubild.</v>
      </c>
      <c r="E1947" s="5" t="str">
        <f>MID(F1947,FIND(".",F1947,6)+1,99)</f>
        <v>Rating</v>
      </c>
      <c r="F1947" s="2" t="s">
        <v>8204</v>
      </c>
      <c r="G1947" s="5" t="s">
        <v>9664</v>
      </c>
      <c r="H1947" s="3" t="s">
        <v>2461</v>
      </c>
      <c r="I1947" s="7"/>
      <c r="J1947" s="8"/>
      <c r="K1947" s="26"/>
      <c r="L1947" s="6" t="str">
        <f>IFERROR(VLOOKUP(E1947,A:I,9, FALSE),"")</f>
        <v>Bewertung</v>
      </c>
      <c r="M1947" s="6" t="str">
        <f>IFERROR(VLOOKUP(H1947,B:J,9,FALSE),"")</f>
        <v>Bewertungs-Tag, verwendet von Windows</v>
      </c>
      <c r="N1947" s="6"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row>
    <row r="1948" spans="1:14" ht="30" x14ac:dyDescent="0.25">
      <c r="A1948" s="5" t="str">
        <f>IF(TRIM(I1948)="","",E1948)</f>
        <v/>
      </c>
      <c r="B1948" s="5" t="str">
        <f>IF(TRIM(J1948)="","",H1948)</f>
        <v/>
      </c>
      <c r="C1948" s="5" t="str">
        <f>LEFT(F1948,FIND(".",F1948,6))</f>
        <v>Exif.Thumbnail.</v>
      </c>
      <c r="D1948" s="5" t="str">
        <f>VLOOKUP(C1948,PrefixUebersetzung,2,FALSE)</f>
        <v>Exif.Vorschaubild.</v>
      </c>
      <c r="E1948" s="5" t="str">
        <f>MID(F1948,FIND(".",F1948,6)+1,99)</f>
        <v>RatingPercent</v>
      </c>
      <c r="F1948" s="2" t="s">
        <v>8205</v>
      </c>
      <c r="G1948" s="5" t="s">
        <v>9664</v>
      </c>
      <c r="H1948" s="3" t="s">
        <v>2462</v>
      </c>
      <c r="I1948" s="7"/>
      <c r="J1948" s="8"/>
      <c r="K1948" s="26"/>
      <c r="L1948" s="6" t="str">
        <f>IFERROR(VLOOKUP(E1948,A:I,9, FALSE),"")</f>
        <v>Bewertung Prozent</v>
      </c>
      <c r="M1948" s="6" t="str">
        <f>IFERROR(VLOOKUP(H1948,B:J,9,FALSE),"")</f>
        <v>Bewertungs-Tag, verwendet von Windows, Wert in Prozent</v>
      </c>
      <c r="N1948" s="6"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row>
    <row r="1949" spans="1:14" ht="120" x14ac:dyDescent="0.25">
      <c r="A1949" s="5" t="str">
        <f>IF(TRIM(I1949)="","",E1949)</f>
        <v/>
      </c>
      <c r="B1949" s="5" t="str">
        <f>IF(TRIM(J1949)="","",H1949)</f>
        <v/>
      </c>
      <c r="C1949" s="5" t="str">
        <f>LEFT(F1949,FIND(".",F1949,6))</f>
        <v>Exif.Thumbnail.</v>
      </c>
      <c r="D1949" s="5" t="str">
        <f>VLOOKUP(C1949,PrefixUebersetzung,2,FALSE)</f>
        <v>Exif.Vorschaubild.</v>
      </c>
      <c r="E1949" s="5" t="str">
        <f>MID(F1949,FIND(".",F1949,6)+1,99)</f>
        <v>RawDataUniqueID</v>
      </c>
      <c r="F1949" s="2" t="s">
        <v>8206</v>
      </c>
      <c r="G1949" s="5" t="s">
        <v>9670</v>
      </c>
      <c r="H1949" s="3" t="s">
        <v>2463</v>
      </c>
      <c r="I1949" s="7"/>
      <c r="J1949" s="8"/>
      <c r="K1949" s="26"/>
      <c r="L1949" s="6" t="str">
        <f>IFERROR(VLOOKUP(E1949,A:I,9, FALSE),"")</f>
        <v/>
      </c>
      <c r="M1949" s="6" t="str">
        <f>IFERROR(INDEX(J:J,MATCH(TRUE,INDEX(B:B=H1949,0),0)),"")</f>
        <v/>
      </c>
      <c r="N1949" s="6"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xml:space="preserve">Suffix not translated Description not translated </v>
      </c>
    </row>
    <row r="1950" spans="1:14" ht="90" x14ac:dyDescent="0.25">
      <c r="A1950" s="5" t="str">
        <f>IF(TRIM(I1950)="","",E1950)</f>
        <v/>
      </c>
      <c r="B1950" s="5" t="str">
        <f>IF(TRIM(J1950)="","",H1950)</f>
        <v/>
      </c>
      <c r="C1950" s="5" t="str">
        <f>LEFT(F1950,FIND(".",F1950,6))</f>
        <v>Exif.Thumbnail.</v>
      </c>
      <c r="D1950" s="5" t="str">
        <f>VLOOKUP(C1950,PrefixUebersetzung,2,FALSE)</f>
        <v>Exif.Vorschaubild.</v>
      </c>
      <c r="E1950" s="5" t="str">
        <f>MID(F1950,FIND(".",F1950,6)+1,99)</f>
        <v>RawImageDigest</v>
      </c>
      <c r="F1950" s="2" t="s">
        <v>8207</v>
      </c>
      <c r="G1950" s="5" t="s">
        <v>9669</v>
      </c>
      <c r="H1950" s="3" t="s">
        <v>2464</v>
      </c>
      <c r="I1950" s="7"/>
      <c r="J1950" s="8"/>
      <c r="K1950" s="26"/>
      <c r="L1950" s="6" t="str">
        <f>IFERROR(VLOOKUP(E1950,A:I,9, FALSE),"")</f>
        <v/>
      </c>
      <c r="M1950" s="6" t="str">
        <f>IFERROR(INDEX(J:J,MATCH(TRUE,INDEX(B:B=H1950,0),0)),"")</f>
        <v/>
      </c>
      <c r="N1950" s="6"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xml:space="preserve">Suffix not translated Description not translated </v>
      </c>
    </row>
    <row r="1951" spans="1:14" ht="90" x14ac:dyDescent="0.25">
      <c r="A1951" s="5" t="str">
        <f>IF(TRIM(I1951)="","",E1951)</f>
        <v/>
      </c>
      <c r="B1951" s="5" t="str">
        <f>IF(TRIM(J1951)="","",H1951)</f>
        <v/>
      </c>
      <c r="C1951" s="5" t="str">
        <f>LEFT(F1951,FIND(".",F1951,6))</f>
        <v>Exif.Thumbnail.</v>
      </c>
      <c r="D1951" s="5" t="str">
        <f>VLOOKUP(C1951,PrefixUebersetzung,2,FALSE)</f>
        <v>Exif.Vorschaubild.</v>
      </c>
      <c r="E1951" s="5" t="str">
        <f>MID(F1951,FIND(".",F1951,6)+1,99)</f>
        <v>ReductionMatrix1</v>
      </c>
      <c r="F1951" s="2" t="s">
        <v>8208</v>
      </c>
      <c r="G1951" s="5" t="s">
        <v>9672</v>
      </c>
      <c r="H1951" s="3" t="s">
        <v>2465</v>
      </c>
      <c r="I1951" s="7"/>
      <c r="J1951" s="8"/>
      <c r="K1951" s="26"/>
      <c r="L1951" s="6" t="str">
        <f>IFERROR(VLOOKUP(E1951,A:I,9, FALSE),"")</f>
        <v>Reduktionsmatrix 1</v>
      </c>
      <c r="M1951" s="6" t="str">
        <f>IFERROR(INDEX(J:J,MATCH(TRUE,INDEX(B:B=H1951,0),0)),"")</f>
        <v/>
      </c>
      <c r="N1951" s="6"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xml:space="preserve">Description not translated </v>
      </c>
    </row>
    <row r="1952" spans="1:14" ht="90" x14ac:dyDescent="0.25">
      <c r="A1952" s="5" t="str">
        <f>IF(TRIM(I1952)="","",E1952)</f>
        <v/>
      </c>
      <c r="B1952" s="5" t="str">
        <f>IF(TRIM(J1952)="","",H1952)</f>
        <v/>
      </c>
      <c r="C1952" s="5" t="str">
        <f>LEFT(F1952,FIND(".",F1952,6))</f>
        <v>Exif.Thumbnail.</v>
      </c>
      <c r="D1952" s="5" t="str">
        <f>VLOOKUP(C1952,PrefixUebersetzung,2,FALSE)</f>
        <v>Exif.Vorschaubild.</v>
      </c>
      <c r="E1952" s="5" t="str">
        <f>MID(F1952,FIND(".",F1952,6)+1,99)</f>
        <v>ReductionMatrix2</v>
      </c>
      <c r="F1952" s="2" t="s">
        <v>8209</v>
      </c>
      <c r="G1952" s="5" t="s">
        <v>9672</v>
      </c>
      <c r="H1952" s="3" t="s">
        <v>2466</v>
      </c>
      <c r="I1952" s="7"/>
      <c r="J1952" s="8"/>
      <c r="K1952" s="26"/>
      <c r="L1952" s="6" t="str">
        <f>IFERROR(VLOOKUP(E1952,A:I,9, FALSE),"")</f>
        <v>Reduktionsmatrix 2</v>
      </c>
      <c r="M1952" s="6" t="str">
        <f>IFERROR(INDEX(J:J,MATCH(TRUE,INDEX(B:B=H1952,0),0)),"")</f>
        <v/>
      </c>
      <c r="N1952" s="6"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xml:space="preserve">Description not translated </v>
      </c>
    </row>
    <row r="1953" spans="1:14" ht="120" x14ac:dyDescent="0.25">
      <c r="A1953" s="5" t="str">
        <f>IF(TRIM(I1953)="","",E1953)</f>
        <v/>
      </c>
      <c r="B1953" s="5" t="str">
        <f>IF(TRIM(J1953)="","",H1953)</f>
        <v/>
      </c>
      <c r="C1953" s="5" t="str">
        <f>LEFT(F1953,FIND(".",F1953,6))</f>
        <v>Exif.Thumbnail.</v>
      </c>
      <c r="D1953" s="5" t="str">
        <f>VLOOKUP(C1953,PrefixUebersetzung,2,FALSE)</f>
        <v>Exif.Vorschaubild.</v>
      </c>
      <c r="E1953" s="5" t="str">
        <f>MID(F1953,FIND(".",F1953,6)+1,99)</f>
        <v>ReelName</v>
      </c>
      <c r="F1953" s="2" t="s">
        <v>8210</v>
      </c>
      <c r="G1953" s="5" t="s">
        <v>9666</v>
      </c>
      <c r="H1953" s="3" t="s">
        <v>8006</v>
      </c>
      <c r="I1953" s="7"/>
      <c r="J1953" s="8"/>
      <c r="K1953" s="26"/>
      <c r="L1953" s="6" t="str">
        <f>IFERROR(VLOOKUP(E1953,A:I,9, FALSE),"")</f>
        <v>ReelName</v>
      </c>
      <c r="M1953" s="6" t="str">
        <f>IFERROR(VLOOKUP(H1953,B:J,9,FALSE),"")</f>
        <v>Das optionale ReelName-Tag muss einen Namen für eine Bildsequenz angeben, wobei jedes Bild in der Sequenz eine eindeutige Bildkennung aufweist (einschließlich, aber nicht beschränkt auf Dateiname, Bildnummer, Datum, Uhrzeit, Zeitcode).</v>
      </c>
      <c r="N1953" s="6"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ht="105" x14ac:dyDescent="0.25">
      <c r="A1954" s="5" t="str">
        <f>IF(TRIM(I1954)="","",E1954)</f>
        <v/>
      </c>
      <c r="B1954" s="5" t="str">
        <f>IF(TRIM(J1954)="","",H1954)</f>
        <v/>
      </c>
      <c r="C1954" s="5" t="str">
        <f>LEFT(F1954,FIND(".",F1954,6))</f>
        <v>Exif.Thumbnail.</v>
      </c>
      <c r="D1954" s="5" t="str">
        <f>VLOOKUP(C1954,PrefixUebersetzung,2,FALSE)</f>
        <v>Exif.Vorschaubild.</v>
      </c>
      <c r="E1954" s="5" t="str">
        <f>MID(F1954,FIND(".",F1954,6)+1,99)</f>
        <v>ReferenceBlackWhite</v>
      </c>
      <c r="F1954" s="2" t="s">
        <v>8211</v>
      </c>
      <c r="G1954" s="5" t="s">
        <v>9671</v>
      </c>
      <c r="H1954" s="3" t="s">
        <v>2467</v>
      </c>
      <c r="I1954" s="5"/>
      <c r="J1954" s="8"/>
      <c r="K1954" s="26"/>
      <c r="L1954" s="6" t="str">
        <f>IFERROR(VLOOKUP(E1954,A:I,9, FALSE),"")</f>
        <v>Referenz Schwarz/Weiß</v>
      </c>
      <c r="M1954" s="6" t="str">
        <f>IFERROR(INDEX(J:J,MATCH(TRUE,INDEX(B:B=H1954,0),0)),"")</f>
        <v/>
      </c>
      <c r="N1954" s="6"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xml:space="preserve">Description not translated </v>
      </c>
    </row>
    <row r="1955" spans="1:14" ht="105" x14ac:dyDescent="0.25">
      <c r="A1955" s="5" t="str">
        <f>IF(TRIM(I1955)="","",E1955)</f>
        <v/>
      </c>
      <c r="B1955" s="5" t="str">
        <f>IF(TRIM(J1955)="","",H1955)</f>
        <v/>
      </c>
      <c r="C1955" s="5" t="str">
        <f>LEFT(F1955,FIND(".",F1955,6))</f>
        <v>Exif.Thumbnail.</v>
      </c>
      <c r="D1955" s="5" t="str">
        <f>VLOOKUP(C1955,PrefixUebersetzung,2,FALSE)</f>
        <v>Exif.Vorschaubild.</v>
      </c>
      <c r="E1955" s="5" t="str">
        <f>MID(F1955,FIND(".",F1955,6)+1,99)</f>
        <v>ResolutionUnit</v>
      </c>
      <c r="F1955" s="2" t="s">
        <v>8212</v>
      </c>
      <c r="G1955" s="5" t="s">
        <v>9664</v>
      </c>
      <c r="H1955" s="3" t="s">
        <v>2468</v>
      </c>
      <c r="I1955" s="7"/>
      <c r="J1955" s="8"/>
      <c r="K1955" s="26"/>
      <c r="L1955" s="6" t="str">
        <f>IFERROR(VLOOKUP(E1955,A:I,9, FALSE),"")</f>
        <v>Auflösung Einheit</v>
      </c>
      <c r="M1955" s="6" t="str">
        <f>IFERROR(VLOOKUP(H1955,B:J,9,FALSE),"")</f>
        <v>Die Einheit zur Messung von &lt;XResolution&gt; und &lt;YResolution&gt;. Die gleiche Einheit wird sowohl für &lt;XResolution&gt; als auch für &lt;YResolution&gt; verwendet. Wenn die Bildauflösung unbekannt ist, wird 2 (=Zoll) zugewiesen.</v>
      </c>
      <c r="N1955" s="6"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ht="75" x14ac:dyDescent="0.25">
      <c r="A1956" s="5" t="str">
        <f>IF(TRIM(I1956)="","",E1956)</f>
        <v/>
      </c>
      <c r="B1956" s="5" t="str">
        <f>IF(TRIM(J1956)="","",H1956)</f>
        <v/>
      </c>
      <c r="C1956" s="5" t="str">
        <f>LEFT(F1956,FIND(".",F1956,6))</f>
        <v>Exif.Thumbnail.</v>
      </c>
      <c r="D1956" s="5" t="str">
        <f>VLOOKUP(C1956,PrefixUebersetzung,2,FALSE)</f>
        <v>Exif.Vorschaubild.</v>
      </c>
      <c r="E1956" s="5" t="str">
        <f>MID(F1956,FIND(".",F1956,6)+1,99)</f>
        <v>RowInterleaveFactor</v>
      </c>
      <c r="F1956" s="2" t="s">
        <v>8213</v>
      </c>
      <c r="G1956" s="5" t="s">
        <v>9667</v>
      </c>
      <c r="H1956" s="3" t="s">
        <v>2469</v>
      </c>
      <c r="I1956" s="7"/>
      <c r="J1956" s="8"/>
      <c r="K1956" s="26"/>
      <c r="L1956" s="6" t="str">
        <f>IFERROR(VLOOKUP(E1956,A:I,9, FALSE),"")</f>
        <v/>
      </c>
      <c r="M1956" s="6" t="str">
        <f>IFERROR(VLOOKUP(H1956,B:J,9,FALSE),"")</f>
        <v/>
      </c>
      <c r="N1956" s="6"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xml:space="preserve">Suffix not translated Description not translated </v>
      </c>
    </row>
    <row r="1957" spans="1:14" ht="120" x14ac:dyDescent="0.25">
      <c r="A1957" s="5" t="str">
        <f>IF(TRIM(I1957)="","",E1957)</f>
        <v/>
      </c>
      <c r="B1957" s="5" t="str">
        <f>IF(TRIM(J1957)="","",H1957)</f>
        <v/>
      </c>
      <c r="C1957" s="5" t="str">
        <f>LEFT(F1957,FIND(".",F1957,6))</f>
        <v>Exif.Thumbnail.</v>
      </c>
      <c r="D1957" s="5" t="str">
        <f>VLOOKUP(C1957,PrefixUebersetzung,2,FALSE)</f>
        <v>Exif.Vorschaubild.</v>
      </c>
      <c r="E1957" s="5" t="str">
        <f>MID(F1957,FIND(".",F1957,6)+1,99)</f>
        <v>RowsPerStrip</v>
      </c>
      <c r="F1957" s="2" t="s">
        <v>8214</v>
      </c>
      <c r="G1957" s="5" t="s">
        <v>9667</v>
      </c>
      <c r="H1957" s="3" t="s">
        <v>2470</v>
      </c>
      <c r="I1957" s="7"/>
      <c r="J1957" s="8"/>
      <c r="K1957" s="26"/>
      <c r="L1957" s="6" t="str">
        <f>IFERROR(VLOOKUP(E1957,A:I,9, FALSE),"")</f>
        <v>Zeilen pro Streifen</v>
      </c>
      <c r="M1957" s="6" t="str">
        <f>IFERROR(VLOOKUP(H1957,B:J,9,FALSE),"")</f>
        <v>Die Anzahl der Zeilen pro Streifen. Dies ist die Anzahl der Zeilen im Bild eines Streifens, wenn ein Bild in Streifen unterteilt ist. Bei JPEG-komprimierten Daten ist dies nicht erforderlich und wird weggelassen. Siehe auch &lt;StripOffsets&gt; und &lt;StripByteCounts&gt;.</v>
      </c>
      <c r="N1957" s="6"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row>
    <row r="1958" spans="1:14" ht="30" x14ac:dyDescent="0.25">
      <c r="A1958" s="5" t="str">
        <f>IF(TRIM(I1958)="","",E1958)</f>
        <v/>
      </c>
      <c r="B1958" s="5" t="str">
        <f>IF(TRIM(J1958)="","",H1958)</f>
        <v/>
      </c>
      <c r="C1958" s="5" t="str">
        <f>LEFT(F1958,FIND(".",F1958,6))</f>
        <v>Exif.Thumbnail.</v>
      </c>
      <c r="D1958" s="5" t="str">
        <f>VLOOKUP(C1958,PrefixUebersetzung,2,FALSE)</f>
        <v>Exif.Vorschaubild.</v>
      </c>
      <c r="E1958" s="5" t="str">
        <f>MID(F1958,FIND(".",F1958,6)+1,99)</f>
        <v>SampleFormat</v>
      </c>
      <c r="F1958" s="2" t="s">
        <v>8215</v>
      </c>
      <c r="G1958" s="5" t="s">
        <v>9664</v>
      </c>
      <c r="H1958" s="3" t="s">
        <v>2471</v>
      </c>
      <c r="I1958" s="7"/>
      <c r="J1958" s="8"/>
      <c r="K1958" s="26"/>
      <c r="L1958" s="6" t="str">
        <f>IFERROR(VLOOKUP(E1958,A:I,9, FALSE),"")</f>
        <v/>
      </c>
      <c r="M1958" s="6" t="str">
        <f>IFERROR(VLOOKUP(H1958,B:J,9,FALSE),"")</f>
        <v/>
      </c>
      <c r="N1958" s="6"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xml:space="preserve">Suffix not translated Description not translated </v>
      </c>
    </row>
    <row r="1959" spans="1:14" ht="60" x14ac:dyDescent="0.25">
      <c r="A1959" s="5" t="str">
        <f>IF(TRIM(I1959)="","",E1959)</f>
        <v/>
      </c>
      <c r="B1959" s="5" t="str">
        <f>IF(TRIM(J1959)="","",H1959)</f>
        <v/>
      </c>
      <c r="C1959" s="5" t="str">
        <f>LEFT(F1959,FIND(".",F1959,6))</f>
        <v>Exif.Thumbnail.</v>
      </c>
      <c r="D1959" s="5" t="str">
        <f>VLOOKUP(C1959,PrefixUebersetzung,2,FALSE)</f>
        <v>Exif.Vorschaubild.</v>
      </c>
      <c r="E1959" s="5" t="str">
        <f>MID(F1959,FIND(".",F1959,6)+1,99)</f>
        <v>SamplesPerPixel</v>
      </c>
      <c r="F1959" s="2" t="s">
        <v>8216</v>
      </c>
      <c r="G1959" s="5" t="s">
        <v>9664</v>
      </c>
      <c r="H1959" s="3" t="s">
        <v>2472</v>
      </c>
      <c r="I1959" s="7"/>
      <c r="J1959" s="8"/>
      <c r="K1959" s="26"/>
      <c r="L1959" s="6" t="str">
        <f>IFERROR(VLOOKUP(E1959,A:I,9, FALSE),"")</f>
        <v/>
      </c>
      <c r="M1959" s="6" t="str">
        <f>IFERROR(VLOOKUP(H1959,B:J,9,FALSE),"")</f>
        <v/>
      </c>
      <c r="N1959" s="6"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xml:space="preserve">Suffix not translated Description not translated </v>
      </c>
    </row>
    <row r="1960" spans="1:14" ht="30" x14ac:dyDescent="0.25">
      <c r="A1960" s="5" t="str">
        <f>IF(TRIM(I1960)="","",E1960)</f>
        <v/>
      </c>
      <c r="B1960" s="5" t="str">
        <f>IF(TRIM(J1960)="","",H1960)</f>
        <v/>
      </c>
      <c r="C1960" s="5" t="str">
        <f>LEFT(F1960,FIND(".",F1960,6))</f>
        <v>Exif.Thumbnail.</v>
      </c>
      <c r="D1960" s="5" t="str">
        <f>VLOOKUP(C1960,PrefixUebersetzung,2,FALSE)</f>
        <v>Exif.Vorschaubild.</v>
      </c>
      <c r="E1960" s="5" t="str">
        <f>MID(F1960,FIND(".",F1960,6)+1,99)</f>
        <v>SecurityClassification</v>
      </c>
      <c r="F1960" s="2" t="s">
        <v>8217</v>
      </c>
      <c r="G1960" s="5" t="s">
        <v>9666</v>
      </c>
      <c r="H1960" s="3" t="s">
        <v>2473</v>
      </c>
      <c r="I1960" s="7"/>
      <c r="J1960" s="8"/>
      <c r="K1960" s="26"/>
      <c r="L1960" s="6" t="str">
        <f>IFERROR(VLOOKUP(E1960,A:I,9, FALSE),"")</f>
        <v>Sicherheits Klassifizierung</v>
      </c>
      <c r="M1960" s="6" t="str">
        <f>IFERROR(VLOOKUP(H1960,B:J,9,FALSE),"")</f>
        <v>Sicherheits-Klassifizierung, die dem Bild zugeordnet ist</v>
      </c>
      <c r="N1960" s="6"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4" ht="45" x14ac:dyDescent="0.25">
      <c r="A1961" s="5" t="str">
        <f>IF(TRIM(I1961)="","",E1961)</f>
        <v/>
      </c>
      <c r="B1961" s="5" t="str">
        <f>IF(TRIM(J1961)="","",H1961)</f>
        <v/>
      </c>
      <c r="C1961" s="5" t="str">
        <f>LEFT(F1961,FIND(".",F1961,6))</f>
        <v>Exif.Thumbnail.</v>
      </c>
      <c r="D1961" s="5" t="str">
        <f>VLOOKUP(C1961,PrefixUebersetzung,2,FALSE)</f>
        <v>Exif.Vorschaubild.</v>
      </c>
      <c r="E1961" s="5" t="str">
        <f>MID(F1961,FIND(".",F1961,6)+1,99)</f>
        <v>SelfTimerMode</v>
      </c>
      <c r="F1961" s="2" t="s">
        <v>8218</v>
      </c>
      <c r="G1961" s="5" t="s">
        <v>9664</v>
      </c>
      <c r="H1961" s="3" t="s">
        <v>2474</v>
      </c>
      <c r="I1961" s="7"/>
      <c r="J1961" s="8"/>
      <c r="K1961" s="26"/>
      <c r="L1961" s="6" t="str">
        <f>IFERROR(VLOOKUP(E1961,A:I,9, FALSE),"")</f>
        <v>Selbstauslösermodus</v>
      </c>
      <c r="M1961" s="6" t="str">
        <f>IFERROR(VLOOKUP(H1961,B:J,9,FALSE),"")</f>
        <v>Anzahl der Sekunden zwischen Betätigen des Auslösers und Bilderfassung.</v>
      </c>
      <c r="N1961" s="6"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x14ac:dyDescent="0.25">
      <c r="A1962" s="5" t="str">
        <f>IF(TRIM(I1962)="","",E1962)</f>
        <v/>
      </c>
      <c r="B1962" s="5" t="str">
        <f>IF(TRIM(J1962)="","",H1962)</f>
        <v/>
      </c>
      <c r="C1962" s="5" t="str">
        <f>LEFT(F1962,FIND(".",F1962,6))</f>
        <v>Exif.Thumbnail.</v>
      </c>
      <c r="D1962" s="5" t="str">
        <f>VLOOKUP(C1962,PrefixUebersetzung,2,FALSE)</f>
        <v>Exif.Vorschaubild.</v>
      </c>
      <c r="E1962" s="5" t="str">
        <f>MID(F1962,FIND(".",F1962,6)+1,99)</f>
        <v>SensingMethod</v>
      </c>
      <c r="F1962" s="2" t="s">
        <v>8219</v>
      </c>
      <c r="G1962" s="5" t="s">
        <v>9664</v>
      </c>
      <c r="H1962" s="3" t="s">
        <v>2475</v>
      </c>
      <c r="I1962" s="7"/>
      <c r="J1962" s="8"/>
      <c r="K1962" s="26"/>
      <c r="L1962" s="6" t="str">
        <f>IFERROR(VLOOKUP(E1962,A:I,9, FALSE),"")</f>
        <v>Bildsensor Typ</v>
      </c>
      <c r="M1962" s="6" t="str">
        <f>IFERROR(VLOOKUP(H1962,B:J,9,FALSE),"")</f>
        <v>Art des Bildsensors.</v>
      </c>
      <c r="N1962" s="6"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ht="60" x14ac:dyDescent="0.25">
      <c r="A1963" s="5" t="str">
        <f>IF(TRIM(I1963)="","",E1963)</f>
        <v/>
      </c>
      <c r="B1963" s="5" t="str">
        <f>IF(TRIM(J1963)="","",H1963)</f>
        <v/>
      </c>
      <c r="C1963" s="5" t="str">
        <f>LEFT(F1963,FIND(".",F1963,6))</f>
        <v>Exif.Thumbnail.</v>
      </c>
      <c r="D1963" s="5" t="str">
        <f>VLOOKUP(C1963,PrefixUebersetzung,2,FALSE)</f>
        <v>Exif.Vorschaubild.</v>
      </c>
      <c r="E1963" s="5" t="str">
        <f>MID(F1963,FIND(".",F1963,6)+1,99)</f>
        <v>ShadowScale</v>
      </c>
      <c r="F1963" s="2" t="s">
        <v>8220</v>
      </c>
      <c r="G1963" s="5" t="s">
        <v>9672</v>
      </c>
      <c r="H1963" s="3" t="s">
        <v>2476</v>
      </c>
      <c r="I1963" s="7"/>
      <c r="J1963" s="8"/>
      <c r="K1963" s="26"/>
      <c r="L1963" s="6" t="str">
        <f>IFERROR(VLOOKUP(E1963,A:I,9, FALSE),"")</f>
        <v>Schatten Skalierung</v>
      </c>
      <c r="M1963" s="6" t="str">
        <f>IFERROR(VLOOKUP(H1963,B:J,9,FALSE),"")</f>
        <v>Dieser Tag wird von Adobe Camera Raw verwendet, um die Empfindlichkeit der "Shadows" Schieberegler zu steuern.</v>
      </c>
      <c r="N1963" s="6"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c>
    </row>
    <row r="1964" spans="1:14" x14ac:dyDescent="0.25">
      <c r="A1964" s="5" t="str">
        <f>IF(TRIM(I1964)="","",E1964)</f>
        <v/>
      </c>
      <c r="B1964" s="5" t="str">
        <f>IF(TRIM(J1964)="","",H1964)</f>
        <v/>
      </c>
      <c r="C1964" s="5" t="str">
        <f>LEFT(F1964,FIND(".",F1964,6))</f>
        <v>Exif.Thumbnail.</v>
      </c>
      <c r="D1964" s="5" t="str">
        <f>VLOOKUP(C1964,PrefixUebersetzung,2,FALSE)</f>
        <v>Exif.Vorschaubild.</v>
      </c>
      <c r="E1964" s="5" t="str">
        <f>MID(F1964,FIND(".",F1964,6)+1,99)</f>
        <v>ShutterSpeedValue</v>
      </c>
      <c r="F1964" s="2" t="s">
        <v>8221</v>
      </c>
      <c r="G1964" s="5" t="s">
        <v>9672</v>
      </c>
      <c r="H1964" s="3" t="s">
        <v>2477</v>
      </c>
      <c r="I1964" s="7"/>
      <c r="J1964" s="8"/>
      <c r="K1964" s="26"/>
      <c r="L1964" s="6" t="str">
        <f>IFERROR(VLOOKUP(E1964,A:I,9, FALSE),"")</f>
        <v>Verschlusszeit</v>
      </c>
      <c r="M1964" s="6" t="str">
        <f>IFERROR(VLOOKUP(H1964,B:J,9,FALSE),"")</f>
        <v>Verschlusszeit</v>
      </c>
      <c r="N1964" s="6"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x14ac:dyDescent="0.25">
      <c r="A1965" s="5" t="str">
        <f>IF(TRIM(I1965)="","",E1965)</f>
        <v/>
      </c>
      <c r="B1965" s="5" t="str">
        <f>IF(TRIM(J1965)="","",H1965)</f>
        <v/>
      </c>
      <c r="C1965" s="5" t="str">
        <f>LEFT(F1965,FIND(".",F1965,6))</f>
        <v>Exif.Thumbnail.</v>
      </c>
      <c r="D1965" s="5" t="str">
        <f>VLOOKUP(C1965,PrefixUebersetzung,2,FALSE)</f>
        <v>Exif.Vorschaubild.</v>
      </c>
      <c r="E1965" s="5" t="str">
        <f>MID(F1965,FIND(".",F1965,6)+1,99)</f>
        <v>SMaxSampleValue</v>
      </c>
      <c r="F1965" s="2" t="s">
        <v>8222</v>
      </c>
      <c r="G1965" s="5" t="s">
        <v>9664</v>
      </c>
      <c r="H1965" s="3" t="s">
        <v>2478</v>
      </c>
      <c r="I1965" s="7"/>
      <c r="J1965" s="8"/>
      <c r="K1965" s="26"/>
      <c r="L1965" s="6" t="str">
        <f>IFERROR(VLOOKUP(E1965,A:I,9, FALSE),"")</f>
        <v/>
      </c>
      <c r="M1965" s="6" t="str">
        <f>IFERROR(VLOOKUP(H1965,B:J,9,FALSE),"")</f>
        <v/>
      </c>
      <c r="N1965" s="6"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xml:space="preserve">Suffix not translated Description not translated </v>
      </c>
    </row>
    <row r="1966" spans="1:14" x14ac:dyDescent="0.25">
      <c r="A1966" s="5" t="str">
        <f>IF(TRIM(I1966)="","",E1966)</f>
        <v/>
      </c>
      <c r="B1966" s="5" t="str">
        <f>IF(TRIM(J1966)="","",H1966)</f>
        <v/>
      </c>
      <c r="C1966" s="5" t="str">
        <f>LEFT(F1966,FIND(".",F1966,6))</f>
        <v>Exif.Thumbnail.</v>
      </c>
      <c r="D1966" s="5" t="str">
        <f>VLOOKUP(C1966,PrefixUebersetzung,2,FALSE)</f>
        <v>Exif.Vorschaubild.</v>
      </c>
      <c r="E1966" s="5" t="str">
        <f>MID(F1966,FIND(".",F1966,6)+1,99)</f>
        <v>SMinSampleValue</v>
      </c>
      <c r="F1966" s="2" t="s">
        <v>8223</v>
      </c>
      <c r="G1966" s="5" t="s">
        <v>9664</v>
      </c>
      <c r="H1966" s="3" t="s">
        <v>2479</v>
      </c>
      <c r="I1966" s="7"/>
      <c r="J1966" s="8"/>
      <c r="K1966" s="26"/>
      <c r="L1966" s="6" t="str">
        <f>IFERROR(VLOOKUP(E1966,A:I,9, FALSE),"")</f>
        <v/>
      </c>
      <c r="M1966" s="6" t="str">
        <f>IFERROR(VLOOKUP(H1966,B:J,9,FALSE),"")</f>
        <v/>
      </c>
      <c r="N1966" s="6"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xml:space="preserve">Suffix not translated Description not translated </v>
      </c>
    </row>
    <row r="1967" spans="1:14" ht="120" x14ac:dyDescent="0.25">
      <c r="A1967" s="5" t="str">
        <f>IF(TRIM(I1967)="","",E1967)</f>
        <v/>
      </c>
      <c r="B1967" s="5" t="str">
        <f>IF(TRIM(J1967)="","",H1967)</f>
        <v/>
      </c>
      <c r="C1967" s="5" t="str">
        <f>LEFT(F1967,FIND(".",F1967,6))</f>
        <v>Exif.Thumbnail.</v>
      </c>
      <c r="D1967" s="5" t="str">
        <f>VLOOKUP(C1967,PrefixUebersetzung,2,FALSE)</f>
        <v>Exif.Vorschaubild.</v>
      </c>
      <c r="E1967" s="5" t="str">
        <f>MID(F1967,FIND(".",F1967,6)+1,99)</f>
        <v>Software</v>
      </c>
      <c r="F1967" s="2" t="s">
        <v>8224</v>
      </c>
      <c r="G1967" s="5" t="s">
        <v>9666</v>
      </c>
      <c r="H1967" s="3" t="s">
        <v>2480</v>
      </c>
      <c r="I1967" s="7"/>
      <c r="J1967" s="8"/>
      <c r="K1967" s="26"/>
      <c r="L1967" s="6" t="str">
        <f>IFERROR(VLOOKUP(E1967,A:I,9, FALSE),"")</f>
        <v>Software</v>
      </c>
      <c r="M1967" s="6" t="str">
        <f>IFERROR(INDEX(J:J,MATCH(TRUE,INDEX(B:B=H1967,0),0)),"")</f>
        <v>Dieses Tag bezeichnet den Namen und die Version der Software oder Firmware der Kamera oder des Bild-Eingabegerätes, das verwendet wurde, um das Bild zu erzeugen. Die detaillierte Format ist nicht festgelegt. Wenn das Feld leer ist, wird es als unbekannt behandelt.</v>
      </c>
      <c r="N1967" s="6"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x14ac:dyDescent="0.25">
      <c r="A1968" s="5" t="str">
        <f>IF(TRIM(I1968)="","",E1968)</f>
        <v/>
      </c>
      <c r="B1968" s="5" t="str">
        <f>IF(TRIM(J1968)="","",H1968)</f>
        <v/>
      </c>
      <c r="C1968" s="5" t="str">
        <f>LEFT(F1968,FIND(".",F1968,6))</f>
        <v>Exif.Thumbnail.</v>
      </c>
      <c r="D1968" s="5" t="str">
        <f>VLOOKUP(C1968,PrefixUebersetzung,2,FALSE)</f>
        <v>Exif.Vorschaubild.</v>
      </c>
      <c r="E1968" s="5" t="str">
        <f>MID(F1968,FIND(".",F1968,6)+1,99)</f>
        <v>SpatialFrequencyResponse</v>
      </c>
      <c r="F1968" s="2" t="s">
        <v>8225</v>
      </c>
      <c r="G1968" s="5" t="s">
        <v>9669</v>
      </c>
      <c r="H1968" s="3" t="s">
        <v>2481</v>
      </c>
      <c r="I1968" s="7"/>
      <c r="J1968" s="8"/>
      <c r="K1968" s="26"/>
      <c r="L1968" s="6" t="str">
        <f>IFERROR(VLOOKUP(E1968,A:I,9, FALSE),"")</f>
        <v/>
      </c>
      <c r="M1968" s="6" t="str">
        <f>IFERROR(VLOOKUP(H1968,B:J,9,FALSE),"")</f>
        <v/>
      </c>
      <c r="N1968" s="6"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xml:space="preserve">Suffix not translated Description not translated </v>
      </c>
    </row>
    <row r="1969" spans="1:14" ht="45" x14ac:dyDescent="0.25">
      <c r="A1969" s="5" t="str">
        <f>IF(TRIM(I1969)="","",E1969)</f>
        <v/>
      </c>
      <c r="B1969" s="5" t="str">
        <f>IF(TRIM(J1969)="","",H1969)</f>
        <v/>
      </c>
      <c r="C1969" s="5" t="str">
        <f>LEFT(F1969,FIND(".",F1969,6))</f>
        <v>Exif.Thumbnail.</v>
      </c>
      <c r="D1969" s="5" t="str">
        <f>VLOOKUP(C1969,PrefixUebersetzung,2,FALSE)</f>
        <v>Exif.Vorschaubild.</v>
      </c>
      <c r="E1969" s="5" t="str">
        <f>MID(F1969,FIND(".",F1969,6)+1,99)</f>
        <v>SpectralSensitivity</v>
      </c>
      <c r="F1969" s="2" t="s">
        <v>8226</v>
      </c>
      <c r="G1969" s="5" t="s">
        <v>9666</v>
      </c>
      <c r="H1969" s="3" t="s">
        <v>2482</v>
      </c>
      <c r="I1969" s="7"/>
      <c r="J1969" s="8"/>
      <c r="K1969" s="26"/>
      <c r="L1969" s="6" t="str">
        <f>IFERROR(VLOOKUP(E1969,A:I,9, FALSE),"")</f>
        <v>Spektrale Empfindlichkeit</v>
      </c>
      <c r="M1969" s="6" t="str">
        <f>IFERROR(VLOOKUP(H1969,B:J,9,FALSE),"")</f>
        <v>Zeigt die spektrale Empfindlichkeit eines jeden Kanals der verwendeten Kamera.</v>
      </c>
      <c r="N1969" s="6"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ht="60" x14ac:dyDescent="0.25">
      <c r="A1970" s="5" t="str">
        <f>IF(TRIM(I1970)="","",E1970)</f>
        <v/>
      </c>
      <c r="B1970" s="5" t="str">
        <f>IF(TRIM(J1970)="","",H1970)</f>
        <v/>
      </c>
      <c r="C1970" s="5" t="str">
        <f>LEFT(F1970,FIND(".",F1970,6))</f>
        <v>Exif.Thumbnail.</v>
      </c>
      <c r="D1970" s="5" t="str">
        <f>VLOOKUP(C1970,PrefixUebersetzung,2,FALSE)</f>
        <v>Exif.Vorschaubild.</v>
      </c>
      <c r="E1970" s="5" t="str">
        <f>MID(F1970,FIND(".",F1970,6)+1,99)</f>
        <v>StripByteCounts</v>
      </c>
      <c r="F1970" s="2" t="s">
        <v>8227</v>
      </c>
      <c r="G1970" s="5" t="s">
        <v>9667</v>
      </c>
      <c r="H1970" s="3" t="s">
        <v>2483</v>
      </c>
      <c r="I1970" s="7"/>
      <c r="J1970" s="8"/>
      <c r="K1970" s="26"/>
      <c r="L1970" s="6" t="str">
        <f>IFERROR(VLOOKUP(E1970,A:I,9, FALSE),"")</f>
        <v/>
      </c>
      <c r="M1970" s="6" t="str">
        <f>IFERROR(VLOOKUP(H1970,B:J,9,FALSE),"")</f>
        <v>Die Gesamtanzahl von Bytes in jedem Streifen. Bei JPEG-komprimierten Daten ist diese Kennzeichnung nicht erforderlich und wird weggelassen.</v>
      </c>
      <c r="N1970" s="6"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xml:space="preserve">Suffix not translated </v>
      </c>
    </row>
    <row r="1971" spans="1:14" ht="150" x14ac:dyDescent="0.25">
      <c r="A1971" s="5" t="str">
        <f>IF(TRIM(I1971)="","",E1971)</f>
        <v/>
      </c>
      <c r="B1971" s="5" t="str">
        <f>IF(TRIM(J1971)="","",H1971)</f>
        <v/>
      </c>
      <c r="C1971" s="5" t="str">
        <f>LEFT(F1971,FIND(".",F1971,6))</f>
        <v>Exif.Thumbnail.</v>
      </c>
      <c r="D1971" s="5" t="str">
        <f>VLOOKUP(C1971,PrefixUebersetzung,2,FALSE)</f>
        <v>Exif.Vorschaubild.</v>
      </c>
      <c r="E1971" s="5" t="str">
        <f>MID(F1971,FIND(".",F1971,6)+1,99)</f>
        <v>StripOffsets</v>
      </c>
      <c r="F1971" s="2" t="s">
        <v>8228</v>
      </c>
      <c r="G1971" s="5" t="s">
        <v>9667</v>
      </c>
      <c r="H1971" s="3" t="s">
        <v>2484</v>
      </c>
      <c r="I1971" s="7"/>
      <c r="J1971" s="8"/>
      <c r="K1971" s="26"/>
      <c r="L1971" s="6" t="str">
        <f>IFERROR(VLOOKUP(E1971,A:I,9, FALSE),"")</f>
        <v/>
      </c>
      <c r="M1971" s="6" t="str">
        <f>IFERROR(INDEX(J:J,MATCH(TRUE,INDEX(B:B=H1971,0),0)),"")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1971" s="6"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xml:space="preserve">Suffix not translated </v>
      </c>
    </row>
    <row r="1972" spans="1:14" ht="75" x14ac:dyDescent="0.25">
      <c r="A1972" s="5" t="str">
        <f>IF(TRIM(I1972)="","",E1972)</f>
        <v/>
      </c>
      <c r="B1972" s="5" t="str">
        <f>IF(TRIM(J1972)="","",H1972)</f>
        <v/>
      </c>
      <c r="C1972" s="5" t="str">
        <f>LEFT(F1972,FIND(".",F1972,6))</f>
        <v>Exif.Thumbnail.</v>
      </c>
      <c r="D1972" s="5" t="str">
        <f>VLOOKUP(C1972,PrefixUebersetzung,2,FALSE)</f>
        <v>Exif.Vorschaubild.</v>
      </c>
      <c r="E1972" s="5" t="str">
        <f>MID(F1972,FIND(".",F1972,6)+1,99)</f>
        <v>SubfileType</v>
      </c>
      <c r="F1972" s="2" t="s">
        <v>8229</v>
      </c>
      <c r="G1972" s="5" t="s">
        <v>9664</v>
      </c>
      <c r="H1972" s="3" t="s">
        <v>2485</v>
      </c>
      <c r="I1972" s="7"/>
      <c r="J1972" s="8"/>
      <c r="K1972" s="26"/>
      <c r="L1972" s="6" t="str">
        <f>IFERROR(VLOOKUP(E1972,A:I,9, FALSE),"")</f>
        <v/>
      </c>
      <c r="M1972" s="6" t="str">
        <f>IFERROR(VLOOKUP(H1972,B:J,9,FALSE),"")</f>
        <v>Ein allgemeiner Hinweis auf die Art der Daten, die in diesem subfile enthalten sind. Dieses Feld ist veraltet. Stattdessen sollte das Feld NewSubfileType verwendet werden.</v>
      </c>
      <c r="N1972" s="6"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xml:space="preserve">Suffix not translated </v>
      </c>
    </row>
    <row r="1973" spans="1:14" ht="45" x14ac:dyDescent="0.25">
      <c r="A1973" s="5" t="str">
        <f>IF(TRIM(I1973)="","",E1973)</f>
        <v/>
      </c>
      <c r="B1973" s="5" t="str">
        <f>IF(TRIM(J1973)="","",H1973)</f>
        <v/>
      </c>
      <c r="C1973" s="5" t="str">
        <f>LEFT(F1973,FIND(".",F1973,6))</f>
        <v>Exif.Thumbnail.</v>
      </c>
      <c r="D1973" s="5" t="str">
        <f>VLOOKUP(C1973,PrefixUebersetzung,2,FALSE)</f>
        <v>Exif.Vorschaubild.</v>
      </c>
      <c r="E1973" s="5" t="str">
        <f>MID(F1973,FIND(".",F1973,6)+1,99)</f>
        <v>SubIFDs</v>
      </c>
      <c r="F1973" s="2" t="s">
        <v>8230</v>
      </c>
      <c r="G1973" s="5" t="s">
        <v>9667</v>
      </c>
      <c r="H1973" s="3" t="s">
        <v>2486</v>
      </c>
      <c r="I1973" s="7"/>
      <c r="J1973" s="8"/>
      <c r="K1973" s="26"/>
      <c r="L1973" s="6" t="str">
        <f>IFERROR(VLOOKUP(E1973,A:I,9, FALSE),"")</f>
        <v/>
      </c>
      <c r="M1973" s="6" t="str">
        <f>IFERROR(VLOOKUP(H1973,B:J,9,FALSE),"")</f>
        <v>Definiert durch Adobe Corporation um TIFF-Bäume innerhalb einer TIFF-Datei zu ermöglichen.</v>
      </c>
      <c r="N1973" s="6"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xml:space="preserve">Suffix not translated </v>
      </c>
    </row>
    <row r="1974" spans="1:14" ht="30" x14ac:dyDescent="0.25">
      <c r="A1974" s="5" t="str">
        <f>IF(TRIM(I1974)="","",E1974)</f>
        <v/>
      </c>
      <c r="B1974" s="5" t="str">
        <f>IF(TRIM(J1974)="","",H1974)</f>
        <v/>
      </c>
      <c r="C1974" s="5" t="str">
        <f>LEFT(F1974,FIND(".",F1974,6))</f>
        <v>Exif.Thumbnail.</v>
      </c>
      <c r="D1974" s="5" t="str">
        <f>VLOOKUP(C1974,PrefixUebersetzung,2,FALSE)</f>
        <v>Exif.Vorschaubild.</v>
      </c>
      <c r="E1974" s="5" t="str">
        <f>MID(F1974,FIND(".",F1974,6)+1,99)</f>
        <v>SubjectDistance</v>
      </c>
      <c r="F1974" s="2" t="s">
        <v>8231</v>
      </c>
      <c r="G1974" s="5" t="s">
        <v>9672</v>
      </c>
      <c r="H1974" s="3" t="s">
        <v>2487</v>
      </c>
      <c r="I1974" s="7"/>
      <c r="J1974" s="8"/>
      <c r="K1974" s="26"/>
      <c r="L1974" s="6" t="str">
        <f>IFERROR(VLOOKUP(E1974,A:I,9, FALSE),"")</f>
        <v>Motivabstand</v>
      </c>
      <c r="M1974" s="6" t="str">
        <f>IFERROR(VLOOKUP(H1974,B:J,9,FALSE),"")</f>
        <v>Der Abstand zum Motiv, in Metern angegeben.</v>
      </c>
      <c r="N1974" s="6"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ht="30" x14ac:dyDescent="0.25">
      <c r="A1975" s="5" t="str">
        <f>IF(TRIM(I1975)="","",E1975)</f>
        <v/>
      </c>
      <c r="B1975" s="5" t="str">
        <f>IF(TRIM(J1975)="","",H1975)</f>
        <v/>
      </c>
      <c r="C1975" s="5" t="str">
        <f>LEFT(F1975,FIND(".",F1975,6))</f>
        <v>Exif.Thumbnail.</v>
      </c>
      <c r="D1975" s="5" t="str">
        <f>VLOOKUP(C1975,PrefixUebersetzung,2,FALSE)</f>
        <v>Exif.Vorschaubild.</v>
      </c>
      <c r="E1975" s="5" t="str">
        <f>MID(F1975,FIND(".",F1975,6)+1,99)</f>
        <v>SubjectLocation</v>
      </c>
      <c r="F1975" s="2" t="s">
        <v>8232</v>
      </c>
      <c r="G1975" s="5" t="s">
        <v>9664</v>
      </c>
      <c r="H1975" s="3" t="s">
        <v>2488</v>
      </c>
      <c r="I1975" s="7"/>
      <c r="J1975" s="8"/>
      <c r="K1975" s="26"/>
      <c r="L1975" s="6" t="str">
        <f>IFERROR(VLOOKUP(E1975,A:I,9, FALSE),"")</f>
        <v>Motivort</v>
      </c>
      <c r="M1975" s="6" t="str">
        <f>IFERROR(VLOOKUP(H1975,B:J,9,FALSE),"")</f>
        <v>Ort und den Bereich des Hauptthemas in der gesamten Szene.</v>
      </c>
      <c r="N1975" s="6"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ht="120" x14ac:dyDescent="0.25">
      <c r="A1976" s="5" t="str">
        <f>IF(TRIM(I1976)="","",E1976)</f>
        <v/>
      </c>
      <c r="B1976" s="5" t="str">
        <f>IF(TRIM(J1976)="","",H1976)</f>
        <v/>
      </c>
      <c r="C1976" s="5" t="str">
        <f>LEFT(F1976,FIND(".",F1976,6))</f>
        <v>Exif.Thumbnail.</v>
      </c>
      <c r="D1976" s="5" t="str">
        <f>VLOOKUP(C1976,PrefixUebersetzung,2,FALSE)</f>
        <v>Exif.Vorschaubild.</v>
      </c>
      <c r="E1976" s="5" t="str">
        <f>MID(F1976,FIND(".",F1976,6)+1,99)</f>
        <v>SubTileBlockSize</v>
      </c>
      <c r="F1976" s="2" t="s">
        <v>8233</v>
      </c>
      <c r="G1976" s="5" t="s">
        <v>9667</v>
      </c>
      <c r="H1976" s="3" t="s">
        <v>2489</v>
      </c>
      <c r="I1976" s="7"/>
      <c r="J1976" s="8"/>
      <c r="K1976" s="26"/>
      <c r="L1976" s="6" t="str">
        <f>IFERROR(VLOOKUP(E1976,A:I,9, FALSE),"")</f>
        <v/>
      </c>
      <c r="M1976" s="6" t="str">
        <f>IFERROR(INDEX(J:J,MATCH(TRUE,INDEX(B:B=H1976,0),0)),"")</f>
        <v/>
      </c>
      <c r="N1976" s="6"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xml:space="preserve">Suffix not translated Description not translated </v>
      </c>
    </row>
    <row r="1977" spans="1:14" x14ac:dyDescent="0.25">
      <c r="A1977" s="5" t="str">
        <f>IF(TRIM(I1977)="","",E1977)</f>
        <v/>
      </c>
      <c r="B1977" s="5" t="str">
        <f>IF(TRIM(J1977)="","",H1977)</f>
        <v/>
      </c>
      <c r="C1977" s="5" t="str">
        <f>LEFT(F1977,FIND(".",F1977,6))</f>
        <v>Exif.Thumbnail.</v>
      </c>
      <c r="D1977" s="5" t="str">
        <f>VLOOKUP(C1977,PrefixUebersetzung,2,FALSE)</f>
        <v>Exif.Vorschaubild.</v>
      </c>
      <c r="E1977" s="5" t="str">
        <f>MID(F1977,FIND(".",F1977,6)+1,99)</f>
        <v>T4Options</v>
      </c>
      <c r="F1977" s="2" t="s">
        <v>8234</v>
      </c>
      <c r="G1977" s="5" t="s">
        <v>9667</v>
      </c>
      <c r="H1977" s="3" t="s">
        <v>2490</v>
      </c>
      <c r="I1977" s="7"/>
      <c r="J1977" s="8"/>
      <c r="K1977" s="26"/>
      <c r="L1977" s="6" t="str">
        <f>IFERROR(VLOOKUP(E1977,A:I,9, FALSE),"")</f>
        <v>T4 Optionen</v>
      </c>
      <c r="M1977" s="6" t="str">
        <f>IFERROR(VLOOKUP(H1977,B:J,9,FALSE),"")</f>
        <v>T.4-Encoding-Optionen.</v>
      </c>
      <c r="N1977" s="6"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c>
    </row>
    <row r="1978" spans="1:14" x14ac:dyDescent="0.25">
      <c r="A1978" s="5" t="str">
        <f>IF(TRIM(I1978)="","",E1978)</f>
        <v/>
      </c>
      <c r="B1978" s="5" t="str">
        <f>IF(TRIM(J1978)="","",H1978)</f>
        <v/>
      </c>
      <c r="C1978" s="5" t="str">
        <f>LEFT(F1978,FIND(".",F1978,6))</f>
        <v>Exif.Thumbnail.</v>
      </c>
      <c r="D1978" s="5" t="str">
        <f>VLOOKUP(C1978,PrefixUebersetzung,2,FALSE)</f>
        <v>Exif.Vorschaubild.</v>
      </c>
      <c r="E1978" s="5" t="str">
        <f>MID(F1978,FIND(".",F1978,6)+1,99)</f>
        <v>T6Options</v>
      </c>
      <c r="F1978" s="2" t="s">
        <v>8235</v>
      </c>
      <c r="G1978" s="5" t="s">
        <v>9667</v>
      </c>
      <c r="H1978" s="3" t="s">
        <v>2491</v>
      </c>
      <c r="I1978" s="7"/>
      <c r="J1978" s="8"/>
      <c r="K1978" s="26"/>
      <c r="L1978" s="6" t="str">
        <f>IFERROR(VLOOKUP(E1978,A:I,9, FALSE),"")</f>
        <v>T6 Optionen</v>
      </c>
      <c r="M1978" s="6" t="str">
        <f>IFERROR(VLOOKUP(H1978,B:J,9,FALSE),"")</f>
        <v>T.6-Encoding-Optionen.</v>
      </c>
      <c r="N1978" s="6"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c>
    </row>
    <row r="1979" spans="1:14" ht="45" x14ac:dyDescent="0.25">
      <c r="A1979" s="5" t="str">
        <f>IF(TRIM(I1979)="","",E1979)</f>
        <v/>
      </c>
      <c r="B1979" s="5" t="str">
        <f>IF(TRIM(J1979)="","",H1979)</f>
        <v/>
      </c>
      <c r="C1979" s="5" t="str">
        <f>LEFT(F1979,FIND(".",F1979,6))</f>
        <v>Exif.Thumbnail.</v>
      </c>
      <c r="D1979" s="5" t="str">
        <f>VLOOKUP(C1979,PrefixUebersetzung,2,FALSE)</f>
        <v>Exif.Vorschaubild.</v>
      </c>
      <c r="E1979" s="5" t="str">
        <f>MID(F1979,FIND(".",F1979,6)+1,99)</f>
        <v>TargetPrinter</v>
      </c>
      <c r="F1979" s="2" t="s">
        <v>8236</v>
      </c>
      <c r="G1979" s="5" t="s">
        <v>9666</v>
      </c>
      <c r="H1979" s="3" t="s">
        <v>2492</v>
      </c>
      <c r="I1979" s="7"/>
      <c r="J1979" s="8"/>
      <c r="K1979" s="26"/>
      <c r="L1979" s="6" t="str">
        <f>IFERROR(VLOOKUP(E1979,A:I,9, FALSE),"")</f>
        <v>Ziel-Drucker</v>
      </c>
      <c r="M1979" s="6" t="str">
        <f>IFERROR(VLOOKUP(H1979,B:J,9,FALSE),"")</f>
        <v>Eine Beschreibung der Druckumgebung für die diese Trennung beabsichtigt ist.</v>
      </c>
      <c r="N1979" s="6"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c>
    </row>
    <row r="1980" spans="1:14" ht="60" x14ac:dyDescent="0.25">
      <c r="A1980" s="5" t="str">
        <f>IF(TRIM(I1980)="","",E1980)</f>
        <v/>
      </c>
      <c r="B1980" s="5" t="str">
        <f>IF(TRIM(J1980)="","",H1980)</f>
        <v/>
      </c>
      <c r="C1980" s="5" t="str">
        <f>LEFT(F1980,FIND(".",F1980,6))</f>
        <v>Exif.Thumbnail.</v>
      </c>
      <c r="D1980" s="5" t="str">
        <f>VLOOKUP(C1980,PrefixUebersetzung,2,FALSE)</f>
        <v>Exif.Vorschaubild.</v>
      </c>
      <c r="E1980" s="5" t="str">
        <f>MID(F1980,FIND(".",F1980,6)+1,99)</f>
        <v>Thresholding</v>
      </c>
      <c r="F1980" s="2" t="s">
        <v>8237</v>
      </c>
      <c r="G1980" s="5" t="s">
        <v>9664</v>
      </c>
      <c r="H1980" s="3" t="s">
        <v>2493</v>
      </c>
      <c r="I1980" s="7"/>
      <c r="J1980" s="8"/>
      <c r="K1980" s="26"/>
      <c r="L1980" s="6" t="str">
        <f>IFERROR(VLOOKUP(E1980,A:I,9, FALSE),"")</f>
        <v>Schwellwert-Verfahren</v>
      </c>
      <c r="M1980" s="6" t="str">
        <f>IFERROR(VLOOKUP(H1980,B:J,9,FALSE),"")</f>
        <v>Für Schwarz-Weiß-TIFF-Dateien, die Grautöne darstellen: die verwendete Technik, um von grau auf schwarze und weiße Pixel zu konvertieren.</v>
      </c>
      <c r="N1980" s="6"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c>
    </row>
    <row r="1981" spans="1:14" ht="60" x14ac:dyDescent="0.25">
      <c r="A1981" s="5" t="str">
        <f>IF(TRIM(I1981)="","",E1981)</f>
        <v/>
      </c>
      <c r="B1981" s="5" t="str">
        <f>IF(TRIM(J1981)="","",H1981)</f>
        <v/>
      </c>
      <c r="C1981" s="5" t="str">
        <f>LEFT(F1981,FIND(".",F1981,6))</f>
        <v>Exif.Thumbnail.</v>
      </c>
      <c r="D1981" s="5" t="str">
        <f>VLOOKUP(C1981,PrefixUebersetzung,2,FALSE)</f>
        <v>Exif.Vorschaubild.</v>
      </c>
      <c r="E1981" s="5" t="str">
        <f>MID(F1981,FIND(".",F1981,6)+1,99)</f>
        <v>TIFFEPStandardID</v>
      </c>
      <c r="F1981" s="2" t="s">
        <v>8238</v>
      </c>
      <c r="G1981" s="5" t="s">
        <v>9670</v>
      </c>
      <c r="H1981" s="3" t="s">
        <v>2494</v>
      </c>
      <c r="I1981" s="7"/>
      <c r="J1981" s="8"/>
      <c r="K1981" s="26"/>
      <c r="L1981" s="6" t="str">
        <f>IFERROR(VLOOKUP(E1981,A:I,9, FALSE),"")</f>
        <v/>
      </c>
      <c r="M1981" s="6" t="str">
        <f>IFERROR(VLOOKUP(H1981,B:J,9,FALSE),"")</f>
        <v>Enthält vier ASCII-Zeichen, die die TIFF / EP Standardversion einer TIFF/EP-Datei angibt, z. B. '1 ', '0', '0 ', '0'</v>
      </c>
      <c r="N1981" s="6"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v>
      </c>
    </row>
    <row r="1982" spans="1:14" ht="75" x14ac:dyDescent="0.25">
      <c r="A1982" s="5" t="str">
        <f>IF(TRIM(I1982)="","",E1982)</f>
        <v/>
      </c>
      <c r="B1982" s="5" t="str">
        <f>IF(TRIM(J1982)="","",H1982)</f>
        <v/>
      </c>
      <c r="C1982" s="5" t="str">
        <f>LEFT(F1982,FIND(".",F1982,6))</f>
        <v>Exif.Thumbnail.</v>
      </c>
      <c r="D1982" s="5" t="str">
        <f>VLOOKUP(C1982,PrefixUebersetzung,2,FALSE)</f>
        <v>Exif.Vorschaubild.</v>
      </c>
      <c r="E1982" s="5" t="str">
        <f>MID(F1982,FIND(".",F1982,6)+1,99)</f>
        <v>TileByteCounts</v>
      </c>
      <c r="F1982" s="2" t="s">
        <v>8239</v>
      </c>
      <c r="G1982" s="5" t="s">
        <v>9664</v>
      </c>
      <c r="H1982" s="3" t="s">
        <v>2495</v>
      </c>
      <c r="I1982" s="7"/>
      <c r="J1982" s="8"/>
      <c r="K1982" s="26"/>
      <c r="L1982" s="6" t="str">
        <f>IFERROR(VLOOKUP(E1982,A:I,9, FALSE),"")</f>
        <v>Kachel Anzahl Bytes</v>
      </c>
      <c r="M1982" s="6" t="str">
        <f>IFERROR(VLOOKUP(H1982,B:J,9,FALSE),"")</f>
        <v>Für jede Kachel, die Anzahl (komprimierter) Bytes in dieser Kachel. Siehe TileOffsets für eine Beschreibung, wie die Byte-Anzahlen sortiert werden.</v>
      </c>
      <c r="N1982" s="6"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ht="45" x14ac:dyDescent="0.25">
      <c r="A1983" s="5" t="str">
        <f>IF(TRIM(I1983)="","",E1983)</f>
        <v/>
      </c>
      <c r="B1983" s="5" t="str">
        <f>IF(TRIM(J1983)="","",H1983)</f>
        <v/>
      </c>
      <c r="C1983" s="5" t="str">
        <f>LEFT(F1983,FIND(".",F1983,6))</f>
        <v>Exif.Thumbnail.</v>
      </c>
      <c r="D1983" s="5" t="str">
        <f>VLOOKUP(C1983,PrefixUebersetzung,2,FALSE)</f>
        <v>Exif.Vorschaubild.</v>
      </c>
      <c r="E1983" s="5" t="str">
        <f>MID(F1983,FIND(".",F1983,6)+1,99)</f>
        <v>TileLength</v>
      </c>
      <c r="F1983" s="2" t="s">
        <v>8240</v>
      </c>
      <c r="G1983" s="5" t="s">
        <v>9664</v>
      </c>
      <c r="H1983" s="3" t="s">
        <v>2496</v>
      </c>
      <c r="I1983" s="7"/>
      <c r="J1983" s="8"/>
      <c r="K1983" s="26"/>
      <c r="L1983" s="6" t="str">
        <f>IFERROR(VLOOKUP(E1983,A:I,9, FALSE),"")</f>
        <v>Kachel Länge</v>
      </c>
      <c r="M1983" s="6" t="str">
        <f>IFERROR(VLOOKUP(H1983,B:J,9,FALSE),"")</f>
        <v>Die Kachel-Länge (Höhe) in Pixel. Dies ist die Anzahl der Zeilen in jeder Kachel.</v>
      </c>
      <c r="N1983" s="6"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ht="135" x14ac:dyDescent="0.25">
      <c r="A1984" s="5" t="str">
        <f>IF(TRIM(I1984)="","",E1984)</f>
        <v/>
      </c>
      <c r="B1984" s="5" t="str">
        <f>IF(TRIM(J1984)="","",H1984)</f>
        <v/>
      </c>
      <c r="C1984" s="5" t="str">
        <f>LEFT(F1984,FIND(".",F1984,6))</f>
        <v>Exif.Thumbnail.</v>
      </c>
      <c r="D1984" s="5" t="str">
        <f>VLOOKUP(C1984,PrefixUebersetzung,2,FALSE)</f>
        <v>Exif.Vorschaubild.</v>
      </c>
      <c r="E1984" s="5" t="str">
        <f>MID(F1984,FIND(".",F1984,6)+1,99)</f>
        <v>TileOffsets</v>
      </c>
      <c r="F1984" s="2" t="s">
        <v>8241</v>
      </c>
      <c r="G1984" s="5" t="s">
        <v>9664</v>
      </c>
      <c r="H1984" s="3" t="s">
        <v>2497</v>
      </c>
      <c r="I1984" s="7"/>
      <c r="J1984" s="8"/>
      <c r="K1984" s="26"/>
      <c r="L1984" s="6" t="str">
        <f>IFERROR(VLOOKUP(E1984,A:I,9, FALSE),"")</f>
        <v>Kachel Offsets</v>
      </c>
      <c r="M1984" s="6" t="str">
        <f>IFERROR(VLOOKUP(H1984,B:J,9,FALSE),"")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1984" s="6"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c>
    </row>
    <row r="1985" spans="1:14" ht="30" x14ac:dyDescent="0.25">
      <c r="A1985" s="5" t="str">
        <f>IF(TRIM(I1985)="","",E1985)</f>
        <v/>
      </c>
      <c r="B1985" s="5" t="str">
        <f>IF(TRIM(J1985)="","",H1985)</f>
        <v/>
      </c>
      <c r="C1985" s="5" t="str">
        <f>LEFT(F1985,FIND(".",F1985,6))</f>
        <v>Exif.Thumbnail.</v>
      </c>
      <c r="D1985" s="5" t="str">
        <f>VLOOKUP(C1985,PrefixUebersetzung,2,FALSE)</f>
        <v>Exif.Vorschaubild.</v>
      </c>
      <c r="E1985" s="5" t="str">
        <f>MID(F1985,FIND(".",F1985,6)+1,99)</f>
        <v>TileWidth</v>
      </c>
      <c r="F1985" s="2" t="s">
        <v>8242</v>
      </c>
      <c r="G1985" s="5" t="s">
        <v>9664</v>
      </c>
      <c r="H1985" s="3" t="s">
        <v>2498</v>
      </c>
      <c r="I1985" s="7"/>
      <c r="J1985" s="8"/>
      <c r="K1985" s="26"/>
      <c r="L1985" s="6" t="str">
        <f>IFERROR(VLOOKUP(E1985,A:I,9, FALSE),"")</f>
        <v>Kachel Breite</v>
      </c>
      <c r="M1985" s="6" t="str">
        <f>IFERROR(VLOOKUP(H1985,B:J,9,FALSE),"")</f>
        <v>Die Kachel-Breite in Pixel. Dies ist die Anzahl der Spalten in jeder Kachel.</v>
      </c>
      <c r="N1985" s="6"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row>
    <row r="1986" spans="1:14" ht="225" x14ac:dyDescent="0.25">
      <c r="A1986" s="5" t="str">
        <f>IF(TRIM(I1986)="","",E1986)</f>
        <v/>
      </c>
      <c r="B1986" s="5" t="str">
        <f>IF(TRIM(J1986)="","",H1986)</f>
        <v/>
      </c>
      <c r="C1986" s="5" t="str">
        <f>LEFT(F1986,FIND(".",F1986,6))</f>
        <v>Exif.Thumbnail.</v>
      </c>
      <c r="D1986" s="5" t="str">
        <f>VLOOKUP(C1986,PrefixUebersetzung,2,FALSE)</f>
        <v>Exif.Vorschaubild.</v>
      </c>
      <c r="E1986" s="5" t="str">
        <f>MID(F1986,FIND(".",F1986,6)+1,99)</f>
        <v>TimeCodes</v>
      </c>
      <c r="F1986" s="2" t="s">
        <v>8243</v>
      </c>
      <c r="G1986" s="5" t="s">
        <v>9670</v>
      </c>
      <c r="H1986" s="3" t="s">
        <v>8008</v>
      </c>
      <c r="I1986" s="7"/>
      <c r="J1986" s="8"/>
      <c r="K1986" s="26"/>
      <c r="L1986" s="6" t="str">
        <f>IFERROR(VLOOKUP(E1986,A:I,9, FALSE),"")</f>
        <v>Zeit-Codes</v>
      </c>
      <c r="M1986" s="6" t="str">
        <f>IFERROR(INDEX(J:J,MATCH(TRUE,INDEX(B:B=H1986,0),0)),"")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1986" s="6"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ht="135" x14ac:dyDescent="0.25">
      <c r="A1987" s="5" t="str">
        <f>IF(TRIM(I1987)="","",E1987)</f>
        <v/>
      </c>
      <c r="B1987" s="5" t="str">
        <f>IF(TRIM(J1987)="","",H1987)</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1987" s="5" t="str">
        <f>LEFT(F1987,FIND(".",F1987,6))</f>
        <v>Exif.Thumbnail.</v>
      </c>
      <c r="D1987" s="5" t="str">
        <f>VLOOKUP(C1987,PrefixUebersetzung,2,FALSE)</f>
        <v>Exif.Vorschaubild.</v>
      </c>
      <c r="E1987" s="5" t="str">
        <f>MID(F1987,FIND(".",F1987,6)+1,99)</f>
        <v>TimeZoneOffset</v>
      </c>
      <c r="F1987" s="2" t="s">
        <v>8244</v>
      </c>
      <c r="G1987" s="5" t="s">
        <v>9665</v>
      </c>
      <c r="H1987" s="3" t="s">
        <v>8245</v>
      </c>
      <c r="I1987" s="7"/>
      <c r="J1987" s="8" t="s">
        <v>8858</v>
      </c>
      <c r="K1987" s="26"/>
      <c r="L1987" s="6" t="str">
        <f>IFERROR(VLOOKUP(E1987,A:I,9, FALSE),"")</f>
        <v>Zeitzonen-Verschiebung</v>
      </c>
      <c r="M1987" s="6" t="str">
        <f>IFERROR(INDEX(J:J,MATCH(TRUE,INDEX(B:B=H1987,0),0)),"")</f>
        <v>Dieses optionale Tag kodiert die Zeitzone der Kamera-Uhr (bezogen auf Greenwich Mean Time), die verwendet wurde, als das Tag DataTimeOriginal während der Aufnahme erstellt wurde. Es kann auch die Zeitzone der Uhr angegeben, wenn das Tag  DateTime bei einer Bild-Modifikation gesetzt wurde.</v>
      </c>
      <c r="N1987" s="6"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Description translation&lt;&gt; lookup </v>
      </c>
    </row>
    <row r="1988" spans="1:14" ht="90" x14ac:dyDescent="0.25">
      <c r="A1988" s="5" t="str">
        <f>IF(TRIM(I1988)="","",E1988)</f>
        <v/>
      </c>
      <c r="B1988" s="5" t="str">
        <f>IF(TRIM(J1988)="","",H1988)</f>
        <v/>
      </c>
      <c r="C1988" s="5" t="str">
        <f>LEFT(F1988,FIND(".",F1988,6))</f>
        <v>Exif.Thumbnail.</v>
      </c>
      <c r="D1988" s="5" t="str">
        <f>VLOOKUP(C1988,PrefixUebersetzung,2,FALSE)</f>
        <v>Exif.Vorschaubild.</v>
      </c>
      <c r="E1988" s="5" t="str">
        <f>MID(F1988,FIND(".",F1988,6)+1,99)</f>
        <v>TransferFunction</v>
      </c>
      <c r="F1988" s="2" t="s">
        <v>8246</v>
      </c>
      <c r="G1988" s="5" t="s">
        <v>9664</v>
      </c>
      <c r="H1988" s="3" t="s">
        <v>2499</v>
      </c>
      <c r="I1988" s="7"/>
      <c r="J1988" s="8"/>
      <c r="K1988" s="26"/>
      <c r="L1988" s="6" t="str">
        <f>IFERROR(VLOOKUP(E1988,A:I,9, FALSE),"")</f>
        <v>Übertragungsfunktion</v>
      </c>
      <c r="M1988" s="6" t="str">
        <f>IFERROR(VLOOKUP(H1988,B:J,9,FALSE),"")</f>
        <v>Eine Übertragungsfunktion für das Bild, in tabellarischer Art beschrieben. Normalerweise ist dieses Tag ist nicht notwendig, da der Farbraum im Farbraum-Informations-Tag (&lt;ColorSpace&gt;) angegeben wird.</v>
      </c>
      <c r="N1988" s="6"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row>
    <row r="1989" spans="1:14" ht="30" x14ac:dyDescent="0.25">
      <c r="A1989" s="5" t="str">
        <f>IF(TRIM(I1989)="","",E1989)</f>
        <v/>
      </c>
      <c r="B1989" s="5" t="str">
        <f>IF(TRIM(J1989)="","",H1989)</f>
        <v/>
      </c>
      <c r="C1989" s="5" t="str">
        <f>LEFT(F1989,FIND(".",F1989,6))</f>
        <v>Exif.Thumbnail.</v>
      </c>
      <c r="D1989" s="5" t="str">
        <f>VLOOKUP(C1989,PrefixUebersetzung,2,FALSE)</f>
        <v>Exif.Vorschaubild.</v>
      </c>
      <c r="E1989" s="5" t="str">
        <f>MID(F1989,FIND(".",F1989,6)+1,99)</f>
        <v>TransferRange</v>
      </c>
      <c r="F1989" s="2" t="s">
        <v>8247</v>
      </c>
      <c r="G1989" s="5" t="s">
        <v>9664</v>
      </c>
      <c r="H1989" s="3" t="s">
        <v>2500</v>
      </c>
      <c r="I1989" s="7"/>
      <c r="J1989" s="8"/>
      <c r="K1989" s="26"/>
      <c r="L1989" s="6" t="str">
        <f>IFERROR(VLOOKUP(E1989,A:I,9, FALSE),"")</f>
        <v>Übertragungsbereich</v>
      </c>
      <c r="M1989" s="6" t="str">
        <f>IFERROR(VLOOKUP(H1989,B:J,9,FALSE),"")</f>
        <v>Erweitert die Reichweite der Transferfunktion</v>
      </c>
      <c r="N1989" s="6"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row>
    <row r="1990" spans="1:14" ht="240" x14ac:dyDescent="0.25">
      <c r="A1990" s="5" t="str">
        <f>IF(TRIM(I1990)="","",E1990)</f>
        <v/>
      </c>
      <c r="B1990" s="5" t="str">
        <f>IF(TRIM(J1990)="","",H1990)</f>
        <v/>
      </c>
      <c r="C1990" s="5" t="str">
        <f>LEFT(F1990,FIND(".",F1990,6))</f>
        <v>Exif.Thumbnail.</v>
      </c>
      <c r="D1990" s="5" t="str">
        <f>VLOOKUP(C1990,PrefixUebersetzung,2,FALSE)</f>
        <v>Exif.Vorschaubild.</v>
      </c>
      <c r="E1990" s="5" t="str">
        <f>MID(F1990,FIND(".",F1990,6)+1,99)</f>
        <v>TStop</v>
      </c>
      <c r="F1990" s="2" t="s">
        <v>8248</v>
      </c>
      <c r="G1990" s="5" t="s">
        <v>9672</v>
      </c>
      <c r="H1990" s="3" t="s">
        <v>8010</v>
      </c>
      <c r="I1990" s="7"/>
      <c r="J1990" s="8"/>
      <c r="K1990" s="26"/>
      <c r="L1990" s="6" t="str">
        <f>IFERROR(VLOOKUP(E1990,A:I,9, FALSE),"")</f>
        <v/>
      </c>
      <c r="M1990" s="6" t="str">
        <f>IFERROR(INDEX(J:J,MATCH(TRUE,INDEX(B:B=H1990,0),0)),"")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1990" s="6"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xml:space="preserve">Suffix not translated </v>
      </c>
    </row>
    <row r="1991" spans="1:14" ht="210" x14ac:dyDescent="0.25">
      <c r="A1991" s="5" t="str">
        <f>IF(TRIM(I1991)="","",E1991)</f>
        <v/>
      </c>
      <c r="B1991" s="5" t="str">
        <f>IF(TRIM(J1991)="","",H1991)</f>
        <v/>
      </c>
      <c r="C1991" s="5" t="str">
        <f>LEFT(F1991,FIND(".",F1991,6))</f>
        <v>Exif.Thumbnail.</v>
      </c>
      <c r="D1991" s="5" t="str">
        <f>VLOOKUP(C1991,PrefixUebersetzung,2,FALSE)</f>
        <v>Exif.Vorschaubild.</v>
      </c>
      <c r="E1991" s="5" t="str">
        <f>MID(F1991,FIND(".",F1991,6)+1,99)</f>
        <v>UniqueCameraModel</v>
      </c>
      <c r="F1991" s="2" t="s">
        <v>8249</v>
      </c>
      <c r="G1991" s="5" t="s">
        <v>9666</v>
      </c>
      <c r="H1991" s="3" t="s">
        <v>2501</v>
      </c>
      <c r="I1991" s="7"/>
      <c r="J1991" s="8"/>
      <c r="K1991" s="26"/>
      <c r="L1991" s="6" t="str">
        <f>IFERROR(VLOOKUP(E1991,A:I,9, FALSE),"")</f>
        <v>Kameramodell (eindeutig)</v>
      </c>
      <c r="M1991" s="6" t="str">
        <f>IFERROR(INDEX(J:J,MATCH(TRUE,INDEX(B:B=H1991,0),0)),"")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1991" s="6"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4" ht="120" x14ac:dyDescent="0.25">
      <c r="A1992" s="5" t="str">
        <f>IF(TRIM(I1992)="","",E1992)</f>
        <v/>
      </c>
      <c r="B1992" s="5" t="str">
        <f>IF(TRIM(J1992)="","",H1992)</f>
        <v/>
      </c>
      <c r="C1992" s="5" t="str">
        <f>LEFT(F1992,FIND(".",F1992,6))</f>
        <v>Exif.Thumbnail.</v>
      </c>
      <c r="D1992" s="5" t="str">
        <f>VLOOKUP(C1992,PrefixUebersetzung,2,FALSE)</f>
        <v>Exif.Vorschaubild.</v>
      </c>
      <c r="E1992" s="5" t="str">
        <f>MID(F1992,FIND(".",F1992,6)+1,99)</f>
        <v>WhiteLevel</v>
      </c>
      <c r="F1992" s="2" t="s">
        <v>8250</v>
      </c>
      <c r="G1992" s="5" t="s">
        <v>9664</v>
      </c>
      <c r="H1992" s="3" t="s">
        <v>2502</v>
      </c>
      <c r="I1992" s="7"/>
      <c r="J1992" s="8"/>
      <c r="K1992" s="26"/>
      <c r="L1992" s="6" t="str">
        <f>IFERROR(VLOOKUP(E1992,A:I,9, FALSE),"")</f>
        <v>Weißpegel</v>
      </c>
      <c r="M1992" s="6" t="str">
        <f>IFERROR(VLOOKUP(H1992,B:J,9,FALSE),"")</f>
        <v>Dieses Tag gibt die vollständig gesättigten Kodierungs-Ebenen für die RAW-Abtastwerte an. Die Sättigung wird entweder durch den Sensor selbst durch zu stark nichtlineare  Rückmeldungen oder durch Clipping des Analog-Digital-Wandlers der Kamera verursacht.</v>
      </c>
      <c r="N1992" s="6"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4" ht="75" x14ac:dyDescent="0.25">
      <c r="A1993" s="5" t="str">
        <f>IF(TRIM(I1993)="","",E1993)</f>
        <v/>
      </c>
      <c r="B1993" s="5" t="str">
        <f>IF(TRIM(J1993)="","",H1993)</f>
        <v/>
      </c>
      <c r="C1993" s="5" t="str">
        <f>LEFT(F1993,FIND(".",F1993,6))</f>
        <v>Exif.Thumbnail.</v>
      </c>
      <c r="D1993" s="5" t="str">
        <f>VLOOKUP(C1993,PrefixUebersetzung,2,FALSE)</f>
        <v>Exif.Vorschaubild.</v>
      </c>
      <c r="E1993" s="5" t="str">
        <f>MID(F1993,FIND(".",F1993,6)+1,99)</f>
        <v>WhitePoint</v>
      </c>
      <c r="F1993" s="2" t="s">
        <v>8251</v>
      </c>
      <c r="G1993" s="5" t="s">
        <v>9671</v>
      </c>
      <c r="H1993" s="3" t="s">
        <v>2503</v>
      </c>
      <c r="I1993" s="7"/>
      <c r="J1993" s="8"/>
      <c r="K1993" s="26"/>
      <c r="L1993" s="6" t="str">
        <f>IFERROR(VLOOKUP(E1993,A:I,9, FALSE),"")</f>
        <v>Weißpunkt</v>
      </c>
      <c r="M1993" s="6" t="str">
        <f>IFERROR(VLOOKUP(H1993,B:J,9,FALSE),"")</f>
        <v>Die Farbigkeit des Weißpunktes des Bildes. Normalerweise ist dieses Tag ist nicht notwendig, da der Farbraum im Farbraum-Informations-Tag (&lt;ColorSpace&gt;) angegeben wird.</v>
      </c>
      <c r="N1993" s="6"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4" ht="30" x14ac:dyDescent="0.25">
      <c r="A1994" s="5" t="str">
        <f>IF(TRIM(I1994)="","",E1994)</f>
        <v/>
      </c>
      <c r="B1994" s="5" t="str">
        <f>IF(TRIM(J1994)="","",H1994)</f>
        <v/>
      </c>
      <c r="C1994" s="5" t="str">
        <f>LEFT(F1994,FIND(".",F1994,6))</f>
        <v>Exif.Thumbnail.</v>
      </c>
      <c r="D1994" s="5" t="str">
        <f>VLOOKUP(C1994,PrefixUebersetzung,2,FALSE)</f>
        <v>Exif.Vorschaubild.</v>
      </c>
      <c r="E1994" s="5" t="str">
        <f>MID(F1994,FIND(".",F1994,6)+1,99)</f>
        <v>XClipPathUnits</v>
      </c>
      <c r="F1994" s="2" t="s">
        <v>8252</v>
      </c>
      <c r="G1994" s="5" t="s">
        <v>9665</v>
      </c>
      <c r="H1994" s="3" t="s">
        <v>2504</v>
      </c>
      <c r="I1994" s="7"/>
      <c r="J1994" s="8"/>
      <c r="K1994" s="26"/>
      <c r="L1994" s="6" t="str">
        <f>IFERROR(VLOOKUP(E1994,A:I,9, FALSE),"")</f>
        <v/>
      </c>
      <c r="M1994" s="6" t="str">
        <f>IFERROR(VLOOKUP(H1994,B:J,9,FALSE),"")</f>
        <v/>
      </c>
      <c r="N1994" s="6"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xml:space="preserve">Suffix not translated Description not translated </v>
      </c>
    </row>
    <row r="1995" spans="1:14" ht="30" x14ac:dyDescent="0.25">
      <c r="A1995" s="5" t="str">
        <f>IF(TRIM(I1995)="","",E1995)</f>
        <v/>
      </c>
      <c r="B1995" s="5" t="str">
        <f>IF(TRIM(J1995)="","",H1995)</f>
        <v/>
      </c>
      <c r="C1995" s="5" t="str">
        <f>LEFT(F1995,FIND(".",F1995,6))</f>
        <v>Exif.Thumbnail.</v>
      </c>
      <c r="D1995" s="5" t="str">
        <f>VLOOKUP(C1995,PrefixUebersetzung,2,FALSE)</f>
        <v>Exif.Vorschaubild.</v>
      </c>
      <c r="E1995" s="5" t="str">
        <f>MID(F1995,FIND(".",F1995,6)+1,99)</f>
        <v>XMLPacket</v>
      </c>
      <c r="F1995" s="2" t="s">
        <v>8253</v>
      </c>
      <c r="G1995" s="5" t="s">
        <v>9670</v>
      </c>
      <c r="H1995" s="3" t="s">
        <v>2505</v>
      </c>
      <c r="I1995" s="7"/>
      <c r="J1995" s="8"/>
      <c r="K1995" s="26"/>
      <c r="L1995" s="6" t="str">
        <f>IFERROR(VLOOKUP(E1995,A:I,9, FALSE),"")</f>
        <v>XML Paket</v>
      </c>
      <c r="M1995" s="6" t="str">
        <f>IFERROR(VLOOKUP(H1995,B:J,9,FALSE),"")</f>
        <v>XMP-Metadaten (Adobe technote 9-14-02)</v>
      </c>
      <c r="N1995" s="6"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c>
    </row>
    <row r="1996" spans="1:14" ht="30" x14ac:dyDescent="0.25">
      <c r="A1996" s="5" t="str">
        <f>IF(TRIM(I1996)="","",E1996)</f>
        <v/>
      </c>
      <c r="B1996" s="5" t="str">
        <f>IF(TRIM(J1996)="","",H1996)</f>
        <v/>
      </c>
      <c r="C1996" s="5" t="str">
        <f>LEFT(F1996,FIND(".",F1996,6))</f>
        <v>Exif.Thumbnail.</v>
      </c>
      <c r="D1996" s="5" t="str">
        <f>VLOOKUP(C1996,PrefixUebersetzung,2,FALSE)</f>
        <v>Exif.Vorschaubild.</v>
      </c>
      <c r="E1996" s="5" t="str">
        <f>MID(F1996,FIND(".",F1996,6)+1,99)</f>
        <v>XPAuthor</v>
      </c>
      <c r="F1996" s="2" t="s">
        <v>8254</v>
      </c>
      <c r="G1996" s="5" t="s">
        <v>9670</v>
      </c>
      <c r="H1996" s="3" t="s">
        <v>2506</v>
      </c>
      <c r="I1996" s="7"/>
      <c r="J1996" s="8"/>
      <c r="K1996" s="26"/>
      <c r="L1996" s="6" t="str">
        <f>IFERROR(VLOOKUP(E1996,A:I,9, FALSE),"")</f>
        <v>XP Autor</v>
      </c>
      <c r="M1996" s="6" t="str">
        <f>IFERROR(VLOOKUP(H1996,B:J,9,FALSE),"")</f>
        <v>Autor-Tag von Windows verwendet, in UCS-2 codiert</v>
      </c>
      <c r="N1996" s="6"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c>
    </row>
    <row r="1997" spans="1:14" ht="30" x14ac:dyDescent="0.25">
      <c r="A1997" s="5" t="str">
        <f>IF(TRIM(I1997)="","",E1997)</f>
        <v/>
      </c>
      <c r="B1997" s="5" t="str">
        <f>IF(TRIM(J1997)="","",H1997)</f>
        <v/>
      </c>
      <c r="C1997" s="5" t="str">
        <f>LEFT(F1997,FIND(".",F1997,6))</f>
        <v>Exif.Thumbnail.</v>
      </c>
      <c r="D1997" s="5" t="str">
        <f>VLOOKUP(C1997,PrefixUebersetzung,2,FALSE)</f>
        <v>Exif.Vorschaubild.</v>
      </c>
      <c r="E1997" s="5" t="str">
        <f>MID(F1997,FIND(".",F1997,6)+1,99)</f>
        <v>XPComment</v>
      </c>
      <c r="F1997" s="2" t="s">
        <v>8255</v>
      </c>
      <c r="G1997" s="5" t="s">
        <v>9670</v>
      </c>
      <c r="H1997" s="3" t="s">
        <v>2507</v>
      </c>
      <c r="I1997" s="7"/>
      <c r="J1997" s="8"/>
      <c r="K1997" s="26"/>
      <c r="L1997" s="6" t="str">
        <f>IFERROR(VLOOKUP(E1997,A:I,9, FALSE),"")</f>
        <v>XP Kommentar</v>
      </c>
      <c r="M1997" s="6" t="str">
        <f>IFERROR(VLOOKUP(H1997,B:J,9,FALSE),"")</f>
        <v>Kommentar-Tag von Windows verwendet, in UCS-2 codiert</v>
      </c>
      <c r="N1997" s="6"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c>
    </row>
    <row r="1998" spans="1:14" ht="30" x14ac:dyDescent="0.25">
      <c r="A1998" s="5" t="str">
        <f>IF(TRIM(I1998)="","",E1998)</f>
        <v/>
      </c>
      <c r="B1998" s="5" t="str">
        <f>IF(TRIM(J1998)="","",H1998)</f>
        <v/>
      </c>
      <c r="C1998" s="5" t="str">
        <f>LEFT(F1998,FIND(".",F1998,6))</f>
        <v>Exif.Thumbnail.</v>
      </c>
      <c r="D1998" s="5" t="str">
        <f>VLOOKUP(C1998,PrefixUebersetzung,2,FALSE)</f>
        <v>Exif.Vorschaubild.</v>
      </c>
      <c r="E1998" s="5" t="str">
        <f>MID(F1998,FIND(".",F1998,6)+1,99)</f>
        <v>XPKeywords</v>
      </c>
      <c r="F1998" s="2" t="s">
        <v>8256</v>
      </c>
      <c r="G1998" s="5" t="s">
        <v>9670</v>
      </c>
      <c r="H1998" s="3" t="s">
        <v>2508</v>
      </c>
      <c r="I1998" s="7"/>
      <c r="J1998" s="8"/>
      <c r="K1998" s="26"/>
      <c r="L1998" s="6" t="str">
        <f>IFERROR(VLOOKUP(E1998,A:I,9, FALSE),"")</f>
        <v>XP Schlüsselworte</v>
      </c>
      <c r="M1998" s="6" t="str">
        <f>IFERROR(VLOOKUP(H1998,B:J,9,FALSE),"")</f>
        <v>Keywords tag von Windows verwendet, in UCS-2 codiert</v>
      </c>
      <c r="N1998" s="6"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row>
    <row r="1999" spans="1:14" ht="30" x14ac:dyDescent="0.25">
      <c r="A1999" s="5" t="str">
        <f>IF(TRIM(I1999)="","",E1999)</f>
        <v/>
      </c>
      <c r="B1999" s="5" t="str">
        <f>IF(TRIM(J1999)="","",H1999)</f>
        <v/>
      </c>
      <c r="C1999" s="5" t="str">
        <f>LEFT(F1999,FIND(".",F1999,6))</f>
        <v>Exif.Thumbnail.</v>
      </c>
      <c r="D1999" s="5" t="str">
        <f>VLOOKUP(C1999,PrefixUebersetzung,2,FALSE)</f>
        <v>Exif.Vorschaubild.</v>
      </c>
      <c r="E1999" s="5" t="str">
        <f>MID(F1999,FIND(".",F1999,6)+1,99)</f>
        <v>XPSubject</v>
      </c>
      <c r="F1999" s="2" t="s">
        <v>8257</v>
      </c>
      <c r="G1999" s="5" t="s">
        <v>9670</v>
      </c>
      <c r="H1999" s="3" t="s">
        <v>2509</v>
      </c>
      <c r="I1999" s="7"/>
      <c r="J1999" s="8"/>
      <c r="K1999" s="26"/>
      <c r="L1999" s="6" t="str">
        <f>IFERROR(VLOOKUP(E1999,A:I,9, FALSE),"")</f>
        <v>XP Betreff</v>
      </c>
      <c r="M1999" s="6" t="str">
        <f>IFERROR(VLOOKUP(H1999,B:J,9,FALSE),"")</f>
        <v>Betreff-Tag von Windows verwendet, in UCS-2 codiert</v>
      </c>
      <c r="N1999" s="6"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c>
    </row>
    <row r="2000" spans="1:14" ht="30" x14ac:dyDescent="0.25">
      <c r="A2000" s="5" t="str">
        <f>IF(TRIM(I2000)="","",E2000)</f>
        <v/>
      </c>
      <c r="B2000" s="5" t="str">
        <f>IF(TRIM(J2000)="","",H2000)</f>
        <v/>
      </c>
      <c r="C2000" s="5" t="str">
        <f>LEFT(F2000,FIND(".",F2000,6))</f>
        <v>Exif.Thumbnail.</v>
      </c>
      <c r="D2000" s="5" t="str">
        <f>VLOOKUP(C2000,PrefixUebersetzung,2,FALSE)</f>
        <v>Exif.Vorschaubild.</v>
      </c>
      <c r="E2000" s="5" t="str">
        <f>MID(F2000,FIND(".",F2000,6)+1,99)</f>
        <v>XPTitle</v>
      </c>
      <c r="F2000" s="2" t="s">
        <v>8258</v>
      </c>
      <c r="G2000" s="5" t="s">
        <v>9670</v>
      </c>
      <c r="H2000" s="3" t="s">
        <v>2510</v>
      </c>
      <c r="I2000" s="7"/>
      <c r="J2000" s="8"/>
      <c r="K2000" s="26"/>
      <c r="L2000" s="6" t="str">
        <f>IFERROR(VLOOKUP(E2000,A:I,9, FALSE),"")</f>
        <v>XP Titel</v>
      </c>
      <c r="M2000" s="6" t="str">
        <f>IFERROR(VLOOKUP(H2000,B:J,9,FALSE),"")</f>
        <v>Titel-Tag von Windows verwendet, in UCS-2 codiert</v>
      </c>
      <c r="N2000" s="6"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row>
    <row r="2001" spans="1:16" ht="75" x14ac:dyDescent="0.25">
      <c r="A2001" s="5" t="str">
        <f>IF(TRIM(I2001)="","",E2001)</f>
        <v/>
      </c>
      <c r="B2001" s="5" t="str">
        <f>IF(TRIM(J2001)="","",H2001)</f>
        <v/>
      </c>
      <c r="C2001" s="5" t="str">
        <f>LEFT(F2001,FIND(".",F2001,6))</f>
        <v>Exif.Thumbnail.</v>
      </c>
      <c r="D2001" s="5" t="str">
        <f>VLOOKUP(C2001,PrefixUebersetzung,2,FALSE)</f>
        <v>Exif.Vorschaubild.</v>
      </c>
      <c r="E2001" s="5" t="str">
        <f>MID(F2001,FIND(".",F2001,6)+1,99)</f>
        <v>XResolution</v>
      </c>
      <c r="F2001" s="2" t="s">
        <v>8259</v>
      </c>
      <c r="G2001" s="5" t="s">
        <v>9671</v>
      </c>
      <c r="H2001" s="3" t="s">
        <v>2511</v>
      </c>
      <c r="I2001" s="7"/>
      <c r="J2001" s="8"/>
      <c r="K2001" s="26"/>
      <c r="L2001" s="6" t="str">
        <f>IFERROR(VLOOKUP(E2001,A:I,9, FALSE),"")</f>
        <v>Auflösung X</v>
      </c>
      <c r="M2001" s="6" t="str">
        <f>IFERROR(VLOOKUP(H2001,B:J,9,FALSE),"")</f>
        <v>Die Anzahl von Pixeln pro &lt;ResolutionUnit&gt; im &lt;ImageWidth&gt; Richtung. Wenn die Bildauflösung unbekannt ist, wird 72 [dpi] zugeordnet.</v>
      </c>
      <c r="N2001" s="6"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c>
    </row>
    <row r="2002" spans="1:16" ht="165" x14ac:dyDescent="0.25">
      <c r="A2002" s="5" t="str">
        <f>IF(TRIM(I2002)="","",E2002)</f>
        <v/>
      </c>
      <c r="B2002" s="5" t="str">
        <f>IF(TRIM(J2002)="","",H2002)</f>
        <v/>
      </c>
      <c r="C2002" s="5" t="str">
        <f>LEFT(F2002,FIND(".",F2002,6))</f>
        <v>Exif.Thumbnail.</v>
      </c>
      <c r="D2002" s="5" t="str">
        <f>VLOOKUP(C2002,PrefixUebersetzung,2,FALSE)</f>
        <v>Exif.Vorschaubild.</v>
      </c>
      <c r="E2002" s="5" t="str">
        <f>MID(F2002,FIND(".",F2002,6)+1,99)</f>
        <v>YCbCrCoefficients</v>
      </c>
      <c r="F2002" s="2" t="s">
        <v>8260</v>
      </c>
      <c r="G2002" s="5" t="s">
        <v>9671</v>
      </c>
      <c r="H2002" s="3" t="s">
        <v>2512</v>
      </c>
      <c r="I2002" s="7"/>
      <c r="J2002" s="8"/>
      <c r="K2002" s="26"/>
      <c r="L2002" s="6" t="str">
        <f>IFERROR(VLOOKUP(E2002,A:I,9, FALSE),"")</f>
        <v>YCbCr Koeffizienten</v>
      </c>
      <c r="M2002" s="6" t="str">
        <f>IFERROR(INDEX(J:J,MATCH(TRUE,INDEX(B:B=H2002,0),0)),"")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002" s="6"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row>
    <row r="2003" spans="1:16" ht="225" x14ac:dyDescent="0.25">
      <c r="A2003" s="5" t="str">
        <f>IF(TRIM(I2003)="","",E2003)</f>
        <v/>
      </c>
      <c r="B2003" s="5" t="str">
        <f>IF(TRIM(J2003)="","",H2003)</f>
        <v/>
      </c>
      <c r="C2003" s="5" t="str">
        <f>LEFT(F2003,FIND(".",F2003,6))</f>
        <v>Exif.Thumbnail.</v>
      </c>
      <c r="D2003" s="5" t="str">
        <f>VLOOKUP(C2003,PrefixUebersetzung,2,FALSE)</f>
        <v>Exif.Vorschaubild.</v>
      </c>
      <c r="E2003" s="5" t="str">
        <f>MID(F2003,FIND(".",F2003,6)+1,99)</f>
        <v>YCbCrPositioning</v>
      </c>
      <c r="F2003" s="2" t="s">
        <v>8261</v>
      </c>
      <c r="G2003" s="5" t="s">
        <v>9664</v>
      </c>
      <c r="H2003" s="3" t="s">
        <v>2513</v>
      </c>
      <c r="I2003" s="7"/>
      <c r="J2003" s="8"/>
      <c r="K2003" s="26"/>
      <c r="L2003" s="6" t="str">
        <f>IFERROR(VLOOKUP(E2003,A:I,9, FALSE),"")</f>
        <v>YCbCr Positionierung</v>
      </c>
      <c r="M2003" s="6" t="str">
        <f>IFERROR(INDEX(J:J,MATCH(TRUE,INDEX(B:B=H2003,0),0)),"")</f>
        <v/>
      </c>
      <c r="N2003" s="6"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xml:space="preserve">Description not translated </v>
      </c>
    </row>
    <row r="2004" spans="1:16" ht="60" x14ac:dyDescent="0.25">
      <c r="A2004" s="5" t="str">
        <f>IF(TRIM(I2004)="","",E2004)</f>
        <v/>
      </c>
      <c r="B2004" s="5" t="str">
        <f>IF(TRIM(J2004)="","",H2004)</f>
        <v/>
      </c>
      <c r="C2004" s="5" t="str">
        <f>LEFT(F2004,FIND(".",F2004,6))</f>
        <v>Exif.Thumbnail.</v>
      </c>
      <c r="D2004" s="5" t="str">
        <f>VLOOKUP(C2004,PrefixUebersetzung,2,FALSE)</f>
        <v>Exif.Vorschaubild.</v>
      </c>
      <c r="E2004" s="5" t="str">
        <f>MID(F2004,FIND(".",F2004,6)+1,99)</f>
        <v>YCbCrSubSampling</v>
      </c>
      <c r="F2004" s="2" t="s">
        <v>8262</v>
      </c>
      <c r="G2004" s="5" t="s">
        <v>9664</v>
      </c>
      <c r="H2004" s="3" t="s">
        <v>2514</v>
      </c>
      <c r="I2004" s="7"/>
      <c r="J2004" s="8"/>
      <c r="K2004" s="26"/>
      <c r="L2004" s="6" t="str">
        <f>IFERROR(VLOOKUP(E2004,A:I,9, FALSE),"")</f>
        <v>YCbCr Unterabtastung</v>
      </c>
      <c r="M2004" s="6" t="str">
        <f>IFERROR(VLOOKUP(H2004,B:J,9,FALSE),"")</f>
        <v/>
      </c>
      <c r="N2004" s="6"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xml:space="preserve">Description not translated </v>
      </c>
    </row>
    <row r="2005" spans="1:16" ht="30" x14ac:dyDescent="0.25">
      <c r="A2005" s="5" t="str">
        <f>IF(TRIM(I2005)="","",E2005)</f>
        <v/>
      </c>
      <c r="B2005" s="5" t="str">
        <f>IF(TRIM(J2005)="","",H2005)</f>
        <v/>
      </c>
      <c r="C2005" s="5" t="str">
        <f>LEFT(F2005,FIND(".",F2005,6))</f>
        <v>Exif.Thumbnail.</v>
      </c>
      <c r="D2005" s="5" t="str">
        <f>VLOOKUP(C2005,PrefixUebersetzung,2,FALSE)</f>
        <v>Exif.Vorschaubild.</v>
      </c>
      <c r="E2005" s="5" t="str">
        <f>MID(F2005,FIND(".",F2005,6)+1,99)</f>
        <v>YClipPathUnits</v>
      </c>
      <c r="F2005" s="2" t="s">
        <v>8263</v>
      </c>
      <c r="G2005" s="5" t="s">
        <v>9665</v>
      </c>
      <c r="H2005" s="3" t="s">
        <v>2515</v>
      </c>
      <c r="I2005" s="7"/>
      <c r="J2005" s="8"/>
      <c r="K2005" s="26"/>
      <c r="L2005" s="6" t="str">
        <f>IFERROR(VLOOKUP(E2005,A:I,9, FALSE),"")</f>
        <v/>
      </c>
      <c r="M2005" s="6" t="str">
        <f>IFERROR(VLOOKUP(H2005,B:J,9,FALSE),"")</f>
        <v/>
      </c>
      <c r="N2005" s="6"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xml:space="preserve">Suffix not translated Description not translated </v>
      </c>
    </row>
    <row r="2006" spans="1:16" ht="60" x14ac:dyDescent="0.25">
      <c r="A2006" s="5" t="str">
        <f>IF(TRIM(I2006)="","",E2006)</f>
        <v/>
      </c>
      <c r="B2006" s="5" t="str">
        <f>IF(TRIM(J2006)="","",H2006)</f>
        <v/>
      </c>
      <c r="C2006" s="5" t="str">
        <f>LEFT(F2006,FIND(".",F2006,6))</f>
        <v>Exif.Thumbnail.</v>
      </c>
      <c r="D2006" s="5" t="str">
        <f>VLOOKUP(C2006,PrefixUebersetzung,2,FALSE)</f>
        <v>Exif.Vorschaubild.</v>
      </c>
      <c r="E2006" s="5" t="str">
        <f>MID(F2006,FIND(".",F2006,6)+1,99)</f>
        <v>YResolution</v>
      </c>
      <c r="F2006" s="2" t="s">
        <v>8264</v>
      </c>
      <c r="G2006" s="5" t="s">
        <v>9671</v>
      </c>
      <c r="H2006" s="3" t="s">
        <v>2516</v>
      </c>
      <c r="I2006" s="7"/>
      <c r="J2006" s="8"/>
      <c r="K2006" s="26"/>
      <c r="L2006" s="6" t="str">
        <f>IFERROR(VLOOKUP(E2006,A:I,9, FALSE),"")</f>
        <v>Auflösung Y</v>
      </c>
      <c r="M2006" s="6" t="str">
        <f>IFERROR(VLOOKUP(H2006,B:J,9,FALSE),"")</f>
        <v>Die Anzahl von Pixeln pro &lt;ResolutionUnit&gt; im &lt;ImageLength&gt; Richtung. Der gleiche Wert wie für &lt;XResolution&gt; wird zugeordnet.</v>
      </c>
      <c r="N2006" s="6"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c>
    </row>
    <row r="2007" spans="1:16" ht="45" x14ac:dyDescent="0.25">
      <c r="A2007" s="5" t="str">
        <f>IF(TRIM(I2007)="","",E2007)</f>
        <v/>
      </c>
      <c r="B2007" s="5" t="str">
        <f>IF(TRIM(J2007)="","",H2007)</f>
        <v>AF point (selected from different tags - especially from maker specific tags)</v>
      </c>
      <c r="C2007" s="5" t="str">
        <f>LEFT(F2007,FIND(".",F2007,6))</f>
        <v>ExifEasy.</v>
      </c>
      <c r="D2007" s="5" t="str">
        <f>VLOOKUP(C2007,PrefixUebersetzung,2,FALSE)</f>
        <v>ExifEasy (Exif Einfachzugriff).</v>
      </c>
      <c r="E2007" s="5" t="str">
        <f>MID(F2007,FIND(".",F2007,6)+1,99)</f>
        <v>AFPoint</v>
      </c>
      <c r="F2007" s="5" t="s">
        <v>1554</v>
      </c>
      <c r="G2007" s="5" t="s">
        <v>9663</v>
      </c>
      <c r="H2007" s="6" t="s">
        <v>3227</v>
      </c>
      <c r="I2007" s="7"/>
      <c r="J2007" s="14" t="s">
        <v>5267</v>
      </c>
      <c r="K2007" s="26"/>
      <c r="L2007" s="6" t="str">
        <f>IFERROR(VLOOKUP(E2007,A:I,9, FALSE),"")</f>
        <v>AF Messfeld ausgewählt</v>
      </c>
      <c r="N2007" s="6"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6" t="s">
        <v>8574</v>
      </c>
    </row>
    <row r="2008" spans="1:16" ht="30" x14ac:dyDescent="0.25">
      <c r="A2008" s="5" t="str">
        <f>IF(TRIM(I2008)="","",E2008)</f>
        <v>CameraMake</v>
      </c>
      <c r="B2008" s="5" t="str">
        <f>IF(TRIM(J2008)="","",H2008)</f>
        <v>Camera make (selected from different tags - especially from maker specific tags)</v>
      </c>
      <c r="C2008" s="5" t="str">
        <f>LEFT(F2008,FIND(".",F2008,6))</f>
        <v>ExifEasy.</v>
      </c>
      <c r="D2008" s="5" t="str">
        <f>VLOOKUP(C2008,PrefixUebersetzung,2,FALSE)</f>
        <v>ExifEasy (Exif Einfachzugriff).</v>
      </c>
      <c r="E2008" s="5" t="str">
        <f>MID(F2008,FIND(".",F2008,6)+1,99)</f>
        <v>CameraMake</v>
      </c>
      <c r="F2008" s="5" t="s">
        <v>1555</v>
      </c>
      <c r="G2008" s="5" t="s">
        <v>9663</v>
      </c>
      <c r="H2008" s="6" t="s">
        <v>3228</v>
      </c>
      <c r="I2008" s="7" t="s">
        <v>4454</v>
      </c>
      <c r="J2008" s="14" t="s">
        <v>5230</v>
      </c>
      <c r="K2008" s="26"/>
      <c r="N2008" s="6"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6" t="s">
        <v>8574</v>
      </c>
      <c r="P2008" s="6" t="s">
        <v>8574</v>
      </c>
    </row>
    <row r="2009" spans="1:16" ht="30" x14ac:dyDescent="0.25">
      <c r="A2009" s="5" t="str">
        <f>IF(TRIM(I2009)="","",E2009)</f>
        <v>CameraModel</v>
      </c>
      <c r="B2009" s="5" t="str">
        <f>IF(TRIM(J2009)="","",H2009)</f>
        <v>Camera model (selected from different tags - especially from maker specific tags)</v>
      </c>
      <c r="C2009" s="5" t="str">
        <f>LEFT(F2009,FIND(".",F2009,6))</f>
        <v>ExifEasy.</v>
      </c>
      <c r="D2009" s="5" t="str">
        <f>VLOOKUP(C2009,PrefixUebersetzung,2,FALSE)</f>
        <v>ExifEasy (Exif Einfachzugriff).</v>
      </c>
      <c r="E2009" s="5" t="str">
        <f>MID(F2009,FIND(".",F2009,6)+1,99)</f>
        <v>CameraModel</v>
      </c>
      <c r="F2009" s="5" t="s">
        <v>1556</v>
      </c>
      <c r="G2009" s="5" t="s">
        <v>9663</v>
      </c>
      <c r="H2009" s="6" t="s">
        <v>3229</v>
      </c>
      <c r="I2009" s="7" t="s">
        <v>4455</v>
      </c>
      <c r="J2009" s="14" t="s">
        <v>5231</v>
      </c>
      <c r="K2009" s="26"/>
      <c r="L2009" s="6" t="str">
        <f>IFERROR(VLOOKUP(E2009,A:I,9, FALSE),"")</f>
        <v>Kameramodell</v>
      </c>
      <c r="N2009" s="6"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c r="O2009" s="6" t="s">
        <v>8574</v>
      </c>
      <c r="P2009" s="6" t="s">
        <v>8574</v>
      </c>
    </row>
    <row r="2010" spans="1:16" ht="30" x14ac:dyDescent="0.25">
      <c r="A2010" s="5" t="str">
        <f>IF(TRIM(I2010)="","",E2010)</f>
        <v/>
      </c>
      <c r="B2010" s="5" t="str">
        <f>IF(TRIM(J2010)="","",H2010)</f>
        <v>Camera serial number (selected from different tags - especially from maker specific tags)</v>
      </c>
      <c r="C2010" s="5" t="str">
        <f>LEFT(F2010,FIND(".",F2010,6))</f>
        <v>ExifEasy.</v>
      </c>
      <c r="D2010" s="5" t="str">
        <f>VLOOKUP(C2010,PrefixUebersetzung,2,FALSE)</f>
        <v>ExifEasy (Exif Einfachzugriff).</v>
      </c>
      <c r="E2010" s="5" t="str">
        <f>MID(F2010,FIND(".",F2010,6)+1,99)</f>
        <v>CameraSerialNumber</v>
      </c>
      <c r="F2010" s="5" t="s">
        <v>1557</v>
      </c>
      <c r="G2010" s="5" t="s">
        <v>9663</v>
      </c>
      <c r="H2010" s="6" t="s">
        <v>3230</v>
      </c>
      <c r="I2010" s="7"/>
      <c r="J2010" s="14" t="s">
        <v>5232</v>
      </c>
      <c r="K2010" s="26"/>
      <c r="L2010" s="6" t="str">
        <f>IFERROR(VLOOKUP(E2010,A:I,9, FALSE),"")</f>
        <v>Kameraseriennummer</v>
      </c>
      <c r="N2010" s="6"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c>
      <c r="P2010" s="6" t="s">
        <v>8574</v>
      </c>
    </row>
    <row r="2011" spans="1:16" ht="30" x14ac:dyDescent="0.25">
      <c r="A2011" s="5" t="str">
        <f>IF(TRIM(I2011)="","",E2011)</f>
        <v/>
      </c>
      <c r="B2011" s="5" t="str">
        <f>IF(TRIM(J2011)="","",H2011)</f>
        <v>Contrast (selected from different tags - especially from maker specific tags)</v>
      </c>
      <c r="C2011" s="5" t="str">
        <f>LEFT(F2011,FIND(".",F2011,6))</f>
        <v>ExifEasy.</v>
      </c>
      <c r="D2011" s="5" t="str">
        <f>VLOOKUP(C2011,PrefixUebersetzung,2,FALSE)</f>
        <v>ExifEasy (Exif Einfachzugriff).</v>
      </c>
      <c r="E2011" s="5" t="str">
        <f>MID(F2011,FIND(".",F2011,6)+1,99)</f>
        <v>Contrast</v>
      </c>
      <c r="F2011" s="5" t="s">
        <v>1558</v>
      </c>
      <c r="G2011" s="5" t="s">
        <v>9663</v>
      </c>
      <c r="H2011" s="6" t="s">
        <v>3231</v>
      </c>
      <c r="J2011" s="14" t="s">
        <v>5233</v>
      </c>
      <c r="K2011" s="26"/>
      <c r="L2011" s="6" t="str">
        <f>IFERROR(VLOOKUP(E2011,A:I,9, FALSE),"")</f>
        <v>Kontrast</v>
      </c>
      <c r="N2011" s="6"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c r="P2011" s="6" t="s">
        <v>8574</v>
      </c>
    </row>
    <row r="2012" spans="1:16" ht="30" x14ac:dyDescent="0.25">
      <c r="A2012" s="5" t="str">
        <f>IF(TRIM(I2012)="","",E2012)</f>
        <v/>
      </c>
      <c r="B2012" s="5" t="str">
        <f>IF(TRIM(J2012)="","",H2012)</f>
        <v>Exposure mode (selected from different tags - especially from maker specific tags)</v>
      </c>
      <c r="C2012" s="5" t="str">
        <f>LEFT(F2012,FIND(".",F2012,6))</f>
        <v>ExifEasy.</v>
      </c>
      <c r="D2012" s="5" t="str">
        <f>VLOOKUP(C2012,PrefixUebersetzung,2,FALSE)</f>
        <v>ExifEasy (Exif Einfachzugriff).</v>
      </c>
      <c r="E2012" s="5" t="str">
        <f>MID(F2012,FIND(".",F2012,6)+1,99)</f>
        <v>ExposureMode</v>
      </c>
      <c r="F2012" s="5" t="s">
        <v>1559</v>
      </c>
      <c r="G2012" s="5" t="s">
        <v>9663</v>
      </c>
      <c r="H2012" s="6" t="s">
        <v>3232</v>
      </c>
      <c r="I2012" s="7"/>
      <c r="J2012" s="14" t="s">
        <v>5234</v>
      </c>
      <c r="K2012" s="26"/>
      <c r="L2012" s="6" t="str">
        <f>IFERROR(VLOOKUP(E2012,A:I,9, FALSE),"")</f>
        <v>Belichtungsmodus</v>
      </c>
      <c r="N2012" s="6"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c r="P2012" s="6" t="s">
        <v>8574</v>
      </c>
    </row>
    <row r="2013" spans="1:16" ht="30" x14ac:dyDescent="0.25">
      <c r="A2013" s="5" t="str">
        <f>IF(TRIM(I2013)="","",E2013)</f>
        <v/>
      </c>
      <c r="B2013" s="5" t="str">
        <f>IF(TRIM(J2013)="","",H2013)</f>
        <v>Exposure time (selected from different tags - especially from maker specific tags)</v>
      </c>
      <c r="C2013" s="5" t="str">
        <f>LEFT(F2013,FIND(".",F2013,6))</f>
        <v>ExifEasy.</v>
      </c>
      <c r="D2013" s="5" t="str">
        <f>VLOOKUP(C2013,PrefixUebersetzung,2,FALSE)</f>
        <v>ExifEasy (Exif Einfachzugriff).</v>
      </c>
      <c r="E2013" s="5" t="str">
        <f>MID(F2013,FIND(".",F2013,6)+1,99)</f>
        <v>ExposureTime</v>
      </c>
      <c r="F2013" s="5" t="s">
        <v>1560</v>
      </c>
      <c r="G2013" s="5" t="s">
        <v>9663</v>
      </c>
      <c r="H2013" s="6" t="s">
        <v>3233</v>
      </c>
      <c r="I2013" s="7"/>
      <c r="J2013" s="14" t="s">
        <v>5235</v>
      </c>
      <c r="K2013" s="26"/>
      <c r="L2013" s="6" t="str">
        <f>IFERROR(VLOOKUP(E2013,A:I,9, FALSE),"")</f>
        <v>Belichtungszeit</v>
      </c>
      <c r="N2013" s="6"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6" t="s">
        <v>8574</v>
      </c>
    </row>
    <row r="2014" spans="1:16" ht="30" x14ac:dyDescent="0.25">
      <c r="A2014" s="5" t="str">
        <f>IF(TRIM(I2014)="","",E2014)</f>
        <v/>
      </c>
      <c r="B2014" s="5" t="str">
        <f>IF(TRIM(J2014)="","",H2014)</f>
        <v>Flash bias (selected from different tags - especially from maker specific tags)</v>
      </c>
      <c r="C2014" s="5" t="str">
        <f>LEFT(F2014,FIND(".",F2014,6))</f>
        <v>ExifEasy.</v>
      </c>
      <c r="D2014" s="5" t="str">
        <f>VLOOKUP(C2014,PrefixUebersetzung,2,FALSE)</f>
        <v>ExifEasy (Exif Einfachzugriff).</v>
      </c>
      <c r="E2014" s="5" t="str">
        <f>MID(F2014,FIND(".",F2014,6)+1,99)</f>
        <v>FlashBias</v>
      </c>
      <c r="F2014" s="5" t="s">
        <v>1561</v>
      </c>
      <c r="G2014" s="5" t="s">
        <v>9663</v>
      </c>
      <c r="H2014" s="6" t="s">
        <v>3234</v>
      </c>
      <c r="I2014" s="7"/>
      <c r="J2014" s="14" t="s">
        <v>5236</v>
      </c>
      <c r="K2014" s="26"/>
      <c r="L2014" s="6" t="str">
        <f>IFERROR(VLOOKUP(E2014,A:I,9, FALSE),"")</f>
        <v>Blitzkorrektur</v>
      </c>
      <c r="N2014" s="6"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c r="P2014" s="6" t="s">
        <v>8574</v>
      </c>
    </row>
    <row r="2015" spans="1:16" ht="30" x14ac:dyDescent="0.25">
      <c r="A2015" s="5" t="str">
        <f>IF(TRIM(I2015)="","",E2015)</f>
        <v/>
      </c>
      <c r="B2015" s="5" t="str">
        <f>IF(TRIM(J2015)="","",H2015)</f>
        <v>FNumber (selected from different tags - especially from maker specific tags)</v>
      </c>
      <c r="C2015" s="5" t="str">
        <f>LEFT(F2015,FIND(".",F2015,6))</f>
        <v>ExifEasy.</v>
      </c>
      <c r="D2015" s="5" t="str">
        <f>VLOOKUP(C2015,PrefixUebersetzung,2,FALSE)</f>
        <v>ExifEasy (Exif Einfachzugriff).</v>
      </c>
      <c r="E2015" s="5" t="str">
        <f>MID(F2015,FIND(".",F2015,6)+1,99)</f>
        <v>FNumber</v>
      </c>
      <c r="F2015" s="5" t="s">
        <v>1562</v>
      </c>
      <c r="G2015" s="5" t="s">
        <v>9663</v>
      </c>
      <c r="H2015" s="6" t="s">
        <v>3235</v>
      </c>
      <c r="I2015" s="7"/>
      <c r="J2015" s="14" t="s">
        <v>5237</v>
      </c>
      <c r="K2015" s="26"/>
      <c r="L2015" s="6" t="str">
        <f>IFERROR(VLOOKUP(E2015,A:I,9, FALSE),"")</f>
        <v>Blendenzahl</v>
      </c>
      <c r="N2015" s="6"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c r="P2015" s="6" t="s">
        <v>8574</v>
      </c>
    </row>
    <row r="2016" spans="1:16" ht="30" x14ac:dyDescent="0.25">
      <c r="A2016" s="5" t="str">
        <f>IF(TRIM(I2016)="","",E2016)</f>
        <v/>
      </c>
      <c r="B2016" s="5" t="str">
        <f>IF(TRIM(J2016)="","",H2016)</f>
        <v>Focal length (selected from different tags - especially from maker specific tags)</v>
      </c>
      <c r="C2016" s="5" t="str">
        <f>LEFT(F2016,FIND(".",F2016,6))</f>
        <v>ExifEasy.</v>
      </c>
      <c r="D2016" s="5" t="str">
        <f>VLOOKUP(C2016,PrefixUebersetzung,2,FALSE)</f>
        <v>ExifEasy (Exif Einfachzugriff).</v>
      </c>
      <c r="E2016" s="5" t="str">
        <f>MID(F2016,FIND(".",F2016,6)+1,99)</f>
        <v>FocalLength</v>
      </c>
      <c r="F2016" s="5" t="s">
        <v>1563</v>
      </c>
      <c r="G2016" s="5" t="s">
        <v>9663</v>
      </c>
      <c r="H2016" s="6" t="s">
        <v>3236</v>
      </c>
      <c r="I2016" s="7"/>
      <c r="J2016" s="14" t="s">
        <v>5238</v>
      </c>
      <c r="K2016" s="26"/>
      <c r="L2016" s="6" t="str">
        <f>IFERROR(VLOOKUP(E2016,A:I,9, FALSE),"")</f>
        <v>Brennweite</v>
      </c>
      <c r="N2016" s="6"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c>
      <c r="P2016" s="6" t="s">
        <v>8574</v>
      </c>
    </row>
    <row r="2017" spans="1:17" ht="30" x14ac:dyDescent="0.25">
      <c r="A2017" s="5" t="str">
        <f>IF(TRIM(I2017)="","",E2017)</f>
        <v>ImageQuality</v>
      </c>
      <c r="B2017" s="5" t="str">
        <f>IF(TRIM(J2017)="","",H2017)</f>
        <v>Image quality (selected from different tags - especially from maker specific tags)</v>
      </c>
      <c r="C2017" s="5" t="str">
        <f>LEFT(F2017,FIND(".",F2017,6))</f>
        <v>ExifEasy.</v>
      </c>
      <c r="D2017" s="5" t="str">
        <f>VLOOKUP(C2017,PrefixUebersetzung,2,FALSE)</f>
        <v>ExifEasy (Exif Einfachzugriff).</v>
      </c>
      <c r="E2017" s="5" t="str">
        <f>MID(F2017,FIND(".",F2017,6)+1,99)</f>
        <v>ImageQuality</v>
      </c>
      <c r="F2017" s="5" t="s">
        <v>1564</v>
      </c>
      <c r="G2017" s="5" t="s">
        <v>9663</v>
      </c>
      <c r="H2017" s="6" t="s">
        <v>3237</v>
      </c>
      <c r="I2017" s="7" t="s">
        <v>3909</v>
      </c>
      <c r="J2017" s="14" t="s">
        <v>5239</v>
      </c>
      <c r="K2017" s="26"/>
      <c r="N2017" s="6"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c r="O2017" s="6" t="s">
        <v>8574</v>
      </c>
      <c r="P2017" s="6" t="s">
        <v>8574</v>
      </c>
    </row>
    <row r="2018" spans="1:17" ht="30" x14ac:dyDescent="0.25">
      <c r="A2018" s="5" t="str">
        <f>IF(TRIM(I2018)="","",E2018)</f>
        <v/>
      </c>
      <c r="B2018" s="5" t="str">
        <f>IF(TRIM(J2018)="","",H2018)</f>
        <v>ISO speed (selected from different tags - especially from maker specific tags)</v>
      </c>
      <c r="C2018" s="5" t="str">
        <f>LEFT(F2018,FIND(".",F2018,6))</f>
        <v>ExifEasy.</v>
      </c>
      <c r="D2018" s="5" t="str">
        <f>VLOOKUP(C2018,PrefixUebersetzung,2,FALSE)</f>
        <v>ExifEasy (Exif Einfachzugriff).</v>
      </c>
      <c r="E2018" s="5" t="str">
        <f>MID(F2018,FIND(".",F2018,6)+1,99)</f>
        <v>ISOspeed</v>
      </c>
      <c r="F2018" s="5" t="s">
        <v>1565</v>
      </c>
      <c r="G2018" s="5" t="s">
        <v>9663</v>
      </c>
      <c r="H2018" s="6" t="s">
        <v>3238</v>
      </c>
      <c r="I2018" s="7"/>
      <c r="J2018" s="14" t="s">
        <v>5240</v>
      </c>
      <c r="K2018" s="26"/>
      <c r="L2018" s="6" t="str">
        <f>IFERROR(VLOOKUP(E2018,A:I,9, FALSE),"")</f>
        <v>ISO-Empfindlichkeit</v>
      </c>
      <c r="N2018" s="6"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c r="P2018" s="6" t="s">
        <v>8574</v>
      </c>
    </row>
    <row r="2019" spans="1:17" ht="30" x14ac:dyDescent="0.25">
      <c r="A2019" s="5" t="str">
        <f>IF(TRIM(I2019)="","",E2019)</f>
        <v>LensName</v>
      </c>
      <c r="B2019" s="5" t="str">
        <f>IF(TRIM(J2019)="","",H2019)</f>
        <v>Lens name (selected from different tags - especially from maker specific tags)</v>
      </c>
      <c r="C2019" s="5" t="str">
        <f>LEFT(F2019,FIND(".",F2019,6))</f>
        <v>ExifEasy.</v>
      </c>
      <c r="D2019" s="5" t="str">
        <f>VLOOKUP(C2019,PrefixUebersetzung,2,FALSE)</f>
        <v>ExifEasy (Exif Einfachzugriff).</v>
      </c>
      <c r="E2019" s="5" t="str">
        <f>MID(F2019,FIND(".",F2019,6)+1,99)</f>
        <v>LensName</v>
      </c>
      <c r="F2019" s="5" t="s">
        <v>1566</v>
      </c>
      <c r="G2019" s="5" t="s">
        <v>9663</v>
      </c>
      <c r="H2019" s="6" t="s">
        <v>3239</v>
      </c>
      <c r="I2019" s="7" t="s">
        <v>5130</v>
      </c>
      <c r="J2019" s="14" t="s">
        <v>5241</v>
      </c>
      <c r="K2019" s="26"/>
      <c r="N2019" s="6"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c r="O2019" s="6" t="s">
        <v>8574</v>
      </c>
      <c r="P2019" s="6" t="s">
        <v>8574</v>
      </c>
    </row>
    <row r="2020" spans="1:17" ht="30" x14ac:dyDescent="0.25">
      <c r="A2020" s="5" t="str">
        <f>IF(TRIM(I2020)="","",E2020)</f>
        <v/>
      </c>
      <c r="B2020" s="5" t="str">
        <f>IF(TRIM(J2020)="","",H2020)</f>
        <v>Macro mode (selected from different tags - especially from maker specific tags)</v>
      </c>
      <c r="C2020" s="5" t="str">
        <f>LEFT(F2020,FIND(".",F2020,6))</f>
        <v>ExifEasy.</v>
      </c>
      <c r="D2020" s="5" t="str">
        <f>VLOOKUP(C2020,PrefixUebersetzung,2,FALSE)</f>
        <v>ExifEasy (Exif Einfachzugriff).</v>
      </c>
      <c r="E2020" s="5" t="str">
        <f>MID(F2020,FIND(".",F2020,6)+1,99)</f>
        <v>MacroMode</v>
      </c>
      <c r="F2020" s="5" t="s">
        <v>1567</v>
      </c>
      <c r="G2020" s="5" t="s">
        <v>9663</v>
      </c>
      <c r="H2020" s="6" t="s">
        <v>3240</v>
      </c>
      <c r="I2020" s="7"/>
      <c r="J2020" s="14" t="s">
        <v>5242</v>
      </c>
      <c r="K2020" s="26"/>
      <c r="L2020" s="6" t="str">
        <f>IFERROR(VLOOKUP(E2020,A:I,9, FALSE),"")</f>
        <v>Makromodus</v>
      </c>
      <c r="N2020" s="6"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P2020" s="6" t="s">
        <v>8574</v>
      </c>
    </row>
    <row r="2021" spans="1:17" ht="30" x14ac:dyDescent="0.25">
      <c r="A2021" s="5" t="str">
        <f>IF(TRIM(I2021)="","",E2021)</f>
        <v/>
      </c>
      <c r="B2021" s="5" t="str">
        <f>IF(TRIM(J2021)="","",H2021)</f>
        <v>Metering Mode (selected from different tags - especially from maker specific tags)</v>
      </c>
      <c r="C2021" s="5" t="str">
        <f>LEFT(F2021,FIND(".",F2021,6))</f>
        <v>ExifEasy.</v>
      </c>
      <c r="D2021" s="5" t="str">
        <f>VLOOKUP(C2021,PrefixUebersetzung,2,FALSE)</f>
        <v>ExifEasy (Exif Einfachzugriff).</v>
      </c>
      <c r="E2021" s="5" t="str">
        <f>MID(F2021,FIND(".",F2021,6)+1,99)</f>
        <v>MeteringMode</v>
      </c>
      <c r="F2021" s="5" t="s">
        <v>1568</v>
      </c>
      <c r="G2021" s="5" t="s">
        <v>9663</v>
      </c>
      <c r="H2021" s="6" t="s">
        <v>5423</v>
      </c>
      <c r="I2021" s="7"/>
      <c r="J2021" s="14" t="s">
        <v>5243</v>
      </c>
      <c r="K2021" s="26"/>
      <c r="L2021" s="6" t="str">
        <f>IFERROR(VLOOKUP(E2021,A:I,9, FALSE),"")</f>
        <v>Messmethode</v>
      </c>
      <c r="N2021" s="6"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c r="P2021" s="6" t="s">
        <v>8574</v>
      </c>
    </row>
    <row r="2022" spans="1:17" ht="30" x14ac:dyDescent="0.25">
      <c r="A2022" s="5" t="str">
        <f>IF(TRIM(I2022)="","",E2022)</f>
        <v/>
      </c>
      <c r="B2022" s="5" t="str">
        <f>IF(TRIM(J2022)="","",H2022)</f>
        <v>Orientation (selected from different tags - especially from maker specific tags)</v>
      </c>
      <c r="C2022" s="5" t="str">
        <f>LEFT(F2022,FIND(".",F2022,6))</f>
        <v>ExifEasy.</v>
      </c>
      <c r="D2022" s="5" t="str">
        <f>VLOOKUP(C2022,PrefixUebersetzung,2,FALSE)</f>
        <v>ExifEasy (Exif Einfachzugriff).</v>
      </c>
      <c r="E2022" s="5" t="str">
        <f>MID(F2022,FIND(".",F2022,6)+1,99)</f>
        <v>Orientation</v>
      </c>
      <c r="F2022" s="5" t="s">
        <v>1569</v>
      </c>
      <c r="G2022" s="5" t="s">
        <v>9663</v>
      </c>
      <c r="H2022" s="6" t="s">
        <v>3241</v>
      </c>
      <c r="I2022" s="7"/>
      <c r="J2022" s="14" t="s">
        <v>5244</v>
      </c>
      <c r="K2022" s="26"/>
      <c r="L2022" s="6" t="str">
        <f>IFERROR(VLOOKUP(E2022,A:I,9, FALSE),"")</f>
        <v>Ausrichtung</v>
      </c>
      <c r="N2022" s="6"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P2022" s="6" t="s">
        <v>8574</v>
      </c>
    </row>
    <row r="2023" spans="1:17" ht="30" x14ac:dyDescent="0.25">
      <c r="A2023" s="5" t="str">
        <f>IF(TRIM(I2023)="","",E2023)</f>
        <v/>
      </c>
      <c r="B2023" s="5" t="str">
        <f>IF(TRIM(J2023)="","",H2023)</f>
        <v>Saturation (selected from different tags - especially from maker specific tags)</v>
      </c>
      <c r="C2023" s="5" t="str">
        <f>LEFT(F2023,FIND(".",F2023,6))</f>
        <v>ExifEasy.</v>
      </c>
      <c r="D2023" s="5" t="str">
        <f>VLOOKUP(C2023,PrefixUebersetzung,2,FALSE)</f>
        <v>ExifEasy (Exif Einfachzugriff).</v>
      </c>
      <c r="E2023" s="5" t="str">
        <f>MID(F2023,FIND(".",F2023,6)+1,99)</f>
        <v>Saturation</v>
      </c>
      <c r="F2023" s="5" t="s">
        <v>1570</v>
      </c>
      <c r="G2023" s="5" t="s">
        <v>9663</v>
      </c>
      <c r="H2023" s="6" t="s">
        <v>3242</v>
      </c>
      <c r="I2023" s="7"/>
      <c r="J2023" s="14" t="s">
        <v>5245</v>
      </c>
      <c r="K2023" s="26"/>
      <c r="L2023" s="6" t="str">
        <f>IFERROR(VLOOKUP(E2023,A:I,9, FALSE),"")</f>
        <v>Sättigung</v>
      </c>
      <c r="N2023" s="6"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c r="P2023" s="6" t="s">
        <v>8574</v>
      </c>
    </row>
    <row r="2024" spans="1:17" ht="30" x14ac:dyDescent="0.25">
      <c r="A2024" s="5" t="str">
        <f>IF(TRIM(I2024)="","",E2024)</f>
        <v/>
      </c>
      <c r="B2024" s="5" t="str">
        <f>IF(TRIM(J2024)="","",H2024)</f>
        <v>Scene Capture Type (selected from different tags - especially from maker specific tags)</v>
      </c>
      <c r="C2024" s="5" t="str">
        <f>LEFT(F2024,FIND(".",F2024,6))</f>
        <v>ExifEasy.</v>
      </c>
      <c r="D2024" s="5" t="str">
        <f>VLOOKUP(C2024,PrefixUebersetzung,2,FALSE)</f>
        <v>ExifEasy (Exif Einfachzugriff).</v>
      </c>
      <c r="E2024" s="5" t="str">
        <f>MID(F2024,FIND(".",F2024,6)+1,99)</f>
        <v>SceneCaptureType</v>
      </c>
      <c r="F2024" s="5" t="s">
        <v>1571</v>
      </c>
      <c r="G2024" s="5" t="s">
        <v>9663</v>
      </c>
      <c r="H2024" s="6" t="s">
        <v>5424</v>
      </c>
      <c r="I2024" s="7"/>
      <c r="J2024" s="14" t="s">
        <v>5246</v>
      </c>
      <c r="K2024" s="26"/>
      <c r="L2024" s="6" t="str">
        <f>IFERROR(VLOOKUP(E2024,A:I,9, FALSE),"")</f>
        <v>Typ Aufnahmeszene</v>
      </c>
      <c r="N2024" s="6"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c r="P2024" s="6" t="s">
        <v>8574</v>
      </c>
    </row>
    <row r="2025" spans="1:17" ht="30" x14ac:dyDescent="0.25">
      <c r="A2025" s="5" t="str">
        <f>IF(TRIM(I2025)="","",E2025)</f>
        <v/>
      </c>
      <c r="B2025" s="5" t="str">
        <f>IF(TRIM(J2025)="","",H2025)</f>
        <v>Scene mode (selected from different tags - especially from maker specific tags)</v>
      </c>
      <c r="C2025" s="5" t="str">
        <f>LEFT(F2025,FIND(".",F2025,6))</f>
        <v>ExifEasy.</v>
      </c>
      <c r="D2025" s="5" t="str">
        <f>VLOOKUP(C2025,PrefixUebersetzung,2,FALSE)</f>
        <v>ExifEasy (Exif Einfachzugriff).</v>
      </c>
      <c r="E2025" s="5" t="str">
        <f>MID(F2025,FIND(".",F2025,6)+1,99)</f>
        <v>SceneMode</v>
      </c>
      <c r="F2025" s="5" t="s">
        <v>1572</v>
      </c>
      <c r="G2025" s="5" t="s">
        <v>9663</v>
      </c>
      <c r="H2025" s="6" t="s">
        <v>3243</v>
      </c>
      <c r="I2025" s="7"/>
      <c r="J2025" s="14" t="s">
        <v>5247</v>
      </c>
      <c r="K2025" s="26"/>
      <c r="L2025" s="6" t="str">
        <f>IFERROR(VLOOKUP(E2025,A:I,9, FALSE),"")</f>
        <v>Szenenmodus</v>
      </c>
      <c r="N2025" s="6"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c r="P2025" s="6" t="s">
        <v>8574</v>
      </c>
    </row>
    <row r="2026" spans="1:17" ht="30" x14ac:dyDescent="0.25">
      <c r="A2026" s="5" t="str">
        <f>IF(TRIM(I2026)="","",E2026)</f>
        <v/>
      </c>
      <c r="B2026" s="5" t="str">
        <f>IF(TRIM(J2026)="","",H2026)</f>
        <v>Sharpness (selected from different tags - especially from maker specific tags)</v>
      </c>
      <c r="C2026" s="5" t="str">
        <f>LEFT(F2026,FIND(".",F2026,6))</f>
        <v>ExifEasy.</v>
      </c>
      <c r="D2026" s="5" t="str">
        <f>VLOOKUP(C2026,PrefixUebersetzung,2,FALSE)</f>
        <v>ExifEasy (Exif Einfachzugriff).</v>
      </c>
      <c r="E2026" s="5" t="str">
        <f>MID(F2026,FIND(".",F2026,6)+1,99)</f>
        <v>Sharpness</v>
      </c>
      <c r="F2026" s="5" t="s">
        <v>1573</v>
      </c>
      <c r="G2026" s="5" t="s">
        <v>9663</v>
      </c>
      <c r="H2026" s="6" t="s">
        <v>3244</v>
      </c>
      <c r="I2026" s="7"/>
      <c r="J2026" s="14" t="s">
        <v>5248</v>
      </c>
      <c r="K2026" s="26"/>
      <c r="L2026" s="6" t="str">
        <f>IFERROR(VLOOKUP(E2026,A:I,9, FALSE),"")</f>
        <v>Schärfe</v>
      </c>
      <c r="N2026" s="6"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c r="P2026" s="6" t="s">
        <v>8574</v>
      </c>
    </row>
    <row r="2027" spans="1:17" ht="30" x14ac:dyDescent="0.25">
      <c r="A2027" s="5" t="str">
        <f>IF(TRIM(I2027)="","",E2027)</f>
        <v/>
      </c>
      <c r="B2027" s="5" t="str">
        <f>IF(TRIM(J2027)="","",H2027)</f>
        <v>Subject distance (selected from different tags - especially from maker specific tags)</v>
      </c>
      <c r="C2027" s="5" t="str">
        <f>LEFT(F2027,FIND(".",F2027,6))</f>
        <v>ExifEasy.</v>
      </c>
      <c r="D2027" s="5" t="str">
        <f>VLOOKUP(C2027,PrefixUebersetzung,2,FALSE)</f>
        <v>ExifEasy (Exif Einfachzugriff).</v>
      </c>
      <c r="E2027" s="5" t="str">
        <f>MID(F2027,FIND(".",F2027,6)+1,99)</f>
        <v>SubjectDistance</v>
      </c>
      <c r="F2027" s="5" t="s">
        <v>1574</v>
      </c>
      <c r="G2027" s="5" t="s">
        <v>9663</v>
      </c>
      <c r="H2027" s="6" t="s">
        <v>3245</v>
      </c>
      <c r="I2027" s="7"/>
      <c r="J2027" s="14" t="s">
        <v>5249</v>
      </c>
      <c r="K2027" s="26"/>
      <c r="L2027" s="6" t="str">
        <f>IFERROR(VLOOKUP(E2027,A:I,9, FALSE),"")</f>
        <v>Motivabstand</v>
      </c>
      <c r="N2027" s="6"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c r="P2027" s="6" t="s">
        <v>8574</v>
      </c>
    </row>
    <row r="2028" spans="1:17" ht="30" x14ac:dyDescent="0.25">
      <c r="A2028" s="5" t="str">
        <f>IF(TRIM(I2028)="","",E2028)</f>
        <v/>
      </c>
      <c r="B2028" s="5" t="str">
        <f>IF(TRIM(J2028)="","",H2028)</f>
        <v>White balance (selected from different tags - especially from maker specific tags)</v>
      </c>
      <c r="C2028" s="5" t="str">
        <f>LEFT(F2028,FIND(".",F2028,6))</f>
        <v>ExifEasy.</v>
      </c>
      <c r="D2028" s="5" t="str">
        <f>VLOOKUP(C2028,PrefixUebersetzung,2,FALSE)</f>
        <v>ExifEasy (Exif Einfachzugriff).</v>
      </c>
      <c r="E2028" s="5" t="str">
        <f>MID(F2028,FIND(".",F2028,6)+1,99)</f>
        <v>WhiteBalance</v>
      </c>
      <c r="F2028" s="5" t="s">
        <v>1575</v>
      </c>
      <c r="G2028" s="5" t="s">
        <v>9663</v>
      </c>
      <c r="H2028" s="6" t="s">
        <v>3246</v>
      </c>
      <c r="I2028" s="7"/>
      <c r="J2028" s="14" t="s">
        <v>5250</v>
      </c>
      <c r="K2028" s="26"/>
      <c r="L2028" s="6" t="str">
        <f>IFERROR(VLOOKUP(E2028,A:I,9, FALSE),"")</f>
        <v>Weißabgleich</v>
      </c>
      <c r="N2028" s="6"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c r="P2028" s="6" t="s">
        <v>8574</v>
      </c>
    </row>
    <row r="2029" spans="1:17" ht="60" x14ac:dyDescent="0.25">
      <c r="A2029" s="5" t="str">
        <f>IF(TRIM(I2029)="","",E2029)</f>
        <v/>
      </c>
      <c r="B2029" s="5" t="str">
        <f>IF(TRIM(J2029)="","",H2029)</f>
        <v/>
      </c>
      <c r="C2029" s="5" t="str">
        <f>LEFT(F2029,FIND(".",F2029,6))</f>
        <v>Iptc.Application2.</v>
      </c>
      <c r="D2029" s="5" t="str">
        <f>VLOOKUP(C2029,PrefixUebersetzung,2,FALSE)</f>
        <v>Iptc.Application2.</v>
      </c>
      <c r="E2029" s="5" t="str">
        <f>MID(F2029,FIND(".",F2029,6)+1,99)</f>
        <v>ActionAdvised</v>
      </c>
      <c r="F2029" s="5" t="s">
        <v>1576</v>
      </c>
      <c r="G2029" s="5" t="s">
        <v>9677</v>
      </c>
      <c r="H2029" s="6" t="s">
        <v>3247</v>
      </c>
      <c r="I2029" s="7"/>
      <c r="K2029" s="26"/>
      <c r="N2029" s="6"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xml:space="preserve">Suffix not translated Description not translated </v>
      </c>
      <c r="O2029" s="6" t="s">
        <v>8574</v>
      </c>
      <c r="P2029" s="6" t="s">
        <v>8574</v>
      </c>
    </row>
    <row r="2030" spans="1:17" ht="30" x14ac:dyDescent="0.25">
      <c r="A2030" s="5" t="str">
        <f>IF(TRIM(I2030)="","",E2030)</f>
        <v>AudioDuration</v>
      </c>
      <c r="B2030" s="5" t="str">
        <f>IF(TRIM(J2030)="","",H2030)</f>
        <v>Indicates the duration of an audio content.</v>
      </c>
      <c r="C2030" s="5" t="str">
        <f>LEFT(F2030,FIND(".",F2030,6))</f>
        <v>Iptc.Application2.</v>
      </c>
      <c r="D2030" s="5" t="str">
        <f>VLOOKUP(C2030,PrefixUebersetzung,2,FALSE)</f>
        <v>Iptc.Application2.</v>
      </c>
      <c r="E2030" s="5" t="str">
        <f>MID(F2030,FIND(".",F2030,6)+1,99)</f>
        <v>AudioDuration</v>
      </c>
      <c r="F2030" s="5" t="s">
        <v>1577</v>
      </c>
      <c r="G2030" s="5" t="s">
        <v>9677</v>
      </c>
      <c r="H2030" s="6" t="s">
        <v>3248</v>
      </c>
      <c r="I2030" s="7" t="s">
        <v>4456</v>
      </c>
      <c r="J2030" s="14" t="s">
        <v>5251</v>
      </c>
      <c r="K2030" s="26"/>
      <c r="N2030" s="6"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O2030" s="6" t="s">
        <v>8574</v>
      </c>
      <c r="P2030" s="6" t="s">
        <v>8574</v>
      </c>
      <c r="Q2030" s="6" t="s">
        <v>9371</v>
      </c>
    </row>
    <row r="2031" spans="1:17" ht="45" x14ac:dyDescent="0.25">
      <c r="A2031" s="5" t="str">
        <f>IF(TRIM(I2031)="","",E2031)</f>
        <v/>
      </c>
      <c r="B2031" s="5" t="str">
        <f>IF(TRIM(J2031)="","",H2031)</f>
        <v/>
      </c>
      <c r="C2031" s="5" t="str">
        <f>LEFT(F2031,FIND(".",F2031,6))</f>
        <v>Iptc.Application2.</v>
      </c>
      <c r="D2031" s="5" t="str">
        <f>VLOOKUP(C2031,PrefixUebersetzung,2,FALSE)</f>
        <v>Iptc.Application2.</v>
      </c>
      <c r="E2031" s="5" t="str">
        <f>MID(F2031,FIND(".",F2031,6)+1,99)</f>
        <v>AudioOutcue</v>
      </c>
      <c r="F2031" s="5" t="s">
        <v>1578</v>
      </c>
      <c r="G2031" s="5" t="s">
        <v>9677</v>
      </c>
      <c r="H2031" s="6" t="s">
        <v>3249</v>
      </c>
      <c r="I2031" s="7"/>
      <c r="K2031" s="26"/>
      <c r="N2031" s="6"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xml:space="preserve">Suffix not translated Description not translated </v>
      </c>
      <c r="O2031" s="6" t="s">
        <v>8574</v>
      </c>
      <c r="P2031" s="6" t="s">
        <v>8574</v>
      </c>
    </row>
    <row r="2032" spans="1:17" ht="30" x14ac:dyDescent="0.25">
      <c r="A2032" s="5" t="str">
        <f>IF(TRIM(I2032)="","",E2032)</f>
        <v>AudioRate</v>
      </c>
      <c r="B2032" s="5" t="str">
        <f>IF(TRIM(J2032)="","",H2032)</f>
        <v>Indicates the sampling rate in Hertz of an audio content.</v>
      </c>
      <c r="C2032" s="5" t="str">
        <f>LEFT(F2032,FIND(".",F2032,6))</f>
        <v>Iptc.Application2.</v>
      </c>
      <c r="D2032" s="5" t="str">
        <f>VLOOKUP(C2032,PrefixUebersetzung,2,FALSE)</f>
        <v>Iptc.Application2.</v>
      </c>
      <c r="E2032" s="5" t="str">
        <f>MID(F2032,FIND(".",F2032,6)+1,99)</f>
        <v>AudioRate</v>
      </c>
      <c r="F2032" s="5" t="s">
        <v>1579</v>
      </c>
      <c r="G2032" s="5" t="s">
        <v>9677</v>
      </c>
      <c r="H2032" s="6" t="s">
        <v>3250</v>
      </c>
      <c r="I2032" s="7" t="s">
        <v>4457</v>
      </c>
      <c r="J2032" s="14" t="s">
        <v>5252</v>
      </c>
      <c r="K2032" s="26"/>
      <c r="N2032" s="6"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c r="O2032" s="6" t="s">
        <v>8574</v>
      </c>
      <c r="P2032" s="6" t="s">
        <v>8574</v>
      </c>
      <c r="Q2032" s="6" t="s">
        <v>9373</v>
      </c>
    </row>
    <row r="2033" spans="1:17" ht="30" x14ac:dyDescent="0.25">
      <c r="A2033" s="5" t="str">
        <f>IF(TRIM(I2033)="","",E2033)</f>
        <v>AudioResolution</v>
      </c>
      <c r="B2033" s="5" t="str">
        <f>IF(TRIM(J2033)="","",H2033)</f>
        <v>Indicates the sampling resolution of an audio content.</v>
      </c>
      <c r="C2033" s="5" t="str">
        <f>LEFT(F2033,FIND(".",F2033,6))</f>
        <v>Iptc.Application2.</v>
      </c>
      <c r="D2033" s="5" t="str">
        <f>VLOOKUP(C2033,PrefixUebersetzung,2,FALSE)</f>
        <v>Iptc.Application2.</v>
      </c>
      <c r="E2033" s="5" t="str">
        <f>MID(F2033,FIND(".",F2033,6)+1,99)</f>
        <v>AudioResolution</v>
      </c>
      <c r="F2033" s="5" t="s">
        <v>1580</v>
      </c>
      <c r="G2033" s="5" t="s">
        <v>9677</v>
      </c>
      <c r="H2033" s="6" t="s">
        <v>3251</v>
      </c>
      <c r="I2033" s="7" t="s">
        <v>4458</v>
      </c>
      <c r="J2033" s="14" t="s">
        <v>5253</v>
      </c>
      <c r="K2033" s="26"/>
      <c r="N2033" s="6"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c r="O2033" s="6" t="s">
        <v>8574</v>
      </c>
      <c r="P2033" s="6" t="s">
        <v>8574</v>
      </c>
      <c r="Q2033" s="6" t="s">
        <v>9374</v>
      </c>
    </row>
    <row r="2034" spans="1:17" ht="30" x14ac:dyDescent="0.25">
      <c r="A2034" s="5" t="str">
        <f>IF(TRIM(I2034)="","",E2034)</f>
        <v>AudioType</v>
      </c>
      <c r="B2034" s="5" t="str">
        <f>IF(TRIM(J2034)="","",H2034)</f>
        <v>Indicates the type of an audio content.</v>
      </c>
      <c r="C2034" s="5" t="str">
        <f>LEFT(F2034,FIND(".",F2034,6))</f>
        <v>Iptc.Application2.</v>
      </c>
      <c r="D2034" s="5" t="str">
        <f>VLOOKUP(C2034,PrefixUebersetzung,2,FALSE)</f>
        <v>Iptc.Application2.</v>
      </c>
      <c r="E2034" s="5" t="str">
        <f>MID(F2034,FIND(".",F2034,6)+1,99)</f>
        <v>AudioType</v>
      </c>
      <c r="F2034" s="5" t="s">
        <v>1581</v>
      </c>
      <c r="G2034" s="5" t="s">
        <v>9677</v>
      </c>
      <c r="H2034" s="6" t="s">
        <v>3252</v>
      </c>
      <c r="I2034" s="7" t="s">
        <v>4459</v>
      </c>
      <c r="J2034" s="14" t="s">
        <v>5254</v>
      </c>
      <c r="K2034" s="26"/>
      <c r="N2034" s="6"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c>
      <c r="O2034" s="6" t="s">
        <v>8574</v>
      </c>
      <c r="P2034" s="6" t="s">
        <v>8574</v>
      </c>
      <c r="Q2034" s="6" t="s">
        <v>9375</v>
      </c>
    </row>
    <row r="2035" spans="1:17" ht="30" x14ac:dyDescent="0.25">
      <c r="A2035" s="5" t="str">
        <f>IF(TRIM(I2035)="","",E2035)</f>
        <v>Byline</v>
      </c>
      <c r="B2035" s="5" t="str">
        <f>IF(TRIM(J2035)="","",H2035)</f>
        <v>Contains name of the creator of the object data, e.g. writer, photographer or graphic artist.</v>
      </c>
      <c r="C2035" s="5" t="str">
        <f>LEFT(F2035,FIND(".",F2035,6))</f>
        <v>Iptc.Application2.</v>
      </c>
      <c r="D2035" s="5" t="str">
        <f>VLOOKUP(C2035,PrefixUebersetzung,2,FALSE)</f>
        <v>Iptc.Application2.</v>
      </c>
      <c r="E2035" s="5" t="str">
        <f>MID(F2035,FIND(".",F2035,6)+1,99)</f>
        <v>Byline</v>
      </c>
      <c r="F2035" s="5" t="s">
        <v>1582</v>
      </c>
      <c r="G2035" s="5" t="s">
        <v>9677</v>
      </c>
      <c r="H2035" s="6" t="s">
        <v>3253</v>
      </c>
      <c r="I2035" s="7" t="s">
        <v>4662</v>
      </c>
      <c r="J2035" s="14" t="s">
        <v>5255</v>
      </c>
      <c r="K2035" s="26"/>
      <c r="N2035" s="6"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c r="O2035" s="6" t="s">
        <v>8574</v>
      </c>
      <c r="P2035" s="6" t="s">
        <v>8574</v>
      </c>
    </row>
    <row r="2036" spans="1:17" ht="45" x14ac:dyDescent="0.25">
      <c r="A2036" s="5" t="str">
        <f>IF(TRIM(I2036)="","",E2036)</f>
        <v>BylineTitle</v>
      </c>
      <c r="B2036" s="5" t="str">
        <f>IF(TRIM(J2036)="","",H2036)</f>
        <v>A by-line title is the title of the creator or creators of an object data. Where used, a by-line title should follow the by-line it modifies.</v>
      </c>
      <c r="C2036" s="5" t="str">
        <f>LEFT(F2036,FIND(".",F2036,6))</f>
        <v>Iptc.Application2.</v>
      </c>
      <c r="D2036" s="5" t="str">
        <f>VLOOKUP(C2036,PrefixUebersetzung,2,FALSE)</f>
        <v>Iptc.Application2.</v>
      </c>
      <c r="E2036" s="5" t="str">
        <f>MID(F2036,FIND(".",F2036,6)+1,99)</f>
        <v>BylineTitle</v>
      </c>
      <c r="F2036" s="5" t="s">
        <v>1583</v>
      </c>
      <c r="G2036" s="5" t="s">
        <v>9677</v>
      </c>
      <c r="H2036" s="6" t="s">
        <v>3254</v>
      </c>
      <c r="I2036" s="7" t="s">
        <v>4965</v>
      </c>
      <c r="J2036" s="14" t="s">
        <v>5256</v>
      </c>
      <c r="K2036" s="26"/>
      <c r="N2036" s="6"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6" t="s">
        <v>8574</v>
      </c>
      <c r="P2036" s="6" t="s">
        <v>8574</v>
      </c>
    </row>
    <row r="2037" spans="1:17" ht="30" x14ac:dyDescent="0.25">
      <c r="A2037" s="5" t="str">
        <f>IF(TRIM(I2037)="","",E2037)</f>
        <v>Caption</v>
      </c>
      <c r="B2037" s="5" t="str">
        <f>IF(TRIM(J2037)="","",H2037)</f>
        <v>A textual description of the object data.</v>
      </c>
      <c r="C2037" s="5" t="str">
        <f>LEFT(F2037,FIND(".",F2037,6))</f>
        <v>Iptc.Application2.</v>
      </c>
      <c r="D2037" s="5" t="str">
        <f>VLOOKUP(C2037,PrefixUebersetzung,2,FALSE)</f>
        <v>Iptc.Application2.</v>
      </c>
      <c r="E2037" s="5" t="str">
        <f>MID(F2037,FIND(".",F2037,6)+1,99)</f>
        <v>Caption</v>
      </c>
      <c r="F2037" s="5" t="s">
        <v>1584</v>
      </c>
      <c r="G2037" s="5" t="s">
        <v>9677</v>
      </c>
      <c r="H2037" s="6" t="s">
        <v>3255</v>
      </c>
      <c r="I2037" s="7" t="s">
        <v>3708</v>
      </c>
      <c r="J2037" s="14" t="s">
        <v>5257</v>
      </c>
      <c r="K2037" s="26"/>
      <c r="L2037" s="6" t="str">
        <f>IFERROR(VLOOKUP(E2037,A:I,9, FALSE),"")</f>
        <v>Beschreibung</v>
      </c>
      <c r="N2037" s="6"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O2037" s="6" t="s">
        <v>8574</v>
      </c>
      <c r="P2037" s="6" t="s">
        <v>8574</v>
      </c>
      <c r="Q2037" s="6" t="s">
        <v>9094</v>
      </c>
    </row>
    <row r="2038" spans="1:17" ht="60" x14ac:dyDescent="0.25">
      <c r="A2038" s="5" t="str">
        <f>IF(TRIM(I2038)="","",E2038)</f>
        <v>Category</v>
      </c>
      <c r="B2038" s="5" t="str">
        <f>IF(TRIM(J2038)="","",H2038)</f>
        <v>Identifies the subject of the object data in the opinion of the provider. A list of categories will be maintained by a regional registry, where available, otherwise by the provider.</v>
      </c>
      <c r="C2038" s="5" t="str">
        <f>LEFT(F2038,FIND(".",F2038,6))</f>
        <v>Iptc.Application2.</v>
      </c>
      <c r="D2038" s="5" t="str">
        <f>VLOOKUP(C2038,PrefixUebersetzung,2,FALSE)</f>
        <v>Iptc.Application2.</v>
      </c>
      <c r="E2038" s="5" t="str">
        <f>MID(F2038,FIND(".",F2038,6)+1,99)</f>
        <v>Category</v>
      </c>
      <c r="F2038" s="5" t="s">
        <v>1585</v>
      </c>
      <c r="G2038" s="5" t="s">
        <v>9677</v>
      </c>
      <c r="H2038" s="6" t="s">
        <v>3256</v>
      </c>
      <c r="I2038" s="7" t="s">
        <v>4460</v>
      </c>
      <c r="J2038" s="30" t="s">
        <v>5258</v>
      </c>
      <c r="K2038" s="26"/>
      <c r="L2038" s="6" t="str">
        <f>IFERROR(VLOOKUP(E2038,A:I,9, FALSE),"")</f>
        <v>Kategorie</v>
      </c>
      <c r="N2038" s="6"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O2038" s="6" t="s">
        <v>8574</v>
      </c>
      <c r="P2038" s="6" t="s">
        <v>8574</v>
      </c>
    </row>
    <row r="2039" spans="1:17" ht="30" x14ac:dyDescent="0.25">
      <c r="A2039" s="5" t="str">
        <f>IF(TRIM(I2039)="","",E2039)</f>
        <v/>
      </c>
      <c r="B2039" s="5" t="str">
        <f>IF(TRIM(J2039)="","",H2039)</f>
        <v>Identifies city of object data origin according to guidelines established by the provider.</v>
      </c>
      <c r="C2039" s="5" t="str">
        <f>LEFT(F2039,FIND(".",F2039,6))</f>
        <v>Iptc.Application2.</v>
      </c>
      <c r="D2039" s="5" t="str">
        <f>VLOOKUP(C2039,PrefixUebersetzung,2,FALSE)</f>
        <v>Iptc.Application2.</v>
      </c>
      <c r="E2039" s="5" t="str">
        <f>MID(F2039,FIND(".",F2039,6)+1,99)</f>
        <v>City</v>
      </c>
      <c r="F2039" s="5" t="s">
        <v>1586</v>
      </c>
      <c r="G2039" s="5" t="s">
        <v>9677</v>
      </c>
      <c r="H2039" s="6" t="s">
        <v>3257</v>
      </c>
      <c r="I2039" s="7"/>
      <c r="J2039" s="14" t="s">
        <v>5259</v>
      </c>
      <c r="K2039" s="26"/>
      <c r="L2039" s="6" t="str">
        <f>IFERROR(VLOOKUP(E2039,A:I,9, FALSE),"")</f>
        <v>Stadt</v>
      </c>
      <c r="N2039" s="6"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6" t="s">
        <v>8574</v>
      </c>
    </row>
    <row r="2040" spans="1:17" ht="45" x14ac:dyDescent="0.25">
      <c r="A2040" s="5" t="str">
        <f>IF(TRIM(I2040)="","",E2040)</f>
        <v>Contact</v>
      </c>
      <c r="B2040" s="5" t="str">
        <f>IF(TRIM(J2040)="","",H2040)</f>
        <v>Identifies the person or organisation which can provide further background information on the object data.</v>
      </c>
      <c r="C2040" s="5" t="str">
        <f>LEFT(F2040,FIND(".",F2040,6))</f>
        <v>Iptc.Application2.</v>
      </c>
      <c r="D2040" s="5" t="str">
        <f>VLOOKUP(C2040,PrefixUebersetzung,2,FALSE)</f>
        <v>Iptc.Application2.</v>
      </c>
      <c r="E2040" s="5" t="str">
        <f>MID(F2040,FIND(".",F2040,6)+1,99)</f>
        <v>Contact</v>
      </c>
      <c r="F2040" s="5" t="s">
        <v>1587</v>
      </c>
      <c r="G2040" s="5" t="s">
        <v>9677</v>
      </c>
      <c r="H2040" s="6" t="s">
        <v>3258</v>
      </c>
      <c r="I2040" s="7" t="s">
        <v>4134</v>
      </c>
      <c r="J2040" s="14" t="s">
        <v>5260</v>
      </c>
      <c r="K2040" s="26"/>
      <c r="N2040" s="6"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c r="O2040" s="6" t="s">
        <v>8574</v>
      </c>
      <c r="P2040" s="6" t="s">
        <v>8574</v>
      </c>
    </row>
    <row r="2041" spans="1:17" ht="30" x14ac:dyDescent="0.25">
      <c r="A2041" s="5" t="str">
        <f>IF(TRIM(I2041)="","",E2041)</f>
        <v/>
      </c>
      <c r="B2041" s="5" t="str">
        <f>IF(TRIM(J2041)="","",H2041)</f>
        <v>Contains any necessary copyright notice.</v>
      </c>
      <c r="C2041" s="5" t="str">
        <f>LEFT(F2041,FIND(".",F2041,6))</f>
        <v>Iptc.Application2.</v>
      </c>
      <c r="D2041" s="5" t="str">
        <f>VLOOKUP(C2041,PrefixUebersetzung,2,FALSE)</f>
        <v>Iptc.Application2.</v>
      </c>
      <c r="E2041" s="5" t="str">
        <f>MID(F2041,FIND(".",F2041,6)+1,99)</f>
        <v>Copyright</v>
      </c>
      <c r="F2041" s="5" t="s">
        <v>1588</v>
      </c>
      <c r="G2041" s="5" t="s">
        <v>9677</v>
      </c>
      <c r="H2041" s="6" t="s">
        <v>3259</v>
      </c>
      <c r="I2041" s="7"/>
      <c r="J2041" s="14" t="s">
        <v>5261</v>
      </c>
      <c r="K2041" s="26"/>
      <c r="L2041" s="6" t="str">
        <f>IFERROR(VLOOKUP(E2041,A:I,9, FALSE),"")</f>
        <v>Copyright</v>
      </c>
      <c r="N2041" s="6"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c r="P2041" s="6" t="s">
        <v>8574</v>
      </c>
      <c r="Q2041" s="6" t="s">
        <v>9216</v>
      </c>
    </row>
    <row r="2042" spans="1:17" ht="180" x14ac:dyDescent="0.25">
      <c r="A2042" s="5" t="str">
        <f>IF(TRIM(I2042)="","",E2042)</f>
        <v>CountryCode</v>
      </c>
      <c r="B2042" s="5" t="str">
        <f>IF(TRIM(J2042)="","",H2042)</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042" s="5" t="str">
        <f>LEFT(F2042,FIND(".",F2042,6))</f>
        <v>Iptc.Application2.</v>
      </c>
      <c r="D2042" s="5" t="str">
        <f>VLOOKUP(C2042,PrefixUebersetzung,2,FALSE)</f>
        <v>Iptc.Application2.</v>
      </c>
      <c r="E2042" s="5" t="str">
        <f>MID(F2042,FIND(".",F2042,6)+1,99)</f>
        <v>CountryCode</v>
      </c>
      <c r="F2042" s="5" t="s">
        <v>1589</v>
      </c>
      <c r="G2042" s="5" t="s">
        <v>9677</v>
      </c>
      <c r="H2042" s="6" t="s">
        <v>3260</v>
      </c>
      <c r="I2042" s="7" t="s">
        <v>4462</v>
      </c>
      <c r="J2042" s="14" t="s">
        <v>6729</v>
      </c>
      <c r="K2042" s="26"/>
      <c r="L2042" s="6" t="str">
        <f>IFERROR(VLOOKUP(E2042,A:I,9, FALSE),"")</f>
        <v>Länderkennzeichen</v>
      </c>
      <c r="N2042" s="6"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O2042" s="6" t="s">
        <v>8574</v>
      </c>
      <c r="P2042" s="6" t="s">
        <v>8574</v>
      </c>
    </row>
    <row r="2043" spans="1:17" ht="60" x14ac:dyDescent="0.25">
      <c r="A2043" s="5" t="str">
        <f>IF(TRIM(I2043)="","",E2043)</f>
        <v>CountryName</v>
      </c>
      <c r="B2043" s="5" t="str">
        <f>IF(TRIM(J2043)="","",H2043)</f>
        <v>Provides full, publishable, name of the country/primary location where the intellectual property of the object data was created, according to guidelines of the provider.</v>
      </c>
      <c r="C2043" s="5" t="str">
        <f>LEFT(F2043,FIND(".",F2043,6))</f>
        <v>Iptc.Application2.</v>
      </c>
      <c r="D2043" s="5" t="str">
        <f>VLOOKUP(C2043,PrefixUebersetzung,2,FALSE)</f>
        <v>Iptc.Application2.</v>
      </c>
      <c r="E2043" s="5" t="str">
        <f>MID(F2043,FIND(".",F2043,6)+1,99)</f>
        <v>CountryName</v>
      </c>
      <c r="F2043" s="5" t="s">
        <v>1590</v>
      </c>
      <c r="G2043" s="5" t="s">
        <v>9677</v>
      </c>
      <c r="H2043" s="6" t="s">
        <v>3261</v>
      </c>
      <c r="I2043" s="7" t="s">
        <v>4463</v>
      </c>
      <c r="J2043" s="14" t="s">
        <v>5495</v>
      </c>
      <c r="K2043" s="26"/>
      <c r="L2043" s="6" t="str">
        <f>IFERROR(VLOOKUP(E2043,A:I,9, FALSE),"")</f>
        <v>Land</v>
      </c>
      <c r="N2043" s="6"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c r="O2043" s="6" t="s">
        <v>8574</v>
      </c>
      <c r="P2043" s="6" t="s">
        <v>8574</v>
      </c>
    </row>
    <row r="2044" spans="1:17" ht="30" x14ac:dyDescent="0.25">
      <c r="A2044" s="5" t="str">
        <f>IF(TRIM(I2044)="","",E2044)</f>
        <v>Credit</v>
      </c>
      <c r="B2044" s="5" t="str">
        <f>IF(TRIM(J2044)="","",H2044)</f>
        <v>Identifies the provider of the object data, not necessarily the owner/creator.</v>
      </c>
      <c r="C2044" s="5" t="str">
        <f>LEFT(F2044,FIND(".",F2044,6))</f>
        <v>Iptc.Application2.</v>
      </c>
      <c r="D2044" s="5" t="str">
        <f>VLOOKUP(C2044,PrefixUebersetzung,2,FALSE)</f>
        <v>Iptc.Application2.</v>
      </c>
      <c r="E2044" s="5" t="str">
        <f>MID(F2044,FIND(".",F2044,6)+1,99)</f>
        <v>Credit</v>
      </c>
      <c r="F2044" s="5" t="s">
        <v>1591</v>
      </c>
      <c r="G2044" s="5" t="s">
        <v>9677</v>
      </c>
      <c r="H2044" s="6" t="s">
        <v>3262</v>
      </c>
      <c r="I2044" s="7" t="s">
        <v>4663</v>
      </c>
      <c r="J2044" s="14" t="s">
        <v>5496</v>
      </c>
      <c r="K2044" s="26"/>
      <c r="L2044" s="6" t="str">
        <f>IFERROR(VLOOKUP(E2044,A:I,9, FALSE),"")</f>
        <v>Anerkennung</v>
      </c>
      <c r="N2044" s="6"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6" t="s">
        <v>8574</v>
      </c>
      <c r="P2044" s="6" t="s">
        <v>8574</v>
      </c>
    </row>
    <row r="2045" spans="1:17" ht="60" x14ac:dyDescent="0.25">
      <c r="A2045" s="5" t="str">
        <f>IF(TRIM(I2045)="","",E2045)</f>
        <v>DateCreated</v>
      </c>
      <c r="B2045" s="5" t="str">
        <f>IF(TRIM(J2045)="","",H2045)</f>
        <v>Represented in the form CCYYMMDD to designate the date the intellectual content of the object data was created rather than the date of the creation of the physical representation. Follows ISO 8601 standard.</v>
      </c>
      <c r="C2045" s="5" t="str">
        <f>LEFT(F2045,FIND(".",F2045,6))</f>
        <v>Iptc.Application2.</v>
      </c>
      <c r="D2045" s="5" t="str">
        <f>VLOOKUP(C2045,PrefixUebersetzung,2,FALSE)</f>
        <v>Iptc.Application2.</v>
      </c>
      <c r="E2045" s="5" t="str">
        <f>MID(F2045,FIND(".",F2045,6)+1,99)</f>
        <v>DateCreated</v>
      </c>
      <c r="F2045" s="5" t="s">
        <v>1592</v>
      </c>
      <c r="G2045" s="5" t="s">
        <v>2988</v>
      </c>
      <c r="H2045" s="6" t="s">
        <v>3263</v>
      </c>
      <c r="I2045" s="7" t="s">
        <v>4464</v>
      </c>
      <c r="J2045" s="14" t="s">
        <v>6664</v>
      </c>
      <c r="K2045" s="26"/>
      <c r="L2045" s="6" t="str">
        <f>IFERROR(VLOOKUP(E2045,A:I,9, FALSE),"")</f>
        <v>Datum erzeugt</v>
      </c>
      <c r="N2045" s="6"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c r="O2045" s="6" t="s">
        <v>8574</v>
      </c>
      <c r="P2045" s="6" t="s">
        <v>8574</v>
      </c>
    </row>
    <row r="2046" spans="1:17" ht="45" x14ac:dyDescent="0.25">
      <c r="A2046" s="5" t="str">
        <f>IF(TRIM(I2046)="","",E2046)</f>
        <v>DigitizationDate</v>
      </c>
      <c r="B2046" s="5" t="str">
        <f>IF(TRIM(J2046)="","",H2046)</f>
        <v>Represented in the form CCYYMMDD to designate the date the digital representation of the object data was created. Follows ISO 8601 standard.</v>
      </c>
      <c r="C2046" s="5" t="str">
        <f>LEFT(F2046,FIND(".",F2046,6))</f>
        <v>Iptc.Application2.</v>
      </c>
      <c r="D2046" s="5" t="str">
        <f>VLOOKUP(C2046,PrefixUebersetzung,2,FALSE)</f>
        <v>Iptc.Application2.</v>
      </c>
      <c r="E2046" s="5" t="str">
        <f>MID(F2046,FIND(".",F2046,6)+1,99)</f>
        <v>DigitizationDate</v>
      </c>
      <c r="F2046" s="5" t="s">
        <v>1593</v>
      </c>
      <c r="G2046" s="5" t="s">
        <v>2988</v>
      </c>
      <c r="H2046" s="6" t="s">
        <v>3264</v>
      </c>
      <c r="I2046" s="7" t="s">
        <v>4465</v>
      </c>
      <c r="J2046" s="14" t="s">
        <v>5498</v>
      </c>
      <c r="K2046" s="26"/>
      <c r="N2046" s="6"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O2046" s="6" t="s">
        <v>8574</v>
      </c>
      <c r="P2046" s="6" t="s">
        <v>8574</v>
      </c>
    </row>
    <row r="2047" spans="1:17" ht="45" x14ac:dyDescent="0.25">
      <c r="A2047" s="5" t="str">
        <f>IF(TRIM(I2047)="","",E2047)</f>
        <v>DigitizationTime</v>
      </c>
      <c r="B2047" s="5" t="str">
        <f>IF(TRIM(J2047)="","",H2047)</f>
        <v>Represented in the form HHMMSS:HHMM to designate the time the digital representation of the object data was created. Follows ISO 8601 standard.</v>
      </c>
      <c r="C2047" s="5" t="str">
        <f>LEFT(F2047,FIND(".",F2047,6))</f>
        <v>Iptc.Application2.</v>
      </c>
      <c r="D2047" s="5" t="str">
        <f>VLOOKUP(C2047,PrefixUebersetzung,2,FALSE)</f>
        <v>Iptc.Application2.</v>
      </c>
      <c r="E2047" s="5" t="str">
        <f>MID(F2047,FIND(".",F2047,6)+1,99)</f>
        <v>DigitizationTime</v>
      </c>
      <c r="F2047" s="5" t="s">
        <v>1594</v>
      </c>
      <c r="G2047" s="5" t="s">
        <v>3023</v>
      </c>
      <c r="H2047" s="6" t="s">
        <v>3265</v>
      </c>
      <c r="I2047" s="7" t="s">
        <v>4466</v>
      </c>
      <c r="J2047" s="14" t="s">
        <v>5497</v>
      </c>
      <c r="K2047" s="26"/>
      <c r="N2047" s="6"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c>
      <c r="O2047" s="6" t="s">
        <v>8574</v>
      </c>
      <c r="P2047" s="6" t="s">
        <v>8574</v>
      </c>
    </row>
    <row r="2048" spans="1:17" ht="75" x14ac:dyDescent="0.25">
      <c r="A2048" s="5" t="str">
        <f>IF(TRIM(I2048)="","",E2048)</f>
        <v/>
      </c>
      <c r="B2048" s="5" t="str">
        <f>IF(TRIM(J2048)="","",H2048)</f>
        <v/>
      </c>
      <c r="C2048" s="5" t="str">
        <f>LEFT(F2048,FIND(".",F2048,6))</f>
        <v>Iptc.Application2.</v>
      </c>
      <c r="D2048" s="5" t="str">
        <f>VLOOKUP(C2048,PrefixUebersetzung,2,FALSE)</f>
        <v>Iptc.Application2.</v>
      </c>
      <c r="E2048" s="5" t="str">
        <f>MID(F2048,FIND(".",F2048,6)+1,99)</f>
        <v>EditorialUpdate</v>
      </c>
      <c r="F2048" s="5" t="s">
        <v>1595</v>
      </c>
      <c r="G2048" s="5" t="s">
        <v>9677</v>
      </c>
      <c r="H2048" s="6" t="s">
        <v>3266</v>
      </c>
      <c r="I2048" s="7"/>
      <c r="K2048" s="26"/>
      <c r="N2048" s="6"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xml:space="preserve">Suffix not translated Description not translated </v>
      </c>
      <c r="O2048" s="6" t="s">
        <v>8574</v>
      </c>
      <c r="P2048" s="6" t="s">
        <v>8574</v>
      </c>
    </row>
    <row r="2049" spans="1:17" ht="30" x14ac:dyDescent="0.25">
      <c r="A2049" s="5" t="str">
        <f>IF(TRIM(I2049)="","",E2049)</f>
        <v/>
      </c>
      <c r="B2049" s="5" t="str">
        <f>IF(TRIM(J2049)="","",H2049)</f>
        <v>Status of the object data, according to the practice of the provider.</v>
      </c>
      <c r="C2049" s="5" t="str">
        <f>LEFT(F2049,FIND(".",F2049,6))</f>
        <v>Iptc.Application2.</v>
      </c>
      <c r="D2049" s="5" t="str">
        <f>VLOOKUP(C2049,PrefixUebersetzung,2,FALSE)</f>
        <v>Iptc.Application2.</v>
      </c>
      <c r="E2049" s="5" t="str">
        <f>MID(F2049,FIND(".",F2049,6)+1,99)</f>
        <v>EditStatus</v>
      </c>
      <c r="F2049" s="5" t="s">
        <v>1596</v>
      </c>
      <c r="G2049" s="5" t="s">
        <v>9677</v>
      </c>
      <c r="H2049" s="6" t="s">
        <v>3267</v>
      </c>
      <c r="I2049" s="7"/>
      <c r="J2049" s="14" t="s">
        <v>4098</v>
      </c>
      <c r="K2049" s="26"/>
      <c r="L2049" s="6" t="str">
        <f>IFERROR(VLOOKUP(E2049,A:I,9, FALSE),"")</f>
        <v>Bearbeitungsstatus</v>
      </c>
      <c r="N2049" s="6"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c r="P2049" s="6" t="s">
        <v>8574</v>
      </c>
      <c r="Q2049" s="6" t="s">
        <v>9498</v>
      </c>
    </row>
    <row r="2050" spans="1:17" ht="60" x14ac:dyDescent="0.25">
      <c r="A2050" s="5" t="str">
        <f>IF(TRIM(I2050)="","",E2050)</f>
        <v>ExpirationDate</v>
      </c>
      <c r="B2050" s="5" t="str">
        <f>IF(TRIM(J2050)="","",H2050)</f>
        <v>Designates in the form CCYYMMDD the latest date the provider or owner intends the object data to be used. Follows ISO 8601 standard.</v>
      </c>
      <c r="C2050" s="5" t="str">
        <f>LEFT(F2050,FIND(".",F2050,6))</f>
        <v>Iptc.Application2.</v>
      </c>
      <c r="D2050" s="5" t="str">
        <f>VLOOKUP(C2050,PrefixUebersetzung,2,FALSE)</f>
        <v>Iptc.Application2.</v>
      </c>
      <c r="E2050" s="5" t="str">
        <f>MID(F2050,FIND(".",F2050,6)+1,99)</f>
        <v>ExpirationDate</v>
      </c>
      <c r="F2050" s="5" t="s">
        <v>1597</v>
      </c>
      <c r="G2050" s="5" t="s">
        <v>2988</v>
      </c>
      <c r="H2050" s="6" t="s">
        <v>3268</v>
      </c>
      <c r="I2050" s="7" t="s">
        <v>4468</v>
      </c>
      <c r="J2050" s="14" t="s">
        <v>6665</v>
      </c>
      <c r="K2050" s="26"/>
      <c r="N2050" s="6"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c r="O2050" s="6" t="s">
        <v>8574</v>
      </c>
      <c r="P2050" s="6" t="s">
        <v>8574</v>
      </c>
    </row>
    <row r="2051" spans="1:17" ht="60" x14ac:dyDescent="0.25">
      <c r="A2051" s="5" t="str">
        <f>IF(TRIM(I2051)="","",E2051)</f>
        <v>ExpirationTime</v>
      </c>
      <c r="B2051" s="5" t="str">
        <f>IF(TRIM(J2051)="","",H2051)</f>
        <v>Designates in the form HHMMSS:HHMM the latest time the provider or owner intends the object data to be used. Follows ISO 8601 standard.</v>
      </c>
      <c r="C2051" s="5" t="str">
        <f>LEFT(F2051,FIND(".",F2051,6))</f>
        <v>Iptc.Application2.</v>
      </c>
      <c r="D2051" s="5" t="str">
        <f>VLOOKUP(C2051,PrefixUebersetzung,2,FALSE)</f>
        <v>Iptc.Application2.</v>
      </c>
      <c r="E2051" s="5" t="str">
        <f>MID(F2051,FIND(".",F2051,6)+1,99)</f>
        <v>ExpirationTime</v>
      </c>
      <c r="F2051" s="5" t="s">
        <v>1598</v>
      </c>
      <c r="G2051" s="5" t="s">
        <v>3023</v>
      </c>
      <c r="H2051" s="6" t="s">
        <v>3269</v>
      </c>
      <c r="I2051" s="7" t="s">
        <v>4469</v>
      </c>
      <c r="J2051" s="14" t="s">
        <v>5499</v>
      </c>
      <c r="K2051" s="26"/>
      <c r="N2051" s="6"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c r="O2051" s="6" t="s">
        <v>8574</v>
      </c>
      <c r="P2051" s="6" t="s">
        <v>8574</v>
      </c>
    </row>
    <row r="2052" spans="1:17" ht="45" x14ac:dyDescent="0.25">
      <c r="A2052" s="5" t="str">
        <f>IF(TRIM(I2052)="","",E2052)</f>
        <v/>
      </c>
      <c r="B2052" s="5" t="str">
        <f>IF(TRIM(J2052)="","",H2052)</f>
        <v/>
      </c>
      <c r="C2052" s="5" t="str">
        <f>LEFT(F2052,FIND(".",F2052,6))</f>
        <v>Iptc.Application2.</v>
      </c>
      <c r="D2052" s="5" t="str">
        <f>VLOOKUP(C2052,PrefixUebersetzung,2,FALSE)</f>
        <v>Iptc.Application2.</v>
      </c>
      <c r="E2052" s="5" t="str">
        <f>MID(F2052,FIND(".",F2052,6)+1,99)</f>
        <v>FixtureId</v>
      </c>
      <c r="F2052" s="5" t="s">
        <v>1599</v>
      </c>
      <c r="G2052" s="5" t="s">
        <v>9677</v>
      </c>
      <c r="H2052" s="6" t="s">
        <v>3270</v>
      </c>
      <c r="I2052" s="7"/>
      <c r="K2052" s="26"/>
      <c r="N2052" s="6"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Description not translated </v>
      </c>
      <c r="O2052" s="6" t="s">
        <v>8574</v>
      </c>
      <c r="P2052" s="6" t="s">
        <v>8574</v>
      </c>
    </row>
    <row r="2053" spans="1:17" ht="30" x14ac:dyDescent="0.25">
      <c r="A2053" s="5" t="str">
        <f>IF(TRIM(I2053)="","",E2053)</f>
        <v>Headline</v>
      </c>
      <c r="B2053" s="5" t="str">
        <f>IF(TRIM(J2053)="","",H2053)</f>
        <v>A publishable entry providing a synopsis of the contents of the object data.</v>
      </c>
      <c r="C2053" s="5" t="str">
        <f>LEFT(F2053,FIND(".",F2053,6))</f>
        <v>Iptc.Application2.</v>
      </c>
      <c r="D2053" s="5" t="str">
        <f>VLOOKUP(C2053,PrefixUebersetzung,2,FALSE)</f>
        <v>Iptc.Application2.</v>
      </c>
      <c r="E2053" s="5" t="str">
        <f>MID(F2053,FIND(".",F2053,6)+1,99)</f>
        <v>Headline</v>
      </c>
      <c r="F2053" s="5" t="s">
        <v>1600</v>
      </c>
      <c r="G2053" s="5" t="s">
        <v>9677</v>
      </c>
      <c r="H2053" s="6" t="s">
        <v>3271</v>
      </c>
      <c r="I2053" s="7" t="s">
        <v>4470</v>
      </c>
      <c r="J2053" s="14" t="s">
        <v>5500</v>
      </c>
      <c r="K2053" s="26"/>
      <c r="L2053" s="6" t="str">
        <f>IFERROR(VLOOKUP(E2053,A:I,9, FALSE),"")</f>
        <v>Überschrift</v>
      </c>
      <c r="N2053" s="6"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c r="O2053" s="6" t="s">
        <v>8574</v>
      </c>
      <c r="P2053" s="6" t="s">
        <v>8574</v>
      </c>
    </row>
    <row r="2054" spans="1:17" x14ac:dyDescent="0.25">
      <c r="A2054" s="5" t="str">
        <f>IF(TRIM(I2054)="","",E2054)</f>
        <v>ImageOrientation</v>
      </c>
      <c r="B2054" s="5" t="str">
        <f>IF(TRIM(J2054)="","",H2054)</f>
        <v>Indicates the layout of an image.</v>
      </c>
      <c r="C2054" s="5" t="str">
        <f>LEFT(F2054,FIND(".",F2054,6))</f>
        <v>Iptc.Application2.</v>
      </c>
      <c r="D2054" s="5" t="str">
        <f>VLOOKUP(C2054,PrefixUebersetzung,2,FALSE)</f>
        <v>Iptc.Application2.</v>
      </c>
      <c r="E2054" s="5" t="str">
        <f>MID(F2054,FIND(".",F2054,6)+1,99)</f>
        <v>ImageOrientation</v>
      </c>
      <c r="F2054" s="5" t="s">
        <v>1601</v>
      </c>
      <c r="G2054" s="5" t="s">
        <v>9677</v>
      </c>
      <c r="H2054" s="6" t="s">
        <v>3272</v>
      </c>
      <c r="I2054" s="7" t="s">
        <v>4471</v>
      </c>
      <c r="J2054" s="14" t="s">
        <v>5501</v>
      </c>
      <c r="K2054" s="26"/>
      <c r="N2054" s="6"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O2054" s="6" t="s">
        <v>8574</v>
      </c>
      <c r="P2054" s="6" t="s">
        <v>8574</v>
      </c>
      <c r="Q2054" s="6" t="s">
        <v>5501</v>
      </c>
    </row>
    <row r="2055" spans="1:17" ht="30" x14ac:dyDescent="0.25">
      <c r="A2055" s="5" t="str">
        <f>IF(TRIM(I2055)="","",E2055)</f>
        <v/>
      </c>
      <c r="B2055" s="5" t="str">
        <f>IF(TRIM(J2055)="","",H2055)</f>
        <v>Indicates the color components of an image.</v>
      </c>
      <c r="C2055" s="5" t="str">
        <f>LEFT(F2055,FIND(".",F2055,6))</f>
        <v>Iptc.Application2.</v>
      </c>
      <c r="D2055" s="5" t="str">
        <f>VLOOKUP(C2055,PrefixUebersetzung,2,FALSE)</f>
        <v>Iptc.Application2.</v>
      </c>
      <c r="E2055" s="5" t="str">
        <f>MID(F2055,FIND(".",F2055,6)+1,99)</f>
        <v>ImageType</v>
      </c>
      <c r="F2055" s="5" t="s">
        <v>1602</v>
      </c>
      <c r="G2055" s="5" t="s">
        <v>9677</v>
      </c>
      <c r="H2055" s="6" t="s">
        <v>3273</v>
      </c>
      <c r="I2055" s="7"/>
      <c r="J2055" s="14" t="s">
        <v>4099</v>
      </c>
      <c r="K2055" s="26"/>
      <c r="L2055" s="6" t="str">
        <f>IFERROR(VLOOKUP(E2055,A:I,9, FALSE),"")</f>
        <v>Bildtyp</v>
      </c>
      <c r="N2055" s="6"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P2055" s="6" t="s">
        <v>8574</v>
      </c>
      <c r="Q2055" s="6" t="s">
        <v>9369</v>
      </c>
    </row>
    <row r="2056" spans="1:17" ht="105" x14ac:dyDescent="0.25">
      <c r="A2056" s="5" t="str">
        <f>IF(TRIM(I2056)="","",E2056)</f>
        <v>Keywords</v>
      </c>
      <c r="B2056" s="5" t="str">
        <f>IF(TRIM(J2056)="","",H2056)</f>
        <v>Used to indicate specific information retrieval words. It is expected that a provider of various types of data that are related in subject matter uses the same keyword, enabling the receiving system or subsystems to search across all types of data for related material.</v>
      </c>
      <c r="C2056" s="5" t="str">
        <f>LEFT(F2056,FIND(".",F2056,6))</f>
        <v>Iptc.Application2.</v>
      </c>
      <c r="D2056" s="5" t="str">
        <f>VLOOKUP(C2056,PrefixUebersetzung,2,FALSE)</f>
        <v>Iptc.Application2.</v>
      </c>
      <c r="E2056" s="5" t="str">
        <f>MID(F2056,FIND(".",F2056,6)+1,99)</f>
        <v>Keywords</v>
      </c>
      <c r="F2056" s="5" t="s">
        <v>1603</v>
      </c>
      <c r="G2056" s="5" t="s">
        <v>9677</v>
      </c>
      <c r="H2056" s="6" t="s">
        <v>3274</v>
      </c>
      <c r="I2056" s="7" t="s">
        <v>4570</v>
      </c>
      <c r="J2056" s="14" t="s">
        <v>5502</v>
      </c>
      <c r="K2056" s="26"/>
      <c r="L2056" s="6" t="str">
        <f>IFERROR(VLOOKUP(E2056,A:I,9, FALSE),"")</f>
        <v>Schlüsselworte</v>
      </c>
      <c r="N2056" s="6"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c r="O2056" s="6" t="s">
        <v>8574</v>
      </c>
      <c r="P2056" s="6" t="s">
        <v>8574</v>
      </c>
    </row>
    <row r="2057" spans="1:17" ht="75" x14ac:dyDescent="0.25">
      <c r="A2057" s="5" t="str">
        <f>IF(TRIM(I2057)="","",E2057)</f>
        <v>Language</v>
      </c>
      <c r="B2057" s="5" t="str">
        <f>IF(TRIM(J2057)="","",H2057)</f>
        <v>Describes the major national language of the object, according to the 2-letter codes of ISO 639:1988. Does not define or imply any coded character set, but is used for internal routing, e.g. to various editorial desks.</v>
      </c>
      <c r="C2057" s="5" t="str">
        <f>LEFT(F2057,FIND(".",F2057,6))</f>
        <v>Iptc.Application2.</v>
      </c>
      <c r="D2057" s="5" t="str">
        <f>VLOOKUP(C2057,PrefixUebersetzung,2,FALSE)</f>
        <v>Iptc.Application2.</v>
      </c>
      <c r="E2057" s="5" t="str">
        <f>MID(F2057,FIND(".",F2057,6)+1,99)</f>
        <v>Language</v>
      </c>
      <c r="F2057" s="5" t="s">
        <v>1604</v>
      </c>
      <c r="G2057" s="5" t="s">
        <v>9677</v>
      </c>
      <c r="H2057" s="6" t="s">
        <v>3275</v>
      </c>
      <c r="I2057" s="7" t="s">
        <v>4472</v>
      </c>
      <c r="J2057" s="14" t="s">
        <v>5503</v>
      </c>
      <c r="K2057" s="26"/>
      <c r="L2057" s="6" t="str">
        <f>IFERROR(VLOOKUP(E2057,A:I,9, FALSE),"")</f>
        <v>Sprache</v>
      </c>
      <c r="N2057" s="6"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c r="O2057" s="6" t="s">
        <v>8574</v>
      </c>
      <c r="P2057" s="6" t="s">
        <v>8574</v>
      </c>
    </row>
    <row r="2058" spans="1:17" ht="150" x14ac:dyDescent="0.25">
      <c r="A2058" s="5" t="str">
        <f>IF(TRIM(I2058)="","",E2058)</f>
        <v>LocationCode</v>
      </c>
      <c r="B2058" s="5" t="str">
        <f>IF(TRIM(J2058)="","",H2058)</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058" s="5" t="str">
        <f>LEFT(F2058,FIND(".",F2058,6))</f>
        <v>Iptc.Application2.</v>
      </c>
      <c r="D2058" s="5" t="str">
        <f>VLOOKUP(C2058,PrefixUebersetzung,2,FALSE)</f>
        <v>Iptc.Application2.</v>
      </c>
      <c r="E2058" s="5" t="str">
        <f>MID(F2058,FIND(".",F2058,6)+1,99)</f>
        <v>LocationCode</v>
      </c>
      <c r="F2058" s="5" t="s">
        <v>1605</v>
      </c>
      <c r="G2058" s="5" t="s">
        <v>9677</v>
      </c>
      <c r="H2058" s="6" t="s">
        <v>3276</v>
      </c>
      <c r="I2058" s="7" t="s">
        <v>4473</v>
      </c>
      <c r="J2058" s="14" t="s">
        <v>5504</v>
      </c>
      <c r="K2058" s="26"/>
      <c r="N2058" s="6"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c r="O2058" s="6" t="s">
        <v>8574</v>
      </c>
      <c r="P2058" s="6" t="s">
        <v>8574</v>
      </c>
    </row>
    <row r="2059" spans="1:17" ht="60" x14ac:dyDescent="0.25">
      <c r="A2059" s="5" t="str">
        <f>IF(TRIM(I2059)="","",E2059)</f>
        <v/>
      </c>
      <c r="B2059" s="5" t="str">
        <f>IF(TRIM(J2059)="","",H2059)</f>
        <v>Provides a full, publishable name of a country/geographical location referenced by the content of the object, according to guidelines of the provider.</v>
      </c>
      <c r="C2059" s="5" t="str">
        <f>LEFT(F2059,FIND(".",F2059,6))</f>
        <v>Iptc.Application2.</v>
      </c>
      <c r="D2059" s="5" t="str">
        <f>VLOOKUP(C2059,PrefixUebersetzung,2,FALSE)</f>
        <v>Iptc.Application2.</v>
      </c>
      <c r="E2059" s="5" t="str">
        <f>MID(F2059,FIND(".",F2059,6)+1,99)</f>
        <v>LocationName</v>
      </c>
      <c r="F2059" s="5" t="s">
        <v>1606</v>
      </c>
      <c r="G2059" s="5" t="s">
        <v>9677</v>
      </c>
      <c r="H2059" s="6" t="s">
        <v>3277</v>
      </c>
      <c r="I2059" s="7"/>
      <c r="J2059" s="14" t="s">
        <v>5332</v>
      </c>
      <c r="K2059" s="26"/>
      <c r="L2059" s="6" t="str">
        <f>IFERROR(VLOOKUP(E2059,A:I,9, FALSE),"")</f>
        <v>Ortsname</v>
      </c>
      <c r="N2059" s="6"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c>
      <c r="P2059" s="6" t="s">
        <v>8574</v>
      </c>
    </row>
    <row r="2060" spans="1:17" ht="150" x14ac:dyDescent="0.25">
      <c r="A2060" s="5" t="str">
        <f>IF(TRIM(I2060)="","",E2060)</f>
        <v>ObjectAttribute</v>
      </c>
      <c r="B2060" s="5" t="str">
        <f>IF(TRIM(J2060)="","",H2060)</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060" s="5" t="str">
        <f>LEFT(F2060,FIND(".",F2060,6))</f>
        <v>Iptc.Application2.</v>
      </c>
      <c r="D2060" s="5" t="str">
        <f>VLOOKUP(C2060,PrefixUebersetzung,2,FALSE)</f>
        <v>Iptc.Application2.</v>
      </c>
      <c r="E2060" s="5" t="str">
        <f>MID(F2060,FIND(".",F2060,6)+1,99)</f>
        <v>ObjectAttribute</v>
      </c>
      <c r="F2060" s="5" t="s">
        <v>1607</v>
      </c>
      <c r="G2060" s="5" t="s">
        <v>9677</v>
      </c>
      <c r="H2060" s="6" t="s">
        <v>3278</v>
      </c>
      <c r="I2060" s="7" t="s">
        <v>4474</v>
      </c>
      <c r="J2060" s="14" t="s">
        <v>5505</v>
      </c>
      <c r="K2060" s="26"/>
      <c r="N2060" s="6"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c r="O2060" s="6" t="s">
        <v>8574</v>
      </c>
      <c r="P2060" s="6" t="s">
        <v>8574</v>
      </c>
    </row>
    <row r="2061" spans="1:17" ht="30" x14ac:dyDescent="0.25">
      <c r="A2061" s="5" t="str">
        <f>IF(TRIM(I2061)="","",E2061)</f>
        <v>ObjectCycle</v>
      </c>
      <c r="B2061" s="5" t="str">
        <f>IF(TRIM(J2061)="","",H2061)</f>
        <v>Used to identify the editorial cycle of object data.</v>
      </c>
      <c r="C2061" s="5" t="str">
        <f>LEFT(F2061,FIND(".",F2061,6))</f>
        <v>Iptc.Application2.</v>
      </c>
      <c r="D2061" s="5" t="str">
        <f>VLOOKUP(C2061,PrefixUebersetzung,2,FALSE)</f>
        <v>Iptc.Application2.</v>
      </c>
      <c r="E2061" s="5" t="str">
        <f>MID(F2061,FIND(".",F2061,6)+1,99)</f>
        <v>ObjectCycle</v>
      </c>
      <c r="F2061" s="5" t="s">
        <v>1608</v>
      </c>
      <c r="G2061" s="5" t="s">
        <v>9677</v>
      </c>
      <c r="H2061" s="6" t="s">
        <v>3279</v>
      </c>
      <c r="I2061" s="7" t="s">
        <v>4475</v>
      </c>
      <c r="J2061" s="14" t="s">
        <v>5506</v>
      </c>
      <c r="K2061" s="26"/>
      <c r="N2061" s="6"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c r="O2061" s="6" t="s">
        <v>8574</v>
      </c>
      <c r="P2061" s="6" t="s">
        <v>8574</v>
      </c>
      <c r="Q2061" s="6" t="s">
        <v>9547</v>
      </c>
    </row>
    <row r="2062" spans="1:17" ht="60" x14ac:dyDescent="0.25">
      <c r="A2062" s="5" t="str">
        <f>IF(TRIM(I2062)="","",E2062)</f>
        <v>ObjectName</v>
      </c>
      <c r="B2062" s="5" t="str">
        <f>IF(TRIM(J2062)="","",H2062)</f>
        <v>Used as a shorthand reference for the object. Changes to exist-ing data, such as updated stories or new crops on photos, should be identified in tag &lt;EditStatus&gt;.</v>
      </c>
      <c r="C2062" s="5" t="str">
        <f>LEFT(F2062,FIND(".",F2062,6))</f>
        <v>Iptc.Application2.</v>
      </c>
      <c r="D2062" s="5" t="str">
        <f>VLOOKUP(C2062,PrefixUebersetzung,2,FALSE)</f>
        <v>Iptc.Application2.</v>
      </c>
      <c r="E2062" s="5" t="str">
        <f>MID(F2062,FIND(".",F2062,6)+1,99)</f>
        <v>ObjectName</v>
      </c>
      <c r="F2062" s="5" t="s">
        <v>1609</v>
      </c>
      <c r="G2062" s="5" t="s">
        <v>9677</v>
      </c>
      <c r="H2062" s="6" t="s">
        <v>3280</v>
      </c>
      <c r="I2062" s="7" t="s">
        <v>4476</v>
      </c>
      <c r="J2062" s="14" t="s">
        <v>6666</v>
      </c>
      <c r="K2062" s="26"/>
      <c r="N2062" s="6"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c r="O2062" s="6" t="s">
        <v>8574</v>
      </c>
      <c r="P2062" s="6" t="s">
        <v>8574</v>
      </c>
    </row>
    <row r="2063" spans="1:17" ht="150" x14ac:dyDescent="0.25">
      <c r="A2063" s="5" t="str">
        <f>IF(TRIM(I2063)="","",E2063)</f>
        <v>ObjectType</v>
      </c>
      <c r="B2063" s="5" t="str">
        <f>IF(TRIM(J2063)="","",H2063)</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063" s="5" t="str">
        <f>LEFT(F2063,FIND(".",F2063,6))</f>
        <v>Iptc.Application2.</v>
      </c>
      <c r="D2063" s="5" t="str">
        <f>VLOOKUP(C2063,PrefixUebersetzung,2,FALSE)</f>
        <v>Iptc.Application2.</v>
      </c>
      <c r="E2063" s="5" t="str">
        <f>MID(F2063,FIND(".",F2063,6)+1,99)</f>
        <v>ObjectType</v>
      </c>
      <c r="F2063" s="5" t="s">
        <v>1610</v>
      </c>
      <c r="G2063" s="5" t="s">
        <v>9677</v>
      </c>
      <c r="H2063" s="6" t="s">
        <v>3281</v>
      </c>
      <c r="I2063" s="7" t="s">
        <v>4477</v>
      </c>
      <c r="J2063" s="14" t="s">
        <v>5547</v>
      </c>
      <c r="K2063" s="26"/>
      <c r="N2063" s="6"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c r="O2063" s="6" t="s">
        <v>8574</v>
      </c>
      <c r="P2063" s="6" t="s">
        <v>8574</v>
      </c>
    </row>
    <row r="2064" spans="1:17" x14ac:dyDescent="0.25">
      <c r="A2064" s="5" t="str">
        <f>IF(TRIM(I2064)="","",E2064)</f>
        <v/>
      </c>
      <c r="B2064" s="5" t="str">
        <f>IF(TRIM(J2064)="","",H2064)</f>
        <v>Binary image preview data.</v>
      </c>
      <c r="C2064" s="5" t="str">
        <f>LEFT(F2064,FIND(".",F2064,6))</f>
        <v>Iptc.Application2.</v>
      </c>
      <c r="D2064" s="5" t="str">
        <f>VLOOKUP(C2064,PrefixUebersetzung,2,FALSE)</f>
        <v>Iptc.Application2.</v>
      </c>
      <c r="E2064" s="5" t="str">
        <f>MID(F2064,FIND(".",F2064,6)+1,99)</f>
        <v>Preview</v>
      </c>
      <c r="F2064" s="5" t="s">
        <v>1611</v>
      </c>
      <c r="G2064" s="5" t="s">
        <v>9669</v>
      </c>
      <c r="H2064" s="6" t="s">
        <v>3282</v>
      </c>
      <c r="I2064" s="7"/>
      <c r="J2064" s="14" t="s">
        <v>5333</v>
      </c>
      <c r="K2064" s="26"/>
      <c r="L2064" s="6" t="str">
        <f>IFERROR(VLOOKUP(E2064,A:I,9, FALSE),"")</f>
        <v>Vorschau</v>
      </c>
      <c r="N2064" s="6"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c r="P2064" s="6" t="s">
        <v>8574</v>
      </c>
      <c r="Q2064" s="6" t="s">
        <v>9160</v>
      </c>
    </row>
    <row r="2065" spans="1:17" ht="60" x14ac:dyDescent="0.25">
      <c r="A2065" s="5" t="str">
        <f>IF(TRIM(I2065)="","",E2065)</f>
        <v>PreviewFormat</v>
      </c>
      <c r="B2065" s="5" t="str">
        <f>IF(TRIM(J2065)="","",H2065)</f>
        <v>A binary number representing the file format of the object data preview. The file format must be registered with IPTC or NAA organizations with a unique number assigned to it.</v>
      </c>
      <c r="C2065" s="5" t="str">
        <f>LEFT(F2065,FIND(".",F2065,6))</f>
        <v>Iptc.Application2.</v>
      </c>
      <c r="D2065" s="5" t="str">
        <f>VLOOKUP(C2065,PrefixUebersetzung,2,FALSE)</f>
        <v>Iptc.Application2.</v>
      </c>
      <c r="E2065" s="5" t="str">
        <f>MID(F2065,FIND(".",F2065,6)+1,99)</f>
        <v>PreviewFormat</v>
      </c>
      <c r="F2065" s="5" t="s">
        <v>1612</v>
      </c>
      <c r="G2065" s="5" t="s">
        <v>9664</v>
      </c>
      <c r="H2065" s="6" t="s">
        <v>3283</v>
      </c>
      <c r="I2065" s="7" t="s">
        <v>4966</v>
      </c>
      <c r="J2065" s="14" t="s">
        <v>5552</v>
      </c>
      <c r="K2065" s="26"/>
      <c r="N2065" s="6"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c r="O2065" s="6" t="s">
        <v>8574</v>
      </c>
      <c r="P2065" s="6" t="s">
        <v>8574</v>
      </c>
    </row>
    <row r="2066" spans="1:17" ht="45" x14ac:dyDescent="0.25">
      <c r="A2066" s="5" t="str">
        <f>IF(TRIM(I2066)="","",E2066)</f>
        <v>PreviewVersion</v>
      </c>
      <c r="B2066" s="5" t="str">
        <f>IF(TRIM(J2066)="","",H2066)</f>
        <v>A binary number representing the particular version of the object data preview file format specified in tag &lt;PreviewFormat&gt;.</v>
      </c>
      <c r="C2066" s="5" t="str">
        <f>LEFT(F2066,FIND(".",F2066,6))</f>
        <v>Iptc.Application2.</v>
      </c>
      <c r="D2066" s="5" t="str">
        <f>VLOOKUP(C2066,PrefixUebersetzung,2,FALSE)</f>
        <v>Iptc.Application2.</v>
      </c>
      <c r="E2066" s="5" t="str">
        <f>MID(F2066,FIND(".",F2066,6)+1,99)</f>
        <v>PreviewVersion</v>
      </c>
      <c r="F2066" s="5" t="s">
        <v>1613</v>
      </c>
      <c r="G2066" s="5" t="s">
        <v>9664</v>
      </c>
      <c r="H2066" s="6" t="s">
        <v>3284</v>
      </c>
      <c r="I2066" s="7" t="s">
        <v>4967</v>
      </c>
      <c r="J2066" s="14" t="s">
        <v>5551</v>
      </c>
      <c r="K2066" s="26"/>
      <c r="L2066" s="6" t="str">
        <f>IFERROR(VLOOKUP(E2066,A:I,9, FALSE),"")</f>
        <v>Vorschau Version</v>
      </c>
      <c r="N2066" s="6"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c r="O2066" s="6" t="s">
        <v>8574</v>
      </c>
      <c r="P2066" s="6" t="s">
        <v>8574</v>
      </c>
    </row>
    <row r="2067" spans="1:17" ht="30" x14ac:dyDescent="0.25">
      <c r="A2067" s="5" t="str">
        <f>IF(TRIM(I2067)="","",E2067)</f>
        <v>Program</v>
      </c>
      <c r="B2067" s="5" t="str">
        <f>IF(TRIM(J2067)="","",H2067)</f>
        <v>Identifies the type of program used to originate the object data.</v>
      </c>
      <c r="C2067" s="5" t="str">
        <f>LEFT(F2067,FIND(".",F2067,6))</f>
        <v>Iptc.Application2.</v>
      </c>
      <c r="D2067" s="5" t="str">
        <f>VLOOKUP(C2067,PrefixUebersetzung,2,FALSE)</f>
        <v>Iptc.Application2.</v>
      </c>
      <c r="E2067" s="5" t="str">
        <f>MID(F2067,FIND(".",F2067,6)+1,99)</f>
        <v>Program</v>
      </c>
      <c r="F2067" s="5" t="s">
        <v>1614</v>
      </c>
      <c r="G2067" s="5" t="s">
        <v>9677</v>
      </c>
      <c r="H2067" s="6" t="s">
        <v>3285</v>
      </c>
      <c r="I2067" s="7" t="s">
        <v>4478</v>
      </c>
      <c r="J2067" s="30" t="s">
        <v>6667</v>
      </c>
      <c r="K2067" s="26"/>
      <c r="N2067" s="6"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c r="O2067" s="6" t="s">
        <v>8574</v>
      </c>
      <c r="P2067" s="6" t="s">
        <v>8574</v>
      </c>
      <c r="Q2067" s="6" t="s">
        <v>9352</v>
      </c>
    </row>
    <row r="2068" spans="1:17" ht="30" x14ac:dyDescent="0.25">
      <c r="A2068" s="5" t="str">
        <f>IF(TRIM(I2068)="","",E2068)</f>
        <v>ProgramVersion</v>
      </c>
      <c r="B2068" s="5" t="str">
        <f>IF(TRIM(J2068)="","",H2068)</f>
        <v>Used to identify the version of the program mentioned in tag &lt;Program&gt;.</v>
      </c>
      <c r="C2068" s="5" t="str">
        <f>LEFT(F2068,FIND(".",F2068,6))</f>
        <v>Iptc.Application2.</v>
      </c>
      <c r="D2068" s="5" t="str">
        <f>VLOOKUP(C2068,PrefixUebersetzung,2,FALSE)</f>
        <v>Iptc.Application2.</v>
      </c>
      <c r="E2068" s="5" t="str">
        <f>MID(F2068,FIND(".",F2068,6)+1,99)</f>
        <v>ProgramVersion</v>
      </c>
      <c r="F2068" s="5" t="s">
        <v>1615</v>
      </c>
      <c r="G2068" s="5" t="s">
        <v>9677</v>
      </c>
      <c r="H2068" s="6" t="s">
        <v>3286</v>
      </c>
      <c r="I2068" s="7" t="s">
        <v>4479</v>
      </c>
      <c r="J2068" s="14" t="s">
        <v>5550</v>
      </c>
      <c r="K2068" s="26"/>
      <c r="N2068" s="6"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c r="O2068" s="6" t="s">
        <v>8574</v>
      </c>
      <c r="P2068" s="6" t="s">
        <v>8574</v>
      </c>
    </row>
    <row r="2069" spans="1:17" ht="30" x14ac:dyDescent="0.25">
      <c r="A2069" s="5" t="str">
        <f>IF(TRIM(I2069)="","",E2069)</f>
        <v>ProvinceState</v>
      </c>
      <c r="B2069" s="5" t="str">
        <f>IF(TRIM(J2069)="","",H2069)</f>
        <v>Identifies Province/State of origin according to guidelines established by the provider.</v>
      </c>
      <c r="C2069" s="5" t="str">
        <f>LEFT(F2069,FIND(".",F2069,6))</f>
        <v>Iptc.Application2.</v>
      </c>
      <c r="D2069" s="5" t="str">
        <f>VLOOKUP(C2069,PrefixUebersetzung,2,FALSE)</f>
        <v>Iptc.Application2.</v>
      </c>
      <c r="E2069" s="5" t="str">
        <f>MID(F2069,FIND(".",F2069,6)+1,99)</f>
        <v>ProvinceState</v>
      </c>
      <c r="F2069" s="5" t="s">
        <v>1616</v>
      </c>
      <c r="G2069" s="5" t="s">
        <v>9677</v>
      </c>
      <c r="H2069" s="6" t="s">
        <v>3287</v>
      </c>
      <c r="I2069" s="7" t="s">
        <v>4480</v>
      </c>
      <c r="J2069" s="14" t="s">
        <v>5507</v>
      </c>
      <c r="K2069" s="26"/>
      <c r="L2069" s="6" t="str">
        <f>IFERROR(VLOOKUP(E2069,A:I,9, FALSE),"")</f>
        <v>Provinz/Staat</v>
      </c>
      <c r="N2069" s="6"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c r="O2069" s="6" t="s">
        <v>8574</v>
      </c>
      <c r="P2069" s="6" t="s">
        <v>8574</v>
      </c>
    </row>
    <row r="2070" spans="1:17" ht="45" x14ac:dyDescent="0.25">
      <c r="A2070" s="5" t="str">
        <f>IF(TRIM(I2070)="","",E2070)</f>
        <v>RasterizedCaption</v>
      </c>
      <c r="B2070" s="5" t="str">
        <f>IF(TRIM(J2070)="","",H2070)</f>
        <v>Contains the rasterized object data description and is used where characters that have not been coded are required for the caption.</v>
      </c>
      <c r="C2070" s="5" t="str">
        <f>LEFT(F2070,FIND(".",F2070,6))</f>
        <v>Iptc.Application2.</v>
      </c>
      <c r="D2070" s="5" t="str">
        <f>VLOOKUP(C2070,PrefixUebersetzung,2,FALSE)</f>
        <v>Iptc.Application2.</v>
      </c>
      <c r="E2070" s="5" t="str">
        <f>MID(F2070,FIND(".",F2070,6)+1,99)</f>
        <v>RasterizedCaption</v>
      </c>
      <c r="F2070" s="5" t="s">
        <v>1617</v>
      </c>
      <c r="G2070" s="5" t="s">
        <v>9669</v>
      </c>
      <c r="H2070" s="6" t="s">
        <v>3288</v>
      </c>
      <c r="I2070" s="7" t="s">
        <v>4481</v>
      </c>
      <c r="J2070" s="14" t="s">
        <v>6668</v>
      </c>
      <c r="K2070" s="26"/>
      <c r="N2070" s="6"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c r="O2070" s="6" t="s">
        <v>8574</v>
      </c>
      <c r="P2070" s="6" t="s">
        <v>8574</v>
      </c>
    </row>
    <row r="2071" spans="1:17" ht="60" x14ac:dyDescent="0.25">
      <c r="A2071" s="5" t="str">
        <f>IF(TRIM(I2071)="","",E2071)</f>
        <v/>
      </c>
      <c r="B2071" s="5" t="str">
        <f>IF(TRIM(J2071)="","",H2071)</f>
        <v/>
      </c>
      <c r="C2071" s="5" t="str">
        <f>LEFT(F2071,FIND(".",F2071,6))</f>
        <v>Iptc.Application2.</v>
      </c>
      <c r="D2071" s="5" t="str">
        <f>VLOOKUP(C2071,PrefixUebersetzung,2,FALSE)</f>
        <v>Iptc.Application2.</v>
      </c>
      <c r="E2071" s="5" t="str">
        <f>MID(F2071,FIND(".",F2071,6)+1,99)</f>
        <v>RecordVersion</v>
      </c>
      <c r="F2071" s="5" t="s">
        <v>1618</v>
      </c>
      <c r="G2071" s="5" t="s">
        <v>9664</v>
      </c>
      <c r="H2071" s="6" t="s">
        <v>3289</v>
      </c>
      <c r="I2071" s="7"/>
      <c r="K2071" s="26"/>
      <c r="N2071" s="6"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xml:space="preserve">Suffix not translated Description not translated </v>
      </c>
      <c r="O2071" s="6" t="s">
        <v>8574</v>
      </c>
      <c r="P2071" s="6" t="s">
        <v>8574</v>
      </c>
    </row>
    <row r="2072" spans="1:17" ht="30" x14ac:dyDescent="0.25">
      <c r="A2072" s="5" t="str">
        <f>IF(TRIM(I2072)="","",E2072)</f>
        <v>ReferenceDate</v>
      </c>
      <c r="B2072" s="5" t="str">
        <f>IF(TRIM(J2072)="","",H2072)</f>
        <v>Identifies the date of a prior envelope to which the current object refers.</v>
      </c>
      <c r="C2072" s="5" t="str">
        <f>LEFT(F2072,FIND(".",F2072,6))</f>
        <v>Iptc.Application2.</v>
      </c>
      <c r="D2072" s="5" t="str">
        <f>VLOOKUP(C2072,PrefixUebersetzung,2,FALSE)</f>
        <v>Iptc.Application2.</v>
      </c>
      <c r="E2072" s="5" t="str">
        <f>MID(F2072,FIND(".",F2072,6)+1,99)</f>
        <v>ReferenceDate</v>
      </c>
      <c r="F2072" s="5" t="s">
        <v>1619</v>
      </c>
      <c r="G2072" s="5" t="s">
        <v>2988</v>
      </c>
      <c r="H2072" s="6" t="s">
        <v>3290</v>
      </c>
      <c r="I2072" s="7" t="s">
        <v>4482</v>
      </c>
      <c r="J2072" s="14" t="s">
        <v>5508</v>
      </c>
      <c r="K2072" s="26"/>
      <c r="N2072" s="6"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c r="O2072" s="6" t="s">
        <v>8574</v>
      </c>
      <c r="P2072" s="6" t="s">
        <v>8574</v>
      </c>
    </row>
    <row r="2073" spans="1:17" ht="30" x14ac:dyDescent="0.25">
      <c r="A2073" s="5" t="str">
        <f>IF(TRIM(I2073)="","",E2073)</f>
        <v>ReferenceNumber</v>
      </c>
      <c r="B2073" s="5" t="str">
        <f>IF(TRIM(J2073)="","",H2073)</f>
        <v>Identifies the Envelope Number of a prior envelope to which the current object refers.</v>
      </c>
      <c r="C2073" s="5" t="str">
        <f>LEFT(F2073,FIND(".",F2073,6))</f>
        <v>Iptc.Application2.</v>
      </c>
      <c r="D2073" s="5" t="str">
        <f>VLOOKUP(C2073,PrefixUebersetzung,2,FALSE)</f>
        <v>Iptc.Application2.</v>
      </c>
      <c r="E2073" s="5" t="str">
        <f>MID(F2073,FIND(".",F2073,6)+1,99)</f>
        <v>ReferenceNumber</v>
      </c>
      <c r="F2073" s="5" t="s">
        <v>1620</v>
      </c>
      <c r="G2073" s="5" t="s">
        <v>9677</v>
      </c>
      <c r="H2073" s="6" t="s">
        <v>3291</v>
      </c>
      <c r="I2073" s="7" t="s">
        <v>4483</v>
      </c>
      <c r="J2073" s="14" t="s">
        <v>5509</v>
      </c>
      <c r="K2073" s="26"/>
      <c r="N2073" s="6"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c r="O2073" s="6" t="s">
        <v>8574</v>
      </c>
      <c r="P2073" s="6" t="s">
        <v>8574</v>
      </c>
    </row>
    <row r="2074" spans="1:17" ht="30" x14ac:dyDescent="0.25">
      <c r="A2074" s="5" t="str">
        <f>IF(TRIM(I2074)="","",E2074)</f>
        <v>ReferenceService</v>
      </c>
      <c r="B2074" s="5" t="str">
        <f>IF(TRIM(J2074)="","",H2074)</f>
        <v>Identifies the Service Identifier of a prior envelope to which the current object refers.</v>
      </c>
      <c r="C2074" s="5" t="str">
        <f>LEFT(F2074,FIND(".",F2074,6))</f>
        <v>Iptc.Application2.</v>
      </c>
      <c r="D2074" s="5" t="str">
        <f>VLOOKUP(C2074,PrefixUebersetzung,2,FALSE)</f>
        <v>Iptc.Application2.</v>
      </c>
      <c r="E2074" s="5" t="str">
        <f>MID(F2074,FIND(".",F2074,6)+1,99)</f>
        <v>ReferenceService</v>
      </c>
      <c r="F2074" s="5" t="s">
        <v>1621</v>
      </c>
      <c r="G2074" s="5" t="s">
        <v>9677</v>
      </c>
      <c r="H2074" s="6" t="s">
        <v>3292</v>
      </c>
      <c r="I2074" s="7" t="s">
        <v>4484</v>
      </c>
      <c r="J2074" s="14" t="s">
        <v>5510</v>
      </c>
      <c r="K2074" s="26"/>
      <c r="N2074" s="6"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c r="O2074" s="6" t="s">
        <v>8574</v>
      </c>
      <c r="P2074" s="6" t="s">
        <v>8574</v>
      </c>
    </row>
    <row r="2075" spans="1:17" ht="45" x14ac:dyDescent="0.25">
      <c r="A2075" s="5" t="str">
        <f>IF(TRIM(I2075)="","",E2075)</f>
        <v>ReleaseDate</v>
      </c>
      <c r="B2075" s="5" t="str">
        <f>IF(TRIM(J2075)="","",H2075)</f>
        <v>Designates in the form CCYYMMDD the earliest date the provider intends the object to be used. Follows ISO 8601 standard.</v>
      </c>
      <c r="C2075" s="5" t="str">
        <f>LEFT(F2075,FIND(".",F2075,6))</f>
        <v>Iptc.Application2.</v>
      </c>
      <c r="D2075" s="5" t="str">
        <f>VLOOKUP(C2075,PrefixUebersetzung,2,FALSE)</f>
        <v>Iptc.Application2.</v>
      </c>
      <c r="E2075" s="5" t="str">
        <f>MID(F2075,FIND(".",F2075,6)+1,99)</f>
        <v>ReleaseDate</v>
      </c>
      <c r="F2075" s="5" t="s">
        <v>1622</v>
      </c>
      <c r="G2075" s="5" t="s">
        <v>2988</v>
      </c>
      <c r="H2075" s="6" t="s">
        <v>3293</v>
      </c>
      <c r="I2075" s="7" t="s">
        <v>4485</v>
      </c>
      <c r="J2075" s="14" t="s">
        <v>6669</v>
      </c>
      <c r="K2075" s="26"/>
      <c r="L2075" s="6" t="str">
        <f>IFERROR(VLOOKUP(E2075,A:I,9, FALSE),"")</f>
        <v>Freigabedatum</v>
      </c>
      <c r="N2075" s="6"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c r="O2075" s="6" t="s">
        <v>8574</v>
      </c>
      <c r="P2075" s="6" t="s">
        <v>8574</v>
      </c>
    </row>
    <row r="2076" spans="1:17" ht="45" x14ac:dyDescent="0.25">
      <c r="A2076" s="5" t="str">
        <f>IF(TRIM(I2076)="","",E2076)</f>
        <v>ReleaseTime</v>
      </c>
      <c r="B2076" s="5" t="str">
        <f>IF(TRIM(J2076)="","",H2076)</f>
        <v>Designates in the form HHMMSS:HHMM the earliest time the provider intends the object to be used. Follows ISO 8601 standard.</v>
      </c>
      <c r="C2076" s="5" t="str">
        <f>LEFT(F2076,FIND(".",F2076,6))</f>
        <v>Iptc.Application2.</v>
      </c>
      <c r="D2076" s="5" t="str">
        <f>VLOOKUP(C2076,PrefixUebersetzung,2,FALSE)</f>
        <v>Iptc.Application2.</v>
      </c>
      <c r="E2076" s="5" t="str">
        <f>MID(F2076,FIND(".",F2076,6)+1,99)</f>
        <v>ReleaseTime</v>
      </c>
      <c r="F2076" s="5" t="s">
        <v>1623</v>
      </c>
      <c r="G2076" s="5" t="s">
        <v>3023</v>
      </c>
      <c r="H2076" s="6" t="s">
        <v>3294</v>
      </c>
      <c r="I2076" s="7" t="s">
        <v>4486</v>
      </c>
      <c r="J2076" s="14" t="s">
        <v>6670</v>
      </c>
      <c r="K2076" s="26"/>
      <c r="N2076" s="6"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c r="O2076" s="6" t="s">
        <v>8574</v>
      </c>
      <c r="P2076" s="6" t="s">
        <v>8574</v>
      </c>
    </row>
    <row r="2077" spans="1:17" ht="60" x14ac:dyDescent="0.25">
      <c r="A2077" s="5" t="str">
        <f>IF(TRIM(I2077)="","",E2077)</f>
        <v>Source</v>
      </c>
      <c r="B2077" s="5" t="str">
        <f>IF(TRIM(J2077)="","",H2077)</f>
        <v>Identifies the original owner of the intellectual content of the object data. This could be an agency, a member of an agency or an individual.</v>
      </c>
      <c r="C2077" s="5" t="str">
        <f>LEFT(F2077,FIND(".",F2077,6))</f>
        <v>Iptc.Application2.</v>
      </c>
      <c r="D2077" s="5" t="str">
        <f>VLOOKUP(C2077,PrefixUebersetzung,2,FALSE)</f>
        <v>Iptc.Application2.</v>
      </c>
      <c r="E2077" s="5" t="str">
        <f>MID(F2077,FIND(".",F2077,6)+1,99)</f>
        <v>Source</v>
      </c>
      <c r="F2077" s="5" t="s">
        <v>1624</v>
      </c>
      <c r="G2077" s="5" t="s">
        <v>9677</v>
      </c>
      <c r="H2077" s="6" t="s">
        <v>3295</v>
      </c>
      <c r="I2077" s="7" t="s">
        <v>4487</v>
      </c>
      <c r="J2077" s="14" t="s">
        <v>6671</v>
      </c>
      <c r="K2077" s="26"/>
      <c r="L2077" s="6" t="str">
        <f>IFERROR(VLOOKUP(E2077,A:I,9, FALSE),"")</f>
        <v>Quelle</v>
      </c>
      <c r="N2077" s="6"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c r="O2077" s="6" t="s">
        <v>8574</v>
      </c>
      <c r="P2077" s="6" t="s">
        <v>8574</v>
      </c>
    </row>
    <row r="2078" spans="1:17" ht="45" x14ac:dyDescent="0.25">
      <c r="A2078" s="5" t="str">
        <f>IF(TRIM(I2078)="","",E2078)</f>
        <v>SpecialInstructions</v>
      </c>
      <c r="B2078" s="5" t="str">
        <f>IF(TRIM(J2078)="","",H2078)</f>
        <v>Other editorial instructions concerning the use of the object data, such as embargoes and warnings.</v>
      </c>
      <c r="C2078" s="5" t="str">
        <f>LEFT(F2078,FIND(".",F2078,6))</f>
        <v>Iptc.Application2.</v>
      </c>
      <c r="D2078" s="5" t="str">
        <f>VLOOKUP(C2078,PrefixUebersetzung,2,FALSE)</f>
        <v>Iptc.Application2.</v>
      </c>
      <c r="E2078" s="5" t="str">
        <f>MID(F2078,FIND(".",F2078,6)+1,99)</f>
        <v>SpecialInstructions</v>
      </c>
      <c r="F2078" s="5" t="s">
        <v>1625</v>
      </c>
      <c r="G2078" s="5" t="s">
        <v>9677</v>
      </c>
      <c r="H2078" s="6" t="s">
        <v>3296</v>
      </c>
      <c r="I2078" s="7" t="s">
        <v>4488</v>
      </c>
      <c r="J2078" s="14" t="s">
        <v>4100</v>
      </c>
      <c r="K2078" s="26"/>
      <c r="N2078" s="6"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c r="O2078" s="6" t="s">
        <v>8574</v>
      </c>
      <c r="P2078" s="6" t="s">
        <v>8574</v>
      </c>
    </row>
    <row r="2079" spans="1:17" ht="30" x14ac:dyDescent="0.25">
      <c r="A2079" s="5" t="str">
        <f>IF(TRIM(I2079)="","",E2079)</f>
        <v>Subject</v>
      </c>
      <c r="B2079" s="5" t="str">
        <f>IF(TRIM(J2079)="","",H2079)</f>
        <v>The Subject Reference is a structured definition of the subject matter.</v>
      </c>
      <c r="C2079" s="5" t="str">
        <f>LEFT(F2079,FIND(".",F2079,6))</f>
        <v>Iptc.Application2.</v>
      </c>
      <c r="D2079" s="5" t="str">
        <f>VLOOKUP(C2079,PrefixUebersetzung,2,FALSE)</f>
        <v>Iptc.Application2.</v>
      </c>
      <c r="E2079" s="5" t="str">
        <f>MID(F2079,FIND(".",F2079,6)+1,99)</f>
        <v>Subject</v>
      </c>
      <c r="F2079" s="5" t="s">
        <v>1626</v>
      </c>
      <c r="G2079" s="5" t="s">
        <v>9677</v>
      </c>
      <c r="H2079" s="6" t="s">
        <v>3297</v>
      </c>
      <c r="I2079" s="7" t="s">
        <v>4489</v>
      </c>
      <c r="J2079" s="14" t="s">
        <v>4101</v>
      </c>
      <c r="K2079" s="26"/>
      <c r="L2079" s="6" t="str">
        <f>IFERROR(VLOOKUP(E2079,A:I,9, FALSE),"")</f>
        <v>Betreff</v>
      </c>
      <c r="N2079" s="6"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c>
      <c r="O2079" s="6" t="s">
        <v>8574</v>
      </c>
      <c r="P2079" s="6" t="s">
        <v>8574</v>
      </c>
    </row>
    <row r="2080" spans="1:17" ht="45" x14ac:dyDescent="0.25">
      <c r="A2080" s="5" t="str">
        <f>IF(TRIM(I2080)="","",E2080)</f>
        <v>SubLocation</v>
      </c>
      <c r="B2080" s="5" t="str">
        <f>IF(TRIM(J2080)="","",H2080)</f>
        <v>Identifies the location within a city from which the object data originates, according to guidelines established by the provider.</v>
      </c>
      <c r="C2080" s="5" t="str">
        <f>LEFT(F2080,FIND(".",F2080,6))</f>
        <v>Iptc.Application2.</v>
      </c>
      <c r="D2080" s="5" t="str">
        <f>VLOOKUP(C2080,PrefixUebersetzung,2,FALSE)</f>
        <v>Iptc.Application2.</v>
      </c>
      <c r="E2080" s="5" t="str">
        <f>MID(F2080,FIND(".",F2080,6)+1,99)</f>
        <v>SubLocation</v>
      </c>
      <c r="F2080" s="5" t="s">
        <v>1627</v>
      </c>
      <c r="G2080" s="5" t="s">
        <v>9677</v>
      </c>
      <c r="H2080" s="6" t="s">
        <v>3298</v>
      </c>
      <c r="I2080" s="7" t="s">
        <v>4490</v>
      </c>
      <c r="J2080" s="14" t="s">
        <v>6672</v>
      </c>
      <c r="K2080" s="26"/>
      <c r="L2080" s="6" t="str">
        <f>IFERROR(VLOOKUP(E2080,A:I,9, FALSE),"")</f>
        <v>Ort Detail</v>
      </c>
      <c r="N2080" s="6"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c>
      <c r="O2080" s="6" t="s">
        <v>8574</v>
      </c>
      <c r="P2080" s="6" t="s">
        <v>8574</v>
      </c>
    </row>
    <row r="2081" spans="1:16" ht="75" x14ac:dyDescent="0.25">
      <c r="A2081" s="5" t="str">
        <f>IF(TRIM(I2081)="","",E2081)</f>
        <v>SuppCategory</v>
      </c>
      <c r="B2081" s="5" t="str">
        <f>IF(TRIM(J2081)="","",H2081)</f>
        <v>Supplemental categories further refine the subject of an object data. A supplemental category may include any of the recognised categories as used in tag &lt;Category&gt;. Otherwise, selection of supplemental categories are left to the provider.</v>
      </c>
      <c r="C2081" s="5" t="str">
        <f>LEFT(F2081,FIND(".",F2081,6))</f>
        <v>Iptc.Application2.</v>
      </c>
      <c r="D2081" s="5" t="str">
        <f>VLOOKUP(C2081,PrefixUebersetzung,2,FALSE)</f>
        <v>Iptc.Application2.</v>
      </c>
      <c r="E2081" s="5" t="str">
        <f>MID(F2081,FIND(".",F2081,6)+1,99)</f>
        <v>SuppCategory</v>
      </c>
      <c r="F2081" s="5" t="s">
        <v>1628</v>
      </c>
      <c r="G2081" s="5" t="s">
        <v>9677</v>
      </c>
      <c r="H2081" s="6" t="s">
        <v>3299</v>
      </c>
      <c r="I2081" s="7" t="s">
        <v>4968</v>
      </c>
      <c r="J2081" s="14" t="s">
        <v>6673</v>
      </c>
      <c r="K2081" s="26"/>
      <c r="N2081" s="6"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c>
      <c r="O2081" s="6" t="s">
        <v>8574</v>
      </c>
      <c r="P2081" s="6" t="s">
        <v>8574</v>
      </c>
    </row>
    <row r="2082" spans="1:16" ht="75" x14ac:dyDescent="0.25">
      <c r="A2082" s="5" t="str">
        <f>IF(TRIM(I2082)="","",E2082)</f>
        <v>TimeCreated</v>
      </c>
      <c r="B2082" s="5" t="str">
        <f>IF(TRIM(J2082)="","",H2082)</f>
        <v>Represented in the form HHMMSS:HHMM to designate the time the intellectual content of the object data current source material was created rather than the creation of the physical representation. Follows ISO 8601 standard.</v>
      </c>
      <c r="C2082" s="5" t="str">
        <f>LEFT(F2082,FIND(".",F2082,6))</f>
        <v>Iptc.Application2.</v>
      </c>
      <c r="D2082" s="5" t="str">
        <f>VLOOKUP(C2082,PrefixUebersetzung,2,FALSE)</f>
        <v>Iptc.Application2.</v>
      </c>
      <c r="E2082" s="5" t="str">
        <f>MID(F2082,FIND(".",F2082,6)+1,99)</f>
        <v>TimeCreated</v>
      </c>
      <c r="F2082" s="5" t="s">
        <v>1629</v>
      </c>
      <c r="G2082" s="5" t="s">
        <v>3023</v>
      </c>
      <c r="H2082" s="6" t="s">
        <v>3300</v>
      </c>
      <c r="I2082" s="7" t="s">
        <v>4491</v>
      </c>
      <c r="J2082" s="14" t="s">
        <v>5511</v>
      </c>
      <c r="K2082" s="26"/>
      <c r="N2082" s="6"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c r="O2082" s="6" t="s">
        <v>8574</v>
      </c>
      <c r="P2082" s="6" t="s">
        <v>8574</v>
      </c>
    </row>
    <row r="2083" spans="1:16" ht="30" x14ac:dyDescent="0.25">
      <c r="A2083" s="5" t="str">
        <f>IF(TRIM(I2083)="","",E2083)</f>
        <v>TransmissionReference</v>
      </c>
      <c r="B2083" s="5" t="str">
        <f>IF(TRIM(J2083)="","",H2083)</f>
        <v>A code representing the location of original transmission according to practices of the provider.</v>
      </c>
      <c r="C2083" s="5" t="str">
        <f>LEFT(F2083,FIND(".",F2083,6))</f>
        <v>Iptc.Application2.</v>
      </c>
      <c r="D2083" s="5" t="str">
        <f>VLOOKUP(C2083,PrefixUebersetzung,2,FALSE)</f>
        <v>Iptc.Application2.</v>
      </c>
      <c r="E2083" s="5" t="str">
        <f>MID(F2083,FIND(".",F2083,6)+1,99)</f>
        <v>TransmissionReference</v>
      </c>
      <c r="F2083" s="5" t="s">
        <v>1630</v>
      </c>
      <c r="G2083" s="5" t="s">
        <v>9677</v>
      </c>
      <c r="H2083" s="6" t="s">
        <v>3301</v>
      </c>
      <c r="I2083" s="24" t="s">
        <v>4987</v>
      </c>
      <c r="J2083" s="14" t="s">
        <v>5512</v>
      </c>
      <c r="K2083" s="26"/>
      <c r="L2083" s="6" t="str">
        <f>IFERROR(VLOOKUP(E2083,A:I,9, FALSE),"")</f>
        <v>Übertragungsreferenz</v>
      </c>
      <c r="N2083" s="6"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c r="O2083" s="6" t="s">
        <v>8574</v>
      </c>
      <c r="P2083" s="6" t="s">
        <v>8574</v>
      </c>
    </row>
    <row r="2084" spans="1:16" ht="75" x14ac:dyDescent="0.25">
      <c r="A2084" s="5" t="str">
        <f>IF(TRIM(I2084)="","",E2084)</f>
        <v>Urgency</v>
      </c>
      <c r="B2084" s="5" t="str">
        <f>IF(TRIM(J2084)="","",H2084)</f>
        <v>Specifies the editorial urgency of content and not necessarily the envelope handling priority (see tag &lt;EnvelopePriority&gt;). The "1" is most urgent, "5" normal and "8" denotes the least-urgent copy.</v>
      </c>
      <c r="C2084" s="5" t="str">
        <f>LEFT(F2084,FIND(".",F2084,6))</f>
        <v>Iptc.Application2.</v>
      </c>
      <c r="D2084" s="5" t="str">
        <f>VLOOKUP(C2084,PrefixUebersetzung,2,FALSE)</f>
        <v>Iptc.Application2.</v>
      </c>
      <c r="E2084" s="5" t="str">
        <f>MID(F2084,FIND(".",F2084,6)+1,99)</f>
        <v>Urgency</v>
      </c>
      <c r="F2084" s="5" t="s">
        <v>1631</v>
      </c>
      <c r="G2084" s="5" t="s">
        <v>9677</v>
      </c>
      <c r="H2084" s="6" t="s">
        <v>3302</v>
      </c>
      <c r="I2084" s="7" t="s">
        <v>4492</v>
      </c>
      <c r="J2084" s="14" t="s">
        <v>5513</v>
      </c>
      <c r="K2084" s="26"/>
      <c r="L2084" s="6" t="str">
        <f>IFERROR(VLOOKUP(E2084,A:I,9, FALSE),"")</f>
        <v>Dringlichkeit</v>
      </c>
      <c r="N2084" s="6"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c r="O2084" s="6" t="s">
        <v>8574</v>
      </c>
      <c r="P2084" s="6" t="s">
        <v>8574</v>
      </c>
    </row>
    <row r="2085" spans="1:16" ht="45" x14ac:dyDescent="0.25">
      <c r="A2085" s="5" t="str">
        <f>IF(TRIM(I2085)="","",E2085)</f>
        <v>Writer</v>
      </c>
      <c r="B2085" s="5" t="str">
        <f>IF(TRIM(J2085)="","",H2085)</f>
        <v>Identification of the name of the person involved in the writing, editing or correcting the object data or caption/abstract.</v>
      </c>
      <c r="C2085" s="5" t="str">
        <f>LEFT(F2085,FIND(".",F2085,6))</f>
        <v>Iptc.Application2.</v>
      </c>
      <c r="D2085" s="5" t="str">
        <f>VLOOKUP(C2085,PrefixUebersetzung,2,FALSE)</f>
        <v>Iptc.Application2.</v>
      </c>
      <c r="E2085" s="5" t="str">
        <f>MID(F2085,FIND(".",F2085,6)+1,99)</f>
        <v>Writer</v>
      </c>
      <c r="F2085" s="5" t="s">
        <v>1632</v>
      </c>
      <c r="G2085" s="5" t="s">
        <v>9677</v>
      </c>
      <c r="H2085" s="6" t="s">
        <v>3303</v>
      </c>
      <c r="I2085" s="7" t="s">
        <v>4493</v>
      </c>
      <c r="J2085" s="14" t="s">
        <v>5514</v>
      </c>
      <c r="K2085" s="26"/>
      <c r="N2085" s="6"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c r="O2085" s="6" t="s">
        <v>8574</v>
      </c>
      <c r="P2085" s="6" t="s">
        <v>8574</v>
      </c>
    </row>
    <row r="2086" spans="1:16" ht="60" x14ac:dyDescent="0.25">
      <c r="A2086" s="5" t="str">
        <f>IF(TRIM(I2086)="","",E2086)</f>
        <v>ARMId</v>
      </c>
      <c r="B2086" s="5" t="str">
        <f>IF(TRIM(J2086)="","",H2086)</f>
        <v>The DataSet identifies the Abstract Relationship Method identifier (ARM) which is described in a document registered by the originator of the ARM with the IPTC and NAA organizations.</v>
      </c>
      <c r="C2086" s="5" t="str">
        <f>LEFT(F2086,FIND(".",F2086,6))</f>
        <v>Iptc.Envelope.</v>
      </c>
      <c r="D2086" s="5" t="str">
        <f>VLOOKUP(C2086,PrefixUebersetzung,2,FALSE)</f>
        <v>Iptc.Envelope.</v>
      </c>
      <c r="E2086" s="5" t="str">
        <f>MID(F2086,FIND(".",F2086,6)+1,99)</f>
        <v>ARMId</v>
      </c>
      <c r="F2086" s="5" t="s">
        <v>1633</v>
      </c>
      <c r="G2086" s="5" t="s">
        <v>9664</v>
      </c>
      <c r="H2086" s="6" t="s">
        <v>3304</v>
      </c>
      <c r="I2086" s="7" t="s">
        <v>4665</v>
      </c>
      <c r="J2086" s="14" t="s">
        <v>5515</v>
      </c>
      <c r="K2086" s="26"/>
      <c r="N2086" s="6"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c r="O2086" s="6" t="s">
        <v>8574</v>
      </c>
      <c r="P2086" s="6" t="s">
        <v>8574</v>
      </c>
    </row>
    <row r="2087" spans="1:16" ht="45" x14ac:dyDescent="0.25">
      <c r="A2087" s="5" t="str">
        <f>IF(TRIM(I2087)="","",E2087)</f>
        <v>ARMVersion</v>
      </c>
      <c r="B2087" s="5" t="str">
        <f>IF(TRIM(J2087)="","",H2087)</f>
        <v>This tag consisting of a binary number representing the particular version of the ARM specified by tag &lt;ARMId&gt;.</v>
      </c>
      <c r="C2087" s="5" t="str">
        <f>LEFT(F2087,FIND(".",F2087,6))</f>
        <v>Iptc.Envelope.</v>
      </c>
      <c r="D2087" s="5" t="str">
        <f>VLOOKUP(C2087,PrefixUebersetzung,2,FALSE)</f>
        <v>Iptc.Envelope.</v>
      </c>
      <c r="E2087" s="5" t="str">
        <f>MID(F2087,FIND(".",F2087,6)+1,99)</f>
        <v>ARMVersion</v>
      </c>
      <c r="F2087" s="5" t="s">
        <v>1634</v>
      </c>
      <c r="G2087" s="5" t="s">
        <v>9664</v>
      </c>
      <c r="H2087" s="6" t="s">
        <v>3305</v>
      </c>
      <c r="I2087" s="7" t="s">
        <v>4666</v>
      </c>
      <c r="J2087" s="14" t="s">
        <v>5516</v>
      </c>
      <c r="K2087" s="26"/>
      <c r="N2087" s="6"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c r="O2087" s="6" t="s">
        <v>8574</v>
      </c>
      <c r="P2087" s="6" t="s">
        <v>8574</v>
      </c>
    </row>
    <row r="2088" spans="1:16" ht="90" x14ac:dyDescent="0.25">
      <c r="A2088" s="5" t="str">
        <f>IF(TRIM(I2088)="","",E2088)</f>
        <v>CharacterSet</v>
      </c>
      <c r="B2088" s="5" t="str">
        <f>IF(TRIM(J2088)="","",H2088)</f>
        <v>This tag consisting of one or more control functions used for the announcement, invocation or designation of coded character sets. The control functions follow the ISO 2022 standard and may consist of the escape control character and one or more graphic characters.</v>
      </c>
      <c r="C2088" s="5" t="str">
        <f>LEFT(F2088,FIND(".",F2088,6))</f>
        <v>Iptc.Envelope.</v>
      </c>
      <c r="D2088" s="5" t="str">
        <f>VLOOKUP(C2088,PrefixUebersetzung,2,FALSE)</f>
        <v>Iptc.Envelope.</v>
      </c>
      <c r="E2088" s="5" t="str">
        <f>MID(F2088,FIND(".",F2088,6)+1,99)</f>
        <v>CharacterSet</v>
      </c>
      <c r="F2088" s="5" t="s">
        <v>1635</v>
      </c>
      <c r="G2088" s="5" t="s">
        <v>9677</v>
      </c>
      <c r="H2088" s="6" t="s">
        <v>3306</v>
      </c>
      <c r="I2088" s="7" t="s">
        <v>4494</v>
      </c>
      <c r="J2088" s="14" t="s">
        <v>5517</v>
      </c>
      <c r="K2088" s="26"/>
      <c r="N2088" s="6"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c r="O2088" s="6" t="s">
        <v>8574</v>
      </c>
      <c r="P2088" s="6" t="s">
        <v>8574</v>
      </c>
    </row>
    <row r="2089" spans="1:16" ht="60" x14ac:dyDescent="0.25">
      <c r="A2089" s="5" t="str">
        <f>IF(TRIM(I2089)="","",E2089)</f>
        <v>DateSent</v>
      </c>
      <c r="B2089" s="5" t="str">
        <f>IF(TRIM(J2089)="","",H2089)</f>
        <v>Uses the format CCYYMMDD (century, year, month, day) as de-fined in ISO 8601 to indicate year, month and day the service sent the material.</v>
      </c>
      <c r="C2089" s="5" t="str">
        <f>LEFT(F2089,FIND(".",F2089,6))</f>
        <v>Iptc.Envelope.</v>
      </c>
      <c r="D2089" s="5" t="str">
        <f>VLOOKUP(C2089,PrefixUebersetzung,2,FALSE)</f>
        <v>Iptc.Envelope.</v>
      </c>
      <c r="E2089" s="5" t="str">
        <f>MID(F2089,FIND(".",F2089,6)+1,99)</f>
        <v>DateSent</v>
      </c>
      <c r="F2089" s="5" t="s">
        <v>1636</v>
      </c>
      <c r="G2089" s="5" t="s">
        <v>2988</v>
      </c>
      <c r="H2089" s="6" t="s">
        <v>3307</v>
      </c>
      <c r="I2089" s="7" t="s">
        <v>4495</v>
      </c>
      <c r="J2089" s="14" t="s">
        <v>5518</v>
      </c>
      <c r="K2089" s="26"/>
      <c r="N2089" s="6"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c r="O2089" s="6" t="s">
        <v>8574</v>
      </c>
      <c r="P2089" s="6" t="s">
        <v>8574</v>
      </c>
    </row>
    <row r="2090" spans="1:16" ht="45" x14ac:dyDescent="0.25">
      <c r="A2090" s="5" t="str">
        <f>IF(TRIM(I2090)="","",E2090)</f>
        <v/>
      </c>
      <c r="B2090" s="5" t="str">
        <f>IF(TRIM(J2090)="","",H2090)</f>
        <v>This DataSet is to accommodate some providers who require routing information above the appropriate OSI layers.</v>
      </c>
      <c r="C2090" s="5" t="str">
        <f>LEFT(F2090,FIND(".",F2090,6))</f>
        <v>Iptc.Envelope.</v>
      </c>
      <c r="D2090" s="5" t="str">
        <f>VLOOKUP(C2090,PrefixUebersetzung,2,FALSE)</f>
        <v>Iptc.Envelope.</v>
      </c>
      <c r="E2090" s="5" t="str">
        <f>MID(F2090,FIND(".",F2090,6)+1,99)</f>
        <v>Destination</v>
      </c>
      <c r="F2090" s="5" t="s">
        <v>1637</v>
      </c>
      <c r="G2090" s="5" t="s">
        <v>9677</v>
      </c>
      <c r="H2090" s="6" t="s">
        <v>3308</v>
      </c>
      <c r="I2090" s="7"/>
      <c r="J2090" s="14" t="s">
        <v>6674</v>
      </c>
      <c r="K2090" s="26"/>
      <c r="L2090" s="6" t="str">
        <f>IFERROR(VLOOKUP(E2090,A:I,9, FALSE),"")</f>
        <v>Ziel</v>
      </c>
      <c r="N2090" s="6"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c r="P2090" s="6" t="s">
        <v>8574</v>
      </c>
    </row>
    <row r="2091" spans="1:16" ht="120" x14ac:dyDescent="0.25">
      <c r="A2091" s="5" t="str">
        <f>IF(TRIM(I2091)="","",E2091)</f>
        <v/>
      </c>
      <c r="B2091" s="5" t="str">
        <f>IF(TRIM(J2091)="","",H2091)</f>
        <v/>
      </c>
      <c r="C2091" s="5" t="str">
        <f>LEFT(F2091,FIND(".",F2091,6))</f>
        <v>Iptc.Envelope.</v>
      </c>
      <c r="D2091" s="5" t="str">
        <f>VLOOKUP(C2091,PrefixUebersetzung,2,FALSE)</f>
        <v>Iptc.Envelope.</v>
      </c>
      <c r="E2091" s="5" t="str">
        <f>MID(F2091,FIND(".",F2091,6)+1,99)</f>
        <v>EnvelopeNumber</v>
      </c>
      <c r="F2091" s="5" t="s">
        <v>1638</v>
      </c>
      <c r="G2091" s="5" t="s">
        <v>9677</v>
      </c>
      <c r="H2091" s="6" t="s">
        <v>3309</v>
      </c>
      <c r="I2091" s="7"/>
      <c r="K2091" s="26"/>
      <c r="N2091" s="6"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xml:space="preserve">Suffix not translated Description not translated </v>
      </c>
      <c r="O2091" s="6" t="s">
        <v>8574</v>
      </c>
      <c r="P2091" s="6" t="s">
        <v>8574</v>
      </c>
    </row>
    <row r="2092" spans="1:16" ht="75" x14ac:dyDescent="0.25">
      <c r="A2092" s="5" t="str">
        <f>IF(TRIM(I2092)="","",E2092)</f>
        <v/>
      </c>
      <c r="B2092" s="5" t="str">
        <f>IF(TRIM(J2092)="","",H2092)</f>
        <v/>
      </c>
      <c r="C2092" s="5" t="str">
        <f>LEFT(F2092,FIND(".",F2092,6))</f>
        <v>Iptc.Envelope.</v>
      </c>
      <c r="D2092" s="5" t="str">
        <f>VLOOKUP(C2092,PrefixUebersetzung,2,FALSE)</f>
        <v>Iptc.Envelope.</v>
      </c>
      <c r="E2092" s="5" t="str">
        <f>MID(F2092,FIND(".",F2092,6)+1,99)</f>
        <v>EnvelopePriority</v>
      </c>
      <c r="F2092" s="5" t="s">
        <v>1639</v>
      </c>
      <c r="G2092" s="5" t="s">
        <v>9677</v>
      </c>
      <c r="H2092" s="6" t="s">
        <v>3310</v>
      </c>
      <c r="I2092" s="7"/>
      <c r="K2092" s="26"/>
      <c r="N2092" s="6"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xml:space="preserve">Suffix not translated Description not translated </v>
      </c>
      <c r="O2092" s="6" t="s">
        <v>8574</v>
      </c>
      <c r="P2092" s="6" t="s">
        <v>8574</v>
      </c>
    </row>
    <row r="2093" spans="1:16" ht="105" x14ac:dyDescent="0.25">
      <c r="A2093" s="5" t="str">
        <f>IF(TRIM(I2093)="","",E2093)</f>
        <v/>
      </c>
      <c r="B2093" s="5" t="str">
        <f>IF(TRIM(J2093)="","",H2093)</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2093" s="5" t="str">
        <f>LEFT(F2093,FIND(".",F2093,6))</f>
        <v>Iptc.Envelope.</v>
      </c>
      <c r="D2093" s="5" t="str">
        <f>VLOOKUP(C2093,PrefixUebersetzung,2,FALSE)</f>
        <v>Iptc.Envelope.</v>
      </c>
      <c r="E2093" s="5" t="str">
        <f>MID(F2093,FIND(".",F2093,6)+1,99)</f>
        <v>FileFormat</v>
      </c>
      <c r="F2093" s="5" t="s">
        <v>1640</v>
      </c>
      <c r="G2093" s="5" t="s">
        <v>9664</v>
      </c>
      <c r="H2093" s="6" t="s">
        <v>3311</v>
      </c>
      <c r="I2093" s="7"/>
      <c r="J2093" s="14" t="s">
        <v>6675</v>
      </c>
      <c r="K2093" s="26"/>
      <c r="L2093" s="6" t="str">
        <f>IFERROR(VLOOKUP(E2093,A:I,9, FALSE),"")</f>
        <v>Dateiformat</v>
      </c>
      <c r="N2093" s="6"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c r="P2093" s="6" t="s">
        <v>8574</v>
      </c>
    </row>
    <row r="2094" spans="1:16" ht="30" x14ac:dyDescent="0.25">
      <c r="A2094" s="5" t="str">
        <f>IF(TRIM(I2094)="","",E2094)</f>
        <v>FileVersion</v>
      </c>
      <c r="B2094" s="5" t="str">
        <f>IF(TRIM(J2094)="","",H2094)</f>
        <v>A binary number representing the particular version of the File Format specified by &lt;FileFormat&gt; tag.</v>
      </c>
      <c r="C2094" s="5" t="str">
        <f>LEFT(F2094,FIND(".",F2094,6))</f>
        <v>Iptc.Envelope.</v>
      </c>
      <c r="D2094" s="5" t="str">
        <f>VLOOKUP(C2094,PrefixUebersetzung,2,FALSE)</f>
        <v>Iptc.Envelope.</v>
      </c>
      <c r="E2094" s="5" t="str">
        <f>MID(F2094,FIND(".",F2094,6)+1,99)</f>
        <v>FileVersion</v>
      </c>
      <c r="F2094" s="5" t="s">
        <v>1641</v>
      </c>
      <c r="G2094" s="5" t="s">
        <v>9664</v>
      </c>
      <c r="H2094" s="6" t="s">
        <v>3312</v>
      </c>
      <c r="I2094" s="7" t="s">
        <v>5121</v>
      </c>
      <c r="J2094" s="14" t="s">
        <v>6676</v>
      </c>
      <c r="K2094" s="26"/>
      <c r="N2094" s="6"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c r="O2094" s="6" t="s">
        <v>8574</v>
      </c>
      <c r="P2094" s="6" t="s">
        <v>8574</v>
      </c>
    </row>
    <row r="2095" spans="1:16" ht="60" x14ac:dyDescent="0.25">
      <c r="A2095" s="5" t="str">
        <f>IF(TRIM(I2095)="","",E2095)</f>
        <v>ModelVersion</v>
      </c>
      <c r="B2095" s="5" t="str">
        <f>IF(TRIM(J2095)="","",H2095)</f>
        <v>A binary number identifying the version of the Information Interchange Model, Part I, utilised by the provider. Version numbers are assigned by IPTC and NAA organizations.</v>
      </c>
      <c r="C2095" s="5" t="str">
        <f>LEFT(F2095,FIND(".",F2095,6))</f>
        <v>Iptc.Envelope.</v>
      </c>
      <c r="D2095" s="5" t="str">
        <f>VLOOKUP(C2095,PrefixUebersetzung,2,FALSE)</f>
        <v>Iptc.Envelope.</v>
      </c>
      <c r="E2095" s="5" t="str">
        <f>MID(F2095,FIND(".",F2095,6)+1,99)</f>
        <v>ModelVersion</v>
      </c>
      <c r="F2095" s="23" t="s">
        <v>5672</v>
      </c>
      <c r="G2095" s="5" t="s">
        <v>9664</v>
      </c>
      <c r="H2095" s="10" t="s">
        <v>5673</v>
      </c>
      <c r="I2095" s="7" t="s">
        <v>6447</v>
      </c>
      <c r="J2095" s="8" t="s">
        <v>6757</v>
      </c>
      <c r="K2095" s="26"/>
      <c r="N2095" s="6"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c r="O2095" s="6" t="s">
        <v>8574</v>
      </c>
      <c r="P2095" s="6" t="s">
        <v>8574</v>
      </c>
    </row>
    <row r="2096" spans="1:16" ht="75" x14ac:dyDescent="0.25">
      <c r="A2096" s="5" t="str">
        <f>IF(TRIM(I2096)="","",E2096)</f>
        <v>ProductId</v>
      </c>
      <c r="B2096" s="5" t="str">
        <f>IF(TRIM(J2096)="","",H2096)</f>
        <v>Allows a provider to identify subsets of its overall service. Used to provide receiving organisation data on which to select, route, or otherwise handle data.</v>
      </c>
      <c r="C2096" s="5" t="str">
        <f>LEFT(F2096,FIND(".",F2096,6))</f>
        <v>Iptc.Envelope.</v>
      </c>
      <c r="D2096" s="5" t="str">
        <f>VLOOKUP(C2096,PrefixUebersetzung,2,FALSE)</f>
        <v>Iptc.Envelope.</v>
      </c>
      <c r="E2096" s="5" t="str">
        <f>MID(F2096,FIND(".",F2096,6)+1,99)</f>
        <v>ProductId</v>
      </c>
      <c r="F2096" s="5" t="s">
        <v>1642</v>
      </c>
      <c r="G2096" s="5" t="s">
        <v>9677</v>
      </c>
      <c r="H2096" s="6" t="s">
        <v>3313</v>
      </c>
      <c r="I2096" s="7" t="s">
        <v>4497</v>
      </c>
      <c r="J2096" s="14" t="s">
        <v>5519</v>
      </c>
      <c r="K2096" s="26"/>
      <c r="N2096" s="6"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c r="O2096" s="6" t="s">
        <v>8574</v>
      </c>
      <c r="P2096" s="6" t="s">
        <v>8574</v>
      </c>
    </row>
    <row r="2097" spans="1:17" ht="30" x14ac:dyDescent="0.25">
      <c r="A2097" s="5" t="str">
        <f>IF(TRIM(I2097)="","",E2097)</f>
        <v>ServiceId</v>
      </c>
      <c r="B2097" s="5" t="str">
        <f>IF(TRIM(J2097)="","",H2097)</f>
        <v>Identifies the provider and product</v>
      </c>
      <c r="C2097" s="5" t="str">
        <f>LEFT(F2097,FIND(".",F2097,6))</f>
        <v>Iptc.Envelope.</v>
      </c>
      <c r="D2097" s="5" t="str">
        <f>VLOOKUP(C2097,PrefixUebersetzung,2,FALSE)</f>
        <v>Iptc.Envelope.</v>
      </c>
      <c r="E2097" s="5" t="str">
        <f>MID(F2097,FIND(".",F2097,6)+1,99)</f>
        <v>ServiceId</v>
      </c>
      <c r="F2097" s="5" t="s">
        <v>1643</v>
      </c>
      <c r="G2097" s="5" t="s">
        <v>9677</v>
      </c>
      <c r="H2097" s="6" t="s">
        <v>3314</v>
      </c>
      <c r="I2097" s="7" t="s">
        <v>4498</v>
      </c>
      <c r="J2097" s="14" t="s">
        <v>5520</v>
      </c>
      <c r="K2097" s="26"/>
      <c r="N2097" s="6"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c r="O2097" s="6" t="s">
        <v>8574</v>
      </c>
      <c r="P2097" s="6" t="s">
        <v>8574</v>
      </c>
      <c r="Q2097" s="6" t="s">
        <v>9351</v>
      </c>
    </row>
    <row r="2098" spans="1:17" ht="90" x14ac:dyDescent="0.25">
      <c r="A2098" s="5" t="str">
        <f>IF(TRIM(I2098)="","",E2098)</f>
        <v>TimeSent</v>
      </c>
      <c r="B2098" s="5" t="str">
        <f>IF(TRIM(J2098)="","",H2098)</f>
        <v>Uses the format HHMMSS:HHMM where HHMMSS refers to local hour, minute and seconds and HHMM refers to hours and minutes ahead (+) or behind (-) Universal Coordinated Time as described in ISO 8601. This is the time the service sent the material.</v>
      </c>
      <c r="C2098" s="5" t="str">
        <f>LEFT(F2098,FIND(".",F2098,6))</f>
        <v>Iptc.Envelope.</v>
      </c>
      <c r="D2098" s="5" t="str">
        <f>VLOOKUP(C2098,PrefixUebersetzung,2,FALSE)</f>
        <v>Iptc.Envelope.</v>
      </c>
      <c r="E2098" s="5" t="str">
        <f>MID(F2098,FIND(".",F2098,6)+1,99)</f>
        <v>TimeSent</v>
      </c>
      <c r="F2098" s="5" t="s">
        <v>1644</v>
      </c>
      <c r="G2098" s="5" t="s">
        <v>3023</v>
      </c>
      <c r="H2098" s="6" t="s">
        <v>3315</v>
      </c>
      <c r="I2098" s="7" t="s">
        <v>4499</v>
      </c>
      <c r="J2098" s="14" t="s">
        <v>5521</v>
      </c>
      <c r="K2098" s="26"/>
      <c r="N2098" s="6"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6" t="s">
        <v>8574</v>
      </c>
      <c r="P2098" s="6" t="s">
        <v>8574</v>
      </c>
    </row>
    <row r="2099" spans="1:17" ht="75" x14ac:dyDescent="0.25">
      <c r="A2099" s="5" t="str">
        <f>IF(TRIM(I2099)="","",E2099)</f>
        <v>UNO</v>
      </c>
      <c r="B2099" s="5" t="str">
        <f>IF(TRIM(J2099)="","",H2099)</f>
        <v>This tag provide a globally unique identification for objects as specified in the IIM, independent of provider and for any media form. The provider must ensure the UNO is unique. Objects with the same UNO are identical.</v>
      </c>
      <c r="C2099" s="5" t="str">
        <f>LEFT(F2099,FIND(".",F2099,6))</f>
        <v>Iptc.Envelope.</v>
      </c>
      <c r="D2099" s="5" t="str">
        <f>VLOOKUP(C2099,PrefixUebersetzung,2,FALSE)</f>
        <v>Iptc.Envelope.</v>
      </c>
      <c r="E2099" s="5" t="str">
        <f>MID(F2099,FIND(".",F2099,6)+1,99)</f>
        <v>UNO</v>
      </c>
      <c r="F2099" s="5" t="s">
        <v>1645</v>
      </c>
      <c r="G2099" s="5" t="s">
        <v>9677</v>
      </c>
      <c r="H2099" s="6" t="s">
        <v>3316</v>
      </c>
      <c r="I2099" s="7" t="s">
        <v>4215</v>
      </c>
      <c r="J2099" s="14" t="s">
        <v>5522</v>
      </c>
      <c r="K2099" s="26"/>
      <c r="N2099" s="6"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c r="O2099" s="6" t="s">
        <v>8574</v>
      </c>
      <c r="P2099" s="6" t="s">
        <v>8574</v>
      </c>
    </row>
    <row r="2100" spans="1:17" x14ac:dyDescent="0.25">
      <c r="A2100" s="5" t="str">
        <f>IF(TRIM(I2100)="","",E2100)</f>
        <v>author</v>
      </c>
      <c r="B2100" s="5" t="str">
        <f>IF(TRIM(J2100)="","",H2100)</f>
        <v>The name of the author or photographer</v>
      </c>
      <c r="C2100" s="5" t="str">
        <f>LEFT(F2100,FIND(".",F2100,6))</f>
        <v>Xmp.acdsee.</v>
      </c>
      <c r="D2100" s="5" t="str">
        <f>VLOOKUP(C2100,PrefixUebersetzung,2,FALSE)</f>
        <v>Xmp.acdsee.</v>
      </c>
      <c r="E2100" s="5" t="str">
        <f>MID(F2100,FIND(".",F2100,6)+1,99)</f>
        <v>author</v>
      </c>
      <c r="F2100" s="2" t="s">
        <v>7150</v>
      </c>
      <c r="G2100" s="5" t="s">
        <v>9678</v>
      </c>
      <c r="H2100" s="3" t="s">
        <v>7151</v>
      </c>
      <c r="I2100" s="7" t="s">
        <v>4522</v>
      </c>
      <c r="J2100" s="8" t="s">
        <v>7922</v>
      </c>
      <c r="K2100" s="26"/>
      <c r="N2100" s="6"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c r="O2100" s="6" t="s">
        <v>8574</v>
      </c>
      <c r="P2100" s="6" t="s">
        <v>8574</v>
      </c>
      <c r="Q2100" s="6" t="s">
        <v>9519</v>
      </c>
    </row>
    <row r="2101" spans="1:17" ht="30" x14ac:dyDescent="0.25">
      <c r="A2101" s="5" t="str">
        <f>IF(TRIM(I2101)="","",E2101)</f>
        <v/>
      </c>
      <c r="B2101" s="5" t="str">
        <f>IF(TRIM(J2101)="","",H2101)</f>
        <v>A brief description of the file</v>
      </c>
      <c r="C2101" s="5" t="str">
        <f>LEFT(F2101,FIND(".",F2101,6))</f>
        <v>Xmp.acdsee.</v>
      </c>
      <c r="D2101" s="5" t="str">
        <f>VLOOKUP(C2101,PrefixUebersetzung,2,FALSE)</f>
        <v>Xmp.acdsee.</v>
      </c>
      <c r="E2101" s="5" t="str">
        <f>MID(F2101,FIND(".",F2101,6)+1,99)</f>
        <v>caption</v>
      </c>
      <c r="F2101" s="2" t="s">
        <v>7152</v>
      </c>
      <c r="G2101" s="5" t="s">
        <v>9678</v>
      </c>
      <c r="H2101" s="3" t="s">
        <v>7153</v>
      </c>
      <c r="I2101" s="7"/>
      <c r="J2101" s="8" t="s">
        <v>7923</v>
      </c>
      <c r="K2101" s="26"/>
      <c r="L2101" s="6" t="str">
        <f>IFERROR(VLOOKUP(E2101,A:I,9, FALSE),"")</f>
        <v>Beschreibung</v>
      </c>
      <c r="N2101" s="6"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c r="P2101" s="6" t="s">
        <v>8574</v>
      </c>
      <c r="Q2101" s="6" t="s">
        <v>9094</v>
      </c>
    </row>
    <row r="2102" spans="1:17" ht="30" x14ac:dyDescent="0.25">
      <c r="A2102" s="5" t="str">
        <f>IF(TRIM(I2102)="","",E2102)</f>
        <v>categories</v>
      </c>
      <c r="B2102" s="5" t="str">
        <f>IF(TRIM(J2102)="","",H2102)</f>
        <v>Catalog of hierarchical keywords and groups</v>
      </c>
      <c r="C2102" s="5" t="str">
        <f>LEFT(F2102,FIND(".",F2102,6))</f>
        <v>Xmp.acdsee.</v>
      </c>
      <c r="D2102" s="5" t="str">
        <f>VLOOKUP(C2102,PrefixUebersetzung,2,FALSE)</f>
        <v>Xmp.acdsee.</v>
      </c>
      <c r="E2102" s="5" t="str">
        <f>MID(F2102,FIND(".",F2102,6)+1,99)</f>
        <v>categories</v>
      </c>
      <c r="F2102" s="2" t="s">
        <v>7154</v>
      </c>
      <c r="G2102" s="5" t="s">
        <v>9678</v>
      </c>
      <c r="H2102" s="3" t="s">
        <v>7155</v>
      </c>
      <c r="I2102" s="7" t="s">
        <v>7706</v>
      </c>
      <c r="J2102" s="8" t="s">
        <v>7924</v>
      </c>
      <c r="K2102" s="26"/>
      <c r="N2102" s="6"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c r="O2102" s="6" t="s">
        <v>8574</v>
      </c>
      <c r="P2102" s="6" t="s">
        <v>8574</v>
      </c>
    </row>
    <row r="2103" spans="1:17" x14ac:dyDescent="0.25">
      <c r="A2103" s="5" t="str">
        <f>IF(TRIM(I2103)="","",E2103)</f>
        <v/>
      </c>
      <c r="B2103" s="5" t="str">
        <f>IF(TRIM(J2103)="","",H2103)</f>
        <v>Date and Time</v>
      </c>
      <c r="C2103" s="5" t="str">
        <f>LEFT(F2103,FIND(".",F2103,6))</f>
        <v>Xmp.acdsee.</v>
      </c>
      <c r="D2103" s="5" t="str">
        <f>VLOOKUP(C2103,PrefixUebersetzung,2,FALSE)</f>
        <v>Xmp.acdsee.</v>
      </c>
      <c r="E2103" s="5" t="str">
        <f>MID(F2103,FIND(".",F2103,6)+1,99)</f>
        <v>datetime</v>
      </c>
      <c r="F2103" s="2" t="s">
        <v>7156</v>
      </c>
      <c r="G2103" s="5" t="s">
        <v>9678</v>
      </c>
      <c r="H2103" s="3" t="s">
        <v>7157</v>
      </c>
      <c r="I2103" s="7"/>
      <c r="J2103" s="8" t="s">
        <v>7925</v>
      </c>
      <c r="K2103" s="26"/>
      <c r="L2103" s="6" t="str">
        <f>IFERROR(VLOOKUP(E2103,A:I,9, FALSE),"")</f>
        <v>Datum/Zeit</v>
      </c>
      <c r="N2103" s="6"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P2103" s="6" t="s">
        <v>8574</v>
      </c>
      <c r="Q2103" s="6" t="s">
        <v>9239</v>
      </c>
    </row>
    <row r="2104" spans="1:17" ht="30" x14ac:dyDescent="0.25">
      <c r="A2104" s="5" t="str">
        <f>IF(TRIM(I2104)="","",E2104)</f>
        <v>notes</v>
      </c>
      <c r="B2104" s="5" t="str">
        <f>IF(TRIM(J2104)="","",H2104)</f>
        <v>Any descriptive or additional free-form text up to 4,095 characters</v>
      </c>
      <c r="C2104" s="5" t="str">
        <f>LEFT(F2104,FIND(".",F2104,6))</f>
        <v>Xmp.acdsee.</v>
      </c>
      <c r="D2104" s="5" t="str">
        <f>VLOOKUP(C2104,PrefixUebersetzung,2,FALSE)</f>
        <v>Xmp.acdsee.</v>
      </c>
      <c r="E2104" s="5" t="str">
        <f>MID(F2104,FIND(".",F2104,6)+1,99)</f>
        <v>notes</v>
      </c>
      <c r="F2104" s="2" t="s">
        <v>7158</v>
      </c>
      <c r="G2104" s="5" t="s">
        <v>9678</v>
      </c>
      <c r="H2104" s="3" t="s">
        <v>7159</v>
      </c>
      <c r="I2104" s="7" t="s">
        <v>7707</v>
      </c>
      <c r="J2104" s="8" t="s">
        <v>7926</v>
      </c>
      <c r="K2104" s="26"/>
      <c r="N2104" s="6"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c r="O2104" s="6" t="s">
        <v>8574</v>
      </c>
      <c r="P2104" s="6" t="s">
        <v>8574</v>
      </c>
    </row>
    <row r="2105" spans="1:17" x14ac:dyDescent="0.25">
      <c r="A2105" s="5" t="str">
        <f>IF(TRIM(I2105)="","",E2105)</f>
        <v/>
      </c>
      <c r="B2105" s="5" t="str">
        <f>IF(TRIM(J2105)="","",H2105)</f>
        <v>Numerical rating from 1 to 5</v>
      </c>
      <c r="C2105" s="5" t="str">
        <f>LEFT(F2105,FIND(".",F2105,6))</f>
        <v>Xmp.acdsee.</v>
      </c>
      <c r="D2105" s="5" t="str">
        <f>VLOOKUP(C2105,PrefixUebersetzung,2,FALSE)</f>
        <v>Xmp.acdsee.</v>
      </c>
      <c r="E2105" s="5" t="str">
        <f>MID(F2105,FIND(".",F2105,6)+1,99)</f>
        <v>rating</v>
      </c>
      <c r="F2105" s="2" t="s">
        <v>7160</v>
      </c>
      <c r="G2105" s="5" t="s">
        <v>9678</v>
      </c>
      <c r="H2105" s="3" t="s">
        <v>7161</v>
      </c>
      <c r="I2105" s="7"/>
      <c r="J2105" s="8" t="s">
        <v>7927</v>
      </c>
      <c r="K2105" s="26"/>
      <c r="L2105" s="6" t="str">
        <f>IFERROR(VLOOKUP(E2105,A:I,9, FALSE),"")</f>
        <v>Bewertung</v>
      </c>
      <c r="N2105" s="6"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P2105" s="6" t="s">
        <v>8574</v>
      </c>
    </row>
    <row r="2106" spans="1:17" x14ac:dyDescent="0.25">
      <c r="A2106" s="5" t="str">
        <f>IF(TRIM(I2106)="","",E2106)</f>
        <v>tagged</v>
      </c>
      <c r="B2106" s="5" t="str">
        <f>IF(TRIM(J2106)="","",H2106)</f>
        <v>True or False</v>
      </c>
      <c r="C2106" s="5" t="str">
        <f>LEFT(F2106,FIND(".",F2106,6))</f>
        <v>Xmp.acdsee.</v>
      </c>
      <c r="D2106" s="5" t="str">
        <f>VLOOKUP(C2106,PrefixUebersetzung,2,FALSE)</f>
        <v>Xmp.acdsee.</v>
      </c>
      <c r="E2106" s="5" t="str">
        <f>MID(F2106,FIND(".",F2106,6)+1,99)</f>
        <v>tagged</v>
      </c>
      <c r="F2106" s="2" t="s">
        <v>7162</v>
      </c>
      <c r="G2106" s="5" t="s">
        <v>9678</v>
      </c>
      <c r="H2106" s="3" t="s">
        <v>7163</v>
      </c>
      <c r="I2106" s="7" t="s">
        <v>4646</v>
      </c>
      <c r="J2106" s="8" t="s">
        <v>7708</v>
      </c>
      <c r="K2106" s="26"/>
      <c r="N2106" s="6"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c r="O2106" s="6" t="s">
        <v>8574</v>
      </c>
      <c r="P2106" s="6" t="s">
        <v>8574</v>
      </c>
    </row>
    <row r="2107" spans="1:17" ht="30" x14ac:dyDescent="0.25">
      <c r="A2107" s="5" t="str">
        <f>IF(TRIM(I2107)="","",E2107)</f>
        <v>AvgBytePerSec</v>
      </c>
      <c r="B2107" s="5" t="str">
        <f>IF(TRIM(J2107)="","",H2107)</f>
        <v>Average Bytes Per Second found in audio stream</v>
      </c>
      <c r="C2107" s="5" t="str">
        <f>LEFT(F2107,FIND(".",F2107,6))</f>
        <v>Xmp.audio.</v>
      </c>
      <c r="D2107" s="5" t="str">
        <f>VLOOKUP(C2107,PrefixUebersetzung,2,FALSE)</f>
        <v>Xmp.audio</v>
      </c>
      <c r="E2107" s="5" t="str">
        <f>MID(F2107,FIND(".",F2107,6)+1,99)</f>
        <v>AvgBytePerSec</v>
      </c>
      <c r="F2107" s="23" t="s">
        <v>5674</v>
      </c>
      <c r="G2107" s="5" t="s">
        <v>9678</v>
      </c>
      <c r="H2107" s="10" t="s">
        <v>5675</v>
      </c>
      <c r="I2107" s="7" t="s">
        <v>6448</v>
      </c>
      <c r="J2107" s="8" t="s">
        <v>6739</v>
      </c>
      <c r="K2107" s="26"/>
      <c r="N2107" s="6"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O2107" s="6" t="s">
        <v>8574</v>
      </c>
      <c r="P2107" s="6" t="s">
        <v>8574</v>
      </c>
    </row>
    <row r="2108" spans="1:17" x14ac:dyDescent="0.25">
      <c r="A2108" s="5" t="str">
        <f>IF(TRIM(I2108)="","",E2108)</f>
        <v>Balance</v>
      </c>
      <c r="B2108" s="5" t="str">
        <f>IF(TRIM(J2108)="","",H2108)</f>
        <v>Indicates the left-right balance of the audio</v>
      </c>
      <c r="C2108" s="5" t="str">
        <f>LEFT(F2108,FIND(".",F2108,6))</f>
        <v>Xmp.audio.</v>
      </c>
      <c r="D2108" s="5" t="str">
        <f>VLOOKUP(C2108,PrefixUebersetzung,2,FALSE)</f>
        <v>Xmp.audio</v>
      </c>
      <c r="E2108" s="5" t="str">
        <f>MID(F2108,FIND(".",F2108,6)+1,99)</f>
        <v>Balance</v>
      </c>
      <c r="F2108" s="23" t="s">
        <v>5676</v>
      </c>
      <c r="G2108" s="5" t="s">
        <v>9678</v>
      </c>
      <c r="H2108" s="10" t="s">
        <v>5677</v>
      </c>
      <c r="I2108" s="7" t="s">
        <v>6449</v>
      </c>
      <c r="J2108" s="8" t="s">
        <v>6740</v>
      </c>
      <c r="K2108" s="26"/>
      <c r="N2108" s="6"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c r="O2108" s="6" t="s">
        <v>8574</v>
      </c>
      <c r="P2108" s="6" t="s">
        <v>8574</v>
      </c>
      <c r="Q2108" s="6" t="s">
        <v>9370</v>
      </c>
    </row>
    <row r="2109" spans="1:17" x14ac:dyDescent="0.25">
      <c r="A2109" s="5" t="str">
        <f>IF(TRIM(I2109)="","",E2109)</f>
        <v/>
      </c>
      <c r="B2109" s="5" t="str">
        <f>IF(TRIM(J2109)="","",H2109)</f>
        <v>Bits per test sample</v>
      </c>
      <c r="C2109" s="5" t="str">
        <f>LEFT(F2109,FIND(".",F2109,6))</f>
        <v>Xmp.audio.</v>
      </c>
      <c r="D2109" s="5" t="str">
        <f>VLOOKUP(C2109,PrefixUebersetzung,2,FALSE)</f>
        <v>Xmp.audio</v>
      </c>
      <c r="E2109" s="5" t="str">
        <f>MID(F2109,FIND(".",F2109,6)+1,99)</f>
        <v>BitsPerSample</v>
      </c>
      <c r="F2109" s="23" t="s">
        <v>5678</v>
      </c>
      <c r="G2109" s="5" t="s">
        <v>9678</v>
      </c>
      <c r="H2109" s="10" t="s">
        <v>5679</v>
      </c>
      <c r="I2109" s="23"/>
      <c r="J2109" s="8" t="s">
        <v>6741</v>
      </c>
      <c r="K2109" s="26"/>
      <c r="L2109" s="6" t="str">
        <f>IFERROR(VLOOKUP(E2109,A:I,9, FALSE),"")</f>
        <v>Bits pro Probe</v>
      </c>
      <c r="N2109" s="6"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c r="P2109" s="6" t="s">
        <v>8574</v>
      </c>
      <c r="Q2109" s="6" t="s">
        <v>9161</v>
      </c>
    </row>
    <row r="2110" spans="1:17" ht="30" x14ac:dyDescent="0.25">
      <c r="A2110" s="5" t="str">
        <f>IF(TRIM(I2110)="","",E2110)</f>
        <v>ChannelType</v>
      </c>
      <c r="B2110" s="5" t="str">
        <f>IF(TRIM(J2110)="","",H2110)</f>
        <v>The audio channel type. One of: Mono, Stereo, 5.1, 7.1.</v>
      </c>
      <c r="C2110" s="5" t="str">
        <f>LEFT(F2110,FIND(".",F2110,6))</f>
        <v>Xmp.audio.</v>
      </c>
      <c r="D2110" s="5" t="str">
        <f>VLOOKUP(C2110,PrefixUebersetzung,2,FALSE)</f>
        <v>Xmp.audio</v>
      </c>
      <c r="E2110" s="5" t="str">
        <f>MID(F2110,FIND(".",F2110,6)+1,99)</f>
        <v>ChannelType</v>
      </c>
      <c r="F2110" s="23" t="s">
        <v>5680</v>
      </c>
      <c r="G2110" s="5" t="s">
        <v>9678</v>
      </c>
      <c r="H2110" s="10" t="s">
        <v>3635</v>
      </c>
      <c r="I2110" s="7" t="s">
        <v>6450</v>
      </c>
      <c r="J2110" s="8" t="s">
        <v>5434</v>
      </c>
      <c r="K2110" s="26"/>
      <c r="N2110" s="6"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c r="O2110" s="6" t="s">
        <v>8574</v>
      </c>
      <c r="P2110" s="6" t="s">
        <v>8574</v>
      </c>
      <c r="Q2110" s="6" t="s">
        <v>9522</v>
      </c>
    </row>
    <row r="2111" spans="1:17" x14ac:dyDescent="0.25">
      <c r="A2111" s="5" t="str">
        <f>IF(TRIM(I2111)="","",E2111)</f>
        <v>Codec</v>
      </c>
      <c r="B2111" s="5" t="str">
        <f>IF(TRIM(J2111)="","",H2111)</f>
        <v>Codec used for Audio Encoding/Decoding</v>
      </c>
      <c r="C2111" s="5" t="str">
        <f>LEFT(F2111,FIND(".",F2111,6))</f>
        <v>Xmp.audio.</v>
      </c>
      <c r="D2111" s="5" t="str">
        <f>VLOOKUP(C2111,PrefixUebersetzung,2,FALSE)</f>
        <v>Xmp.audio</v>
      </c>
      <c r="E2111" s="5" t="str">
        <f>MID(F2111,FIND(".",F2111,6)+1,99)</f>
        <v>Codec</v>
      </c>
      <c r="F2111" s="23" t="s">
        <v>5681</v>
      </c>
      <c r="G2111" s="5" t="s">
        <v>9678</v>
      </c>
      <c r="H2111" s="10" t="s">
        <v>5682</v>
      </c>
      <c r="I2111" s="7" t="s">
        <v>6451</v>
      </c>
      <c r="J2111" s="8" t="s">
        <v>6758</v>
      </c>
      <c r="K2111" s="26"/>
      <c r="L2111" s="6" t="str">
        <f>IFERROR(VLOOKUP(E2111,A:I,9, FALSE),"")</f>
        <v>Codec</v>
      </c>
      <c r="N2111" s="6"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c>
      <c r="O2111" s="6" t="s">
        <v>8574</v>
      </c>
      <c r="P2111" s="6" t="s">
        <v>8574</v>
      </c>
    </row>
    <row r="2112" spans="1:17" ht="30" x14ac:dyDescent="0.25">
      <c r="A2112" s="5" t="str">
        <f>IF(TRIM(I2112)="","",E2112)</f>
        <v/>
      </c>
      <c r="B2112" s="5" t="str">
        <f>IF(TRIM(J2112)="","",H2112)</f>
        <v>Contains information the audio codec decode all, i.e. Enabled/Disabled</v>
      </c>
      <c r="C2112" s="5" t="str">
        <f>LEFT(F2112,FIND(".",F2112,6))</f>
        <v>Xmp.audio.</v>
      </c>
      <c r="D2112" s="5" t="str">
        <f>VLOOKUP(C2112,PrefixUebersetzung,2,FALSE)</f>
        <v>Xmp.audio</v>
      </c>
      <c r="E2112" s="5" t="str">
        <f>MID(F2112,FIND(".",F2112,6)+1,99)</f>
        <v>CodecDecodeAll</v>
      </c>
      <c r="F2112" s="23" t="s">
        <v>5683</v>
      </c>
      <c r="G2112" s="5" t="s">
        <v>9678</v>
      </c>
      <c r="H2112" s="10" t="s">
        <v>5684</v>
      </c>
      <c r="I2112" s="7"/>
      <c r="J2112" s="8" t="s">
        <v>6759</v>
      </c>
      <c r="K2112" s="26"/>
      <c r="L2112" s="6" t="str">
        <f>IFERROR(VLOOKUP(E2112,A:I,9, FALSE),"")</f>
        <v/>
      </c>
      <c r="N2112" s="6"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xml:space="preserve">Suffix not translated </v>
      </c>
      <c r="O2112" s="6" t="s">
        <v>8574</v>
      </c>
      <c r="P2112" s="6" t="s">
        <v>8574</v>
      </c>
    </row>
    <row r="2113" spans="1:17" ht="30" x14ac:dyDescent="0.25">
      <c r="A2113" s="5" t="str">
        <f>IF(TRIM(I2113)="","",E2113)</f>
        <v>CodecDescription</v>
      </c>
      <c r="B2113" s="5" t="str">
        <f>IF(TRIM(J2113)="","",H2113)</f>
        <v>Contains description the codec.</v>
      </c>
      <c r="C2113" s="5" t="str">
        <f>LEFT(F2113,FIND(".",F2113,6))</f>
        <v>Xmp.audio.</v>
      </c>
      <c r="D2113" s="5" t="str">
        <f>VLOOKUP(C2113,PrefixUebersetzung,2,FALSE)</f>
        <v>Xmp.audio</v>
      </c>
      <c r="E2113" s="5" t="str">
        <f>MID(F2113,FIND(".",F2113,6)+1,99)</f>
        <v>CodecDescription</v>
      </c>
      <c r="F2113" s="23" t="s">
        <v>5685</v>
      </c>
      <c r="G2113" s="5" t="s">
        <v>9678</v>
      </c>
      <c r="H2113" s="10" t="s">
        <v>5686</v>
      </c>
      <c r="I2113" s="7" t="s">
        <v>6452</v>
      </c>
      <c r="J2113" s="8" t="s">
        <v>6339</v>
      </c>
      <c r="K2113" s="26"/>
      <c r="L2113" s="6" t="str">
        <f>IFERROR(VLOOKUP(E2113,A:I,9, FALSE),"")</f>
        <v>Codec Beschreibung</v>
      </c>
      <c r="M2113" s="6" t="str">
        <f>IFERROR(VLOOKUP(H2113,B:J,9,FALSE),"")</f>
        <v>Enthält Beschreibung des Codecs.</v>
      </c>
      <c r="N2113" s="6"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c r="O2113" s="6" t="s">
        <v>8574</v>
      </c>
      <c r="P2113" s="6" t="s">
        <v>8574</v>
      </c>
      <c r="Q2113" s="6" t="s">
        <v>9094</v>
      </c>
    </row>
    <row r="2114" spans="1:17" ht="30" x14ac:dyDescent="0.25">
      <c r="A2114" s="5" t="str">
        <f>IF(TRIM(I2114)="","",E2114)</f>
        <v>CodecDownloadUrl</v>
      </c>
      <c r="B2114" s="5" t="str">
        <f>IF(TRIM(J2114)="","",H2114)</f>
        <v>Audio Codec Download URL.</v>
      </c>
      <c r="C2114" s="5" t="str">
        <f>LEFT(F2114,FIND(".",F2114,6))</f>
        <v>Xmp.audio.</v>
      </c>
      <c r="D2114" s="5" t="str">
        <f>VLOOKUP(C2114,PrefixUebersetzung,2,FALSE)</f>
        <v>Xmp.audio</v>
      </c>
      <c r="E2114" s="5" t="str">
        <f>MID(F2114,FIND(".",F2114,6)+1,99)</f>
        <v>CodecDownloadUrl</v>
      </c>
      <c r="F2114" s="23" t="s">
        <v>5687</v>
      </c>
      <c r="G2114" s="5" t="s">
        <v>9678</v>
      </c>
      <c r="H2114" s="10" t="s">
        <v>5688</v>
      </c>
      <c r="I2114" s="10" t="s">
        <v>8976</v>
      </c>
      <c r="J2114" s="8" t="s">
        <v>6340</v>
      </c>
      <c r="K2114" s="26"/>
      <c r="L2114" s="6" t="str">
        <f>IFERROR(VLOOKUP(E2114,A:I,9, FALSE),"")</f>
        <v>Audio-Codec-Download-URL</v>
      </c>
      <c r="N2114" s="6"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c>
      <c r="O2114" s="6" t="s">
        <v>8574</v>
      </c>
      <c r="P2114" s="6" t="s">
        <v>8574</v>
      </c>
    </row>
    <row r="2115" spans="1:17" ht="60" x14ac:dyDescent="0.25">
      <c r="A2115" s="5" t="str">
        <f>IF(TRIM(I2115)="","",E2115)</f>
        <v>CodecInfo</v>
      </c>
      <c r="B2115" s="5" t="str">
        <f>IF(TRIM(J2115)="","",H2115)</f>
        <v>Contains information the codec needs before decoding can be started. An example is the Vorbis initialization packets for Vorbis audio.</v>
      </c>
      <c r="C2115" s="5" t="str">
        <f>LEFT(F2115,FIND(".",F2115,6))</f>
        <v>Xmp.audio.</v>
      </c>
      <c r="D2115" s="5" t="str">
        <f>VLOOKUP(C2115,PrefixUebersetzung,2,FALSE)</f>
        <v>Xmp.audio</v>
      </c>
      <c r="E2115" s="5" t="str">
        <f>MID(F2115,FIND(".",F2115,6)+1,99)</f>
        <v>CodecInfo</v>
      </c>
      <c r="F2115" s="23" t="s">
        <v>5689</v>
      </c>
      <c r="G2115" s="5" t="s">
        <v>9678</v>
      </c>
      <c r="H2115" s="10" t="s">
        <v>5690</v>
      </c>
      <c r="I2115" s="7" t="s">
        <v>6453</v>
      </c>
      <c r="J2115" s="8" t="s">
        <v>6760</v>
      </c>
      <c r="K2115" s="26"/>
      <c r="L2115" s="6" t="str">
        <f>IFERROR(VLOOKUP(E2115,A:I,9, FALSE),"")</f>
        <v>Codec Info</v>
      </c>
      <c r="N2115" s="6"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6" t="s">
        <v>8574</v>
      </c>
      <c r="P2115" s="6" t="s">
        <v>8574</v>
      </c>
    </row>
    <row r="2116" spans="1:17" ht="45" x14ac:dyDescent="0.25">
      <c r="A2116" s="5" t="str">
        <f>IF(TRIM(I2116)="","",E2116)</f>
        <v>CodecSettings</v>
      </c>
      <c r="B2116" s="5" t="str">
        <f>IF(TRIM(J2116)="","",H2116)</f>
        <v>Contains settings the codec needs before decoding can be started.</v>
      </c>
      <c r="C2116" s="5" t="str">
        <f>LEFT(F2116,FIND(".",F2116,6))</f>
        <v>Xmp.audio.</v>
      </c>
      <c r="D2116" s="5" t="str">
        <f>VLOOKUP(C2116,PrefixUebersetzung,2,FALSE)</f>
        <v>Xmp.audio</v>
      </c>
      <c r="E2116" s="5" t="str">
        <f>MID(F2116,FIND(".",F2116,6)+1,99)</f>
        <v>CodecSettings</v>
      </c>
      <c r="F2116" s="23" t="s">
        <v>5691</v>
      </c>
      <c r="G2116" s="5" t="s">
        <v>9678</v>
      </c>
      <c r="H2116" s="10" t="s">
        <v>5692</v>
      </c>
      <c r="I2116" s="7" t="s">
        <v>6454</v>
      </c>
      <c r="J2116" s="8" t="s">
        <v>6746</v>
      </c>
      <c r="K2116" s="26"/>
      <c r="L2116" s="6" t="str">
        <f>IFERROR(VLOOKUP(E2116,A:I,9, FALSE),"")</f>
        <v>Codec Einstellungen</v>
      </c>
      <c r="M2116" s="6" t="str">
        <f>IFERROR(VLOOKUP(H2116,B:J,9,FALSE),"")</f>
        <v>Enthält Einstellungen, die der Codec benötigt, bevor die Decodierung gestartet werden kann.</v>
      </c>
      <c r="N2116" s="6"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6" t="s">
        <v>8574</v>
      </c>
      <c r="P2116" s="6" t="s">
        <v>8574</v>
      </c>
    </row>
    <row r="2117" spans="1:17" ht="30" x14ac:dyDescent="0.25">
      <c r="A2117" s="5" t="str">
        <f>IF(TRIM(I2117)="","",E2117)</f>
        <v>Compressor</v>
      </c>
      <c r="B2117" s="5" t="str">
        <f>IF(TRIM(J2117)="","",H2117)</f>
        <v>The audio compression used. For example, MP3.</v>
      </c>
      <c r="C2117" s="5" t="str">
        <f>LEFT(F2117,FIND(".",F2117,6))</f>
        <v>Xmp.audio.</v>
      </c>
      <c r="D2117" s="5" t="str">
        <f>VLOOKUP(C2117,PrefixUebersetzung,2,FALSE)</f>
        <v>Xmp.audio</v>
      </c>
      <c r="E2117" s="5" t="str">
        <f>MID(F2117,FIND(".",F2117,6)+1,99)</f>
        <v>Compressor</v>
      </c>
      <c r="F2117" s="23" t="s">
        <v>5693</v>
      </c>
      <c r="G2117" s="5" t="s">
        <v>9678</v>
      </c>
      <c r="H2117" s="10" t="s">
        <v>3636</v>
      </c>
      <c r="I2117" s="24" t="s">
        <v>6856</v>
      </c>
      <c r="J2117" s="8" t="s">
        <v>5619</v>
      </c>
      <c r="K2117" s="26"/>
      <c r="L2117" s="6" t="str">
        <f>IFERROR(VLOOKUP(E2117,A:I,9, FALSE),"")</f>
        <v>Komprimierer</v>
      </c>
      <c r="M2117" s="6" t="str">
        <f>IFERROR(VLOOKUP(H2117,B:J,9,FALSE),"")</f>
        <v>Die verwendete Audio-Kompression . Zum Beispiel MP3.</v>
      </c>
      <c r="N2117" s="6"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6" t="s">
        <v>8574</v>
      </c>
      <c r="P2117" s="6" t="s">
        <v>8574</v>
      </c>
      <c r="Q2117" s="6" t="s">
        <v>9523</v>
      </c>
    </row>
    <row r="2118" spans="1:17" ht="30" x14ac:dyDescent="0.25">
      <c r="A2118" s="5" t="str">
        <f>IF(TRIM(I2118)="","",E2118)</f>
        <v>DefaultDuration</v>
      </c>
      <c r="B2118" s="5" t="str">
        <f>IF(TRIM(J2118)="","",H2118)</f>
        <v>The number of micro seconds an audio chunk plays.</v>
      </c>
      <c r="C2118" s="5" t="str">
        <f>LEFT(F2118,FIND(".",F2118,6))</f>
        <v>Xmp.audio.</v>
      </c>
      <c r="D2118" s="5" t="str">
        <f>VLOOKUP(C2118,PrefixUebersetzung,2,FALSE)</f>
        <v>Xmp.audio</v>
      </c>
      <c r="E2118" s="5" t="str">
        <f>MID(F2118,FIND(".",F2118,6)+1,99)</f>
        <v>DefaultDuration</v>
      </c>
      <c r="F2118" s="23" t="s">
        <v>5694</v>
      </c>
      <c r="G2118" s="5" t="s">
        <v>9678</v>
      </c>
      <c r="H2118" s="10" t="s">
        <v>5695</v>
      </c>
      <c r="I2118" s="7" t="s">
        <v>6455</v>
      </c>
      <c r="J2118" s="8" t="s">
        <v>6761</v>
      </c>
      <c r="K2118" s="26"/>
      <c r="N2118" s="6"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6" t="s">
        <v>8574</v>
      </c>
      <c r="P2118" s="6" t="s">
        <v>8574</v>
      </c>
    </row>
    <row r="2119" spans="1:17" x14ac:dyDescent="0.25">
      <c r="A2119" s="5" t="str">
        <f>IF(TRIM(I2119)="","",E2119)</f>
        <v>DefaultOn</v>
      </c>
      <c r="B2119" s="5" t="str">
        <f>IF(TRIM(J2119)="","",H2119)</f>
        <v>Audio Track Default On , i.e. Enabled/Disabled</v>
      </c>
      <c r="C2119" s="5" t="str">
        <f>LEFT(F2119,FIND(".",F2119,6))</f>
        <v>Xmp.audio.</v>
      </c>
      <c r="D2119" s="5" t="str">
        <f>VLOOKUP(C2119,PrefixUebersetzung,2,FALSE)</f>
        <v>Xmp.audio</v>
      </c>
      <c r="E2119" s="5" t="str">
        <f>MID(F2119,FIND(".",F2119,6)+1,99)</f>
        <v>DefaultOn</v>
      </c>
      <c r="F2119" s="23" t="s">
        <v>5696</v>
      </c>
      <c r="G2119" s="5" t="s">
        <v>9678</v>
      </c>
      <c r="H2119" s="10" t="s">
        <v>5697</v>
      </c>
      <c r="I2119" s="7" t="s">
        <v>6456</v>
      </c>
      <c r="J2119" s="8" t="s">
        <v>6762</v>
      </c>
      <c r="K2119" s="26"/>
      <c r="L2119" s="6" t="str">
        <f>IFERROR(VLOOKUP(E2119,A:I,9, FALSE),"")</f>
        <v>Standard Ein</v>
      </c>
      <c r="N2119" s="6"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c r="O2119" s="6" t="s">
        <v>8574</v>
      </c>
      <c r="P2119" s="6" t="s">
        <v>8574</v>
      </c>
    </row>
    <row r="2120" spans="1:17" ht="30" x14ac:dyDescent="0.25">
      <c r="A2120" s="5" t="str">
        <f>IF(TRIM(I2120)="","",E2120)</f>
        <v>DefaultStream</v>
      </c>
      <c r="B2120" s="5" t="str">
        <f>IF(TRIM(J2120)="","",H2120)</f>
        <v>Audio Stream that would be played by default.</v>
      </c>
      <c r="C2120" s="5" t="str">
        <f>LEFT(F2120,FIND(".",F2120,6))</f>
        <v>Xmp.audio.</v>
      </c>
      <c r="D2120" s="5" t="str">
        <f>VLOOKUP(C2120,PrefixUebersetzung,2,FALSE)</f>
        <v>Xmp.audio</v>
      </c>
      <c r="E2120" s="5" t="str">
        <f>MID(F2120,FIND(".",F2120,6)+1,99)</f>
        <v>DefaultStream</v>
      </c>
      <c r="F2120" s="23" t="s">
        <v>5698</v>
      </c>
      <c r="G2120" s="5" t="s">
        <v>9678</v>
      </c>
      <c r="H2120" s="10" t="s">
        <v>5699</v>
      </c>
      <c r="I2120" s="7" t="s">
        <v>6457</v>
      </c>
      <c r="J2120" s="8" t="s">
        <v>6763</v>
      </c>
      <c r="K2120" s="26"/>
      <c r="N2120" s="6"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c r="O2120" s="6" t="s">
        <v>8574</v>
      </c>
      <c r="P2120" s="6" t="s">
        <v>8574</v>
      </c>
    </row>
    <row r="2121" spans="1:17" x14ac:dyDescent="0.25">
      <c r="A2121" s="5" t="str">
        <f>IF(TRIM(I2121)="","",E2121)</f>
        <v>Enabled</v>
      </c>
      <c r="B2121" s="5" t="str">
        <f>IF(TRIM(J2121)="","",H2121)</f>
        <v>Status of Audio Track, i.e. Enabled/Disabled</v>
      </c>
      <c r="C2121" s="5" t="str">
        <f>LEFT(F2121,FIND(".",F2121,6))</f>
        <v>Xmp.audio.</v>
      </c>
      <c r="D2121" s="5" t="str">
        <f>VLOOKUP(C2121,PrefixUebersetzung,2,FALSE)</f>
        <v>Xmp.audio</v>
      </c>
      <c r="E2121" s="5" t="str">
        <f>MID(F2121,FIND(".",F2121,6)+1,99)</f>
        <v>Enabled</v>
      </c>
      <c r="F2121" s="23" t="s">
        <v>5700</v>
      </c>
      <c r="G2121" s="5" t="s">
        <v>9678</v>
      </c>
      <c r="H2121" s="10" t="s">
        <v>5701</v>
      </c>
      <c r="I2121" s="7" t="s">
        <v>6458</v>
      </c>
      <c r="J2121" s="8" t="s">
        <v>6764</v>
      </c>
      <c r="K2121" s="26"/>
      <c r="L2121" s="6" t="str">
        <f>IFERROR(VLOOKUP(E2121,A:I,9, FALSE),"")</f>
        <v>Aktiviert</v>
      </c>
      <c r="N2121" s="6"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6" t="s">
        <v>8574</v>
      </c>
      <c r="P2121" s="6" t="s">
        <v>8574</v>
      </c>
    </row>
    <row r="2122" spans="1:17" ht="30.75" thickBot="1" x14ac:dyDescent="0.3">
      <c r="A2122" s="5" t="str">
        <f>IF(TRIM(I2122)="","",E2122)</f>
        <v>Format</v>
      </c>
      <c r="B2122" s="5" t="str">
        <f>IF(TRIM(J2122)="","",H2122)</f>
        <v>A four-character code that identifies the format of the audio.</v>
      </c>
      <c r="C2122" s="5" t="str">
        <f>LEFT(F2122,FIND(".",F2122,6))</f>
        <v>Xmp.audio.</v>
      </c>
      <c r="D2122" s="5" t="str">
        <f>VLOOKUP(C2122,PrefixUebersetzung,2,FALSE)</f>
        <v>Xmp.audio</v>
      </c>
      <c r="E2122" s="5" t="str">
        <f>MID(F2122,FIND(".",F2122,6)+1,99)</f>
        <v>Format</v>
      </c>
      <c r="F2122" s="23" t="s">
        <v>5702</v>
      </c>
      <c r="G2122" s="5" t="s">
        <v>9678</v>
      </c>
      <c r="H2122" s="10" t="s">
        <v>5703</v>
      </c>
      <c r="I2122" s="7" t="s">
        <v>4523</v>
      </c>
      <c r="J2122" s="8" t="s">
        <v>6341</v>
      </c>
      <c r="K2122" s="26"/>
      <c r="L2122" s="6" t="str">
        <f>IFERROR(VLOOKUP(E2122,A:I,9, FALSE),"")</f>
        <v>Format</v>
      </c>
      <c r="N2122" s="6"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c r="O2122" s="6" t="s">
        <v>8574</v>
      </c>
      <c r="P2122" s="6" t="s">
        <v>8574</v>
      </c>
    </row>
    <row r="2123" spans="1:17" ht="75.75" thickBot="1" x14ac:dyDescent="0.3">
      <c r="A2123" s="5" t="str">
        <f>IF(TRIM(I2123)="","",E2123)</f>
        <v>HandlerClass</v>
      </c>
      <c r="B2123" s="5" t="str">
        <f>IF(TRIM(J2123)="","",H2123)</f>
        <v>A four-character code that identifies the type of the handler. Only two values are valid for this field: 'mhlr' for media handlers and 'dhlr' for data handlers.</v>
      </c>
      <c r="C2123" s="5" t="str">
        <f>LEFT(F2123,FIND(".",F2123,6))</f>
        <v>Xmp.audio.</v>
      </c>
      <c r="D2123" s="5" t="str">
        <f>VLOOKUP(C2123,PrefixUebersetzung,2,FALSE)</f>
        <v>Xmp.audio</v>
      </c>
      <c r="E2123" s="5" t="str">
        <f>MID(F2123,FIND(".",F2123,6)+1,99)</f>
        <v>HandlerClass</v>
      </c>
      <c r="F2123" s="23" t="s">
        <v>5704</v>
      </c>
      <c r="G2123" s="5" t="s">
        <v>9678</v>
      </c>
      <c r="H2123" s="10" t="s">
        <v>5705</v>
      </c>
      <c r="I2123" s="7" t="s">
        <v>6459</v>
      </c>
      <c r="J2123" s="12" t="s">
        <v>6765</v>
      </c>
      <c r="K2123" s="26"/>
      <c r="L2123" s="6" t="str">
        <f>IFERROR(VLOOKUP(E2123,A:I,9, FALSE),"")</f>
        <v>Handler Klasse</v>
      </c>
      <c r="M2123" s="6" t="str">
        <f>IFERROR(VLOOKUP(H2123,B:J,9,FALSE),"")</f>
        <v>Ein Vier-Zeichen-Code, der den Typ des Handlers angibt. Nur zwei Werte sind gültig für dieses Feld: "mhlr" für Medien-Handler und "dhlr" für Datenhandler.</v>
      </c>
      <c r="N2123" s="6"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6" t="s">
        <v>8574</v>
      </c>
      <c r="P2123" s="6" t="s">
        <v>8574</v>
      </c>
    </row>
    <row r="2124" spans="1:17" ht="75.75" thickBot="1" x14ac:dyDescent="0.3">
      <c r="A2124" s="5" t="str">
        <f>IF(TRIM(I2124)="","",E2124)</f>
        <v>HandlerDescription</v>
      </c>
      <c r="B2124" s="5" t="str">
        <f>IF(TRIM(J2124)="","",H2124)</f>
        <v>A (counted) string that specifies the name of the component-that is, the media handler used when this media was created..</v>
      </c>
      <c r="C2124" s="5" t="str">
        <f>LEFT(F2124,FIND(".",F2124,6))</f>
        <v>Xmp.audio.</v>
      </c>
      <c r="D2124" s="5" t="str">
        <f>VLOOKUP(C2124,PrefixUebersetzung,2,FALSE)</f>
        <v>Xmp.audio</v>
      </c>
      <c r="E2124" s="5" t="str">
        <f>MID(F2124,FIND(".",F2124,6)+1,99)</f>
        <v>HandlerDescription</v>
      </c>
      <c r="F2124" s="23" t="s">
        <v>5706</v>
      </c>
      <c r="G2124" s="5" t="s">
        <v>9678</v>
      </c>
      <c r="H2124" s="10" t="s">
        <v>5707</v>
      </c>
      <c r="I2124" s="7" t="s">
        <v>6460</v>
      </c>
      <c r="J2124" s="12" t="s">
        <v>6850</v>
      </c>
      <c r="K2124" s="26"/>
      <c r="L2124" s="6" t="str">
        <f>IFERROR(VLOOKUP(E2124,A:I,9, FALSE),"")</f>
        <v>Handler Beschreibung</v>
      </c>
      <c r="M2124" s="6" t="str">
        <f>IFERROR(VLOOKUP(H2124,B:J,9,FALSE),"")</f>
        <v>Eine (gezählte) Zeichenfolge, die den Namen der Komponente, d.h. den bei Erzeugung den Mediums verwendeten Medienhandler,  spezifiziert.</v>
      </c>
      <c r="N2124" s="6"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6" t="s">
        <v>8574</v>
      </c>
      <c r="P2124" s="6" t="s">
        <v>8574</v>
      </c>
    </row>
    <row r="2125" spans="1:17" ht="45.75" thickBot="1" x14ac:dyDescent="0.3">
      <c r="A2125" s="5" t="str">
        <f>IF(TRIM(I2125)="","",E2125)</f>
        <v>HandlerType</v>
      </c>
      <c r="B2125" s="5" t="str">
        <f>IF(TRIM(J2125)="","",H2125)</f>
        <v>A four-character code that identifies the type of the media handler or data handler.</v>
      </c>
      <c r="C2125" s="5" t="str">
        <f>LEFT(F2125,FIND(".",F2125,6))</f>
        <v>Xmp.audio.</v>
      </c>
      <c r="D2125" s="5" t="str">
        <f>VLOOKUP(C2125,PrefixUebersetzung,2,FALSE)</f>
        <v>Xmp.audio</v>
      </c>
      <c r="E2125" s="5" t="str">
        <f>MID(F2125,FIND(".",F2125,6)+1,99)</f>
        <v>HandlerType</v>
      </c>
      <c r="F2125" s="23" t="s">
        <v>5708</v>
      </c>
      <c r="G2125" s="5" t="s">
        <v>9678</v>
      </c>
      <c r="H2125" s="10" t="s">
        <v>5709</v>
      </c>
      <c r="I2125" s="7" t="s">
        <v>6461</v>
      </c>
      <c r="J2125" s="12" t="s">
        <v>6342</v>
      </c>
      <c r="K2125" s="26"/>
      <c r="L2125" s="6" t="str">
        <f>IFERROR(VLOOKUP(E2125,A:I,9, FALSE),"")</f>
        <v>Handler Typ</v>
      </c>
      <c r="M2125" s="6" t="str">
        <f>IFERROR(VLOOKUP(H2125,B:J,9,FALSE),"")</f>
        <v>Ein Vier-Zeichen-Code, der den Typ der Medien-Handler oder Datenhandler identifiziert.</v>
      </c>
      <c r="N2125" s="6"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O2125" s="6" t="s">
        <v>8574</v>
      </c>
      <c r="P2125" s="6" t="s">
        <v>8574</v>
      </c>
    </row>
    <row r="2126" spans="1:17" ht="15.75" thickBot="1" x14ac:dyDescent="0.3">
      <c r="A2126" s="5" t="str">
        <f>IF(TRIM(I2126)="","",E2126)</f>
        <v>HandlerVendorID</v>
      </c>
      <c r="B2126" s="5" t="str">
        <f>IF(TRIM(J2126)="","",H2126)</f>
        <v>Component manufacturer.</v>
      </c>
      <c r="C2126" s="5" t="str">
        <f>LEFT(F2126,FIND(".",F2126,6))</f>
        <v>Xmp.audio.</v>
      </c>
      <c r="D2126" s="5" t="str">
        <f>VLOOKUP(C2126,PrefixUebersetzung,2,FALSE)</f>
        <v>Xmp.audio</v>
      </c>
      <c r="E2126" s="5" t="str">
        <f>MID(F2126,FIND(".",F2126,6)+1,99)</f>
        <v>HandlerVendorID</v>
      </c>
      <c r="F2126" s="23" t="s">
        <v>5710</v>
      </c>
      <c r="G2126" s="5" t="s">
        <v>9678</v>
      </c>
      <c r="H2126" s="10" t="s">
        <v>5711</v>
      </c>
      <c r="I2126" s="7" t="s">
        <v>6438</v>
      </c>
      <c r="J2126" s="12" t="s">
        <v>6343</v>
      </c>
      <c r="K2126" s="26"/>
      <c r="L2126" s="6" t="str">
        <f>IFERROR(VLOOKUP(E2126,A:I,9, FALSE),"")</f>
        <v>Handler Hersteller-Id</v>
      </c>
      <c r="M2126" s="6" t="str">
        <f>IFERROR(VLOOKUP(H2126,B:J,9,FALSE),"")</f>
        <v>Komponentenhersteller.</v>
      </c>
      <c r="N2126" s="6"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c r="O2126" s="6" t="s">
        <v>8574</v>
      </c>
      <c r="P2126" s="6" t="s">
        <v>8574</v>
      </c>
      <c r="Q2126" s="6" t="s">
        <v>9181</v>
      </c>
    </row>
    <row r="2127" spans="1:17" ht="60.75" thickBot="1" x14ac:dyDescent="0.3">
      <c r="A2127" s="5" t="str">
        <f>IF(TRIM(I2127)="","",E2127)</f>
        <v>MediaCreateDate</v>
      </c>
      <c r="B2127" s="5" t="str">
        <f>IF(TRIM(J2127)="","",H2127)</f>
        <v>A 32-bit integer that indicates (in seconds since midnight, January 1, 1904) when the media header was created.</v>
      </c>
      <c r="C2127" s="5" t="str">
        <f>LEFT(F2127,FIND(".",F2127,6))</f>
        <v>Xmp.audio.</v>
      </c>
      <c r="D2127" s="5" t="str">
        <f>VLOOKUP(C2127,PrefixUebersetzung,2,FALSE)</f>
        <v>Xmp.audio</v>
      </c>
      <c r="E2127" s="5" t="str">
        <f>MID(F2127,FIND(".",F2127,6)+1,99)</f>
        <v>MediaCreateDate</v>
      </c>
      <c r="F2127" s="23" t="s">
        <v>5712</v>
      </c>
      <c r="G2127" s="5" t="s">
        <v>9678</v>
      </c>
      <c r="H2127" s="10" t="s">
        <v>5713</v>
      </c>
      <c r="I2127" s="7" t="s">
        <v>6462</v>
      </c>
      <c r="J2127" s="12" t="s">
        <v>6766</v>
      </c>
      <c r="K2127" s="26"/>
      <c r="L2127" s="6" t="str">
        <f>IFERROR(VLOOKUP(E2127,A:I,9, FALSE),"")</f>
        <v>Medien Erzeugungsdatum</v>
      </c>
      <c r="M2127" s="6" t="str">
        <f>IFERROR(VLOOKUP(H2127,B:J,9,FALSE),"")</f>
        <v>Ein 32-Bit-Ganzzahl (in Sekunden seit Mitternacht 1. Januar 1904 ), die angibt, wann der Medien-Header erstellt wurde.</v>
      </c>
      <c r="N2127" s="6"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O2127" s="6" t="s">
        <v>8574</v>
      </c>
      <c r="P2127" s="6" t="s">
        <v>8574</v>
      </c>
    </row>
    <row r="2128" spans="1:17" ht="45.75" thickBot="1" x14ac:dyDescent="0.3">
      <c r="A2128" s="5" t="str">
        <f>IF(TRIM(I2128)="","",E2128)</f>
        <v>MediaDuration</v>
      </c>
      <c r="B2128" s="5" t="str">
        <f>IF(TRIM(J2128)="","",H2128)</f>
        <v>A time value that indicates the duration of this media (in the movie's time coordinate system).</v>
      </c>
      <c r="C2128" s="5" t="str">
        <f>LEFT(F2128,FIND(".",F2128,6))</f>
        <v>Xmp.audio.</v>
      </c>
      <c r="D2128" s="5" t="str">
        <f>VLOOKUP(C2128,PrefixUebersetzung,2,FALSE)</f>
        <v>Xmp.audio</v>
      </c>
      <c r="E2128" s="5" t="str">
        <f>MID(F2128,FIND(".",F2128,6)+1,99)</f>
        <v>MediaDuration</v>
      </c>
      <c r="F2128" s="23" t="s">
        <v>5714</v>
      </c>
      <c r="G2128" s="5" t="s">
        <v>9678</v>
      </c>
      <c r="H2128" s="10" t="s">
        <v>5715</v>
      </c>
      <c r="I2128" s="7" t="s">
        <v>6463</v>
      </c>
      <c r="J2128" s="12" t="s">
        <v>6767</v>
      </c>
      <c r="K2128" s="26"/>
      <c r="L2128" s="6" t="str">
        <f>IFERROR(VLOOKUP(E2128,A:I,9, FALSE),"")</f>
        <v>Medien Dauer</v>
      </c>
      <c r="M2128" s="6" t="str">
        <f>IFERROR(VLOOKUP(H2128,B:J,9,FALSE),"")</f>
        <v>Ein Zeitwert, der die Dauer dieser Medien (in Zeit-Koordinatensystemdes Films) zeigt.</v>
      </c>
      <c r="N2128" s="6"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c r="O2128" s="6" t="s">
        <v>8574</v>
      </c>
      <c r="P2128" s="6" t="s">
        <v>8574</v>
      </c>
    </row>
    <row r="2129" spans="1:17" ht="30.75" thickBot="1" x14ac:dyDescent="0.3">
      <c r="A2129" s="5" t="str">
        <f>IF(TRIM(I2129)="","",E2129)</f>
        <v>MediaHeaderVersion</v>
      </c>
      <c r="B2129" s="5" t="str">
        <f>IF(TRIM(J2129)="","",H2129)</f>
        <v>A 1-byte specification of the version of this media header</v>
      </c>
      <c r="C2129" s="5" t="str">
        <f>LEFT(F2129,FIND(".",F2129,6))</f>
        <v>Xmp.audio.</v>
      </c>
      <c r="D2129" s="5" t="str">
        <f>VLOOKUP(C2129,PrefixUebersetzung,2,FALSE)</f>
        <v>Xmp.audio</v>
      </c>
      <c r="E2129" s="5" t="str">
        <f>MID(F2129,FIND(".",F2129,6)+1,99)</f>
        <v>MediaHeaderVersion</v>
      </c>
      <c r="F2129" s="23" t="s">
        <v>5716</v>
      </c>
      <c r="G2129" s="5" t="s">
        <v>9678</v>
      </c>
      <c r="H2129" s="10" t="s">
        <v>5717</v>
      </c>
      <c r="I2129" s="7" t="s">
        <v>6464</v>
      </c>
      <c r="J2129" s="12" t="s">
        <v>6768</v>
      </c>
      <c r="K2129" s="26"/>
      <c r="L2129" s="6" t="str">
        <f>IFERROR(VLOOKUP(E2129,A:I,9, FALSE),"")</f>
        <v>HeaderVersion</v>
      </c>
      <c r="M2129" s="6" t="str">
        <f>IFERROR(VLOOKUP(H2129,B:J,9,FALSE),"")</f>
        <v>Eine 1-Byte-Spezifikation der Version dieses Medien-Headers</v>
      </c>
      <c r="N2129" s="6"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c r="O2129" s="6" t="s">
        <v>8574</v>
      </c>
      <c r="P2129" s="6" t="s">
        <v>8574</v>
      </c>
    </row>
    <row r="2130" spans="1:17" ht="30.75" thickBot="1" x14ac:dyDescent="0.3">
      <c r="A2130" s="5" t="str">
        <f>IF(TRIM(I2130)="","",E2130)</f>
        <v>MediaLangCode</v>
      </c>
      <c r="B2130" s="5" t="str">
        <f>IF(TRIM(J2130)="","",H2130)</f>
        <v>A 16-bit integer that specifies the language code for this media.</v>
      </c>
      <c r="C2130" s="5" t="str">
        <f>LEFT(F2130,FIND(".",F2130,6))</f>
        <v>Xmp.audio.</v>
      </c>
      <c r="D2130" s="5" t="str">
        <f>VLOOKUP(C2130,PrefixUebersetzung,2,FALSE)</f>
        <v>Xmp.audio</v>
      </c>
      <c r="E2130" s="5" t="str">
        <f>MID(F2130,FIND(".",F2130,6)+1,99)</f>
        <v>MediaLangCode</v>
      </c>
      <c r="F2130" s="23" t="s">
        <v>5718</v>
      </c>
      <c r="G2130" s="5" t="s">
        <v>9678</v>
      </c>
      <c r="H2130" s="10" t="s">
        <v>5719</v>
      </c>
      <c r="I2130" s="7" t="s">
        <v>6465</v>
      </c>
      <c r="J2130" s="12" t="s">
        <v>6769</v>
      </c>
      <c r="K2130" s="26"/>
      <c r="L2130" s="6" t="str">
        <f>IFERROR(VLOOKUP(E2130,A:I,9, FALSE),"")</f>
        <v>Medien Sprach-Code</v>
      </c>
      <c r="M2130" s="6" t="str">
        <f>IFERROR(VLOOKUP(H2130,B:J,9,FALSE),"")</f>
        <v>Ein 16-Bit-Ganzzahl, die den Sprachcode für dieses Medium angibt.</v>
      </c>
      <c r="N2130" s="6"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c r="O2130" s="6" t="s">
        <v>8574</v>
      </c>
      <c r="P2130" s="6" t="s">
        <v>8574</v>
      </c>
    </row>
    <row r="2131" spans="1:17" ht="60.75" thickBot="1" x14ac:dyDescent="0.3">
      <c r="A2131" s="5" t="str">
        <f>IF(TRIM(I2131)="","",E2131)</f>
        <v>MediaModifyDate</v>
      </c>
      <c r="B2131" s="5" t="str">
        <f>IF(TRIM(J2131)="","",H2131)</f>
        <v>A 32-bit integer that indicates (in seconds since midnight, January 1, 1904) when the media header was last modified.</v>
      </c>
      <c r="C2131" s="5" t="str">
        <f>LEFT(F2131,FIND(".",F2131,6))</f>
        <v>Xmp.audio.</v>
      </c>
      <c r="D2131" s="5" t="str">
        <f>VLOOKUP(C2131,PrefixUebersetzung,2,FALSE)</f>
        <v>Xmp.audio</v>
      </c>
      <c r="E2131" s="5" t="str">
        <f>MID(F2131,FIND(".",F2131,6)+1,99)</f>
        <v>MediaModifyDate</v>
      </c>
      <c r="F2131" s="23" t="s">
        <v>5720</v>
      </c>
      <c r="G2131" s="5" t="s">
        <v>9678</v>
      </c>
      <c r="H2131" s="10" t="s">
        <v>5721</v>
      </c>
      <c r="I2131" s="7" t="s">
        <v>6466</v>
      </c>
      <c r="J2131" s="12" t="s">
        <v>6770</v>
      </c>
      <c r="K2131" s="26"/>
      <c r="L2131" s="6" t="str">
        <f>IFERROR(VLOOKUP(E2131,A:I,9, FALSE),"")</f>
        <v>Medien Veränderungsdatum</v>
      </c>
      <c r="M2131" s="6" t="str">
        <f>IFERROR(VLOOKUP(H2131,B:J,9,FALSE),"")</f>
        <v>Ein 32-Bit-Ganzzahl (in Sekunden seit Mitternacht 1. Januar 1904 ), die angibt, wann der Medien-Header zuletzt verändert wurde.</v>
      </c>
      <c r="N2131" s="6"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6" t="s">
        <v>8574</v>
      </c>
      <c r="P2131" s="6" t="s">
        <v>8574</v>
      </c>
    </row>
    <row r="2132" spans="1:17" ht="75.75" thickBot="1" x14ac:dyDescent="0.3">
      <c r="A2132" s="5" t="str">
        <f>IF(TRIM(I2132)="","",E2132)</f>
        <v>MediaTimeScale</v>
      </c>
      <c r="B2132" s="5" t="str">
        <f>IF(TRIM(J2132)="","",H2132)</f>
        <v>A time value that indicates the time scale for this media-that is, the number of time units that pass per second in its time coordinate system.</v>
      </c>
      <c r="C2132" s="5" t="str">
        <f>LEFT(F2132,FIND(".",F2132,6))</f>
        <v>Xmp.audio.</v>
      </c>
      <c r="D2132" s="5" t="str">
        <f>VLOOKUP(C2132,PrefixUebersetzung,2,FALSE)</f>
        <v>Xmp.audio</v>
      </c>
      <c r="E2132" s="5" t="str">
        <f>MID(F2132,FIND(".",F2132,6)+1,99)</f>
        <v>MediaTimeScale</v>
      </c>
      <c r="F2132" s="23" t="s">
        <v>5722</v>
      </c>
      <c r="G2132" s="5" t="s">
        <v>9678</v>
      </c>
      <c r="H2132" s="10" t="s">
        <v>5723</v>
      </c>
      <c r="I2132" s="7" t="s">
        <v>6467</v>
      </c>
      <c r="J2132" s="12" t="s">
        <v>6773</v>
      </c>
      <c r="K2132" s="26"/>
      <c r="L2132" s="6" t="str">
        <f>IFERROR(VLOOKUP(E2132,A:I,9, FALSE),"")</f>
        <v>Medien Zeitskala</v>
      </c>
      <c r="M2132" s="6" t="str">
        <f>IFERROR(VLOOKUP(H2132,B:J,9,FALSE),"")</f>
        <v>Ein Zeitwert, der die Zeitskala für dieses Medium angibt, das heißt die Anzahl der Zeiteinheiten, die pro Sekunde in seinem Zeit-Koordinatensystem vergeht.</v>
      </c>
      <c r="N2132" s="6"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6" t="s">
        <v>8574</v>
      </c>
      <c r="P2132" s="6" t="s">
        <v>8574</v>
      </c>
    </row>
    <row r="2133" spans="1:17" ht="45.75" thickBot="1" x14ac:dyDescent="0.3">
      <c r="A2133" s="5" t="str">
        <f>IF(TRIM(I2133)="","",E2133)</f>
        <v>OutputSampleRate</v>
      </c>
      <c r="B2133" s="5" t="str">
        <f>IF(TRIM(J2133)="","",H2133)</f>
        <v>The output audio sample rate. Can be any value, but commonly 32000, 41100, or 48000.</v>
      </c>
      <c r="C2133" s="5" t="str">
        <f>LEFT(F2133,FIND(".",F2133,6))</f>
        <v>Xmp.audio.</v>
      </c>
      <c r="D2133" s="5" t="str">
        <f>VLOOKUP(C2133,PrefixUebersetzung,2,FALSE)</f>
        <v>Xmp.audio</v>
      </c>
      <c r="E2133" s="5" t="str">
        <f>MID(F2133,FIND(".",F2133,6)+1,99)</f>
        <v>OutputSampleRate</v>
      </c>
      <c r="F2133" s="23" t="s">
        <v>5724</v>
      </c>
      <c r="G2133" s="5" t="s">
        <v>9678</v>
      </c>
      <c r="H2133" s="10" t="s">
        <v>9637</v>
      </c>
      <c r="I2133" s="7" t="s">
        <v>8963</v>
      </c>
      <c r="J2133" s="12" t="s">
        <v>6344</v>
      </c>
      <c r="K2133" s="26"/>
      <c r="N2133" s="6"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6" t="s">
        <v>8574</v>
      </c>
      <c r="P2133" s="6" t="s">
        <v>8574</v>
      </c>
    </row>
    <row r="2134" spans="1:17" x14ac:dyDescent="0.25">
      <c r="A2134" s="5" t="str">
        <f>IF(TRIM(I2134)="","",E2134)</f>
        <v>SampleCount</v>
      </c>
      <c r="B2134" s="5" t="str">
        <f>IF(TRIM(J2134)="","",H2134)</f>
        <v>Sample taken for Analyzing Audio Stream</v>
      </c>
      <c r="C2134" s="5" t="str">
        <f>LEFT(F2134,FIND(".",F2134,6))</f>
        <v>Xmp.audio.</v>
      </c>
      <c r="D2134" s="5" t="str">
        <f>VLOOKUP(C2134,PrefixUebersetzung,2,FALSE)</f>
        <v>Xmp.audio</v>
      </c>
      <c r="E2134" s="5" t="str">
        <f>MID(F2134,FIND(".",F2134,6)+1,99)</f>
        <v>SampleCount</v>
      </c>
      <c r="F2134" s="23" t="s">
        <v>5725</v>
      </c>
      <c r="G2134" s="5" t="s">
        <v>9678</v>
      </c>
      <c r="H2134" s="10" t="s">
        <v>5726</v>
      </c>
      <c r="I2134" s="7" t="s">
        <v>6468</v>
      </c>
      <c r="J2134" s="13" t="s">
        <v>6774</v>
      </c>
      <c r="K2134" s="26"/>
      <c r="N2134" s="6"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c r="O2134" s="6" t="s">
        <v>8574</v>
      </c>
      <c r="P2134" s="6" t="s">
        <v>8574</v>
      </c>
    </row>
    <row r="2135" spans="1:17" ht="30" x14ac:dyDescent="0.25">
      <c r="A2135" s="5" t="str">
        <f>IF(TRIM(I2135)="","",E2135)</f>
        <v>SampleRate</v>
      </c>
      <c r="B2135" s="5" t="str">
        <f>IF(TRIM(J2135)="","",H2135)</f>
        <v>The audio sample rate. Can be any value, but commonly 32000, 41100, or 48000.</v>
      </c>
      <c r="C2135" s="5" t="str">
        <f>LEFT(F2135,FIND(".",F2135,6))</f>
        <v>Xmp.audio.</v>
      </c>
      <c r="D2135" s="5" t="str">
        <f>VLOOKUP(C2135,PrefixUebersetzung,2,FALSE)</f>
        <v>Xmp.audio</v>
      </c>
      <c r="E2135" s="5" t="str">
        <f>MID(F2135,FIND(".",F2135,6)+1,99)</f>
        <v>SampleRate</v>
      </c>
      <c r="F2135" s="23" t="s">
        <v>5727</v>
      </c>
      <c r="G2135" s="5" t="s">
        <v>9678</v>
      </c>
      <c r="H2135" s="10" t="s">
        <v>3637</v>
      </c>
      <c r="I2135" s="7" t="s">
        <v>6469</v>
      </c>
      <c r="J2135" s="13" t="s">
        <v>5620</v>
      </c>
      <c r="K2135" s="26"/>
      <c r="N2135" s="6"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c r="O2135" s="6" t="s">
        <v>8574</v>
      </c>
      <c r="P2135" s="6" t="s">
        <v>8574</v>
      </c>
    </row>
    <row r="2136" spans="1:17" ht="30" x14ac:dyDescent="0.25">
      <c r="A2136" s="5" t="str">
        <f>IF(TRIM(I2136)="","",E2136)</f>
        <v>SampleType</v>
      </c>
      <c r="B2136" s="5" t="str">
        <f>IF(TRIM(J2136)="","",H2136)</f>
        <v>The audio sample type. One of: 8Int, 16Int, 32Int, 32Float.</v>
      </c>
      <c r="C2136" s="5" t="str">
        <f>LEFT(F2136,FIND(".",F2136,6))</f>
        <v>Xmp.audio.</v>
      </c>
      <c r="D2136" s="5" t="str">
        <f>VLOOKUP(C2136,PrefixUebersetzung,2,FALSE)</f>
        <v>Xmp.audio</v>
      </c>
      <c r="E2136" s="5" t="str">
        <f>MID(F2136,FIND(".",F2136,6)+1,99)</f>
        <v>SampleType</v>
      </c>
      <c r="F2136" s="23" t="s">
        <v>5728</v>
      </c>
      <c r="G2136" s="5" t="s">
        <v>9678</v>
      </c>
      <c r="H2136" s="10" t="s">
        <v>3638</v>
      </c>
      <c r="I2136" s="7" t="s">
        <v>6470</v>
      </c>
      <c r="J2136" s="13" t="s">
        <v>5435</v>
      </c>
      <c r="K2136" s="26"/>
      <c r="N2136" s="6"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c r="O2136" s="6" t="s">
        <v>8574</v>
      </c>
      <c r="P2136" s="6" t="s">
        <v>8574</v>
      </c>
      <c r="Q2136" s="6" t="s">
        <v>9524</v>
      </c>
    </row>
    <row r="2137" spans="1:17" x14ac:dyDescent="0.25">
      <c r="A2137" s="5" t="str">
        <f>IF(TRIM(I2137)="","",E2137)</f>
        <v>SchemeTitle</v>
      </c>
      <c r="B2137" s="5" t="str">
        <f>IF(TRIM(J2137)="","",H2137)</f>
        <v>Sound Scheme Title.</v>
      </c>
      <c r="C2137" s="5" t="str">
        <f>LEFT(F2137,FIND(".",F2137,6))</f>
        <v>Xmp.audio.</v>
      </c>
      <c r="D2137" s="5" t="str">
        <f>VLOOKUP(C2137,PrefixUebersetzung,2,FALSE)</f>
        <v>Xmp.audio</v>
      </c>
      <c r="E2137" s="5" t="str">
        <f>MID(F2137,FIND(".",F2137,6)+1,99)</f>
        <v>SchemeTitle</v>
      </c>
      <c r="F2137" s="23" t="s">
        <v>5729</v>
      </c>
      <c r="G2137" s="5" t="s">
        <v>9678</v>
      </c>
      <c r="H2137" s="10" t="s">
        <v>5730</v>
      </c>
      <c r="I2137" s="7" t="s">
        <v>6471</v>
      </c>
      <c r="J2137" s="13" t="s">
        <v>6345</v>
      </c>
      <c r="K2137" s="26"/>
      <c r="N2137" s="6"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c r="O2137" s="6" t="s">
        <v>8574</v>
      </c>
      <c r="P2137" s="6" t="s">
        <v>8574</v>
      </c>
      <c r="Q2137" s="6" t="s">
        <v>9491</v>
      </c>
    </row>
    <row r="2138" spans="1:17" ht="90" x14ac:dyDescent="0.25">
      <c r="A2138" s="5" t="str">
        <f>IF(TRIM(I2138)="","",E2138)</f>
        <v>TimeOffset</v>
      </c>
      <c r="B2138" s="5" t="str">
        <f>IF(TRIM(J2138)="","",H2138)</f>
        <v>Specifies the presentation time offset of the stream in 100-nanosecond units. This value shall be equal to the send time of the first interleaved packet in the data section.</v>
      </c>
      <c r="C2138" s="5" t="str">
        <f>LEFT(F2138,FIND(".",F2138,6))</f>
        <v>Xmp.audio.</v>
      </c>
      <c r="D2138" s="5" t="str">
        <f>VLOOKUP(C2138,PrefixUebersetzung,2,FALSE)</f>
        <v>Xmp.audio</v>
      </c>
      <c r="E2138" s="5" t="str">
        <f>MID(F2138,FIND(".",F2138,6)+1,99)</f>
        <v>TimeOffset</v>
      </c>
      <c r="F2138" s="23" t="s">
        <v>5731</v>
      </c>
      <c r="G2138" s="5" t="s">
        <v>9678</v>
      </c>
      <c r="H2138" s="10" t="s">
        <v>5732</v>
      </c>
      <c r="I2138" s="7" t="s">
        <v>6472</v>
      </c>
      <c r="J2138" s="13" t="s">
        <v>6775</v>
      </c>
      <c r="K2138" s="26"/>
      <c r="L2138" s="6" t="str">
        <f>IFERROR(VLOOKUP(E2138,A:I,9, FALSE),"")</f>
        <v>Zeit-Offset</v>
      </c>
      <c r="M2138" s="6" t="str">
        <f>IFERROR(VLOOKUP(H2138,B:J,9,FALSE),"")</f>
        <v>Gibt die Präsentationszeitversatz des Streams in 100-Nanosekunden-Einheiten an. Dieser Wert ist gleich dem Sendezeitpunkt des ersten verschachtelten Paket in dem Datenabschnitt.</v>
      </c>
      <c r="N2138" s="6"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c r="O2138" s="6" t="s">
        <v>8574</v>
      </c>
      <c r="P2138" s="6" t="s">
        <v>8574</v>
      </c>
    </row>
    <row r="2139" spans="1:17" ht="60" x14ac:dyDescent="0.25">
      <c r="A2139" s="5" t="str">
        <f>IF(TRIM(I2139)="","",E2139)</f>
        <v>TrackCreateDate</v>
      </c>
      <c r="B2139" s="5" t="str">
        <f>IF(TRIM(J2139)="","",H2139)</f>
        <v>A 32-bit integer that indicates (in seconds since midnight, January 1, 1904) when the track header was created.</v>
      </c>
      <c r="C2139" s="5" t="str">
        <f>LEFT(F2139,FIND(".",F2139,6))</f>
        <v>Xmp.audio.</v>
      </c>
      <c r="D2139" s="5" t="str">
        <f>VLOOKUP(C2139,PrefixUebersetzung,2,FALSE)</f>
        <v>Xmp.audio</v>
      </c>
      <c r="E2139" s="5" t="str">
        <f>MID(F2139,FIND(".",F2139,6)+1,99)</f>
        <v>TrackCreateDate</v>
      </c>
      <c r="F2139" s="23" t="s">
        <v>5733</v>
      </c>
      <c r="G2139" s="5" t="s">
        <v>9678</v>
      </c>
      <c r="H2139" s="10" t="s">
        <v>5734</v>
      </c>
      <c r="I2139" s="7" t="s">
        <v>6473</v>
      </c>
      <c r="J2139" s="13" t="s">
        <v>6771</v>
      </c>
      <c r="K2139" s="26"/>
      <c r="L2139" s="6" t="str">
        <f>IFERROR(VLOOKUP(E2139,A:I,9, FALSE),"")</f>
        <v>Track Erzeugungsdatum</v>
      </c>
      <c r="M2139" s="6" t="str">
        <f>IFERROR(VLOOKUP(H2139,B:J,9,FALSE),"")</f>
        <v>Ein 32-Bit-Ganzzahl (in Sekunden seit Mitternacht 1. Januar 1904 ), die angibt, wann der Spur-Header erstellt wurde.</v>
      </c>
      <c r="N2139" s="6"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c r="O2139" s="6" t="s">
        <v>8574</v>
      </c>
      <c r="P2139" s="6" t="s">
        <v>8574</v>
      </c>
    </row>
    <row r="2140" spans="1:17" ht="45" x14ac:dyDescent="0.25">
      <c r="A2140" s="5" t="str">
        <f>IF(TRIM(I2140)="","",E2140)</f>
        <v>TrackDuration</v>
      </c>
      <c r="B2140" s="5" t="str">
        <f>IF(TRIM(J2140)="","",H2140)</f>
        <v>A time value that indicates the duration of this track (in the movie's time coordinate system).</v>
      </c>
      <c r="C2140" s="5" t="str">
        <f>LEFT(F2140,FIND(".",F2140,6))</f>
        <v>Xmp.audio.</v>
      </c>
      <c r="D2140" s="5" t="str">
        <f>VLOOKUP(C2140,PrefixUebersetzung,2,FALSE)</f>
        <v>Xmp.audio</v>
      </c>
      <c r="E2140" s="5" t="str">
        <f>MID(F2140,FIND(".",F2140,6)+1,99)</f>
        <v>TrackDuration</v>
      </c>
      <c r="F2140" s="23" t="s">
        <v>5735</v>
      </c>
      <c r="G2140" s="5" t="s">
        <v>9678</v>
      </c>
      <c r="H2140" s="10" t="s">
        <v>5736</v>
      </c>
      <c r="I2140" s="7" t="s">
        <v>6474</v>
      </c>
      <c r="J2140" s="8" t="s">
        <v>6776</v>
      </c>
      <c r="K2140" s="26"/>
      <c r="L2140" s="6" t="str">
        <f>IFERROR(VLOOKUP(E2140,A:I,9, FALSE),"")</f>
        <v>Track Dauer</v>
      </c>
      <c r="M2140" s="6" t="str">
        <f>IFERROR(VLOOKUP(H2140,B:J,9,FALSE),"")</f>
        <v>Ein Zeitwert, der die Dauer dieser Spur (in Zeit-Koordinatensystem des Films) anzeigt.</v>
      </c>
      <c r="N2140" s="6"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O2140" s="6" t="s">
        <v>8574</v>
      </c>
      <c r="P2140" s="6" t="s">
        <v>8574</v>
      </c>
    </row>
    <row r="2141" spans="1:17" x14ac:dyDescent="0.25">
      <c r="A2141" s="5" t="str">
        <f>IF(TRIM(I2141)="","",E2141)</f>
        <v>TrackForced</v>
      </c>
      <c r="B2141" s="5" t="str">
        <f>IF(TRIM(J2141)="","",H2141)</f>
        <v>Audio Track Forced , i.e. Enabled/Disabled</v>
      </c>
      <c r="C2141" s="5" t="str">
        <f>LEFT(F2141,FIND(".",F2141,6))</f>
        <v>Xmp.audio.</v>
      </c>
      <c r="D2141" s="5" t="str">
        <f>VLOOKUP(C2141,PrefixUebersetzung,2,FALSE)</f>
        <v>Xmp.audio</v>
      </c>
      <c r="E2141" s="5" t="str">
        <f>MID(F2141,FIND(".",F2141,6)+1,99)</f>
        <v>TrackForced</v>
      </c>
      <c r="F2141" s="23" t="s">
        <v>5737</v>
      </c>
      <c r="G2141" s="5" t="s">
        <v>9678</v>
      </c>
      <c r="H2141" s="10" t="s">
        <v>5738</v>
      </c>
      <c r="I2141" s="7" t="s">
        <v>6475</v>
      </c>
      <c r="J2141" s="8" t="s">
        <v>6777</v>
      </c>
      <c r="K2141" s="26"/>
      <c r="L2141" s="6" t="str">
        <f>IFERROR(VLOOKUP(E2141,A:I,9, FALSE),"")</f>
        <v>Track erzwungen</v>
      </c>
      <c r="N2141" s="6"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c r="O2141" s="6" t="s">
        <v>8574</v>
      </c>
      <c r="P2141" s="6" t="s">
        <v>8574</v>
      </c>
    </row>
    <row r="2142" spans="1:17" ht="30" x14ac:dyDescent="0.25">
      <c r="A2142" s="5" t="str">
        <f>IF(TRIM(I2142)="","",E2142)</f>
        <v>TrackHeaderVersion</v>
      </c>
      <c r="B2142" s="5" t="str">
        <f>IF(TRIM(J2142)="","",H2142)</f>
        <v>A 1-byte specification of the version of this track header</v>
      </c>
      <c r="C2142" s="5" t="str">
        <f>LEFT(F2142,FIND(".",F2142,6))</f>
        <v>Xmp.audio.</v>
      </c>
      <c r="D2142" s="5" t="str">
        <f>VLOOKUP(C2142,PrefixUebersetzung,2,FALSE)</f>
        <v>Xmp.audio</v>
      </c>
      <c r="E2142" s="5" t="str">
        <f>MID(F2142,FIND(".",F2142,6)+1,99)</f>
        <v>TrackHeaderVersion</v>
      </c>
      <c r="F2142" s="23" t="s">
        <v>5739</v>
      </c>
      <c r="G2142" s="5" t="s">
        <v>9678</v>
      </c>
      <c r="H2142" s="10" t="s">
        <v>5740</v>
      </c>
      <c r="I2142" s="7" t="s">
        <v>6476</v>
      </c>
      <c r="J2142" s="8" t="s">
        <v>6778</v>
      </c>
      <c r="K2142" s="26"/>
      <c r="L2142" s="6" t="str">
        <f>IFERROR(VLOOKUP(E2142,A:I,9, FALSE),"")</f>
        <v>Track HeaderVersion</v>
      </c>
      <c r="M2142" s="6" t="str">
        <f>IFERROR(VLOOKUP(H2142,B:J,9,FALSE),"")</f>
        <v>Eine 1-Byte-Spezifikation der Version dieses Track-Headers</v>
      </c>
      <c r="N2142" s="6"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6" t="s">
        <v>8574</v>
      </c>
      <c r="P2142" s="6" t="s">
        <v>8574</v>
      </c>
    </row>
    <row r="2143" spans="1:17" ht="45" x14ac:dyDescent="0.25">
      <c r="A2143" s="5" t="str">
        <f>IF(TRIM(I2143)="","",E2143)</f>
        <v>TrackID</v>
      </c>
      <c r="B2143" s="5" t="str">
        <f>IF(TRIM(J2143)="","",H2143)</f>
        <v>A 32-bit integer that uniquely identifies the track. The value 0 cannot be used.</v>
      </c>
      <c r="C2143" s="5" t="str">
        <f>LEFT(F2143,FIND(".",F2143,6))</f>
        <v>Xmp.audio.</v>
      </c>
      <c r="D2143" s="5" t="str">
        <f>VLOOKUP(C2143,PrefixUebersetzung,2,FALSE)</f>
        <v>Xmp.audio</v>
      </c>
      <c r="E2143" s="5" t="str">
        <f>MID(F2143,FIND(".",F2143,6)+1,99)</f>
        <v>TrackID</v>
      </c>
      <c r="F2143" s="23" t="s">
        <v>5741</v>
      </c>
      <c r="G2143" s="5" t="s">
        <v>9678</v>
      </c>
      <c r="H2143" s="10" t="s">
        <v>5742</v>
      </c>
      <c r="I2143" s="7" t="s">
        <v>6477</v>
      </c>
      <c r="J2143" s="8" t="s">
        <v>6779</v>
      </c>
      <c r="K2143" s="26"/>
      <c r="L2143" s="6" t="str">
        <f>IFERROR(VLOOKUP(E2143,A:I,9, FALSE),"")</f>
        <v>Track Id</v>
      </c>
      <c r="M2143" s="6" t="str">
        <f>IFERROR(VLOOKUP(H2143,B:J,9,FALSE),"")</f>
        <v>Ein 32-Bit-Ganzzahl, die die Spur eindeutig identifiziert. Der Wert 0 kann nicht verwendet werden.</v>
      </c>
      <c r="N2143" s="6"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c>
      <c r="O2143" s="6" t="s">
        <v>8574</v>
      </c>
      <c r="P2143" s="6" t="s">
        <v>8574</v>
      </c>
    </row>
    <row r="2144" spans="1:17" x14ac:dyDescent="0.25">
      <c r="A2144" s="5" t="str">
        <f>IF(TRIM(I2144)="","",E2144)</f>
        <v/>
      </c>
      <c r="B2144" s="5" t="str">
        <f>IF(TRIM(J2144)="","",H2144)</f>
        <v/>
      </c>
      <c r="C2144" s="5" t="str">
        <f>LEFT(F2144,FIND(".",F2144,6))</f>
        <v>Xmp.audio.</v>
      </c>
      <c r="D2144" s="5" t="str">
        <f>VLOOKUP(C2144,PrefixUebersetzung,2,FALSE)</f>
        <v>Xmp.audio</v>
      </c>
      <c r="E2144" s="5" t="str">
        <f>MID(F2144,FIND(".",F2144,6)+1,99)</f>
        <v>TrackLacing</v>
      </c>
      <c r="F2144" s="23" t="s">
        <v>5743</v>
      </c>
      <c r="G2144" s="5" t="s">
        <v>9678</v>
      </c>
      <c r="H2144" s="10" t="s">
        <v>5744</v>
      </c>
      <c r="I2144" s="7"/>
      <c r="K2144" s="26"/>
      <c r="L2144" s="6" t="str">
        <f>IFERROR(VLOOKUP(E2144,A:I,9, FALSE),"")</f>
        <v/>
      </c>
      <c r="N2144" s="6"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xml:space="preserve">Suffix not translated Description not translated </v>
      </c>
      <c r="O2144" s="6" t="s">
        <v>8574</v>
      </c>
      <c r="P2144" s="6" t="s">
        <v>8574</v>
      </c>
    </row>
    <row r="2145" spans="1:16" ht="30" x14ac:dyDescent="0.25">
      <c r="A2145" s="5" t="str">
        <f>IF(TRIM(I2145)="","",E2145)</f>
        <v>TrackLang</v>
      </c>
      <c r="B2145" s="5" t="str">
        <f>IF(TRIM(J2145)="","",H2145)</f>
        <v>The Language in which a particular stream is recorded in.</v>
      </c>
      <c r="C2145" s="5" t="str">
        <f>LEFT(F2145,FIND(".",F2145,6))</f>
        <v>Xmp.audio.</v>
      </c>
      <c r="D2145" s="5" t="str">
        <f>VLOOKUP(C2145,PrefixUebersetzung,2,FALSE)</f>
        <v>Xmp.audio</v>
      </c>
      <c r="E2145" s="5" t="str">
        <f>MID(F2145,FIND(".",F2145,6)+1,99)</f>
        <v>TrackLang</v>
      </c>
      <c r="F2145" s="23" t="s">
        <v>5745</v>
      </c>
      <c r="G2145" s="5" t="s">
        <v>9678</v>
      </c>
      <c r="H2145" s="10" t="s">
        <v>5746</v>
      </c>
      <c r="I2145" s="7" t="s">
        <v>6478</v>
      </c>
      <c r="J2145" s="8" t="s">
        <v>6780</v>
      </c>
      <c r="K2145" s="26"/>
      <c r="L2145" s="6" t="str">
        <f>IFERROR(VLOOKUP(E2145,A:I,9, FALSE),"")</f>
        <v>Track Sprache</v>
      </c>
      <c r="M2145" s="6" t="str">
        <f>IFERROR(VLOOKUP(H2145,B:J,9,FALSE),"")</f>
        <v>Die Sprache, in der ein bestimmter Stream aufgezeichnet wurde.</v>
      </c>
      <c r="N2145" s="6"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c r="O2145" s="6" t="s">
        <v>8574</v>
      </c>
      <c r="P2145" s="6" t="s">
        <v>8574</v>
      </c>
    </row>
    <row r="2146" spans="1:16" ht="120" x14ac:dyDescent="0.25">
      <c r="A2146" s="5" t="str">
        <f>IF(TRIM(I2146)="","",E2146)</f>
        <v/>
      </c>
      <c r="B2146" s="5" t="str">
        <f>IF(TRIM(J2146)="","",H2146)</f>
        <v>A 16-bit integer that indicates this track's spatial priority in its movie. The QuickTime MovieToolbox uses this value to determine how tracks overlay one another. Tracks with lower layervalues are displayed in front of tracks with higher layer values.</v>
      </c>
      <c r="C2146" s="5" t="str">
        <f>LEFT(F2146,FIND(".",F2146,6))</f>
        <v>Xmp.audio.</v>
      </c>
      <c r="D2146" s="5" t="str">
        <f>VLOOKUP(C2146,PrefixUebersetzung,2,FALSE)</f>
        <v>Xmp.audio</v>
      </c>
      <c r="E2146" s="5" t="str">
        <f>MID(F2146,FIND(".",F2146,6)+1,99)</f>
        <v>TrackLayer</v>
      </c>
      <c r="F2146" s="23" t="s">
        <v>5747</v>
      </c>
      <c r="G2146" s="5" t="s">
        <v>9678</v>
      </c>
      <c r="H2146" s="10" t="s">
        <v>5748</v>
      </c>
      <c r="I2146" s="7"/>
      <c r="J2146" s="8" t="s">
        <v>6781</v>
      </c>
      <c r="K2146" s="26"/>
      <c r="L2146" s="6" t="str">
        <f>IFERROR(VLOOKUP(E2146,A:I,9, FALSE),"")</f>
        <v/>
      </c>
      <c r="M2146" s="6" t="str">
        <f>IFERROR(VLOOKUP(H2146,B:J,9,FALSE),"")</f>
        <v>Ein 16-Bit-Ganzzahl, die die räumliche Priorität dieser Spur in seinem Film zeigt. Die Quicktime-Movie-Toolbox verwendet diesen Wert um zu bestimmen, wie Spuren sich überlagern. Tracks mit niedrigeren Layer-Wert werden vor Tracks mit höheren Layer-Werte angezeigt.</v>
      </c>
      <c r="N2146" s="6"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xml:space="preserve">Suffix not translated </v>
      </c>
      <c r="O2146" s="6" t="s">
        <v>8574</v>
      </c>
      <c r="P2146" s="6" t="s">
        <v>8574</v>
      </c>
    </row>
    <row r="2147" spans="1:16" ht="60" x14ac:dyDescent="0.25">
      <c r="A2147" s="5" t="str">
        <f>IF(TRIM(I2147)="","",E2147)</f>
        <v>TrackModifyDate</v>
      </c>
      <c r="B2147" s="5" t="str">
        <f>IF(TRIM(J2147)="","",H2147)</f>
        <v>A 32-bit integer that indicates (in seconds since midnight, January 1, 1904) when the track header was last modified.</v>
      </c>
      <c r="C2147" s="5" t="str">
        <f>LEFT(F2147,FIND(".",F2147,6))</f>
        <v>Xmp.audio.</v>
      </c>
      <c r="D2147" s="5" t="str">
        <f>VLOOKUP(C2147,PrefixUebersetzung,2,FALSE)</f>
        <v>Xmp.audio</v>
      </c>
      <c r="E2147" s="5" t="str">
        <f>MID(F2147,FIND(".",F2147,6)+1,99)</f>
        <v>TrackModifyDate</v>
      </c>
      <c r="F2147" s="23" t="s">
        <v>5749</v>
      </c>
      <c r="G2147" s="5" t="s">
        <v>9678</v>
      </c>
      <c r="H2147" s="10" t="s">
        <v>5750</v>
      </c>
      <c r="I2147" s="7" t="s">
        <v>6479</v>
      </c>
      <c r="J2147" s="8" t="s">
        <v>6772</v>
      </c>
      <c r="K2147" s="26"/>
      <c r="L2147" s="6" t="str">
        <f>IFERROR(VLOOKUP(E2147,A:I,9, FALSE),"")</f>
        <v>Track Veränderungsdatum</v>
      </c>
      <c r="M2147" s="6" t="str">
        <f>IFERROR(VLOOKUP(H2147,B:J,9,FALSE),"")</f>
        <v>Ein 32-Bit-Ganzzahl (in Sekunden seit Mitternacht 1. Januar 1904 ), die angibt, wann der Spur-Header zuletzt verändert wurde.</v>
      </c>
      <c r="N2147" s="6"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c r="O2147" s="6" t="s">
        <v>8574</v>
      </c>
      <c r="P2147" s="6" t="s">
        <v>8574</v>
      </c>
    </row>
    <row r="2148" spans="1:16" ht="60" x14ac:dyDescent="0.25">
      <c r="A2148" s="5" t="str">
        <f>IF(TRIM(I2148)="","",E2148)</f>
        <v>TrackVolume</v>
      </c>
      <c r="B2148" s="5" t="str">
        <f>IF(TRIM(J2148)="","",H2148)</f>
        <v>A 16-bit fixed-point number that specifies how loud to play this track's sound. A value of 1.0 indicates full volume.</v>
      </c>
      <c r="C2148" s="5" t="str">
        <f>LEFT(F2148,FIND(".",F2148,6))</f>
        <v>Xmp.audio.</v>
      </c>
      <c r="D2148" s="5" t="str">
        <f>VLOOKUP(C2148,PrefixUebersetzung,2,FALSE)</f>
        <v>Xmp.audio</v>
      </c>
      <c r="E2148" s="5" t="str">
        <f>MID(F2148,FIND(".",F2148,6)+1,99)</f>
        <v>TrackVolume</v>
      </c>
      <c r="F2148" s="23" t="s">
        <v>5751</v>
      </c>
      <c r="G2148" s="5" t="s">
        <v>9678</v>
      </c>
      <c r="H2148" s="10" t="s">
        <v>5752</v>
      </c>
      <c r="I2148" s="7" t="s">
        <v>6480</v>
      </c>
      <c r="J2148" s="8" t="s">
        <v>6782</v>
      </c>
      <c r="K2148" s="26"/>
      <c r="L2148" s="6" t="str">
        <f>IFERROR(VLOOKUP(E2148,A:I,9, FALSE),"")</f>
        <v>Track Lautstärke</v>
      </c>
      <c r="M2148" s="6" t="str">
        <f>IFERROR(VLOOKUP(H2148,B:J,9,FALSE),"")</f>
        <v>Ein 16-Bit-Festpunktzahl, die angibt, wie laut diesen Track Sound zu spielen ist. Ein Wert von 1,0 bedeutet volle Lautstärke.</v>
      </c>
      <c r="N2148" s="6"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c r="O2148" s="6" t="s">
        <v>8574</v>
      </c>
      <c r="P2148" s="6" t="s">
        <v>8574</v>
      </c>
    </row>
    <row r="2149" spans="1:16" ht="45" x14ac:dyDescent="0.25">
      <c r="A2149" s="5" t="str">
        <f>IF(TRIM(I2149)="","",E2149)</f>
        <v>URL</v>
      </c>
      <c r="B2149" s="5" t="str">
        <f>IF(TRIM(J2149)="","",H2149)</f>
        <v>A C string that specifies a URL. There may be additional data after the C string.</v>
      </c>
      <c r="C2149" s="5" t="str">
        <f>LEFT(F2149,FIND(".",F2149,6))</f>
        <v>Xmp.audio.</v>
      </c>
      <c r="D2149" s="5" t="str">
        <f>VLOOKUP(C2149,PrefixUebersetzung,2,FALSE)</f>
        <v>Xmp.audio</v>
      </c>
      <c r="E2149" s="5" t="str">
        <f>MID(F2149,FIND(".",F2149,6)+1,99)</f>
        <v>URL</v>
      </c>
      <c r="F2149" s="23" t="s">
        <v>5753</v>
      </c>
      <c r="G2149" s="5" t="s">
        <v>9678</v>
      </c>
      <c r="H2149" s="10" t="s">
        <v>5754</v>
      </c>
      <c r="I2149" s="7" t="s">
        <v>6481</v>
      </c>
      <c r="J2149" s="8" t="s">
        <v>6783</v>
      </c>
      <c r="K2149" s="26"/>
      <c r="L2149" s="6" t="str">
        <f>IFERROR(VLOOKUP(E2149,A:I,9, FALSE),"")</f>
        <v>URL</v>
      </c>
      <c r="M2149" s="6" t="str">
        <f>IFERROR(VLOOKUP(H2149,B:J,9,FALSE),"")</f>
        <v>Ein C-String, der die URL angibt. Es kann zusätzliche Daten nach dem C-String geben.</v>
      </c>
      <c r="N2149" s="6"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6" t="s">
        <v>8574</v>
      </c>
      <c r="P2149" s="6" t="s">
        <v>8574</v>
      </c>
    </row>
    <row r="2150" spans="1:16" ht="45" x14ac:dyDescent="0.25">
      <c r="A2150" s="5" t="str">
        <f>IF(TRIM(I2150)="","",E2150)</f>
        <v>URN</v>
      </c>
      <c r="B2150" s="5" t="str">
        <f>IF(TRIM(J2150)="","",H2150)</f>
        <v>A C string that specifies a URN. There may be additional data after the C string.</v>
      </c>
      <c r="C2150" s="5" t="str">
        <f>LEFT(F2150,FIND(".",F2150,6))</f>
        <v>Xmp.audio.</v>
      </c>
      <c r="D2150" s="5" t="str">
        <f>VLOOKUP(C2150,PrefixUebersetzung,2,FALSE)</f>
        <v>Xmp.audio</v>
      </c>
      <c r="E2150" s="5" t="str">
        <f>MID(F2150,FIND(".",F2150,6)+1,99)</f>
        <v>URN</v>
      </c>
      <c r="F2150" s="23" t="s">
        <v>5755</v>
      </c>
      <c r="G2150" s="5" t="s">
        <v>9678</v>
      </c>
      <c r="H2150" s="10" t="s">
        <v>5756</v>
      </c>
      <c r="I2150" s="7" t="s">
        <v>6482</v>
      </c>
      <c r="J2150" s="8" t="s">
        <v>6784</v>
      </c>
      <c r="K2150" s="26"/>
      <c r="L2150" s="6" t="str">
        <f>IFERROR(VLOOKUP(E2150,A:I,9, FALSE),"")</f>
        <v>URN</v>
      </c>
      <c r="M2150" s="6" t="str">
        <f>IFERROR(VLOOKUP(H2150,B:J,9,FALSE),"")</f>
        <v>Ein C-String, der eine URN gibt. Es kann zusätzliche Daten nach dem C-String geben.</v>
      </c>
      <c r="N2150" s="6"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c r="O2150" s="6" t="s">
        <v>8574</v>
      </c>
      <c r="P2150" s="6" t="s">
        <v>8574</v>
      </c>
    </row>
    <row r="2151" spans="1:16" ht="75" x14ac:dyDescent="0.25">
      <c r="A2151" s="5" t="str">
        <f>IF(TRIM(I2151)="","",E2151)</f>
        <v>VendorID</v>
      </c>
      <c r="B2151" s="5" t="str">
        <f>IF(TRIM(J2151)="","",H2151)</f>
        <v>A 32-bit integer that specifies the developer of the compressor that generated the compressed data. Often this field contains 'appl' to indicate Apple Computer, Inc.</v>
      </c>
      <c r="C2151" s="5" t="str">
        <f>LEFT(F2151,FIND(".",F2151,6))</f>
        <v>Xmp.audio.</v>
      </c>
      <c r="D2151" s="5" t="str">
        <f>VLOOKUP(C2151,PrefixUebersetzung,2,FALSE)</f>
        <v>Xmp.audio</v>
      </c>
      <c r="E2151" s="5" t="str">
        <f>MID(F2151,FIND(".",F2151,6)+1,99)</f>
        <v>VendorID</v>
      </c>
      <c r="F2151" s="23" t="s">
        <v>5757</v>
      </c>
      <c r="G2151" s="5" t="s">
        <v>9678</v>
      </c>
      <c r="H2151" s="10" t="s">
        <v>5758</v>
      </c>
      <c r="I2151" s="7" t="s">
        <v>6483</v>
      </c>
      <c r="J2151" s="8" t="s">
        <v>6785</v>
      </c>
      <c r="K2151" s="26"/>
      <c r="L2151" s="6" t="str">
        <f>IFERROR(VLOOKUP(E2151,A:I,9, FALSE),"")</f>
        <v>Anbieter Id</v>
      </c>
      <c r="M2151" s="6" t="str">
        <f>IFERROR(VLOOKUP(H2151,B:J,9,FALSE),"")</f>
        <v>Ein 32-Bit-Ganzzahl, die den Entwickler des Komprimierers, der die komprimierten Daten erzeugt, angibt. Häufig enthält dieses Feld "Appl", um Apple Computer, Inc. Anzuzeigen</v>
      </c>
      <c r="N2151" s="6"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c r="O2151" s="6" t="s">
        <v>8574</v>
      </c>
      <c r="P2151" s="6" t="s">
        <v>8574</v>
      </c>
    </row>
    <row r="2152" spans="1:16" ht="30" x14ac:dyDescent="0.25">
      <c r="A2152" s="5" t="str">
        <f>IF(TRIM(I2152)="","",E2152)</f>
        <v/>
      </c>
      <c r="B2152" s="5" t="str">
        <f>IF(TRIM(J2152)="","",H2152)</f>
        <v>A description of the lens used to take the photograph. For example, "70-200 mm f/2.8-4.0".</v>
      </c>
      <c r="C2152" s="5" t="str">
        <f>LEFT(F2152,FIND(".",F2152,6))</f>
        <v>Xmp.aux.</v>
      </c>
      <c r="D2152" s="5" t="str">
        <f>VLOOKUP(C2152,PrefixUebersetzung,2,FALSE)</f>
        <v>Xmp.aux.</v>
      </c>
      <c r="E2152" s="5" t="str">
        <f>MID(F2152,FIND(".",F2152,6)+1,99)</f>
        <v>Lens</v>
      </c>
      <c r="F2152" s="5" t="s">
        <v>1646</v>
      </c>
      <c r="G2152" s="5" t="s">
        <v>9678</v>
      </c>
      <c r="H2152" s="6" t="s">
        <v>3317</v>
      </c>
      <c r="I2152" s="7"/>
      <c r="J2152" s="14" t="s">
        <v>5334</v>
      </c>
      <c r="K2152" s="26"/>
      <c r="L2152" s="6" t="str">
        <f>IFERROR(VLOOKUP(E2152,A:I,9, FALSE),"")</f>
        <v>Objektiv</v>
      </c>
      <c r="N2152" s="6"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c r="P2152" s="6" t="s">
        <v>8574</v>
      </c>
    </row>
    <row r="2153" spans="1:16" ht="30" x14ac:dyDescent="0.25">
      <c r="A2153" s="5" t="str">
        <f>IF(TRIM(I2153)="","",E2153)</f>
        <v/>
      </c>
      <c r="B2153" s="5" t="str">
        <f>IF(TRIM(J2153)="","",H2153)</f>
        <v>The serial number of the camera or camera body used to take the photograph.</v>
      </c>
      <c r="C2153" s="5" t="str">
        <f>LEFT(F2153,FIND(".",F2153,6))</f>
        <v>Xmp.aux.</v>
      </c>
      <c r="D2153" s="5" t="str">
        <f>VLOOKUP(C2153,PrefixUebersetzung,2,FALSE)</f>
        <v>Xmp.aux.</v>
      </c>
      <c r="E2153" s="5" t="str">
        <f>MID(F2153,FIND(".",F2153,6)+1,99)</f>
        <v>SerialNumber</v>
      </c>
      <c r="F2153" s="5" t="s">
        <v>1647</v>
      </c>
      <c r="G2153" s="5" t="s">
        <v>9678</v>
      </c>
      <c r="H2153" s="6" t="s">
        <v>3318</v>
      </c>
      <c r="I2153" s="7"/>
      <c r="J2153" s="14" t="s">
        <v>5335</v>
      </c>
      <c r="K2153" s="26"/>
      <c r="L2153" s="6" t="str">
        <f>IFERROR(VLOOKUP(E2153,A:I,9, FALSE),"")</f>
        <v>Seriennummer</v>
      </c>
      <c r="N2153" s="6"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c>
      <c r="P2153" s="6" t="s">
        <v>8574</v>
      </c>
    </row>
    <row r="2154" spans="1:16" ht="30" x14ac:dyDescent="0.25">
      <c r="A2154" s="5" t="str">
        <f>IF(TRIM(I2154)="","",E2154)</f>
        <v>Alpha</v>
      </c>
      <c r="B2154" s="5" t="str">
        <f>IF(TRIM(J2154)="","",H2154)</f>
        <v>Not in XMP Specification. Found in sample files.</v>
      </c>
      <c r="C2154" s="5" t="str">
        <f>LEFT(F2154,FIND(".",F2154,6))</f>
        <v>Xmp.crs.</v>
      </c>
      <c r="D2154" s="5" t="str">
        <f>VLOOKUP(C2154,PrefixUebersetzung,2,FALSE)</f>
        <v>Xmp.crs.</v>
      </c>
      <c r="E2154" s="5" t="str">
        <f>MID(F2154,FIND(".",F2154,6)+1,99)</f>
        <v>Alpha</v>
      </c>
      <c r="F2154" s="2" t="s">
        <v>8265</v>
      </c>
      <c r="G2154" s="5" t="s">
        <v>9678</v>
      </c>
      <c r="H2154" s="3" t="s">
        <v>8266</v>
      </c>
      <c r="I2154" s="7" t="s">
        <v>8572</v>
      </c>
      <c r="J2154" s="8" t="s">
        <v>8731</v>
      </c>
      <c r="K2154" s="26"/>
      <c r="M2154" s="6" t="str">
        <f>IFERROR(VLOOKUP(H2154,B:J,9,FALSE),"")</f>
        <v>Nicht in XMP Spezifikation, in Beispielen gefunden.</v>
      </c>
      <c r="N2154" s="6"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c>
      <c r="O2154" s="6" t="s">
        <v>8574</v>
      </c>
      <c r="P2154" s="6" t="s">
        <v>8574</v>
      </c>
    </row>
    <row r="2155" spans="1:16" ht="30" x14ac:dyDescent="0.25">
      <c r="A2155" s="5" t="str">
        <f>IF(TRIM(I2155)="","",E2155)</f>
        <v/>
      </c>
      <c r="B2155" s="5" t="str">
        <f>IF(TRIM(J2155)="","",H2155)</f>
        <v/>
      </c>
      <c r="C2155" s="5" t="str">
        <f>LEFT(F2155,FIND(".",F2155,6))</f>
        <v>Xmp.crs.</v>
      </c>
      <c r="D2155" s="5" t="str">
        <f>VLOOKUP(C2155,PrefixUebersetzung,2,FALSE)</f>
        <v>Xmp.crs.</v>
      </c>
      <c r="E2155" s="5" t="str">
        <f>MID(F2155,FIND(".",F2155,6)+1,99)</f>
        <v>AlreadyApplied</v>
      </c>
      <c r="F2155" s="2" t="s">
        <v>8267</v>
      </c>
      <c r="G2155" s="5" t="s">
        <v>9678</v>
      </c>
      <c r="H2155" s="3" t="s">
        <v>8266</v>
      </c>
      <c r="I2155" s="7"/>
      <c r="J2155" s="8"/>
      <c r="K2155" s="26"/>
      <c r="M2155" s="6" t="str">
        <f>IFERROR(VLOOKUP(H2155,B:J,9,FALSE),"")</f>
        <v>Nicht in XMP Spezifikation, in Beispielen gefunden.</v>
      </c>
      <c r="N2155" s="6"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xml:space="preserve">Suffix not translated </v>
      </c>
      <c r="O2155" s="6" t="s">
        <v>8574</v>
      </c>
    </row>
    <row r="2156" spans="1:16" ht="30" x14ac:dyDescent="0.25">
      <c r="A2156" s="5" t="str">
        <f>IF(TRIM(I2156)="","",E2156)</f>
        <v>Angle</v>
      </c>
      <c r="B2156" s="5" t="str">
        <f>IF(TRIM(J2156)="","",H2156)</f>
        <v/>
      </c>
      <c r="C2156" s="5" t="str">
        <f>LEFT(F2156,FIND(".",F2156,6))</f>
        <v>Xmp.crs.</v>
      </c>
      <c r="D2156" s="5" t="str">
        <f>VLOOKUP(C2156,PrefixUebersetzung,2,FALSE)</f>
        <v>Xmp.crs.</v>
      </c>
      <c r="E2156" s="5" t="str">
        <f>MID(F2156,FIND(".",F2156,6)+1,99)</f>
        <v>Angle</v>
      </c>
      <c r="F2156" s="2" t="s">
        <v>8268</v>
      </c>
      <c r="G2156" s="5" t="s">
        <v>9678</v>
      </c>
      <c r="H2156" s="3" t="s">
        <v>8266</v>
      </c>
      <c r="I2156" s="7" t="s">
        <v>8964</v>
      </c>
      <c r="J2156" s="8"/>
      <c r="K2156" s="26"/>
      <c r="M2156" s="6" t="str">
        <f>IFERROR(VLOOKUP(H2156,B:J,9,FALSE),"")</f>
        <v>Nicht in XMP Spezifikation, in Beispielen gefunden.</v>
      </c>
      <c r="N2156" s="6"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c r="O2156" s="6" t="s">
        <v>8574</v>
      </c>
    </row>
    <row r="2157" spans="1:16" x14ac:dyDescent="0.25">
      <c r="A2157" s="5" t="str">
        <f>IF(TRIM(I2157)="","",E2157)</f>
        <v>AutoBrightness</v>
      </c>
      <c r="B2157" s="5" t="str">
        <f>IF(TRIM(J2157)="","",H2157)</f>
        <v>When true, "Brightness" is automatically adjusted.</v>
      </c>
      <c r="C2157" s="5" t="str">
        <f>LEFT(F2157,FIND(".",F2157,6))</f>
        <v>Xmp.crs.</v>
      </c>
      <c r="D2157" s="5" t="str">
        <f>VLOOKUP(C2157,PrefixUebersetzung,2,FALSE)</f>
        <v>Xmp.crs.</v>
      </c>
      <c r="E2157" s="5" t="str">
        <f>MID(F2157,FIND(".",F2157,6)+1,99)</f>
        <v>AutoBrightness</v>
      </c>
      <c r="F2157" s="5" t="s">
        <v>1648</v>
      </c>
      <c r="G2157" s="5" t="s">
        <v>9678</v>
      </c>
      <c r="H2157" s="6" t="s">
        <v>3319</v>
      </c>
      <c r="I2157" s="7" t="s">
        <v>4500</v>
      </c>
      <c r="J2157" s="14" t="s">
        <v>5523</v>
      </c>
      <c r="K2157" s="26"/>
      <c r="N2157" s="6"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O2157" s="6" t="s">
        <v>8574</v>
      </c>
      <c r="P2157" s="6" t="s">
        <v>8574</v>
      </c>
    </row>
    <row r="2158" spans="1:16" x14ac:dyDescent="0.25">
      <c r="A2158" s="5" t="str">
        <f>IF(TRIM(I2158)="","",E2158)</f>
        <v>AutoContrast</v>
      </c>
      <c r="B2158" s="5" t="str">
        <f>IF(TRIM(J2158)="","",H2158)</f>
        <v>When true, "Contrast" is automatically adjusted.</v>
      </c>
      <c r="C2158" s="5" t="str">
        <f>LEFT(F2158,FIND(".",F2158,6))</f>
        <v>Xmp.crs.</v>
      </c>
      <c r="D2158" s="5" t="str">
        <f>VLOOKUP(C2158,PrefixUebersetzung,2,FALSE)</f>
        <v>Xmp.crs.</v>
      </c>
      <c r="E2158" s="5" t="str">
        <f>MID(F2158,FIND(".",F2158,6)+1,99)</f>
        <v>AutoContrast</v>
      </c>
      <c r="F2158" s="5" t="s">
        <v>1649</v>
      </c>
      <c r="G2158" s="5" t="s">
        <v>9678</v>
      </c>
      <c r="H2158" s="6" t="s">
        <v>3320</v>
      </c>
      <c r="I2158" s="7" t="s">
        <v>4501</v>
      </c>
      <c r="J2158" s="14" t="s">
        <v>5524</v>
      </c>
      <c r="K2158" s="26"/>
      <c r="N2158" s="6"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c>
      <c r="O2158" s="6" t="s">
        <v>8574</v>
      </c>
      <c r="P2158" s="6" t="s">
        <v>8574</v>
      </c>
    </row>
    <row r="2159" spans="1:16" ht="30" x14ac:dyDescent="0.25">
      <c r="A2159" s="5" t="str">
        <f>IF(TRIM(I2159)="","",E2159)</f>
        <v>AutoExposure</v>
      </c>
      <c r="B2159" s="5" t="str">
        <f>IF(TRIM(J2159)="","",H2159)</f>
        <v>When true, "Exposure" is automatically adjusted.</v>
      </c>
      <c r="C2159" s="5" t="str">
        <f>LEFT(F2159,FIND(".",F2159,6))</f>
        <v>Xmp.crs.</v>
      </c>
      <c r="D2159" s="5" t="str">
        <f>VLOOKUP(C2159,PrefixUebersetzung,2,FALSE)</f>
        <v>Xmp.crs.</v>
      </c>
      <c r="E2159" s="5" t="str">
        <f>MID(F2159,FIND(".",F2159,6)+1,99)</f>
        <v>AutoExposure</v>
      </c>
      <c r="F2159" s="5" t="s">
        <v>1650</v>
      </c>
      <c r="G2159" s="5" t="s">
        <v>9678</v>
      </c>
      <c r="H2159" s="6" t="s">
        <v>3321</v>
      </c>
      <c r="I2159" s="7" t="s">
        <v>4502</v>
      </c>
      <c r="J2159" s="14" t="s">
        <v>5525</v>
      </c>
      <c r="K2159" s="26"/>
      <c r="N2159" s="6"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c>
      <c r="O2159" s="6" t="s">
        <v>8574</v>
      </c>
      <c r="P2159" s="6" t="s">
        <v>8574</v>
      </c>
    </row>
    <row r="2160" spans="1:16" ht="30" x14ac:dyDescent="0.25">
      <c r="A2160" s="5" t="str">
        <f>IF(TRIM(I2160)="","",E2160)</f>
        <v/>
      </c>
      <c r="B2160" s="5" t="str">
        <f>IF(TRIM(J2160)="","",H2160)</f>
        <v/>
      </c>
      <c r="C2160" s="5" t="str">
        <f>LEFT(F2160,FIND(".",F2160,6))</f>
        <v>Xmp.crs.</v>
      </c>
      <c r="D2160" s="5" t="str">
        <f>VLOOKUP(C2160,PrefixUebersetzung,2,FALSE)</f>
        <v>Xmp.crs.</v>
      </c>
      <c r="E2160" s="5" t="str">
        <f>MID(F2160,FIND(".",F2160,6)+1,99)</f>
        <v>AutoLateralCA</v>
      </c>
      <c r="F2160" s="2" t="s">
        <v>8269</v>
      </c>
      <c r="G2160" s="5" t="s">
        <v>9678</v>
      </c>
      <c r="H2160" s="3" t="s">
        <v>8266</v>
      </c>
      <c r="I2160" s="7"/>
      <c r="J2160" s="8"/>
      <c r="K2160" s="26"/>
      <c r="M2160" s="6" t="str">
        <f>IFERROR(VLOOKUP(H2160,B:J,9,FALSE),"")</f>
        <v>Nicht in XMP Spezifikation, in Beispielen gefunden.</v>
      </c>
      <c r="N2160" s="6"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xml:space="preserve">Suffix not translated </v>
      </c>
      <c r="O2160" s="6" t="s">
        <v>8574</v>
      </c>
    </row>
    <row r="2161" spans="1:16" x14ac:dyDescent="0.25">
      <c r="A2161" s="5" t="str">
        <f>IF(TRIM(I2161)="","",E2161)</f>
        <v>AutoShadows</v>
      </c>
      <c r="B2161" s="5" t="str">
        <f>IF(TRIM(J2161)="","",H2161)</f>
        <v>When true,"Shadows" is automatically adjusted.</v>
      </c>
      <c r="C2161" s="5" t="str">
        <f>LEFT(F2161,FIND(".",F2161,6))</f>
        <v>Xmp.crs.</v>
      </c>
      <c r="D2161" s="5" t="str">
        <f>VLOOKUP(C2161,PrefixUebersetzung,2,FALSE)</f>
        <v>Xmp.crs.</v>
      </c>
      <c r="E2161" s="5" t="str">
        <f>MID(F2161,FIND(".",F2161,6)+1,99)</f>
        <v>AutoShadows</v>
      </c>
      <c r="F2161" s="5" t="s">
        <v>1651</v>
      </c>
      <c r="G2161" s="5" t="s">
        <v>9678</v>
      </c>
      <c r="H2161" s="6" t="s">
        <v>3322</v>
      </c>
      <c r="I2161" s="7" t="s">
        <v>4503</v>
      </c>
      <c r="J2161" s="14" t="s">
        <v>5526</v>
      </c>
      <c r="K2161" s="26"/>
      <c r="N2161" s="6"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c r="O2161" s="6" t="s">
        <v>8574</v>
      </c>
      <c r="P2161" s="6" t="s">
        <v>8574</v>
      </c>
    </row>
    <row r="2162" spans="1:16" ht="30" x14ac:dyDescent="0.25">
      <c r="A2162" s="5" t="str">
        <f>IF(TRIM(I2162)="","",E2162)</f>
        <v/>
      </c>
      <c r="B2162" s="5" t="str">
        <f>IF(TRIM(J2162)="","",H2162)</f>
        <v/>
      </c>
      <c r="C2162" s="5" t="str">
        <f>LEFT(F2162,FIND(".",F2162,6))</f>
        <v>Xmp.crs.</v>
      </c>
      <c r="D2162" s="5" t="str">
        <f>VLOOKUP(C2162,PrefixUebersetzung,2,FALSE)</f>
        <v>Xmp.crs.</v>
      </c>
      <c r="E2162" s="5" t="str">
        <f>MID(F2162,FIND(".",F2162,6)+1,99)</f>
        <v>AutoWhiteVersion</v>
      </c>
      <c r="F2162" s="2" t="s">
        <v>8270</v>
      </c>
      <c r="G2162" s="5" t="s">
        <v>9678</v>
      </c>
      <c r="H2162" s="3" t="s">
        <v>8266</v>
      </c>
      <c r="I2162" s="7"/>
      <c r="J2162" s="8"/>
      <c r="K2162" s="26"/>
      <c r="M2162" s="6" t="str">
        <f>IFERROR(VLOOKUP(H2162,B:J,9,FALSE),"")</f>
        <v>Nicht in XMP Spezifikation, in Beispielen gefunden.</v>
      </c>
      <c r="N2162" s="6"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xml:space="preserve">Suffix not translated </v>
      </c>
      <c r="O2162" s="6" t="s">
        <v>8574</v>
      </c>
    </row>
    <row r="2163" spans="1:16" ht="30" x14ac:dyDescent="0.25">
      <c r="A2163" s="5" t="str">
        <f>IF(TRIM(I2163)="","",E2163)</f>
        <v/>
      </c>
      <c r="B2163" s="5" t="str">
        <f>IF(TRIM(J2163)="","",H2163)</f>
        <v/>
      </c>
      <c r="C2163" s="5" t="str">
        <f>LEFT(F2163,FIND(".",F2163,6))</f>
        <v>Xmp.crs.</v>
      </c>
      <c r="D2163" s="5" t="str">
        <f>VLOOKUP(C2163,PrefixUebersetzung,2,FALSE)</f>
        <v>Xmp.crs.</v>
      </c>
      <c r="E2163" s="5" t="str">
        <f>MID(F2163,FIND(".",F2163,6)+1,99)</f>
        <v>Blacks2012</v>
      </c>
      <c r="F2163" s="2" t="s">
        <v>8271</v>
      </c>
      <c r="G2163" s="5" t="s">
        <v>9678</v>
      </c>
      <c r="H2163" s="3" t="s">
        <v>8266</v>
      </c>
      <c r="I2163" s="7"/>
      <c r="J2163" s="8"/>
      <c r="K2163" s="26"/>
      <c r="M2163" s="6" t="str">
        <f>IFERROR(VLOOKUP(H2163,B:J,9,FALSE),"")</f>
        <v>Nicht in XMP Spezifikation, in Beispielen gefunden.</v>
      </c>
      <c r="N2163" s="6"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v>
      </c>
      <c r="O2163" s="6" t="s">
        <v>8574</v>
      </c>
    </row>
    <row r="2164" spans="1:16" x14ac:dyDescent="0.25">
      <c r="A2164" s="5" t="str">
        <f>IF(TRIM(I2164)="","",E2164)</f>
        <v>BlueHue</v>
      </c>
      <c r="B2164" s="5" t="str">
        <f>IF(TRIM(J2164)="","",H2164)</f>
        <v>"Blue Hue" setting. Range -100 to 100.</v>
      </c>
      <c r="C2164" s="5" t="str">
        <f>LEFT(F2164,FIND(".",F2164,6))</f>
        <v>Xmp.crs.</v>
      </c>
      <c r="D2164" s="5" t="str">
        <f>VLOOKUP(C2164,PrefixUebersetzung,2,FALSE)</f>
        <v>Xmp.crs.</v>
      </c>
      <c r="E2164" s="5" t="str">
        <f>MID(F2164,FIND(".",F2164,6)+1,99)</f>
        <v>BlueHue</v>
      </c>
      <c r="F2164" s="5" t="s">
        <v>1652</v>
      </c>
      <c r="G2164" s="5" t="s">
        <v>9678</v>
      </c>
      <c r="H2164" s="6" t="s">
        <v>9688</v>
      </c>
      <c r="I2164" s="7" t="s">
        <v>4504</v>
      </c>
      <c r="J2164" s="14" t="s">
        <v>5527</v>
      </c>
      <c r="K2164" s="26"/>
      <c r="N2164" s="6"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c>
      <c r="O2164" s="6" t="s">
        <v>8574</v>
      </c>
      <c r="P2164" s="6" t="s">
        <v>8574</v>
      </c>
    </row>
    <row r="2165" spans="1:16" x14ac:dyDescent="0.25">
      <c r="A2165" s="5" t="str">
        <f>IF(TRIM(I2165)="","",E2165)</f>
        <v>BlueSaturation</v>
      </c>
      <c r="B2165" s="5" t="str">
        <f>IF(TRIM(J2165)="","",H2165)</f>
        <v>"Blue Saturation" setting. Range -100 to +100.</v>
      </c>
      <c r="C2165" s="5" t="str">
        <f>LEFT(F2165,FIND(".",F2165,6))</f>
        <v>Xmp.crs.</v>
      </c>
      <c r="D2165" s="5" t="str">
        <f>VLOOKUP(C2165,PrefixUebersetzung,2,FALSE)</f>
        <v>Xmp.crs.</v>
      </c>
      <c r="E2165" s="5" t="str">
        <f>MID(F2165,FIND(".",F2165,6)+1,99)</f>
        <v>BlueSaturation</v>
      </c>
      <c r="F2165" s="5" t="s">
        <v>1653</v>
      </c>
      <c r="G2165" s="5" t="s">
        <v>9678</v>
      </c>
      <c r="H2165" s="6" t="s">
        <v>9689</v>
      </c>
      <c r="I2165" s="7" t="s">
        <v>4505</v>
      </c>
      <c r="J2165" s="14" t="s">
        <v>4102</v>
      </c>
      <c r="K2165" s="26"/>
      <c r="N2165" s="6"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c r="O2165" s="6" t="s">
        <v>8574</v>
      </c>
      <c r="P2165" s="6" t="s">
        <v>8574</v>
      </c>
    </row>
    <row r="2166" spans="1:16" ht="30" x14ac:dyDescent="0.25">
      <c r="A2166" s="5" t="str">
        <f>IF(TRIM(I2166)="","",E2166)</f>
        <v/>
      </c>
      <c r="B2166" s="5" t="str">
        <f>IF(TRIM(J2166)="","",H2166)</f>
        <v/>
      </c>
      <c r="C2166" s="5" t="str">
        <f>LEFT(F2166,FIND(".",F2166,6))</f>
        <v>Xmp.crs.</v>
      </c>
      <c r="D2166" s="5" t="str">
        <f>VLOOKUP(C2166,PrefixUebersetzung,2,FALSE)</f>
        <v>Xmp.crs.</v>
      </c>
      <c r="E2166" s="5" t="str">
        <f>MID(F2166,FIND(".",F2166,6)+1,99)</f>
        <v>Bottom</v>
      </c>
      <c r="F2166" s="2" t="s">
        <v>8272</v>
      </c>
      <c r="G2166" s="5" t="s">
        <v>9678</v>
      </c>
      <c r="H2166" s="3" t="s">
        <v>8266</v>
      </c>
      <c r="I2166" s="7"/>
      <c r="J2166" s="8"/>
      <c r="K2166" s="26"/>
      <c r="M2166" s="6" t="str">
        <f>IFERROR(VLOOKUP(H2166,B:J,9,FALSE),"")</f>
        <v>Nicht in XMP Spezifikation, in Beispielen gefunden.</v>
      </c>
      <c r="N2166" s="6"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xml:space="preserve">Suffix not translated </v>
      </c>
      <c r="O2166" s="6" t="s">
        <v>8574</v>
      </c>
    </row>
    <row r="2167" spans="1:16" x14ac:dyDescent="0.25">
      <c r="A2167" s="5" t="str">
        <f>IF(TRIM(I2167)="","",E2167)</f>
        <v/>
      </c>
      <c r="B2167" s="5" t="str">
        <f>IF(TRIM(J2167)="","",H2167)</f>
        <v>"Brightness" setting. Range 0 to +150.</v>
      </c>
      <c r="C2167" s="5" t="str">
        <f>LEFT(F2167,FIND(".",F2167,6))</f>
        <v>Xmp.crs.</v>
      </c>
      <c r="D2167" s="5" t="str">
        <f>VLOOKUP(C2167,PrefixUebersetzung,2,FALSE)</f>
        <v>Xmp.crs.</v>
      </c>
      <c r="E2167" s="5" t="str">
        <f>MID(F2167,FIND(".",F2167,6)+1,99)</f>
        <v>Brightness</v>
      </c>
      <c r="F2167" s="5" t="s">
        <v>1654</v>
      </c>
      <c r="G2167" s="5" t="s">
        <v>9678</v>
      </c>
      <c r="H2167" s="6" t="s">
        <v>9690</v>
      </c>
      <c r="J2167" s="14" t="s">
        <v>5336</v>
      </c>
      <c r="K2167" s="26"/>
      <c r="L2167" s="6" t="str">
        <f>IFERROR(VLOOKUP(E2167,A:I,9, FALSE),"")</f>
        <v>Bildhelligkeit</v>
      </c>
      <c r="N2167" s="6"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c r="P2167" s="6" t="s">
        <v>8574</v>
      </c>
    </row>
    <row r="2168" spans="1:16" x14ac:dyDescent="0.25">
      <c r="A2168" s="5" t="str">
        <f>IF(TRIM(I2168)="","",E2168)</f>
        <v>CameraProfile</v>
      </c>
      <c r="B2168" s="5" t="str">
        <f>IF(TRIM(J2168)="","",H2168)</f>
        <v>"Camera Profile" setting.</v>
      </c>
      <c r="C2168" s="5" t="str">
        <f>LEFT(F2168,FIND(".",F2168,6))</f>
        <v>Xmp.crs.</v>
      </c>
      <c r="D2168" s="5" t="str">
        <f>VLOOKUP(C2168,PrefixUebersetzung,2,FALSE)</f>
        <v>Xmp.crs.</v>
      </c>
      <c r="E2168" s="5" t="str">
        <f>MID(F2168,FIND(".",F2168,6)+1,99)</f>
        <v>CameraProfile</v>
      </c>
      <c r="F2168" s="5" t="s">
        <v>1655</v>
      </c>
      <c r="G2168" s="5" t="s">
        <v>9678</v>
      </c>
      <c r="H2168" s="6" t="s">
        <v>9691</v>
      </c>
      <c r="I2168" s="7" t="s">
        <v>5083</v>
      </c>
      <c r="J2168" s="14" t="s">
        <v>4103</v>
      </c>
      <c r="K2168" s="26"/>
      <c r="N2168" s="6"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c r="O2168" s="6" t="s">
        <v>8574</v>
      </c>
      <c r="P2168" s="6" t="s">
        <v>8574</v>
      </c>
    </row>
    <row r="2169" spans="1:16" ht="30" x14ac:dyDescent="0.25">
      <c r="A2169" s="5" t="str">
        <f>IF(TRIM(I2169)="","",E2169)</f>
        <v/>
      </c>
      <c r="B2169" s="5" t="str">
        <f>IF(TRIM(J2169)="","",H2169)</f>
        <v/>
      </c>
      <c r="C2169" s="5" t="str">
        <f>LEFT(F2169,FIND(".",F2169,6))</f>
        <v>Xmp.crs.</v>
      </c>
      <c r="D2169" s="5" t="str">
        <f>VLOOKUP(C2169,PrefixUebersetzung,2,FALSE)</f>
        <v>Xmp.crs.</v>
      </c>
      <c r="E2169" s="5" t="str">
        <f>MID(F2169,FIND(".",F2169,6)+1,99)</f>
        <v>CameraProfileDigest</v>
      </c>
      <c r="F2169" s="2" t="s">
        <v>8273</v>
      </c>
      <c r="G2169" s="5" t="s">
        <v>9678</v>
      </c>
      <c r="H2169" s="3" t="s">
        <v>8266</v>
      </c>
      <c r="I2169" s="7"/>
      <c r="J2169" s="8"/>
      <c r="K2169" s="26"/>
      <c r="M2169" s="6" t="str">
        <f>IFERROR(VLOOKUP(H2169,B:J,9,FALSE),"")</f>
        <v>Nicht in XMP Spezifikation, in Beispielen gefunden.</v>
      </c>
      <c r="N2169" s="6"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v>
      </c>
      <c r="O2169" s="6" t="s">
        <v>8574</v>
      </c>
    </row>
    <row r="2170" spans="1:16" ht="30" x14ac:dyDescent="0.25">
      <c r="A2170" s="5" t="str">
        <f>IF(TRIM(I2170)="","",E2170)</f>
        <v/>
      </c>
      <c r="B2170" s="5" t="str">
        <f>IF(TRIM(J2170)="","",H2170)</f>
        <v/>
      </c>
      <c r="C2170" s="5" t="str">
        <f>LEFT(F2170,FIND(".",F2170,6))</f>
        <v>Xmp.crs.</v>
      </c>
      <c r="D2170" s="5" t="str">
        <f>VLOOKUP(C2170,PrefixUebersetzung,2,FALSE)</f>
        <v>Xmp.crs.</v>
      </c>
      <c r="E2170" s="5" t="str">
        <f>MID(F2170,FIND(".",F2170,6)+1,99)</f>
        <v>CenterValue</v>
      </c>
      <c r="F2170" s="2" t="s">
        <v>8274</v>
      </c>
      <c r="G2170" s="5" t="s">
        <v>9678</v>
      </c>
      <c r="H2170" s="3" t="s">
        <v>8266</v>
      </c>
      <c r="I2170" s="7"/>
      <c r="J2170" s="8"/>
      <c r="K2170" s="26"/>
      <c r="M2170" s="6" t="str">
        <f>IFERROR(VLOOKUP(H2170,B:J,9,FALSE),"")</f>
        <v>Nicht in XMP Spezifikation, in Beispielen gefunden.</v>
      </c>
      <c r="N2170" s="6"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xml:space="preserve">Suffix not translated </v>
      </c>
      <c r="O2170" s="6" t="s">
        <v>8574</v>
      </c>
    </row>
    <row r="2171" spans="1:16" ht="30" x14ac:dyDescent="0.25">
      <c r="A2171" s="5" t="str">
        <f>IF(TRIM(I2171)="","",E2171)</f>
        <v/>
      </c>
      <c r="B2171" s="5" t="str">
        <f>IF(TRIM(J2171)="","",H2171)</f>
        <v/>
      </c>
      <c r="C2171" s="5" t="str">
        <f>LEFT(F2171,FIND(".",F2171,6))</f>
        <v>Xmp.crs.</v>
      </c>
      <c r="D2171" s="5" t="str">
        <f>VLOOKUP(C2171,PrefixUebersetzung,2,FALSE)</f>
        <v>Xmp.crs.</v>
      </c>
      <c r="E2171" s="5" t="str">
        <f>MID(F2171,FIND(".",F2171,6)+1,99)</f>
        <v>CenterWeight</v>
      </c>
      <c r="F2171" s="2" t="s">
        <v>8275</v>
      </c>
      <c r="G2171" s="5" t="s">
        <v>9678</v>
      </c>
      <c r="H2171" s="3" t="s">
        <v>8266</v>
      </c>
      <c r="I2171" s="7"/>
      <c r="J2171" s="8"/>
      <c r="K2171" s="26"/>
      <c r="M2171" s="6" t="str">
        <f>IFERROR(VLOOKUP(H2171,B:J,9,FALSE),"")</f>
        <v>Nicht in XMP Spezifikation, in Beispielen gefunden.</v>
      </c>
      <c r="N2171" s="6"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xml:space="preserve">Suffix not translated </v>
      </c>
      <c r="O2171" s="6" t="s">
        <v>8574</v>
      </c>
    </row>
    <row r="2172" spans="1:16" ht="30" x14ac:dyDescent="0.25">
      <c r="A2172" s="5" t="str">
        <f>IF(TRIM(I2172)="","",E2172)</f>
        <v>ChromaticAberrationB</v>
      </c>
      <c r="B2172" s="5" t="str">
        <f>IF(TRIM(J2172)="","",H2172)</f>
        <v>"Chromatic Aberration, Fix Blue/Yellow Fringe" setting. Range -100 to +100.</v>
      </c>
      <c r="C2172" s="5" t="str">
        <f>LEFT(F2172,FIND(".",F2172,6))</f>
        <v>Xmp.crs.</v>
      </c>
      <c r="D2172" s="5" t="str">
        <f>VLOOKUP(C2172,PrefixUebersetzung,2,FALSE)</f>
        <v>Xmp.crs.</v>
      </c>
      <c r="E2172" s="5" t="str">
        <f>MID(F2172,FIND(".",F2172,6)+1,99)</f>
        <v>ChromaticAberrationB</v>
      </c>
      <c r="F2172" s="5" t="s">
        <v>1656</v>
      </c>
      <c r="G2172" s="5" t="s">
        <v>9678</v>
      </c>
      <c r="H2172" s="6" t="s">
        <v>9714</v>
      </c>
      <c r="I2172" s="24" t="s">
        <v>4506</v>
      </c>
      <c r="J2172" s="14" t="s">
        <v>5528</v>
      </c>
      <c r="K2172" s="26"/>
      <c r="N2172" s="6"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c>
      <c r="O2172" s="6" t="s">
        <v>8574</v>
      </c>
      <c r="P2172" s="6" t="s">
        <v>8574</v>
      </c>
    </row>
    <row r="2173" spans="1:16" ht="30" x14ac:dyDescent="0.25">
      <c r="A2173" s="5" t="str">
        <f>IF(TRIM(I2173)="","",E2173)</f>
        <v>ChromaticAberrationR</v>
      </c>
      <c r="B2173" s="5" t="str">
        <f>IF(TRIM(J2173)="","",H2173)</f>
        <v>"Chromatic Aberration, Fix Red/Cyan Fringe" setting. Range -100 to +100.</v>
      </c>
      <c r="C2173" s="5" t="str">
        <f>LEFT(F2173,FIND(".",F2173,6))</f>
        <v>Xmp.crs.</v>
      </c>
      <c r="D2173" s="5" t="str">
        <f>VLOOKUP(C2173,PrefixUebersetzung,2,FALSE)</f>
        <v>Xmp.crs.</v>
      </c>
      <c r="E2173" s="5" t="str">
        <f>MID(F2173,FIND(".",F2173,6)+1,99)</f>
        <v>ChromaticAberrationR</v>
      </c>
      <c r="F2173" s="5" t="s">
        <v>1657</v>
      </c>
      <c r="G2173" s="5" t="s">
        <v>9678</v>
      </c>
      <c r="H2173" s="6" t="s">
        <v>9692</v>
      </c>
      <c r="I2173" s="24" t="s">
        <v>4507</v>
      </c>
      <c r="J2173" s="14" t="s">
        <v>5529</v>
      </c>
      <c r="K2173" s="26"/>
      <c r="N2173" s="6"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c r="O2173" s="6" t="s">
        <v>8574</v>
      </c>
      <c r="P2173" s="6" t="s">
        <v>8574</v>
      </c>
    </row>
    <row r="2174" spans="1:16" x14ac:dyDescent="0.25">
      <c r="A2174" s="5" t="str">
        <f>IF(TRIM(I2174)="","",E2174)</f>
        <v/>
      </c>
      <c r="B2174" s="5" t="str">
        <f>IF(TRIM(J2174)="","",H2174)</f>
        <v/>
      </c>
      <c r="C2174" s="5" t="str">
        <f>LEFT(F2174,FIND(".",F2174,6))</f>
        <v>Xmp.crs.</v>
      </c>
      <c r="D2174" s="5" t="str">
        <f>VLOOKUP(C2174,PrefixUebersetzung,2,FALSE)</f>
        <v>Xmp.crs.</v>
      </c>
      <c r="E2174" s="5" t="str">
        <f>MID(F2174,FIND(".",F2174,6)+1,99)</f>
        <v>CircularGradientBasedCorrections</v>
      </c>
      <c r="F2174" s="2" t="s">
        <v>8276</v>
      </c>
      <c r="G2174" s="5" t="s">
        <v>9678</v>
      </c>
      <c r="H2174" s="3" t="s">
        <v>8277</v>
      </c>
      <c r="I2174" s="7"/>
      <c r="K2174" s="26"/>
      <c r="M2174" s="6" t="str">
        <f>IFERROR(VLOOKUP(H2174,B:J,9,FALSE),"")</f>
        <v/>
      </c>
      <c r="N2174" s="6"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6" t="s">
        <v>8574</v>
      </c>
      <c r="P2174" s="6" t="s">
        <v>8574</v>
      </c>
    </row>
    <row r="2175" spans="1:16" ht="30" x14ac:dyDescent="0.25">
      <c r="A2175" s="5" t="str">
        <f>IF(TRIM(I2175)="","",E2175)</f>
        <v/>
      </c>
      <c r="B2175" s="5" t="str">
        <f>IF(TRIM(J2175)="","",H2175)</f>
        <v/>
      </c>
      <c r="C2175" s="5" t="str">
        <f>LEFT(F2175,FIND(".",F2175,6))</f>
        <v>Xmp.crs.</v>
      </c>
      <c r="D2175" s="5" t="str">
        <f>VLOOKUP(C2175,PrefixUebersetzung,2,FALSE)</f>
        <v>Xmp.crs.</v>
      </c>
      <c r="E2175" s="5" t="str">
        <f>MID(F2175,FIND(".",F2175,6)+1,99)</f>
        <v>Clarity</v>
      </c>
      <c r="F2175" s="2" t="s">
        <v>8278</v>
      </c>
      <c r="G2175" s="5" t="s">
        <v>9678</v>
      </c>
      <c r="H2175" s="3" t="s">
        <v>8266</v>
      </c>
      <c r="I2175" s="7"/>
      <c r="J2175" s="8"/>
      <c r="K2175" s="26"/>
      <c r="M2175" s="6" t="str">
        <f>IFERROR(VLOOKUP(H2175,B:J,9,FALSE),"")</f>
        <v>Nicht in XMP Spezifikation, in Beispielen gefunden.</v>
      </c>
      <c r="N2175" s="6"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v>
      </c>
      <c r="O2175" s="6" t="s">
        <v>8574</v>
      </c>
    </row>
    <row r="2176" spans="1:16" ht="30" x14ac:dyDescent="0.25">
      <c r="A2176" s="5" t="str">
        <f>IF(TRIM(I2176)="","",E2176)</f>
        <v/>
      </c>
      <c r="B2176" s="5" t="str">
        <f>IF(TRIM(J2176)="","",H2176)</f>
        <v/>
      </c>
      <c r="C2176" s="5" t="str">
        <f>LEFT(F2176,FIND(".",F2176,6))</f>
        <v>Xmp.crs.</v>
      </c>
      <c r="D2176" s="5" t="str">
        <f>VLOOKUP(C2176,PrefixUebersetzung,2,FALSE)</f>
        <v>Xmp.crs.</v>
      </c>
      <c r="E2176" s="5" t="str">
        <f>MID(F2176,FIND(".",F2176,6)+1,99)</f>
        <v>Clarity2012</v>
      </c>
      <c r="F2176" s="2" t="s">
        <v>8279</v>
      </c>
      <c r="G2176" s="5" t="s">
        <v>9678</v>
      </c>
      <c r="H2176" s="3" t="s">
        <v>8266</v>
      </c>
      <c r="I2176" s="7"/>
      <c r="J2176" s="8"/>
      <c r="K2176" s="26"/>
      <c r="M2176" s="6" t="str">
        <f>IFERROR(VLOOKUP(H2176,B:J,9,FALSE),"")</f>
        <v>Nicht in XMP Spezifikation, in Beispielen gefunden.</v>
      </c>
      <c r="N2176" s="6"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xml:space="preserve">Suffix not translated </v>
      </c>
      <c r="O2176" s="6" t="s">
        <v>8574</v>
      </c>
    </row>
    <row r="2177" spans="1:17" ht="30" x14ac:dyDescent="0.25">
      <c r="A2177" s="5" t="str">
        <f>IF(TRIM(I2177)="","",E2177)</f>
        <v>ColorNoiseReduction</v>
      </c>
      <c r="B2177" s="5" t="str">
        <f>IF(TRIM(J2177)="","",H2177)</f>
        <v>"Color Noise Reduction" setting. Range 0 to +100.</v>
      </c>
      <c r="C2177" s="5" t="str">
        <f>LEFT(F2177,FIND(".",F2177,6))</f>
        <v>Xmp.crs.</v>
      </c>
      <c r="D2177" s="5" t="str">
        <f>VLOOKUP(C2177,PrefixUebersetzung,2,FALSE)</f>
        <v>Xmp.crs.</v>
      </c>
      <c r="E2177" s="5" t="str">
        <f>MID(F2177,FIND(".",F2177,6)+1,99)</f>
        <v>ColorNoiseReduction</v>
      </c>
      <c r="F2177" s="5" t="s">
        <v>1658</v>
      </c>
      <c r="G2177" s="5" t="s">
        <v>9678</v>
      </c>
      <c r="H2177" s="6" t="s">
        <v>9693</v>
      </c>
      <c r="I2177" s="7" t="s">
        <v>4969</v>
      </c>
      <c r="J2177" s="8" t="s">
        <v>6728</v>
      </c>
      <c r="K2177" s="26"/>
      <c r="L2177" s="6" t="str">
        <f>IFERROR(VLOOKUP(E2177,A:I,9, FALSE),"")</f>
        <v>Farbrauschenreduktion</v>
      </c>
      <c r="M2177" s="6" t="str">
        <f>IFERROR(VLOOKUP(H2177,B:J,9,FALSE),"")</f>
        <v>Farbrauschen-Reduktions-Einstellung. Bereich 0-100.</v>
      </c>
      <c r="N2177" s="6"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c>
      <c r="O2177" s="6" t="s">
        <v>8574</v>
      </c>
      <c r="P2177" s="6" t="s">
        <v>8574</v>
      </c>
    </row>
    <row r="2178" spans="1:17" ht="30" x14ac:dyDescent="0.25">
      <c r="A2178" s="5" t="str">
        <f>IF(TRIM(I2178)="","",E2178)</f>
        <v/>
      </c>
      <c r="B2178" s="5" t="str">
        <f>IF(TRIM(J2178)="","",H2178)</f>
        <v/>
      </c>
      <c r="C2178" s="5" t="str">
        <f>LEFT(F2178,FIND(".",F2178,6))</f>
        <v>Xmp.crs.</v>
      </c>
      <c r="D2178" s="5" t="str">
        <f>VLOOKUP(C2178,PrefixUebersetzung,2,FALSE)</f>
        <v>Xmp.crs.</v>
      </c>
      <c r="E2178" s="5" t="str">
        <f>MID(F2178,FIND(".",F2178,6)+1,99)</f>
        <v>ColorNoiseReductionDetail</v>
      </c>
      <c r="F2178" s="2" t="s">
        <v>8280</v>
      </c>
      <c r="G2178" s="5" t="s">
        <v>9678</v>
      </c>
      <c r="H2178" s="3" t="s">
        <v>8266</v>
      </c>
      <c r="I2178" s="7"/>
      <c r="J2178" s="8"/>
      <c r="K2178" s="26"/>
      <c r="M2178" s="6" t="str">
        <f>IFERROR(VLOOKUP(H2178,B:J,9,FALSE),"")</f>
        <v>Nicht in XMP Spezifikation, in Beispielen gefunden.</v>
      </c>
      <c r="N2178" s="6"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xml:space="preserve">Suffix not translated </v>
      </c>
      <c r="O2178" s="6" t="s">
        <v>8574</v>
      </c>
    </row>
    <row r="2179" spans="1:17" ht="30" x14ac:dyDescent="0.25">
      <c r="A2179" s="5" t="str">
        <f>IF(TRIM(I2179)="","",E2179)</f>
        <v/>
      </c>
      <c r="B2179" s="5" t="str">
        <f>IF(TRIM(J2179)="","",H2179)</f>
        <v/>
      </c>
      <c r="C2179" s="5" t="str">
        <f>LEFT(F2179,FIND(".",F2179,6))</f>
        <v>Xmp.crs.</v>
      </c>
      <c r="D2179" s="5" t="str">
        <f>VLOOKUP(C2179,PrefixUebersetzung,2,FALSE)</f>
        <v>Xmp.crs.</v>
      </c>
      <c r="E2179" s="5" t="str">
        <f>MID(F2179,FIND(".",F2179,6)+1,99)</f>
        <v>ColorNoiseReductionSmoothness</v>
      </c>
      <c r="F2179" s="2" t="s">
        <v>8281</v>
      </c>
      <c r="G2179" s="5" t="s">
        <v>9678</v>
      </c>
      <c r="H2179" s="3" t="s">
        <v>8266</v>
      </c>
      <c r="I2179" s="7"/>
      <c r="J2179" s="8"/>
      <c r="K2179" s="26"/>
      <c r="M2179" s="6" t="str">
        <f>IFERROR(VLOOKUP(H2179,B:J,9,FALSE),"")</f>
        <v>Nicht in XMP Spezifikation, in Beispielen gefunden.</v>
      </c>
      <c r="N2179" s="6"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xml:space="preserve">Suffix not translated </v>
      </c>
      <c r="O2179" s="6" t="s">
        <v>8574</v>
      </c>
    </row>
    <row r="2180" spans="1:17" x14ac:dyDescent="0.25">
      <c r="A2180" s="5" t="str">
        <f>IF(TRIM(I2180)="","",E2180)</f>
        <v/>
      </c>
      <c r="B2180" s="5" t="str">
        <f>IF(TRIM(J2180)="","",H2180)</f>
        <v>"Contrast" setting. Range -50 to +100.</v>
      </c>
      <c r="C2180" s="5" t="str">
        <f>LEFT(F2180,FIND(".",F2180,6))</f>
        <v>Xmp.crs.</v>
      </c>
      <c r="D2180" s="5" t="str">
        <f>VLOOKUP(C2180,PrefixUebersetzung,2,FALSE)</f>
        <v>Xmp.crs.</v>
      </c>
      <c r="E2180" s="5" t="str">
        <f>MID(F2180,FIND(".",F2180,6)+1,99)</f>
        <v>Contrast</v>
      </c>
      <c r="F2180" s="5" t="s">
        <v>1659</v>
      </c>
      <c r="G2180" s="5" t="s">
        <v>9678</v>
      </c>
      <c r="H2180" s="6" t="s">
        <v>9694</v>
      </c>
      <c r="J2180" s="14" t="s">
        <v>5341</v>
      </c>
      <c r="K2180" s="26"/>
      <c r="L2180" s="6" t="str">
        <f>IFERROR(VLOOKUP(E2180,A:I,9, FALSE),"")</f>
        <v>Kontrast</v>
      </c>
      <c r="N2180" s="6"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c r="P2180" s="6" t="s">
        <v>8574</v>
      </c>
    </row>
    <row r="2181" spans="1:17" ht="30" x14ac:dyDescent="0.25">
      <c r="A2181" s="5" t="str">
        <f>IF(TRIM(I2181)="","",E2181)</f>
        <v/>
      </c>
      <c r="B2181" s="5" t="str">
        <f>IF(TRIM(J2181)="","",H2181)</f>
        <v/>
      </c>
      <c r="C2181" s="5" t="str">
        <f>LEFT(F2181,FIND(".",F2181,6))</f>
        <v>Xmp.crs.</v>
      </c>
      <c r="D2181" s="5" t="str">
        <f>VLOOKUP(C2181,PrefixUebersetzung,2,FALSE)</f>
        <v>Xmp.crs.</v>
      </c>
      <c r="E2181" s="5" t="str">
        <f>MID(F2181,FIND(".",F2181,6)+1,99)</f>
        <v>Contrast2012</v>
      </c>
      <c r="F2181" s="2" t="s">
        <v>8282</v>
      </c>
      <c r="G2181" s="5" t="s">
        <v>9678</v>
      </c>
      <c r="H2181" s="3" t="s">
        <v>8266</v>
      </c>
      <c r="I2181" s="7"/>
      <c r="J2181" s="8"/>
      <c r="K2181" s="26"/>
      <c r="M2181" s="6" t="str">
        <f>IFERROR(VLOOKUP(H2181,B:J,9,FALSE),"")</f>
        <v>Nicht in XMP Spezifikation, in Beispielen gefunden.</v>
      </c>
      <c r="N2181" s="6"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xml:space="preserve">Suffix not translated </v>
      </c>
      <c r="O2181" s="6" t="s">
        <v>8574</v>
      </c>
    </row>
    <row r="2182" spans="1:17" ht="30" x14ac:dyDescent="0.25">
      <c r="A2182" s="5" t="str">
        <f>IF(TRIM(I2182)="","",E2182)</f>
        <v/>
      </c>
      <c r="B2182" s="5" t="str">
        <f>IF(TRIM(J2182)="","",H2182)</f>
        <v/>
      </c>
      <c r="C2182" s="5" t="str">
        <f>LEFT(F2182,FIND(".",F2182,6))</f>
        <v>Xmp.crs.</v>
      </c>
      <c r="D2182" s="5" t="str">
        <f>VLOOKUP(C2182,PrefixUebersetzung,2,FALSE)</f>
        <v>Xmp.crs.</v>
      </c>
      <c r="E2182" s="5" t="str">
        <f>MID(F2182,FIND(".",F2182,6)+1,99)</f>
        <v>Converter</v>
      </c>
      <c r="F2182" s="2" t="s">
        <v>8283</v>
      </c>
      <c r="G2182" s="5" t="s">
        <v>9678</v>
      </c>
      <c r="H2182" s="3" t="s">
        <v>8266</v>
      </c>
      <c r="I2182" s="7"/>
      <c r="J2182" s="8"/>
      <c r="K2182" s="26"/>
      <c r="M2182" s="6" t="str">
        <f>IFERROR(VLOOKUP(H2182,B:J,9,FALSE),"")</f>
        <v>Nicht in XMP Spezifikation, in Beispielen gefunden.</v>
      </c>
      <c r="N2182" s="6"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v>
      </c>
      <c r="O2182" s="6" t="s">
        <v>8574</v>
      </c>
    </row>
    <row r="2183" spans="1:17" ht="30" x14ac:dyDescent="0.25">
      <c r="A2183" s="5" t="str">
        <f>IF(TRIM(I2183)="","",E2183)</f>
        <v/>
      </c>
      <c r="B2183" s="5" t="str">
        <f>IF(TRIM(J2183)="","",H2183)</f>
        <v/>
      </c>
      <c r="C2183" s="5" t="str">
        <f>LEFT(F2183,FIND(".",F2183,6))</f>
        <v>Xmp.crs.</v>
      </c>
      <c r="D2183" s="5" t="str">
        <f>VLOOKUP(C2183,PrefixUebersetzung,2,FALSE)</f>
        <v>Xmp.crs.</v>
      </c>
      <c r="E2183" s="5" t="str">
        <f>MID(F2183,FIND(".",F2183,6)+1,99)</f>
        <v>ConvertToGrayscale</v>
      </c>
      <c r="F2183" s="2" t="s">
        <v>8284</v>
      </c>
      <c r="G2183" s="5" t="s">
        <v>9678</v>
      </c>
      <c r="H2183" s="3" t="s">
        <v>8266</v>
      </c>
      <c r="I2183" s="7"/>
      <c r="J2183" s="8"/>
      <c r="K2183" s="26"/>
      <c r="M2183" s="6" t="str">
        <f>IFERROR(VLOOKUP(H2183,B:J,9,FALSE),"")</f>
        <v>Nicht in XMP Spezifikation, in Beispielen gefunden.</v>
      </c>
      <c r="N2183" s="6"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v>
      </c>
      <c r="O2183" s="6" t="s">
        <v>8574</v>
      </c>
    </row>
    <row r="2184" spans="1:17" x14ac:dyDescent="0.25">
      <c r="A2184" s="5" t="str">
        <f>IF(TRIM(I2184)="","",E2184)</f>
        <v/>
      </c>
      <c r="B2184" s="5" t="str">
        <f>IF(TRIM(J2184)="","",H2184)</f>
        <v/>
      </c>
      <c r="C2184" s="5" t="str">
        <f>LEFT(F2184,FIND(".",F2184,6))</f>
        <v>Xmp.crs.</v>
      </c>
      <c r="D2184" s="5" t="str">
        <f>VLOOKUP(C2184,PrefixUebersetzung,2,FALSE)</f>
        <v>Xmp.crs.</v>
      </c>
      <c r="E2184" s="5" t="str">
        <f>MID(F2184,FIND(".",F2184,6)+1,99)</f>
        <v>CorrectionMasks</v>
      </c>
      <c r="F2184" s="2" t="s">
        <v>8285</v>
      </c>
      <c r="G2184" s="5" t="s">
        <v>9678</v>
      </c>
      <c r="H2184" s="3" t="s">
        <v>8286</v>
      </c>
      <c r="I2184" s="7"/>
      <c r="K2184" s="26"/>
      <c r="N2184" s="6"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xml:space="preserve">Suffix not translated Description not translated </v>
      </c>
      <c r="O2184" s="6" t="s">
        <v>8574</v>
      </c>
      <c r="P2184" s="6" t="s">
        <v>8574</v>
      </c>
    </row>
    <row r="2185" spans="1:17" ht="30" x14ac:dyDescent="0.25">
      <c r="A2185" s="5" t="str">
        <f>IF(TRIM(I2185)="","",E2185)</f>
        <v>CropAngle</v>
      </c>
      <c r="B2185" s="5" t="str">
        <f>IF(TRIM(J2185)="","",H2185)</f>
        <v>When "Has Crop" is true, angle of crop rectangle.</v>
      </c>
      <c r="C2185" s="5" t="str">
        <f>LEFT(F2185,FIND(".",F2185,6))</f>
        <v>Xmp.crs.</v>
      </c>
      <c r="D2185" s="5" t="str">
        <f>VLOOKUP(C2185,PrefixUebersetzung,2,FALSE)</f>
        <v>Xmp.crs.</v>
      </c>
      <c r="E2185" s="5" t="str">
        <f>MID(F2185,FIND(".",F2185,6)+1,99)</f>
        <v>CropAngle</v>
      </c>
      <c r="F2185" s="5" t="s">
        <v>1660</v>
      </c>
      <c r="G2185" s="5" t="s">
        <v>9678</v>
      </c>
      <c r="H2185" s="6" t="s">
        <v>3323</v>
      </c>
      <c r="I2185" s="7" t="s">
        <v>4508</v>
      </c>
      <c r="J2185" s="14" t="s">
        <v>5530</v>
      </c>
      <c r="K2185" s="26"/>
      <c r="N2185" s="6"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c r="O2185" s="6" t="s">
        <v>8574</v>
      </c>
      <c r="P2185" s="6" t="s">
        <v>8574</v>
      </c>
    </row>
    <row r="2186" spans="1:17" ht="30" x14ac:dyDescent="0.25">
      <c r="A2186" s="5" t="str">
        <f>IF(TRIM(I2186)="","",E2186)</f>
        <v>CropBottom</v>
      </c>
      <c r="B2186" s="5" t="str">
        <f>IF(TRIM(J2186)="","",H2186)</f>
        <v>When "Has Crop" is true, bottom of crop rectangle.</v>
      </c>
      <c r="C2186" s="5" t="str">
        <f>LEFT(F2186,FIND(".",F2186,6))</f>
        <v>Xmp.crs.</v>
      </c>
      <c r="D2186" s="5" t="str">
        <f>VLOOKUP(C2186,PrefixUebersetzung,2,FALSE)</f>
        <v>Xmp.crs.</v>
      </c>
      <c r="E2186" s="5" t="str">
        <f>MID(F2186,FIND(".",F2186,6)+1,99)</f>
        <v>CropBottom</v>
      </c>
      <c r="F2186" s="5" t="s">
        <v>1661</v>
      </c>
      <c r="G2186" s="5" t="s">
        <v>9678</v>
      </c>
      <c r="H2186" s="6" t="s">
        <v>3324</v>
      </c>
      <c r="I2186" s="7" t="s">
        <v>4509</v>
      </c>
      <c r="J2186" s="14" t="s">
        <v>6677</v>
      </c>
      <c r="K2186" s="26"/>
      <c r="L2186" s="6" t="str">
        <f>IFERROR(VLOOKUP(E2186,A:I,9, FALSE),"")</f>
        <v>Crop unten</v>
      </c>
      <c r="N2186" s="6"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c r="O2186" s="6" t="s">
        <v>8574</v>
      </c>
      <c r="P2186" s="6" t="s">
        <v>8574</v>
      </c>
    </row>
    <row r="2187" spans="1:17" ht="30" x14ac:dyDescent="0.25">
      <c r="A2187" s="5" t="str">
        <f>IF(TRIM(I2187)="","",E2187)</f>
        <v/>
      </c>
      <c r="B2187" s="5" t="str">
        <f>IF(TRIM(J2187)="","",H2187)</f>
        <v/>
      </c>
      <c r="C2187" s="5" t="str">
        <f>LEFT(F2187,FIND(".",F2187,6))</f>
        <v>Xmp.crs.</v>
      </c>
      <c r="D2187" s="5" t="str">
        <f>VLOOKUP(C2187,PrefixUebersetzung,2,FALSE)</f>
        <v>Xmp.crs.</v>
      </c>
      <c r="E2187" s="5" t="str">
        <f>MID(F2187,FIND(".",F2187,6)+1,99)</f>
        <v>CropConstrainToWarp</v>
      </c>
      <c r="F2187" s="2" t="s">
        <v>8287</v>
      </c>
      <c r="G2187" s="5" t="s">
        <v>9678</v>
      </c>
      <c r="H2187" s="3" t="s">
        <v>8266</v>
      </c>
      <c r="I2187" s="7"/>
      <c r="J2187" s="8"/>
      <c r="K2187" s="26"/>
      <c r="M2187" s="6" t="str">
        <f>IFERROR(VLOOKUP(H2187,B:J,9,FALSE),"")</f>
        <v>Nicht in XMP Spezifikation, in Beispielen gefunden.</v>
      </c>
      <c r="N2187" s="6"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xml:space="preserve">Suffix not translated </v>
      </c>
      <c r="O2187" s="6" t="s">
        <v>8574</v>
      </c>
    </row>
    <row r="2188" spans="1:17" ht="30" x14ac:dyDescent="0.25">
      <c r="A2188" s="5" t="str">
        <f>IF(TRIM(I2188)="","",E2188)</f>
        <v/>
      </c>
      <c r="B2188" s="5" t="str">
        <f>IF(TRIM(J2188)="","",H2188)</f>
        <v>Height of resulting cropped image in CropUnits units.</v>
      </c>
      <c r="C2188" s="5" t="str">
        <f>LEFT(F2188,FIND(".",F2188,6))</f>
        <v>Xmp.crs.</v>
      </c>
      <c r="D2188" s="5" t="str">
        <f>VLOOKUP(C2188,PrefixUebersetzung,2,FALSE)</f>
        <v>Xmp.crs.</v>
      </c>
      <c r="E2188" s="5" t="str">
        <f>MID(F2188,FIND(".",F2188,6)+1,99)</f>
        <v>CropHeight</v>
      </c>
      <c r="F2188" s="5" t="s">
        <v>1662</v>
      </c>
      <c r="G2188" s="5" t="s">
        <v>9678</v>
      </c>
      <c r="H2188" s="6" t="s">
        <v>3325</v>
      </c>
      <c r="I2188" s="7"/>
      <c r="J2188" s="14" t="s">
        <v>5337</v>
      </c>
      <c r="K2188" s="26"/>
      <c r="L2188" s="6" t="str">
        <f>IFERROR(VLOOKUP(E2188,A:I,9, FALSE),"")</f>
        <v>Crop Höhe</v>
      </c>
      <c r="N2188" s="6"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c r="P2188" s="6" t="s">
        <v>8574</v>
      </c>
      <c r="Q2188" s="6" t="s">
        <v>9340</v>
      </c>
    </row>
    <row r="2189" spans="1:17" ht="30" x14ac:dyDescent="0.25">
      <c r="A2189" s="5" t="str">
        <f>IF(TRIM(I2189)="","",E2189)</f>
        <v/>
      </c>
      <c r="B2189" s="5" t="str">
        <f>IF(TRIM(J2189)="","",H2189)</f>
        <v>When "Has Crop" is true, left of crop rectangle.</v>
      </c>
      <c r="C2189" s="5" t="str">
        <f>LEFT(F2189,FIND(".",F2189,6))</f>
        <v>Xmp.crs.</v>
      </c>
      <c r="D2189" s="5" t="str">
        <f>VLOOKUP(C2189,PrefixUebersetzung,2,FALSE)</f>
        <v>Xmp.crs.</v>
      </c>
      <c r="E2189" s="5" t="str">
        <f>MID(F2189,FIND(".",F2189,6)+1,99)</f>
        <v>CropLeft</v>
      </c>
      <c r="F2189" s="5" t="s">
        <v>1663</v>
      </c>
      <c r="G2189" s="5" t="s">
        <v>9678</v>
      </c>
      <c r="H2189" s="6" t="s">
        <v>3326</v>
      </c>
      <c r="I2189" s="7"/>
      <c r="J2189" s="14" t="s">
        <v>5338</v>
      </c>
      <c r="K2189" s="26"/>
      <c r="L2189" s="6" t="str">
        <f>IFERROR(VLOOKUP(E2189,A:I,9, FALSE),"")</f>
        <v>Crop links</v>
      </c>
      <c r="N2189" s="6"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P2189" s="6" t="s">
        <v>8574</v>
      </c>
    </row>
    <row r="2190" spans="1:17" ht="30" x14ac:dyDescent="0.25">
      <c r="A2190" s="5" t="str">
        <f>IF(TRIM(I2190)="","",E2190)</f>
        <v>CropRight</v>
      </c>
      <c r="B2190" s="5" t="str">
        <f>IF(TRIM(J2190)="","",H2190)</f>
        <v>When "Has Crop" is true, right of crop rectangle.</v>
      </c>
      <c r="C2190" s="5" t="str">
        <f>LEFT(F2190,FIND(".",F2190,6))</f>
        <v>Xmp.crs.</v>
      </c>
      <c r="D2190" s="5" t="str">
        <f>VLOOKUP(C2190,PrefixUebersetzung,2,FALSE)</f>
        <v>Xmp.crs.</v>
      </c>
      <c r="E2190" s="5" t="str">
        <f>MID(F2190,FIND(".",F2190,6)+1,99)</f>
        <v>CropRight</v>
      </c>
      <c r="F2190" s="5" t="s">
        <v>1664</v>
      </c>
      <c r="G2190" s="5" t="s">
        <v>9678</v>
      </c>
      <c r="H2190" s="6" t="s">
        <v>3327</v>
      </c>
      <c r="I2190" s="7" t="s">
        <v>4510</v>
      </c>
      <c r="J2190" s="14" t="s">
        <v>5531</v>
      </c>
      <c r="K2190" s="26"/>
      <c r="L2190" s="6" t="str">
        <f>IFERROR(VLOOKUP(E2190,A:I,9, FALSE),"")</f>
        <v>Crop rechts</v>
      </c>
      <c r="N2190" s="6"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c>
      <c r="O2190" s="6" t="s">
        <v>8574</v>
      </c>
      <c r="P2190" s="6" t="s">
        <v>8574</v>
      </c>
    </row>
    <row r="2191" spans="1:17" ht="30" x14ac:dyDescent="0.25">
      <c r="A2191" s="5" t="str">
        <f>IF(TRIM(I2191)="","",E2191)</f>
        <v/>
      </c>
      <c r="B2191" s="5" t="str">
        <f>IF(TRIM(J2191)="","",H2191)</f>
        <v>When "Has Crop" is true, top of crop rectangle</v>
      </c>
      <c r="C2191" s="5" t="str">
        <f>LEFT(F2191,FIND(".",F2191,6))</f>
        <v>Xmp.crs.</v>
      </c>
      <c r="D2191" s="5" t="str">
        <f>VLOOKUP(C2191,PrefixUebersetzung,2,FALSE)</f>
        <v>Xmp.crs.</v>
      </c>
      <c r="E2191" s="5" t="str">
        <f>MID(F2191,FIND(".",F2191,6)+1,99)</f>
        <v>CropTop</v>
      </c>
      <c r="F2191" s="5" t="s">
        <v>1665</v>
      </c>
      <c r="G2191" s="5" t="s">
        <v>9678</v>
      </c>
      <c r="H2191" s="6" t="s">
        <v>3328</v>
      </c>
      <c r="I2191" s="7"/>
      <c r="J2191" s="14" t="s">
        <v>5339</v>
      </c>
      <c r="K2191" s="26"/>
      <c r="L2191" s="6" t="str">
        <f>IFERROR(VLOOKUP(E2191,A:I,9, FALSE),"")</f>
        <v>Crop oben</v>
      </c>
      <c r="N2191" s="6"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c r="P2191" s="6" t="s">
        <v>8574</v>
      </c>
    </row>
    <row r="2192" spans="1:17" ht="30" x14ac:dyDescent="0.25">
      <c r="A2192" s="5" t="str">
        <f>IF(TRIM(I2192)="","",E2192)</f>
        <v/>
      </c>
      <c r="B2192" s="5" t="str">
        <f>IF(TRIM(J2192)="","",H2192)</f>
        <v/>
      </c>
      <c r="C2192" s="5" t="str">
        <f>LEFT(F2192,FIND(".",F2192,6))</f>
        <v>Xmp.crs.</v>
      </c>
      <c r="D2192" s="5" t="str">
        <f>VLOOKUP(C2192,PrefixUebersetzung,2,FALSE)</f>
        <v>Xmp.crs.</v>
      </c>
      <c r="E2192" s="5" t="str">
        <f>MID(F2192,FIND(".",F2192,6)+1,99)</f>
        <v>CropUnit</v>
      </c>
      <c r="F2192" s="2" t="s">
        <v>8288</v>
      </c>
      <c r="G2192" s="5" t="s">
        <v>9678</v>
      </c>
      <c r="H2192" s="3" t="s">
        <v>8266</v>
      </c>
      <c r="I2192" s="7"/>
      <c r="J2192" s="8"/>
      <c r="K2192" s="26"/>
      <c r="M2192" s="6" t="str">
        <f>IFERROR(VLOOKUP(H2192,B:J,9,FALSE),"")</f>
        <v>Nicht in XMP Spezifikation, in Beispielen gefunden.</v>
      </c>
      <c r="N2192" s="6"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v>
      </c>
      <c r="O2192" s="6" t="s">
        <v>8574</v>
      </c>
    </row>
    <row r="2193" spans="1:17" ht="30" x14ac:dyDescent="0.25">
      <c r="A2193" s="5" t="str">
        <f>IF(TRIM(I2193)="","",E2193)</f>
        <v>CropUnits</v>
      </c>
      <c r="B2193" s="5" t="str">
        <f>IF(TRIM(J2193)="","",H2193)</f>
        <v>Units for CropWidth and CropHeight. 0=pixels, 1=inches, 2=cm</v>
      </c>
      <c r="C2193" s="5" t="str">
        <f>LEFT(F2193,FIND(".",F2193,6))</f>
        <v>Xmp.crs.</v>
      </c>
      <c r="D2193" s="5" t="str">
        <f>VLOOKUP(C2193,PrefixUebersetzung,2,FALSE)</f>
        <v>Xmp.crs.</v>
      </c>
      <c r="E2193" s="5" t="str">
        <f>MID(F2193,FIND(".",F2193,6)+1,99)</f>
        <v>CropUnits</v>
      </c>
      <c r="F2193" s="5" t="s">
        <v>4674</v>
      </c>
      <c r="G2193" s="5" t="s">
        <v>9678</v>
      </c>
      <c r="H2193" s="6" t="s">
        <v>3329</v>
      </c>
      <c r="I2193" s="7" t="s">
        <v>4511</v>
      </c>
      <c r="J2193" s="14" t="s">
        <v>4104</v>
      </c>
      <c r="K2193" s="26"/>
      <c r="N2193" s="6"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c r="O2193" s="6" t="s">
        <v>8574</v>
      </c>
      <c r="P2193" s="6" t="s">
        <v>8574</v>
      </c>
    </row>
    <row r="2194" spans="1:17" ht="30" x14ac:dyDescent="0.25">
      <c r="A2194" s="5" t="str">
        <f>IF(TRIM(I2194)="","",E2194)</f>
        <v/>
      </c>
      <c r="B2194" s="5" t="str">
        <f>IF(TRIM(J2194)="","",H2194)</f>
        <v>Width of resulting cropped image in CropUnits units.</v>
      </c>
      <c r="C2194" s="5" t="str">
        <f>LEFT(F2194,FIND(".",F2194,6))</f>
        <v>Xmp.crs.</v>
      </c>
      <c r="D2194" s="5" t="str">
        <f>VLOOKUP(C2194,PrefixUebersetzung,2,FALSE)</f>
        <v>Xmp.crs.</v>
      </c>
      <c r="E2194" s="5" t="str">
        <f>MID(F2194,FIND(".",F2194,6)+1,99)</f>
        <v>CropWidth</v>
      </c>
      <c r="F2194" s="5" t="s">
        <v>1666</v>
      </c>
      <c r="G2194" s="5" t="s">
        <v>9678</v>
      </c>
      <c r="H2194" s="6" t="s">
        <v>3330</v>
      </c>
      <c r="I2194" s="7"/>
      <c r="J2194" s="14" t="s">
        <v>5340</v>
      </c>
      <c r="K2194" s="26"/>
      <c r="L2194" s="6" t="str">
        <f>IFERROR(VLOOKUP(E2194,A:I,9, FALSE),"")</f>
        <v>Crop Breite</v>
      </c>
      <c r="N2194" s="6"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P2194" s="6" t="s">
        <v>8574</v>
      </c>
      <c r="Q2194" s="6" t="s">
        <v>9565</v>
      </c>
    </row>
    <row r="2195" spans="1:17" x14ac:dyDescent="0.25">
      <c r="A2195" s="5" t="str">
        <f>IF(TRIM(I2195)="","",E2195)</f>
        <v/>
      </c>
      <c r="B2195" s="5" t="str">
        <f>IF(TRIM(J2195)="","",H2195)</f>
        <v>Array of points (Integer, Integer).</v>
      </c>
      <c r="C2195" s="5" t="str">
        <f>LEFT(F2195,FIND(".",F2195,6))</f>
        <v>Xmp.crs.</v>
      </c>
      <c r="D2195" s="5" t="str">
        <f>VLOOKUP(C2195,PrefixUebersetzung,2,FALSE)</f>
        <v>Xmp.crs.</v>
      </c>
      <c r="E2195" s="5" t="str">
        <f>MID(F2195,FIND(".",F2195,6)+1,99)</f>
        <v>Dabs</v>
      </c>
      <c r="F2195" s="2" t="s">
        <v>8289</v>
      </c>
      <c r="G2195" s="5" t="s">
        <v>9678</v>
      </c>
      <c r="H2195" s="3" t="s">
        <v>8290</v>
      </c>
      <c r="I2195" s="7"/>
      <c r="J2195" s="8" t="s">
        <v>8797</v>
      </c>
      <c r="K2195" s="26"/>
      <c r="N2195" s="6"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v>
      </c>
      <c r="O2195" s="6" t="s">
        <v>8574</v>
      </c>
      <c r="P2195" s="6" t="s">
        <v>8574</v>
      </c>
    </row>
    <row r="2196" spans="1:17" ht="30" x14ac:dyDescent="0.25">
      <c r="A2196" s="5" t="str">
        <f>IF(TRIM(I2196)="","",E2196)</f>
        <v/>
      </c>
      <c r="B2196" s="5" t="str">
        <f>IF(TRIM(J2196)="","",H2196)</f>
        <v/>
      </c>
      <c r="C2196" s="5" t="str">
        <f>LEFT(F2196,FIND(".",F2196,6))</f>
        <v>Xmp.crs.</v>
      </c>
      <c r="D2196" s="5" t="str">
        <f>VLOOKUP(C2196,PrefixUebersetzung,2,FALSE)</f>
        <v>Xmp.crs.</v>
      </c>
      <c r="E2196" s="5" t="str">
        <f>MID(F2196,FIND(".",F2196,6)+1,99)</f>
        <v>DefaultAutoGray</v>
      </c>
      <c r="F2196" s="2" t="s">
        <v>8291</v>
      </c>
      <c r="G2196" s="5" t="s">
        <v>9678</v>
      </c>
      <c r="H2196" s="3" t="s">
        <v>8266</v>
      </c>
      <c r="I2196" s="7"/>
      <c r="J2196" s="8"/>
      <c r="K2196" s="26"/>
      <c r="M2196" s="6" t="str">
        <f>IFERROR(VLOOKUP(H2196,B:J,9,FALSE),"")</f>
        <v>Nicht in XMP Spezifikation, in Beispielen gefunden.</v>
      </c>
      <c r="N2196" s="6"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xml:space="preserve">Suffix not translated </v>
      </c>
      <c r="O2196" s="6" t="s">
        <v>8574</v>
      </c>
    </row>
    <row r="2197" spans="1:17" ht="30" x14ac:dyDescent="0.25">
      <c r="A2197" s="5" t="str">
        <f>IF(TRIM(I2197)="","",E2197)</f>
        <v/>
      </c>
      <c r="B2197" s="5" t="str">
        <f>IF(TRIM(J2197)="","",H2197)</f>
        <v/>
      </c>
      <c r="C2197" s="5" t="str">
        <f>LEFT(F2197,FIND(".",F2197,6))</f>
        <v>Xmp.crs.</v>
      </c>
      <c r="D2197" s="5" t="str">
        <f>VLOOKUP(C2197,PrefixUebersetzung,2,FALSE)</f>
        <v>Xmp.crs.</v>
      </c>
      <c r="E2197" s="5" t="str">
        <f>MID(F2197,FIND(".",F2197,6)+1,99)</f>
        <v>DefaultAutoTone</v>
      </c>
      <c r="F2197" s="2" t="s">
        <v>8292</v>
      </c>
      <c r="G2197" s="5" t="s">
        <v>9678</v>
      </c>
      <c r="H2197" s="3" t="s">
        <v>8266</v>
      </c>
      <c r="I2197" s="7"/>
      <c r="J2197" s="8"/>
      <c r="K2197" s="26"/>
      <c r="M2197" s="6" t="str">
        <f>IFERROR(VLOOKUP(H2197,B:J,9,FALSE),"")</f>
        <v>Nicht in XMP Spezifikation, in Beispielen gefunden.</v>
      </c>
      <c r="N2197" s="6"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v>
      </c>
      <c r="O2197" s="6" t="s">
        <v>8574</v>
      </c>
    </row>
    <row r="2198" spans="1:17" ht="30" x14ac:dyDescent="0.25">
      <c r="A2198" s="5" t="str">
        <f>IF(TRIM(I2198)="","",E2198)</f>
        <v/>
      </c>
      <c r="B2198" s="5" t="str">
        <f>IF(TRIM(J2198)="","",H2198)</f>
        <v/>
      </c>
      <c r="C2198" s="5" t="str">
        <f>LEFT(F2198,FIND(".",F2198,6))</f>
        <v>Xmp.crs.</v>
      </c>
      <c r="D2198" s="5" t="str">
        <f>VLOOKUP(C2198,PrefixUebersetzung,2,FALSE)</f>
        <v>Xmp.crs.</v>
      </c>
      <c r="E2198" s="5" t="str">
        <f>MID(F2198,FIND(".",F2198,6)+1,99)</f>
        <v>DefaultsSpecificToISO</v>
      </c>
      <c r="F2198" s="2" t="s">
        <v>8293</v>
      </c>
      <c r="G2198" s="5" t="s">
        <v>9678</v>
      </c>
      <c r="H2198" s="3" t="s">
        <v>8266</v>
      </c>
      <c r="I2198" s="7"/>
      <c r="J2198" s="8"/>
      <c r="K2198" s="26"/>
      <c r="M2198" s="6" t="str">
        <f>IFERROR(VLOOKUP(H2198,B:J,9,FALSE),"")</f>
        <v>Nicht in XMP Spezifikation, in Beispielen gefunden.</v>
      </c>
      <c r="N2198" s="6"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xml:space="preserve">Suffix not translated </v>
      </c>
      <c r="O2198" s="6" t="s">
        <v>8574</v>
      </c>
    </row>
    <row r="2199" spans="1:17" ht="30" x14ac:dyDescent="0.25">
      <c r="A2199" s="5" t="str">
        <f>IF(TRIM(I2199)="","",E2199)</f>
        <v/>
      </c>
      <c r="B2199" s="5" t="str">
        <f>IF(TRIM(J2199)="","",H2199)</f>
        <v/>
      </c>
      <c r="C2199" s="5" t="str">
        <f>LEFT(F2199,FIND(".",F2199,6))</f>
        <v>Xmp.crs.</v>
      </c>
      <c r="D2199" s="5" t="str">
        <f>VLOOKUP(C2199,PrefixUebersetzung,2,FALSE)</f>
        <v>Xmp.crs.</v>
      </c>
      <c r="E2199" s="5" t="str">
        <f>MID(F2199,FIND(".",F2199,6)+1,99)</f>
        <v>DefaultsSpecificToSerial</v>
      </c>
      <c r="F2199" s="2" t="s">
        <v>8294</v>
      </c>
      <c r="G2199" s="5" t="s">
        <v>9678</v>
      </c>
      <c r="H2199" s="3" t="s">
        <v>8266</v>
      </c>
      <c r="I2199" s="7"/>
      <c r="J2199" s="8"/>
      <c r="K2199" s="26"/>
      <c r="M2199" s="6" t="str">
        <f>IFERROR(VLOOKUP(H2199,B:J,9,FALSE),"")</f>
        <v>Nicht in XMP Spezifikation, in Beispielen gefunden.</v>
      </c>
      <c r="N2199" s="6"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xml:space="preserve">Suffix not translated </v>
      </c>
      <c r="O2199" s="6" t="s">
        <v>8574</v>
      </c>
    </row>
    <row r="2200" spans="1:17" ht="30" x14ac:dyDescent="0.25">
      <c r="A2200" s="5" t="str">
        <f>IF(TRIM(I2200)="","",E2200)</f>
        <v/>
      </c>
      <c r="B2200" s="5" t="str">
        <f>IF(TRIM(J2200)="","",H2200)</f>
        <v/>
      </c>
      <c r="C2200" s="5" t="str">
        <f>LEFT(F2200,FIND(".",F2200,6))</f>
        <v>Xmp.crs.</v>
      </c>
      <c r="D2200" s="5" t="str">
        <f>VLOOKUP(C2200,PrefixUebersetzung,2,FALSE)</f>
        <v>Xmp.crs.</v>
      </c>
      <c r="E2200" s="5" t="str">
        <f>MID(F2200,FIND(".",F2200,6)+1,99)</f>
        <v>Defringe</v>
      </c>
      <c r="F2200" s="2" t="s">
        <v>8295</v>
      </c>
      <c r="G2200" s="5" t="s">
        <v>9678</v>
      </c>
      <c r="H2200" s="3" t="s">
        <v>8266</v>
      </c>
      <c r="I2200" s="7"/>
      <c r="J2200" s="8"/>
      <c r="K2200" s="26"/>
      <c r="M2200" s="6" t="str">
        <f>IFERROR(VLOOKUP(H2200,B:J,9,FALSE),"")</f>
        <v>Nicht in XMP Spezifikation, in Beispielen gefunden.</v>
      </c>
      <c r="N2200" s="6"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v>
      </c>
      <c r="O2200" s="6" t="s">
        <v>8574</v>
      </c>
    </row>
    <row r="2201" spans="1:17" ht="30" x14ac:dyDescent="0.25">
      <c r="A2201" s="5" t="str">
        <f>IF(TRIM(I2201)="","",E2201)</f>
        <v/>
      </c>
      <c r="B2201" s="5" t="str">
        <f>IF(TRIM(J2201)="","",H2201)</f>
        <v/>
      </c>
      <c r="C2201" s="5" t="str">
        <f>LEFT(F2201,FIND(".",F2201,6))</f>
        <v>Xmp.crs.</v>
      </c>
      <c r="D2201" s="5" t="str">
        <f>VLOOKUP(C2201,PrefixUebersetzung,2,FALSE)</f>
        <v>Xmp.crs.</v>
      </c>
      <c r="E2201" s="5" t="str">
        <f>MID(F2201,FIND(".",F2201,6)+1,99)</f>
        <v>DefringeGreenAmount</v>
      </c>
      <c r="F2201" s="2" t="s">
        <v>8296</v>
      </c>
      <c r="G2201" s="5" t="s">
        <v>9678</v>
      </c>
      <c r="H2201" s="3" t="s">
        <v>8266</v>
      </c>
      <c r="I2201" s="7"/>
      <c r="J2201" s="8"/>
      <c r="K2201" s="26"/>
      <c r="M2201" s="6" t="str">
        <f>IFERROR(VLOOKUP(H2201,B:J,9,FALSE),"")</f>
        <v>Nicht in XMP Spezifikation, in Beispielen gefunden.</v>
      </c>
      <c r="N2201" s="6"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v>
      </c>
      <c r="O2201" s="6" t="s">
        <v>8574</v>
      </c>
    </row>
    <row r="2202" spans="1:17" ht="30" x14ac:dyDescent="0.25">
      <c r="A2202" s="5" t="str">
        <f>IF(TRIM(I2202)="","",E2202)</f>
        <v/>
      </c>
      <c r="B2202" s="5" t="str">
        <f>IF(TRIM(J2202)="","",H2202)</f>
        <v/>
      </c>
      <c r="C2202" s="5" t="str">
        <f>LEFT(F2202,FIND(".",F2202,6))</f>
        <v>Xmp.crs.</v>
      </c>
      <c r="D2202" s="5" t="str">
        <f>VLOOKUP(C2202,PrefixUebersetzung,2,FALSE)</f>
        <v>Xmp.crs.</v>
      </c>
      <c r="E2202" s="5" t="str">
        <f>MID(F2202,FIND(".",F2202,6)+1,99)</f>
        <v>DefringeGreenHueHi</v>
      </c>
      <c r="F2202" s="2" t="s">
        <v>8297</v>
      </c>
      <c r="G2202" s="5" t="s">
        <v>9678</v>
      </c>
      <c r="H2202" s="3" t="s">
        <v>8266</v>
      </c>
      <c r="I2202" s="7"/>
      <c r="J2202" s="8"/>
      <c r="K2202" s="26"/>
      <c r="M2202" s="6" t="str">
        <f>IFERROR(VLOOKUP(H2202,B:J,9,FALSE),"")</f>
        <v>Nicht in XMP Spezifikation, in Beispielen gefunden.</v>
      </c>
      <c r="N2202" s="6"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v>
      </c>
      <c r="O2202" s="6" t="s">
        <v>8574</v>
      </c>
    </row>
    <row r="2203" spans="1:17" ht="30" x14ac:dyDescent="0.25">
      <c r="A2203" s="5" t="str">
        <f>IF(TRIM(I2203)="","",E2203)</f>
        <v/>
      </c>
      <c r="B2203" s="5" t="str">
        <f>IF(TRIM(J2203)="","",H2203)</f>
        <v/>
      </c>
      <c r="C2203" s="5" t="str">
        <f>LEFT(F2203,FIND(".",F2203,6))</f>
        <v>Xmp.crs.</v>
      </c>
      <c r="D2203" s="5" t="str">
        <f>VLOOKUP(C2203,PrefixUebersetzung,2,FALSE)</f>
        <v>Xmp.crs.</v>
      </c>
      <c r="E2203" s="5" t="str">
        <f>MID(F2203,FIND(".",F2203,6)+1,99)</f>
        <v>DefringeGreenHueLo</v>
      </c>
      <c r="F2203" s="2" t="s">
        <v>8298</v>
      </c>
      <c r="G2203" s="5" t="s">
        <v>9678</v>
      </c>
      <c r="H2203" s="3" t="s">
        <v>8266</v>
      </c>
      <c r="I2203" s="7"/>
      <c r="J2203" s="8"/>
      <c r="K2203" s="26"/>
      <c r="M2203" s="6" t="str">
        <f>IFERROR(VLOOKUP(H2203,B:J,9,FALSE),"")</f>
        <v>Nicht in XMP Spezifikation, in Beispielen gefunden.</v>
      </c>
      <c r="N2203" s="6"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v>
      </c>
      <c r="O2203" s="6" t="s">
        <v>8574</v>
      </c>
    </row>
    <row r="2204" spans="1:17" ht="30" x14ac:dyDescent="0.25">
      <c r="A2204" s="5" t="str">
        <f>IF(TRIM(I2204)="","",E2204)</f>
        <v/>
      </c>
      <c r="B2204" s="5" t="str">
        <f>IF(TRIM(J2204)="","",H2204)</f>
        <v/>
      </c>
      <c r="C2204" s="5" t="str">
        <f>LEFT(F2204,FIND(".",F2204,6))</f>
        <v>Xmp.crs.</v>
      </c>
      <c r="D2204" s="5" t="str">
        <f>VLOOKUP(C2204,PrefixUebersetzung,2,FALSE)</f>
        <v>Xmp.crs.</v>
      </c>
      <c r="E2204" s="5" t="str">
        <f>MID(F2204,FIND(".",F2204,6)+1,99)</f>
        <v>DefringePurpleAmount</v>
      </c>
      <c r="F2204" s="2" t="s">
        <v>8299</v>
      </c>
      <c r="G2204" s="5" t="s">
        <v>9678</v>
      </c>
      <c r="H2204" s="3" t="s">
        <v>8266</v>
      </c>
      <c r="I2204" s="7"/>
      <c r="J2204" s="8"/>
      <c r="K2204" s="26"/>
      <c r="M2204" s="6" t="str">
        <f>IFERROR(VLOOKUP(H2204,B:J,9,FALSE),"")</f>
        <v>Nicht in XMP Spezifikation, in Beispielen gefunden.</v>
      </c>
      <c r="N2204" s="6"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v>
      </c>
      <c r="O2204" s="6" t="s">
        <v>8574</v>
      </c>
    </row>
    <row r="2205" spans="1:17" ht="30" x14ac:dyDescent="0.25">
      <c r="A2205" s="5" t="str">
        <f>IF(TRIM(I2205)="","",E2205)</f>
        <v/>
      </c>
      <c r="B2205" s="5" t="str">
        <f>IF(TRIM(J2205)="","",H2205)</f>
        <v/>
      </c>
      <c r="C2205" s="5" t="str">
        <f>LEFT(F2205,FIND(".",F2205,6))</f>
        <v>Xmp.crs.</v>
      </c>
      <c r="D2205" s="5" t="str">
        <f>VLOOKUP(C2205,PrefixUebersetzung,2,FALSE)</f>
        <v>Xmp.crs.</v>
      </c>
      <c r="E2205" s="5" t="str">
        <f>MID(F2205,FIND(".",F2205,6)+1,99)</f>
        <v>DefringePurpleHueHi</v>
      </c>
      <c r="F2205" s="2" t="s">
        <v>8300</v>
      </c>
      <c r="G2205" s="5" t="s">
        <v>9678</v>
      </c>
      <c r="H2205" s="3" t="s">
        <v>8266</v>
      </c>
      <c r="I2205" s="7"/>
      <c r="J2205" s="8"/>
      <c r="K2205" s="26"/>
      <c r="M2205" s="6" t="str">
        <f>IFERROR(VLOOKUP(H2205,B:J,9,FALSE),"")</f>
        <v>Nicht in XMP Spezifikation, in Beispielen gefunden.</v>
      </c>
      <c r="N2205" s="6"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v>
      </c>
      <c r="O2205" s="6" t="s">
        <v>8574</v>
      </c>
    </row>
    <row r="2206" spans="1:17" ht="30" x14ac:dyDescent="0.25">
      <c r="A2206" s="5" t="str">
        <f>IF(TRIM(I2206)="","",E2206)</f>
        <v/>
      </c>
      <c r="B2206" s="5" t="str">
        <f>IF(TRIM(J2206)="","",H2206)</f>
        <v/>
      </c>
      <c r="C2206" s="5" t="str">
        <f>LEFT(F2206,FIND(".",F2206,6))</f>
        <v>Xmp.crs.</v>
      </c>
      <c r="D2206" s="5" t="str">
        <f>VLOOKUP(C2206,PrefixUebersetzung,2,FALSE)</f>
        <v>Xmp.crs.</v>
      </c>
      <c r="E2206" s="5" t="str">
        <f>MID(F2206,FIND(".",F2206,6)+1,99)</f>
        <v>DefringePurpleHueLo</v>
      </c>
      <c r="F2206" s="2" t="s">
        <v>8301</v>
      </c>
      <c r="G2206" s="5" t="s">
        <v>9678</v>
      </c>
      <c r="H2206" s="3" t="s">
        <v>8266</v>
      </c>
      <c r="I2206" s="7"/>
      <c r="J2206" s="8"/>
      <c r="K2206" s="26"/>
      <c r="M2206" s="6" t="str">
        <f>IFERROR(VLOOKUP(H2206,B:J,9,FALSE),"")</f>
        <v>Nicht in XMP Spezifikation, in Beispielen gefunden.</v>
      </c>
      <c r="N2206" s="6"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v>
      </c>
      <c r="O2206" s="6" t="s">
        <v>8574</v>
      </c>
    </row>
    <row r="2207" spans="1:17" ht="30" x14ac:dyDescent="0.25">
      <c r="A2207" s="5" t="str">
        <f>IF(TRIM(I2207)="","",E2207)</f>
        <v/>
      </c>
      <c r="B2207" s="5" t="str">
        <f>IF(TRIM(J2207)="","",H2207)</f>
        <v/>
      </c>
      <c r="C2207" s="5" t="str">
        <f>LEFT(F2207,FIND(".",F2207,6))</f>
        <v>Xmp.crs.</v>
      </c>
      <c r="D2207" s="5" t="str">
        <f>VLOOKUP(C2207,PrefixUebersetzung,2,FALSE)</f>
        <v>Xmp.crs.</v>
      </c>
      <c r="E2207" s="5" t="str">
        <f>MID(F2207,FIND(".",F2207,6)+1,99)</f>
        <v>DNGIgnoreSidecars</v>
      </c>
      <c r="F2207" s="2" t="s">
        <v>8302</v>
      </c>
      <c r="G2207" s="5" t="s">
        <v>9678</v>
      </c>
      <c r="H2207" s="3" t="s">
        <v>8266</v>
      </c>
      <c r="I2207" s="7"/>
      <c r="J2207" s="8"/>
      <c r="K2207" s="26"/>
      <c r="M2207" s="6" t="str">
        <f>IFERROR(VLOOKUP(H2207,B:J,9,FALSE),"")</f>
        <v>Nicht in XMP Spezifikation, in Beispielen gefunden.</v>
      </c>
      <c r="N2207" s="6"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v>
      </c>
      <c r="O2207" s="6" t="s">
        <v>8574</v>
      </c>
    </row>
    <row r="2208" spans="1:17" x14ac:dyDescent="0.25">
      <c r="A2208" s="5" t="str">
        <f>IF(TRIM(I2208)="","",E2208)</f>
        <v/>
      </c>
      <c r="B2208" s="5" t="str">
        <f>IF(TRIM(J2208)="","",H2208)</f>
        <v>"Exposure" setting. Range -4.0 to +4.0.</v>
      </c>
      <c r="C2208" s="5" t="str">
        <f>LEFT(F2208,FIND(".",F2208,6))</f>
        <v>Xmp.crs.</v>
      </c>
      <c r="D2208" s="5" t="str">
        <f>VLOOKUP(C2208,PrefixUebersetzung,2,FALSE)</f>
        <v>Xmp.crs.</v>
      </c>
      <c r="E2208" s="5" t="str">
        <f>MID(F2208,FIND(".",F2208,6)+1,99)</f>
        <v>Exposure</v>
      </c>
      <c r="F2208" s="5" t="s">
        <v>1667</v>
      </c>
      <c r="G2208" s="5" t="s">
        <v>9678</v>
      </c>
      <c r="H2208" s="6" t="s">
        <v>9695</v>
      </c>
      <c r="I2208" s="7"/>
      <c r="J2208" s="14" t="s">
        <v>5342</v>
      </c>
      <c r="K2208" s="26"/>
      <c r="L2208" s="6" t="str">
        <f>IFERROR(VLOOKUP(E2208,A:I,9, FALSE),"")</f>
        <v>Belichtung</v>
      </c>
      <c r="N2208" s="6"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c r="P2208" s="6" t="s">
        <v>8574</v>
      </c>
    </row>
    <row r="2209" spans="1:15" ht="30" x14ac:dyDescent="0.25">
      <c r="A2209" s="5" t="str">
        <f>IF(TRIM(I2209)="","",E2209)</f>
        <v/>
      </c>
      <c r="B2209" s="5" t="str">
        <f>IF(TRIM(J2209)="","",H2209)</f>
        <v/>
      </c>
      <c r="C2209" s="5" t="str">
        <f>LEFT(F2209,FIND(".",F2209,6))</f>
        <v>Xmp.crs.</v>
      </c>
      <c r="D2209" s="5" t="str">
        <f>VLOOKUP(C2209,PrefixUebersetzung,2,FALSE)</f>
        <v>Xmp.crs.</v>
      </c>
      <c r="E2209" s="5" t="str">
        <f>MID(F2209,FIND(".",F2209,6)+1,99)</f>
        <v>Exposure2012</v>
      </c>
      <c r="F2209" s="2" t="s">
        <v>8303</v>
      </c>
      <c r="G2209" s="5" t="s">
        <v>9678</v>
      </c>
      <c r="H2209" s="3" t="s">
        <v>8266</v>
      </c>
      <c r="I2209" s="7"/>
      <c r="J2209" s="8"/>
      <c r="K2209" s="26"/>
      <c r="M2209" s="6" t="str">
        <f>IFERROR(VLOOKUP(H2209,B:J,9,FALSE),"")</f>
        <v>Nicht in XMP Spezifikation, in Beispielen gefunden.</v>
      </c>
      <c r="N2209" s="6"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xml:space="preserve">Suffix not translated </v>
      </c>
      <c r="O2209" s="6" t="s">
        <v>8574</v>
      </c>
    </row>
    <row r="2210" spans="1:15" ht="30" x14ac:dyDescent="0.25">
      <c r="A2210" s="5" t="str">
        <f>IF(TRIM(I2210)="","",E2210)</f>
        <v/>
      </c>
      <c r="B2210" s="5" t="str">
        <f>IF(TRIM(J2210)="","",H2210)</f>
        <v/>
      </c>
      <c r="C2210" s="5" t="str">
        <f>LEFT(F2210,FIND(".",F2210,6))</f>
        <v>Xmp.crs.</v>
      </c>
      <c r="D2210" s="5" t="str">
        <f>VLOOKUP(C2210,PrefixUebersetzung,2,FALSE)</f>
        <v>Xmp.crs.</v>
      </c>
      <c r="E2210" s="5" t="str">
        <f>MID(F2210,FIND(".",F2210,6)+1,99)</f>
        <v>Feather</v>
      </c>
      <c r="F2210" s="2" t="s">
        <v>8304</v>
      </c>
      <c r="G2210" s="5" t="s">
        <v>9678</v>
      </c>
      <c r="H2210" s="3" t="s">
        <v>8266</v>
      </c>
      <c r="I2210" s="7"/>
      <c r="J2210" s="8"/>
      <c r="K2210" s="26"/>
      <c r="M2210" s="6" t="str">
        <f>IFERROR(VLOOKUP(H2210,B:J,9,FALSE),"")</f>
        <v>Nicht in XMP Spezifikation, in Beispielen gefunden.</v>
      </c>
      <c r="N2210" s="6"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v>
      </c>
      <c r="O2210" s="6" t="s">
        <v>8574</v>
      </c>
    </row>
    <row r="2211" spans="1:15" ht="30" x14ac:dyDescent="0.25">
      <c r="A2211" s="5" t="str">
        <f>IF(TRIM(I2211)="","",E2211)</f>
        <v/>
      </c>
      <c r="B2211" s="5" t="str">
        <f>IF(TRIM(J2211)="","",H2211)</f>
        <v/>
      </c>
      <c r="C2211" s="5" t="str">
        <f>LEFT(F2211,FIND(".",F2211,6))</f>
        <v>Xmp.crs.</v>
      </c>
      <c r="D2211" s="5" t="str">
        <f>VLOOKUP(C2211,PrefixUebersetzung,2,FALSE)</f>
        <v>Xmp.crs.</v>
      </c>
      <c r="E2211" s="5" t="str">
        <f>MID(F2211,FIND(".",F2211,6)+1,99)</f>
        <v>FillLight</v>
      </c>
      <c r="F2211" s="2" t="s">
        <v>8305</v>
      </c>
      <c r="G2211" s="5" t="s">
        <v>9678</v>
      </c>
      <c r="H2211" s="3" t="s">
        <v>8266</v>
      </c>
      <c r="I2211" s="7"/>
      <c r="J2211" s="8"/>
      <c r="K2211" s="26"/>
      <c r="L2211" s="6" t="str">
        <f>IFERROR(VLOOKUP(E2211,A:I,9, FALSE),"")</f>
        <v/>
      </c>
      <c r="M2211" s="6" t="str">
        <f>IFERROR(VLOOKUP(H2211,B:J,9,FALSE),"")</f>
        <v>Nicht in XMP Spezifikation, in Beispielen gefunden.</v>
      </c>
      <c r="N2211" s="6"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xml:space="preserve">Suffix not translated </v>
      </c>
    </row>
    <row r="2212" spans="1:15" ht="30" x14ac:dyDescent="0.25">
      <c r="A2212" s="5" t="str">
        <f>IF(TRIM(I2212)="","",E2212)</f>
        <v/>
      </c>
      <c r="B2212" s="5" t="str">
        <f>IF(TRIM(J2212)="","",H2212)</f>
        <v/>
      </c>
      <c r="C2212" s="5" t="str">
        <f>LEFT(F2212,FIND(".",F2212,6))</f>
        <v>Xmp.crs.</v>
      </c>
      <c r="D2212" s="5" t="str">
        <f>VLOOKUP(C2212,PrefixUebersetzung,2,FALSE)</f>
        <v>Xmp.crs.</v>
      </c>
      <c r="E2212" s="5" t="str">
        <f>MID(F2212,FIND(".",F2212,6)+1,99)</f>
        <v>Flipped</v>
      </c>
      <c r="F2212" s="2" t="s">
        <v>8306</v>
      </c>
      <c r="G2212" s="5" t="s">
        <v>9678</v>
      </c>
      <c r="H2212" s="3" t="s">
        <v>8266</v>
      </c>
      <c r="I2212" s="7"/>
      <c r="J2212" s="8"/>
      <c r="K2212" s="26"/>
      <c r="M2212" s="6" t="str">
        <f>IFERROR(VLOOKUP(H2212,B:J,9,FALSE),"")</f>
        <v>Nicht in XMP Spezifikation, in Beispielen gefunden.</v>
      </c>
      <c r="N2212" s="6"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xml:space="preserve">Suffix not translated </v>
      </c>
      <c r="O2212" s="6" t="s">
        <v>8574</v>
      </c>
    </row>
    <row r="2213" spans="1:15" ht="30" x14ac:dyDescent="0.25">
      <c r="A2213" s="5" t="str">
        <f>IF(TRIM(I2213)="","",E2213)</f>
        <v/>
      </c>
      <c r="B2213" s="5" t="str">
        <f>IF(TRIM(J2213)="","",H2213)</f>
        <v/>
      </c>
      <c r="C2213" s="5" t="str">
        <f>LEFT(F2213,FIND(".",F2213,6))</f>
        <v>Xmp.crs.</v>
      </c>
      <c r="D2213" s="5" t="str">
        <f>VLOOKUP(C2213,PrefixUebersetzung,2,FALSE)</f>
        <v>Xmp.crs.</v>
      </c>
      <c r="E2213" s="5" t="str">
        <f>MID(F2213,FIND(".",F2213,6)+1,99)</f>
        <v>Flow</v>
      </c>
      <c r="F2213" s="2" t="s">
        <v>8307</v>
      </c>
      <c r="G2213" s="5" t="s">
        <v>9678</v>
      </c>
      <c r="H2213" s="3" t="s">
        <v>8266</v>
      </c>
      <c r="I2213" s="7"/>
      <c r="J2213" s="8"/>
      <c r="K2213" s="26"/>
      <c r="M2213" s="6" t="str">
        <f>IFERROR(VLOOKUP(H2213,B:J,9,FALSE),"")</f>
        <v>Nicht in XMP Spezifikation, in Beispielen gefunden.</v>
      </c>
      <c r="N2213" s="6"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xml:space="preserve">Suffix not translated </v>
      </c>
      <c r="O2213" s="6" t="s">
        <v>8574</v>
      </c>
    </row>
    <row r="2214" spans="1:15" ht="30" x14ac:dyDescent="0.25">
      <c r="A2214" s="5" t="str">
        <f>IF(TRIM(I2214)="","",E2214)</f>
        <v/>
      </c>
      <c r="B2214" s="5" t="str">
        <f>IF(TRIM(J2214)="","",H2214)</f>
        <v/>
      </c>
      <c r="C2214" s="5" t="str">
        <f>LEFT(F2214,FIND(".",F2214,6))</f>
        <v>Xmp.crs.</v>
      </c>
      <c r="D2214" s="5" t="str">
        <f>VLOOKUP(C2214,PrefixUebersetzung,2,FALSE)</f>
        <v>Xmp.crs.</v>
      </c>
      <c r="E2214" s="5" t="str">
        <f>MID(F2214,FIND(".",F2214,6)+1,99)</f>
        <v>FullX</v>
      </c>
      <c r="F2214" s="2" t="s">
        <v>8308</v>
      </c>
      <c r="G2214" s="5" t="s">
        <v>9678</v>
      </c>
      <c r="H2214" s="3" t="s">
        <v>8266</v>
      </c>
      <c r="I2214" s="7"/>
      <c r="J2214" s="8"/>
      <c r="K2214" s="26"/>
      <c r="M2214" s="6" t="str">
        <f>IFERROR(VLOOKUP(H2214,B:J,9,FALSE),"")</f>
        <v>Nicht in XMP Spezifikation, in Beispielen gefunden.</v>
      </c>
      <c r="N2214" s="6"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v>
      </c>
      <c r="O2214" s="6" t="s">
        <v>8574</v>
      </c>
    </row>
    <row r="2215" spans="1:15" ht="30" x14ac:dyDescent="0.25">
      <c r="A2215" s="5" t="str">
        <f>IF(TRIM(I2215)="","",E2215)</f>
        <v/>
      </c>
      <c r="B2215" s="5" t="str">
        <f>IF(TRIM(J2215)="","",H2215)</f>
        <v/>
      </c>
      <c r="C2215" s="5" t="str">
        <f>LEFT(F2215,FIND(".",F2215,6))</f>
        <v>Xmp.crs.</v>
      </c>
      <c r="D2215" s="5" t="str">
        <f>VLOOKUP(C2215,PrefixUebersetzung,2,FALSE)</f>
        <v>Xmp.crs.</v>
      </c>
      <c r="E2215" s="5" t="str">
        <f>MID(F2215,FIND(".",F2215,6)+1,99)</f>
        <v>FullY</v>
      </c>
      <c r="F2215" s="2" t="s">
        <v>8309</v>
      </c>
      <c r="G2215" s="5" t="s">
        <v>9678</v>
      </c>
      <c r="H2215" s="3" t="s">
        <v>8266</v>
      </c>
      <c r="I2215" s="7"/>
      <c r="J2215" s="8"/>
      <c r="K2215" s="26"/>
      <c r="M2215" s="6" t="str">
        <f>IFERROR(VLOOKUP(H2215,B:J,9,FALSE),"")</f>
        <v>Nicht in XMP Spezifikation, in Beispielen gefunden.</v>
      </c>
      <c r="N2215" s="6"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xml:space="preserve">Suffix not translated </v>
      </c>
      <c r="O2215" s="6" t="s">
        <v>8574</v>
      </c>
    </row>
    <row r="2216" spans="1:15" ht="30" x14ac:dyDescent="0.25">
      <c r="A2216" s="5" t="str">
        <f>IF(TRIM(I2216)="","",E2216)</f>
        <v/>
      </c>
      <c r="B2216" s="5" t="str">
        <f>IF(TRIM(J2216)="","",H2216)</f>
        <v/>
      </c>
      <c r="C2216" s="5" t="str">
        <f>LEFT(F2216,FIND(".",F2216,6))</f>
        <v>Xmp.crs.</v>
      </c>
      <c r="D2216" s="5" t="str">
        <f>VLOOKUP(C2216,PrefixUebersetzung,2,FALSE)</f>
        <v>Xmp.crs.</v>
      </c>
      <c r="E2216" s="5" t="str">
        <f>MID(F2216,FIND(".",F2216,6)+1,99)</f>
        <v>GrainAmount</v>
      </c>
      <c r="F2216" s="2" t="s">
        <v>8310</v>
      </c>
      <c r="G2216" s="5" t="s">
        <v>9678</v>
      </c>
      <c r="H2216" s="3" t="s">
        <v>8266</v>
      </c>
      <c r="I2216" s="7"/>
      <c r="J2216" s="8"/>
      <c r="K2216" s="26"/>
      <c r="M2216" s="6" t="str">
        <f>IFERROR(VLOOKUP(H2216,B:J,9,FALSE),"")</f>
        <v>Nicht in XMP Spezifikation, in Beispielen gefunden.</v>
      </c>
      <c r="N2216" s="6"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xml:space="preserve">Suffix not translated </v>
      </c>
      <c r="O2216" s="6" t="s">
        <v>8574</v>
      </c>
    </row>
    <row r="2217" spans="1:15" ht="30" x14ac:dyDescent="0.25">
      <c r="A2217" s="5" t="str">
        <f>IF(TRIM(I2217)="","",E2217)</f>
        <v/>
      </c>
      <c r="B2217" s="5" t="str">
        <f>IF(TRIM(J2217)="","",H2217)</f>
        <v/>
      </c>
      <c r="C2217" s="5" t="str">
        <f>LEFT(F2217,FIND(".",F2217,6))</f>
        <v>Xmp.crs.</v>
      </c>
      <c r="D2217" s="5" t="str">
        <f>VLOOKUP(C2217,PrefixUebersetzung,2,FALSE)</f>
        <v>Xmp.crs.</v>
      </c>
      <c r="E2217" s="5" t="str">
        <f>MID(F2217,FIND(".",F2217,6)+1,99)</f>
        <v>GrainFrequency</v>
      </c>
      <c r="F2217" s="2" t="s">
        <v>8311</v>
      </c>
      <c r="G2217" s="5" t="s">
        <v>9678</v>
      </c>
      <c r="H2217" s="3" t="s">
        <v>8266</v>
      </c>
      <c r="I2217" s="7"/>
      <c r="J2217" s="8"/>
      <c r="K2217" s="26"/>
      <c r="M2217" s="6" t="str">
        <f>IFERROR(VLOOKUP(H2217,B:J,9,FALSE),"")</f>
        <v>Nicht in XMP Spezifikation, in Beispielen gefunden.</v>
      </c>
      <c r="N2217" s="6"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xml:space="preserve">Suffix not translated </v>
      </c>
      <c r="O2217" s="6" t="s">
        <v>8574</v>
      </c>
    </row>
    <row r="2218" spans="1:15" ht="30" x14ac:dyDescent="0.25">
      <c r="A2218" s="5" t="str">
        <f>IF(TRIM(I2218)="","",E2218)</f>
        <v/>
      </c>
      <c r="B2218" s="5" t="str">
        <f>IF(TRIM(J2218)="","",H2218)</f>
        <v/>
      </c>
      <c r="C2218" s="5" t="str">
        <f>LEFT(F2218,FIND(".",F2218,6))</f>
        <v>Xmp.crs.</v>
      </c>
      <c r="D2218" s="5" t="str">
        <f>VLOOKUP(C2218,PrefixUebersetzung,2,FALSE)</f>
        <v>Xmp.crs.</v>
      </c>
      <c r="E2218" s="5" t="str">
        <f>MID(F2218,FIND(".",F2218,6)+1,99)</f>
        <v>GrainSize</v>
      </c>
      <c r="F2218" s="2" t="s">
        <v>8312</v>
      </c>
      <c r="G2218" s="5" t="s">
        <v>9678</v>
      </c>
      <c r="H2218" s="3" t="s">
        <v>8266</v>
      </c>
      <c r="I2218" s="7"/>
      <c r="J2218" s="8"/>
      <c r="K2218" s="26"/>
      <c r="M2218" s="6" t="str">
        <f>IFERROR(VLOOKUP(H2218,B:J,9,FALSE),"")</f>
        <v>Nicht in XMP Spezifikation, in Beispielen gefunden.</v>
      </c>
      <c r="N2218" s="6"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xml:space="preserve">Suffix not translated </v>
      </c>
      <c r="O2218" s="6" t="s">
        <v>8574</v>
      </c>
    </row>
    <row r="2219" spans="1:15" ht="30" x14ac:dyDescent="0.25">
      <c r="A2219" s="5" t="str">
        <f>IF(TRIM(I2219)="","",E2219)</f>
        <v/>
      </c>
      <c r="B2219" s="5" t="str">
        <f>IF(TRIM(J2219)="","",H2219)</f>
        <v/>
      </c>
      <c r="C2219" s="5" t="str">
        <f>LEFT(F2219,FIND(".",F2219,6))</f>
        <v>Xmp.crs.</v>
      </c>
      <c r="D2219" s="5" t="str">
        <f>VLOOKUP(C2219,PrefixUebersetzung,2,FALSE)</f>
        <v>Xmp.crs.</v>
      </c>
      <c r="E2219" s="5" t="str">
        <f>MID(F2219,FIND(".",F2219,6)+1,99)</f>
        <v>GrayMixerAqua</v>
      </c>
      <c r="F2219" s="2" t="s">
        <v>8313</v>
      </c>
      <c r="G2219" s="5" t="s">
        <v>9678</v>
      </c>
      <c r="H2219" s="3" t="s">
        <v>8266</v>
      </c>
      <c r="I2219" s="7"/>
      <c r="J2219" s="8"/>
      <c r="K2219" s="26"/>
      <c r="M2219" s="6" t="str">
        <f>IFERROR(VLOOKUP(H2219,B:J,9,FALSE),"")</f>
        <v>Nicht in XMP Spezifikation, in Beispielen gefunden.</v>
      </c>
      <c r="N2219" s="6"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xml:space="preserve">Suffix not translated </v>
      </c>
      <c r="O2219" s="6" t="s">
        <v>8574</v>
      </c>
    </row>
    <row r="2220" spans="1:15" ht="30" x14ac:dyDescent="0.25">
      <c r="A2220" s="5" t="str">
        <f>IF(TRIM(I2220)="","",E2220)</f>
        <v/>
      </c>
      <c r="B2220" s="5" t="str">
        <f>IF(TRIM(J2220)="","",H2220)</f>
        <v/>
      </c>
      <c r="C2220" s="5" t="str">
        <f>LEFT(F2220,FIND(".",F2220,6))</f>
        <v>Xmp.crs.</v>
      </c>
      <c r="D2220" s="5" t="str">
        <f>VLOOKUP(C2220,PrefixUebersetzung,2,FALSE)</f>
        <v>Xmp.crs.</v>
      </c>
      <c r="E2220" s="5" t="str">
        <f>MID(F2220,FIND(".",F2220,6)+1,99)</f>
        <v>GrayMixerBlue</v>
      </c>
      <c r="F2220" s="2" t="s">
        <v>8314</v>
      </c>
      <c r="G2220" s="5" t="s">
        <v>9678</v>
      </c>
      <c r="H2220" s="3" t="s">
        <v>8266</v>
      </c>
      <c r="I2220" s="7"/>
      <c r="J2220" s="8"/>
      <c r="K2220" s="26"/>
      <c r="M2220" s="6" t="str">
        <f>IFERROR(VLOOKUP(H2220,B:J,9,FALSE),"")</f>
        <v>Nicht in XMP Spezifikation, in Beispielen gefunden.</v>
      </c>
      <c r="N2220" s="6"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xml:space="preserve">Suffix not translated </v>
      </c>
      <c r="O2220" s="6" t="s">
        <v>8574</v>
      </c>
    </row>
    <row r="2221" spans="1:15" ht="30" x14ac:dyDescent="0.25">
      <c r="A2221" s="5" t="str">
        <f>IF(TRIM(I2221)="","",E2221)</f>
        <v/>
      </c>
      <c r="B2221" s="5" t="str">
        <f>IF(TRIM(J2221)="","",H2221)</f>
        <v/>
      </c>
      <c r="C2221" s="5" t="str">
        <f>LEFT(F2221,FIND(".",F2221,6))</f>
        <v>Xmp.crs.</v>
      </c>
      <c r="D2221" s="5" t="str">
        <f>VLOOKUP(C2221,PrefixUebersetzung,2,FALSE)</f>
        <v>Xmp.crs.</v>
      </c>
      <c r="E2221" s="5" t="str">
        <f>MID(F2221,FIND(".",F2221,6)+1,99)</f>
        <v>GrayMixerGreen</v>
      </c>
      <c r="F2221" s="2" t="s">
        <v>8315</v>
      </c>
      <c r="G2221" s="5" t="s">
        <v>9678</v>
      </c>
      <c r="H2221" s="3" t="s">
        <v>8266</v>
      </c>
      <c r="I2221" s="7"/>
      <c r="J2221" s="8"/>
      <c r="K2221" s="26"/>
      <c r="M2221" s="6" t="str">
        <f>IFERROR(VLOOKUP(H2221,B:J,9,FALSE),"")</f>
        <v>Nicht in XMP Spezifikation, in Beispielen gefunden.</v>
      </c>
      <c r="N2221" s="6"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xml:space="preserve">Suffix not translated </v>
      </c>
      <c r="O2221" s="6" t="s">
        <v>8574</v>
      </c>
    </row>
    <row r="2222" spans="1:15" ht="30" x14ac:dyDescent="0.25">
      <c r="A2222" s="5" t="str">
        <f>IF(TRIM(I2222)="","",E2222)</f>
        <v/>
      </c>
      <c r="B2222" s="5" t="str">
        <f>IF(TRIM(J2222)="","",H2222)</f>
        <v/>
      </c>
      <c r="C2222" s="5" t="str">
        <f>LEFT(F2222,FIND(".",F2222,6))</f>
        <v>Xmp.crs.</v>
      </c>
      <c r="D2222" s="5" t="str">
        <f>VLOOKUP(C2222,PrefixUebersetzung,2,FALSE)</f>
        <v>Xmp.crs.</v>
      </c>
      <c r="E2222" s="5" t="str">
        <f>MID(F2222,FIND(".",F2222,6)+1,99)</f>
        <v>GrayMixerMagenta</v>
      </c>
      <c r="F2222" s="2" t="s">
        <v>8316</v>
      </c>
      <c r="G2222" s="5" t="s">
        <v>9678</v>
      </c>
      <c r="H2222" s="3" t="s">
        <v>8266</v>
      </c>
      <c r="I2222" s="7"/>
      <c r="J2222" s="8"/>
      <c r="K2222" s="26"/>
      <c r="M2222" s="6" t="str">
        <f>IFERROR(VLOOKUP(H2222,B:J,9,FALSE),"")</f>
        <v>Nicht in XMP Spezifikation, in Beispielen gefunden.</v>
      </c>
      <c r="N2222" s="6"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v>
      </c>
      <c r="O2222" s="6" t="s">
        <v>8574</v>
      </c>
    </row>
    <row r="2223" spans="1:15" ht="30" x14ac:dyDescent="0.25">
      <c r="A2223" s="5" t="str">
        <f>IF(TRIM(I2223)="","",E2223)</f>
        <v/>
      </c>
      <c r="B2223" s="5" t="str">
        <f>IF(TRIM(J2223)="","",H2223)</f>
        <v/>
      </c>
      <c r="C2223" s="5" t="str">
        <f>LEFT(F2223,FIND(".",F2223,6))</f>
        <v>Xmp.crs.</v>
      </c>
      <c r="D2223" s="5" t="str">
        <f>VLOOKUP(C2223,PrefixUebersetzung,2,FALSE)</f>
        <v>Xmp.crs.</v>
      </c>
      <c r="E2223" s="5" t="str">
        <f>MID(F2223,FIND(".",F2223,6)+1,99)</f>
        <v>GrayMixerOrange</v>
      </c>
      <c r="F2223" s="2" t="s">
        <v>8317</v>
      </c>
      <c r="G2223" s="5" t="s">
        <v>9678</v>
      </c>
      <c r="H2223" s="3" t="s">
        <v>8266</v>
      </c>
      <c r="I2223" s="7"/>
      <c r="J2223" s="8"/>
      <c r="K2223" s="26"/>
      <c r="M2223" s="6" t="str">
        <f>IFERROR(VLOOKUP(H2223,B:J,9,FALSE),"")</f>
        <v>Nicht in XMP Spezifikation, in Beispielen gefunden.</v>
      </c>
      <c r="N2223" s="6"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v>
      </c>
      <c r="O2223" s="6" t="s">
        <v>8574</v>
      </c>
    </row>
    <row r="2224" spans="1:15" ht="30" x14ac:dyDescent="0.25">
      <c r="A2224" s="5" t="str">
        <f>IF(TRIM(I2224)="","",E2224)</f>
        <v/>
      </c>
      <c r="B2224" s="5" t="str">
        <f>IF(TRIM(J2224)="","",H2224)</f>
        <v/>
      </c>
      <c r="C2224" s="5" t="str">
        <f>LEFT(F2224,FIND(".",F2224,6))</f>
        <v>Xmp.crs.</v>
      </c>
      <c r="D2224" s="5" t="str">
        <f>VLOOKUP(C2224,PrefixUebersetzung,2,FALSE)</f>
        <v>Xmp.crs.</v>
      </c>
      <c r="E2224" s="5" t="str">
        <f>MID(F2224,FIND(".",F2224,6)+1,99)</f>
        <v>GrayMixerPurple</v>
      </c>
      <c r="F2224" s="2" t="s">
        <v>8318</v>
      </c>
      <c r="G2224" s="5" t="s">
        <v>9678</v>
      </c>
      <c r="H2224" s="3" t="s">
        <v>8266</v>
      </c>
      <c r="I2224" s="7"/>
      <c r="J2224" s="8"/>
      <c r="K2224" s="26"/>
      <c r="M2224" s="6" t="str">
        <f>IFERROR(VLOOKUP(H2224,B:J,9,FALSE),"")</f>
        <v>Nicht in XMP Spezifikation, in Beispielen gefunden.</v>
      </c>
      <c r="N2224" s="6"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xml:space="preserve">Suffix not translated </v>
      </c>
      <c r="O2224" s="6" t="s">
        <v>8574</v>
      </c>
    </row>
    <row r="2225" spans="1:16" ht="30" x14ac:dyDescent="0.25">
      <c r="A2225" s="5" t="str">
        <f>IF(TRIM(I2225)="","",E2225)</f>
        <v/>
      </c>
      <c r="B2225" s="5" t="str">
        <f>IF(TRIM(J2225)="","",H2225)</f>
        <v/>
      </c>
      <c r="C2225" s="5" t="str">
        <f>LEFT(F2225,FIND(".",F2225,6))</f>
        <v>Xmp.crs.</v>
      </c>
      <c r="D2225" s="5" t="str">
        <f>VLOOKUP(C2225,PrefixUebersetzung,2,FALSE)</f>
        <v>Xmp.crs.</v>
      </c>
      <c r="E2225" s="5" t="str">
        <f>MID(F2225,FIND(".",F2225,6)+1,99)</f>
        <v>GrayMixerRed</v>
      </c>
      <c r="F2225" s="2" t="s">
        <v>8319</v>
      </c>
      <c r="G2225" s="5" t="s">
        <v>9678</v>
      </c>
      <c r="H2225" s="3" t="s">
        <v>8266</v>
      </c>
      <c r="I2225" s="7"/>
      <c r="J2225" s="8"/>
      <c r="K2225" s="26"/>
      <c r="M2225" s="6" t="str">
        <f>IFERROR(VLOOKUP(H2225,B:J,9,FALSE),"")</f>
        <v>Nicht in XMP Spezifikation, in Beispielen gefunden.</v>
      </c>
      <c r="N2225" s="6"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xml:space="preserve">Suffix not translated </v>
      </c>
      <c r="O2225" s="6" t="s">
        <v>8574</v>
      </c>
    </row>
    <row r="2226" spans="1:16" ht="30" x14ac:dyDescent="0.25">
      <c r="A2226" s="5" t="str">
        <f>IF(TRIM(I2226)="","",E2226)</f>
        <v/>
      </c>
      <c r="B2226" s="5" t="str">
        <f>IF(TRIM(J2226)="","",H2226)</f>
        <v/>
      </c>
      <c r="C2226" s="5" t="str">
        <f>LEFT(F2226,FIND(".",F2226,6))</f>
        <v>Xmp.crs.</v>
      </c>
      <c r="D2226" s="5" t="str">
        <f>VLOOKUP(C2226,PrefixUebersetzung,2,FALSE)</f>
        <v>Xmp.crs.</v>
      </c>
      <c r="E2226" s="5" t="str">
        <f>MID(F2226,FIND(".",F2226,6)+1,99)</f>
        <v>GrayMixerYellow</v>
      </c>
      <c r="F2226" s="2" t="s">
        <v>8320</v>
      </c>
      <c r="G2226" s="5" t="s">
        <v>9678</v>
      </c>
      <c r="H2226" s="3" t="s">
        <v>8266</v>
      </c>
      <c r="I2226" s="7"/>
      <c r="J2226" s="8"/>
      <c r="K2226" s="26"/>
      <c r="M2226" s="6" t="str">
        <f>IFERROR(VLOOKUP(H2226,B:J,9,FALSE),"")</f>
        <v>Nicht in XMP Spezifikation, in Beispielen gefunden.</v>
      </c>
      <c r="N2226" s="6"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v>
      </c>
      <c r="O2226" s="6" t="s">
        <v>8574</v>
      </c>
    </row>
    <row r="2227" spans="1:16" x14ac:dyDescent="0.25">
      <c r="A2227" s="5" t="str">
        <f>IF(TRIM(I2227)="","",E2227)</f>
        <v>GreenHue</v>
      </c>
      <c r="B2227" s="5" t="str">
        <f>IF(TRIM(J2227)="","",H2227)</f>
        <v>"Green Hue" setting. Range -100 to +100.</v>
      </c>
      <c r="C2227" s="5" t="str">
        <f>LEFT(F2227,FIND(".",F2227,6))</f>
        <v>Xmp.crs.</v>
      </c>
      <c r="D2227" s="5" t="str">
        <f>VLOOKUP(C2227,PrefixUebersetzung,2,FALSE)</f>
        <v>Xmp.crs.</v>
      </c>
      <c r="E2227" s="5" t="str">
        <f>MID(F2227,FIND(".",F2227,6)+1,99)</f>
        <v>GreenHue</v>
      </c>
      <c r="F2227" s="5" t="s">
        <v>1668</v>
      </c>
      <c r="G2227" s="5" t="s">
        <v>9678</v>
      </c>
      <c r="H2227" s="6" t="s">
        <v>9696</v>
      </c>
      <c r="I2227" s="7" t="s">
        <v>4512</v>
      </c>
      <c r="J2227" s="14" t="s">
        <v>5532</v>
      </c>
      <c r="K2227" s="26"/>
      <c r="N2227" s="6"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c r="O2227" s="6" t="s">
        <v>8574</v>
      </c>
      <c r="P2227" s="6" t="s">
        <v>8574</v>
      </c>
    </row>
    <row r="2228" spans="1:16" x14ac:dyDescent="0.25">
      <c r="A2228" s="5" t="str">
        <f>IF(TRIM(I2228)="","",E2228)</f>
        <v>GreenSaturation</v>
      </c>
      <c r="B2228" s="5" t="str">
        <f>IF(TRIM(J2228)="","",H2228)</f>
        <v>"Green Saturation" setting. Range -100 to +100.</v>
      </c>
      <c r="C2228" s="5" t="str">
        <f>LEFT(F2228,FIND(".",F2228,6))</f>
        <v>Xmp.crs.</v>
      </c>
      <c r="D2228" s="5" t="str">
        <f>VLOOKUP(C2228,PrefixUebersetzung,2,FALSE)</f>
        <v>Xmp.crs.</v>
      </c>
      <c r="E2228" s="5" t="str">
        <f>MID(F2228,FIND(".",F2228,6)+1,99)</f>
        <v>GreenSaturation</v>
      </c>
      <c r="F2228" s="5" t="s">
        <v>1669</v>
      </c>
      <c r="G2228" s="5" t="s">
        <v>9678</v>
      </c>
      <c r="H2228" s="6" t="s">
        <v>9697</v>
      </c>
      <c r="I2228" s="7" t="s">
        <v>4513</v>
      </c>
      <c r="J2228" s="14" t="s">
        <v>4105</v>
      </c>
      <c r="K2228" s="26"/>
      <c r="N2228" s="6"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c r="O2228" s="6" t="s">
        <v>8574</v>
      </c>
      <c r="P2228" s="6" t="s">
        <v>8574</v>
      </c>
    </row>
    <row r="2229" spans="1:16" x14ac:dyDescent="0.25">
      <c r="A2229" s="5" t="str">
        <f>IF(TRIM(I2229)="","",E2229)</f>
        <v>HasCrop</v>
      </c>
      <c r="B2229" s="5" t="str">
        <f>IF(TRIM(J2229)="","",H2229)</f>
        <v>When true, image has a cropping rectangle.</v>
      </c>
      <c r="C2229" s="5" t="str">
        <f>LEFT(F2229,FIND(".",F2229,6))</f>
        <v>Xmp.crs.</v>
      </c>
      <c r="D2229" s="5" t="str">
        <f>VLOOKUP(C2229,PrefixUebersetzung,2,FALSE)</f>
        <v>Xmp.crs.</v>
      </c>
      <c r="E2229" s="5" t="str">
        <f>MID(F2229,FIND(".",F2229,6)+1,99)</f>
        <v>HasCrop</v>
      </c>
      <c r="F2229" s="5" t="s">
        <v>1670</v>
      </c>
      <c r="G2229" s="5" t="s">
        <v>9678</v>
      </c>
      <c r="H2229" s="6" t="s">
        <v>3331</v>
      </c>
      <c r="I2229" s="7" t="s">
        <v>5077</v>
      </c>
      <c r="J2229" s="14" t="s">
        <v>5533</v>
      </c>
      <c r="K2229" s="26"/>
      <c r="N2229" s="6"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c r="O2229" s="6" t="s">
        <v>8574</v>
      </c>
      <c r="P2229" s="6" t="s">
        <v>8574</v>
      </c>
    </row>
    <row r="2230" spans="1:16" ht="30" x14ac:dyDescent="0.25">
      <c r="A2230" s="5" t="str">
        <f>IF(TRIM(I2230)="","",E2230)</f>
        <v>HasSettings</v>
      </c>
      <c r="B2230" s="5" t="str">
        <f>IF(TRIM(J2230)="","",H2230)</f>
        <v>When true, non-default camera raw settings.</v>
      </c>
      <c r="C2230" s="5" t="str">
        <f>LEFT(F2230,FIND(".",F2230,6))</f>
        <v>Xmp.crs.</v>
      </c>
      <c r="D2230" s="5" t="str">
        <f>VLOOKUP(C2230,PrefixUebersetzung,2,FALSE)</f>
        <v>Xmp.crs.</v>
      </c>
      <c r="E2230" s="5" t="str">
        <f>MID(F2230,FIND(".",F2230,6)+1,99)</f>
        <v>HasSettings</v>
      </c>
      <c r="F2230" s="5" t="s">
        <v>1671</v>
      </c>
      <c r="G2230" s="5" t="s">
        <v>9678</v>
      </c>
      <c r="H2230" s="6" t="s">
        <v>3332</v>
      </c>
      <c r="I2230" s="7" t="s">
        <v>4970</v>
      </c>
      <c r="J2230" s="14" t="s">
        <v>5534</v>
      </c>
      <c r="K2230" s="26"/>
      <c r="N2230" s="6"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c r="O2230" s="6" t="s">
        <v>8574</v>
      </c>
      <c r="P2230" s="6" t="s">
        <v>8574</v>
      </c>
    </row>
    <row r="2231" spans="1:16" ht="30" x14ac:dyDescent="0.25">
      <c r="A2231" s="5" t="str">
        <f>IF(TRIM(I2231)="","",E2231)</f>
        <v/>
      </c>
      <c r="B2231" s="5" t="str">
        <f>IF(TRIM(J2231)="","",H2231)</f>
        <v/>
      </c>
      <c r="C2231" s="5" t="str">
        <f>LEFT(F2231,FIND(".",F2231,6))</f>
        <v>Xmp.crs.</v>
      </c>
      <c r="D2231" s="5" t="str">
        <f>VLOOKUP(C2231,PrefixUebersetzung,2,FALSE)</f>
        <v>Xmp.crs.</v>
      </c>
      <c r="E2231" s="5" t="str">
        <f>MID(F2231,FIND(".",F2231,6)+1,99)</f>
        <v>HighlightRecovery</v>
      </c>
      <c r="F2231" s="2" t="s">
        <v>8321</v>
      </c>
      <c r="G2231" s="5" t="s">
        <v>9678</v>
      </c>
      <c r="H2231" s="3" t="s">
        <v>8266</v>
      </c>
      <c r="I2231" s="7"/>
      <c r="J2231" s="8"/>
      <c r="K2231" s="26"/>
      <c r="M2231" s="6" t="str">
        <f>IFERROR(VLOOKUP(H2231,B:J,9,FALSE),"")</f>
        <v>Nicht in XMP Spezifikation, in Beispielen gefunden.</v>
      </c>
      <c r="N2231" s="6"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xml:space="preserve">Suffix not translated </v>
      </c>
      <c r="O2231" s="6" t="s">
        <v>8574</v>
      </c>
    </row>
    <row r="2232" spans="1:16" ht="30" x14ac:dyDescent="0.25">
      <c r="A2232" s="5" t="str">
        <f>IF(TRIM(I2232)="","",E2232)</f>
        <v/>
      </c>
      <c r="B2232" s="5" t="str">
        <f>IF(TRIM(J2232)="","",H2232)</f>
        <v/>
      </c>
      <c r="C2232" s="5" t="str">
        <f>LEFT(F2232,FIND(".",F2232,6))</f>
        <v>Xmp.crs.</v>
      </c>
      <c r="D2232" s="5" t="str">
        <f>VLOOKUP(C2232,PrefixUebersetzung,2,FALSE)</f>
        <v>Xmp.crs.</v>
      </c>
      <c r="E2232" s="5" t="str">
        <f>MID(F2232,FIND(".",F2232,6)+1,99)</f>
        <v>Highlights2012</v>
      </c>
      <c r="F2232" s="2" t="s">
        <v>8322</v>
      </c>
      <c r="G2232" s="5" t="s">
        <v>9678</v>
      </c>
      <c r="H2232" s="3" t="s">
        <v>8266</v>
      </c>
      <c r="I2232" s="7"/>
      <c r="J2232" s="8"/>
      <c r="K2232" s="26"/>
      <c r="M2232" s="6" t="str">
        <f>IFERROR(VLOOKUP(H2232,B:J,9,FALSE),"")</f>
        <v>Nicht in XMP Spezifikation, in Beispielen gefunden.</v>
      </c>
      <c r="N2232" s="6"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xml:space="preserve">Suffix not translated </v>
      </c>
      <c r="O2232" s="6" t="s">
        <v>8574</v>
      </c>
    </row>
    <row r="2233" spans="1:16" ht="30" x14ac:dyDescent="0.25">
      <c r="A2233" s="5" t="str">
        <f>IF(TRIM(I2233)="","",E2233)</f>
        <v/>
      </c>
      <c r="B2233" s="5" t="str">
        <f>IF(TRIM(J2233)="","",H2233)</f>
        <v/>
      </c>
      <c r="C2233" s="5" t="str">
        <f>LEFT(F2233,FIND(".",F2233,6))</f>
        <v>Xmp.crs.</v>
      </c>
      <c r="D2233" s="5" t="str">
        <f>VLOOKUP(C2233,PrefixUebersetzung,2,FALSE)</f>
        <v>Xmp.crs.</v>
      </c>
      <c r="E2233" s="5" t="str">
        <f>MID(F2233,FIND(".",F2233,6)+1,99)</f>
        <v>HueAdjustmentAqua</v>
      </c>
      <c r="F2233" s="2" t="s">
        <v>8323</v>
      </c>
      <c r="G2233" s="5" t="s">
        <v>9678</v>
      </c>
      <c r="H2233" s="3" t="s">
        <v>8266</v>
      </c>
      <c r="I2233" s="7"/>
      <c r="J2233" s="8"/>
      <c r="K2233" s="26"/>
      <c r="M2233" s="6" t="str">
        <f>IFERROR(VLOOKUP(H2233,B:J,9,FALSE),"")</f>
        <v>Nicht in XMP Spezifikation, in Beispielen gefunden.</v>
      </c>
      <c r="N2233" s="6"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xml:space="preserve">Suffix not translated </v>
      </c>
      <c r="O2233" s="6" t="s">
        <v>8574</v>
      </c>
    </row>
    <row r="2234" spans="1:16" ht="30" x14ac:dyDescent="0.25">
      <c r="A2234" s="5" t="str">
        <f>IF(TRIM(I2234)="","",E2234)</f>
        <v/>
      </c>
      <c r="B2234" s="5" t="str">
        <f>IF(TRIM(J2234)="","",H2234)</f>
        <v/>
      </c>
      <c r="C2234" s="5" t="str">
        <f>LEFT(F2234,FIND(".",F2234,6))</f>
        <v>Xmp.crs.</v>
      </c>
      <c r="D2234" s="5" t="str">
        <f>VLOOKUP(C2234,PrefixUebersetzung,2,FALSE)</f>
        <v>Xmp.crs.</v>
      </c>
      <c r="E2234" s="5" t="str">
        <f>MID(F2234,FIND(".",F2234,6)+1,99)</f>
        <v>HueAdjustmentBlue</v>
      </c>
      <c r="F2234" s="2" t="s">
        <v>8324</v>
      </c>
      <c r="G2234" s="5" t="s">
        <v>9678</v>
      </c>
      <c r="H2234" s="3" t="s">
        <v>8266</v>
      </c>
      <c r="I2234" s="7"/>
      <c r="J2234" s="8"/>
      <c r="K2234" s="26"/>
      <c r="M2234" s="6" t="str">
        <f>IFERROR(VLOOKUP(H2234,B:J,9,FALSE),"")</f>
        <v>Nicht in XMP Spezifikation, in Beispielen gefunden.</v>
      </c>
      <c r="N2234" s="6"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xml:space="preserve">Suffix not translated </v>
      </c>
      <c r="O2234" s="6" t="s">
        <v>8574</v>
      </c>
    </row>
    <row r="2235" spans="1:16" ht="30" x14ac:dyDescent="0.25">
      <c r="A2235" s="5" t="str">
        <f>IF(TRIM(I2235)="","",E2235)</f>
        <v/>
      </c>
      <c r="B2235" s="5" t="str">
        <f>IF(TRIM(J2235)="","",H2235)</f>
        <v/>
      </c>
      <c r="C2235" s="5" t="str">
        <f>LEFT(F2235,FIND(".",F2235,6))</f>
        <v>Xmp.crs.</v>
      </c>
      <c r="D2235" s="5" t="str">
        <f>VLOOKUP(C2235,PrefixUebersetzung,2,FALSE)</f>
        <v>Xmp.crs.</v>
      </c>
      <c r="E2235" s="5" t="str">
        <f>MID(F2235,FIND(".",F2235,6)+1,99)</f>
        <v>HueAdjustmentGreen</v>
      </c>
      <c r="F2235" s="2" t="s">
        <v>8325</v>
      </c>
      <c r="G2235" s="5" t="s">
        <v>9678</v>
      </c>
      <c r="H2235" s="3" t="s">
        <v>8266</v>
      </c>
      <c r="I2235" s="7"/>
      <c r="J2235" s="8"/>
      <c r="K2235" s="26"/>
      <c r="M2235" s="6" t="str">
        <f>IFERROR(VLOOKUP(H2235,B:J,9,FALSE),"")</f>
        <v>Nicht in XMP Spezifikation, in Beispielen gefunden.</v>
      </c>
      <c r="N2235" s="6"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xml:space="preserve">Suffix not translated </v>
      </c>
      <c r="O2235" s="6" t="s">
        <v>8574</v>
      </c>
    </row>
    <row r="2236" spans="1:16" ht="30" x14ac:dyDescent="0.25">
      <c r="A2236" s="5" t="str">
        <f>IF(TRIM(I2236)="","",E2236)</f>
        <v/>
      </c>
      <c r="B2236" s="5" t="str">
        <f>IF(TRIM(J2236)="","",H2236)</f>
        <v/>
      </c>
      <c r="C2236" s="5" t="str">
        <f>LEFT(F2236,FIND(".",F2236,6))</f>
        <v>Xmp.crs.</v>
      </c>
      <c r="D2236" s="5" t="str">
        <f>VLOOKUP(C2236,PrefixUebersetzung,2,FALSE)</f>
        <v>Xmp.crs.</v>
      </c>
      <c r="E2236" s="5" t="str">
        <f>MID(F2236,FIND(".",F2236,6)+1,99)</f>
        <v>HueAdjustmentMagenta</v>
      </c>
      <c r="F2236" s="2" t="s">
        <v>8326</v>
      </c>
      <c r="G2236" s="5" t="s">
        <v>9678</v>
      </c>
      <c r="H2236" s="3" t="s">
        <v>8266</v>
      </c>
      <c r="I2236" s="7"/>
      <c r="J2236" s="8"/>
      <c r="K2236" s="26"/>
      <c r="M2236" s="6" t="str">
        <f>IFERROR(VLOOKUP(H2236,B:J,9,FALSE),"")</f>
        <v>Nicht in XMP Spezifikation, in Beispielen gefunden.</v>
      </c>
      <c r="N2236" s="6"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xml:space="preserve">Suffix not translated </v>
      </c>
      <c r="O2236" s="6" t="s">
        <v>8574</v>
      </c>
    </row>
    <row r="2237" spans="1:16" ht="30" x14ac:dyDescent="0.25">
      <c r="A2237" s="5" t="str">
        <f>IF(TRIM(I2237)="","",E2237)</f>
        <v/>
      </c>
      <c r="B2237" s="5" t="str">
        <f>IF(TRIM(J2237)="","",H2237)</f>
        <v/>
      </c>
      <c r="C2237" s="5" t="str">
        <f>LEFT(F2237,FIND(".",F2237,6))</f>
        <v>Xmp.crs.</v>
      </c>
      <c r="D2237" s="5" t="str">
        <f>VLOOKUP(C2237,PrefixUebersetzung,2,FALSE)</f>
        <v>Xmp.crs.</v>
      </c>
      <c r="E2237" s="5" t="str">
        <f>MID(F2237,FIND(".",F2237,6)+1,99)</f>
        <v>HueAdjustmentOrange</v>
      </c>
      <c r="F2237" s="2" t="s">
        <v>8327</v>
      </c>
      <c r="G2237" s="5" t="s">
        <v>9678</v>
      </c>
      <c r="H2237" s="3" t="s">
        <v>8266</v>
      </c>
      <c r="I2237" s="7"/>
      <c r="J2237" s="8"/>
      <c r="K2237" s="26"/>
      <c r="M2237" s="6" t="str">
        <f>IFERROR(VLOOKUP(H2237,B:J,9,FALSE),"")</f>
        <v>Nicht in XMP Spezifikation, in Beispielen gefunden.</v>
      </c>
      <c r="N2237" s="6"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xml:space="preserve">Suffix not translated </v>
      </c>
      <c r="O2237" s="6" t="s">
        <v>8574</v>
      </c>
    </row>
    <row r="2238" spans="1:16" ht="30" x14ac:dyDescent="0.25">
      <c r="A2238" s="5" t="str">
        <f>IF(TRIM(I2238)="","",E2238)</f>
        <v/>
      </c>
      <c r="B2238" s="5" t="str">
        <f>IF(TRIM(J2238)="","",H2238)</f>
        <v/>
      </c>
      <c r="C2238" s="5" t="str">
        <f>LEFT(F2238,FIND(".",F2238,6))</f>
        <v>Xmp.crs.</v>
      </c>
      <c r="D2238" s="5" t="str">
        <f>VLOOKUP(C2238,PrefixUebersetzung,2,FALSE)</f>
        <v>Xmp.crs.</v>
      </c>
      <c r="E2238" s="5" t="str">
        <f>MID(F2238,FIND(".",F2238,6)+1,99)</f>
        <v>HueAdjustmentPurple</v>
      </c>
      <c r="F2238" s="2" t="s">
        <v>8328</v>
      </c>
      <c r="G2238" s="5" t="s">
        <v>9678</v>
      </c>
      <c r="H2238" s="3" t="s">
        <v>8266</v>
      </c>
      <c r="I2238" s="7"/>
      <c r="J2238" s="8"/>
      <c r="K2238" s="26"/>
      <c r="M2238" s="6" t="str">
        <f>IFERROR(VLOOKUP(H2238,B:J,9,FALSE),"")</f>
        <v>Nicht in XMP Spezifikation, in Beispielen gefunden.</v>
      </c>
      <c r="N2238" s="6"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xml:space="preserve">Suffix not translated </v>
      </c>
      <c r="O2238" s="6" t="s">
        <v>8574</v>
      </c>
    </row>
    <row r="2239" spans="1:16" ht="30" x14ac:dyDescent="0.25">
      <c r="A2239" s="5" t="str">
        <f>IF(TRIM(I2239)="","",E2239)</f>
        <v/>
      </c>
      <c r="B2239" s="5" t="str">
        <f>IF(TRIM(J2239)="","",H2239)</f>
        <v/>
      </c>
      <c r="C2239" s="5" t="str">
        <f>LEFT(F2239,FIND(".",F2239,6))</f>
        <v>Xmp.crs.</v>
      </c>
      <c r="D2239" s="5" t="str">
        <f>VLOOKUP(C2239,PrefixUebersetzung,2,FALSE)</f>
        <v>Xmp.crs.</v>
      </c>
      <c r="E2239" s="5" t="str">
        <f>MID(F2239,FIND(".",F2239,6)+1,99)</f>
        <v>HueAdjustmentRed</v>
      </c>
      <c r="F2239" s="2" t="s">
        <v>8329</v>
      </c>
      <c r="G2239" s="5" t="s">
        <v>9678</v>
      </c>
      <c r="H2239" s="3" t="s">
        <v>8266</v>
      </c>
      <c r="I2239" s="7"/>
      <c r="J2239" s="8"/>
      <c r="K2239" s="26"/>
      <c r="M2239" s="6" t="str">
        <f>IFERROR(VLOOKUP(H2239,B:J,9,FALSE),"")</f>
        <v>Nicht in XMP Spezifikation, in Beispielen gefunden.</v>
      </c>
      <c r="N2239" s="6"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xml:space="preserve">Suffix not translated </v>
      </c>
      <c r="O2239" s="6" t="s">
        <v>8574</v>
      </c>
    </row>
    <row r="2240" spans="1:16" ht="30" x14ac:dyDescent="0.25">
      <c r="A2240" s="5" t="str">
        <f>IF(TRIM(I2240)="","",E2240)</f>
        <v/>
      </c>
      <c r="B2240" s="5" t="str">
        <f>IF(TRIM(J2240)="","",H2240)</f>
        <v/>
      </c>
      <c r="C2240" s="5" t="str">
        <f>LEFT(F2240,FIND(".",F2240,6))</f>
        <v>Xmp.crs.</v>
      </c>
      <c r="D2240" s="5" t="str">
        <f>VLOOKUP(C2240,PrefixUebersetzung,2,FALSE)</f>
        <v>Xmp.crs.</v>
      </c>
      <c r="E2240" s="5" t="str">
        <f>MID(F2240,FIND(".",F2240,6)+1,99)</f>
        <v>HueAdjustmentYellow</v>
      </c>
      <c r="F2240" s="2" t="s">
        <v>8330</v>
      </c>
      <c r="G2240" s="5" t="s">
        <v>9678</v>
      </c>
      <c r="H2240" s="3" t="s">
        <v>8266</v>
      </c>
      <c r="I2240" s="7"/>
      <c r="J2240" s="8"/>
      <c r="K2240" s="26"/>
      <c r="M2240" s="6" t="str">
        <f>IFERROR(VLOOKUP(H2240,B:J,9,FALSE),"")</f>
        <v>Nicht in XMP Spezifikation, in Beispielen gefunden.</v>
      </c>
      <c r="N2240" s="6"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v>
      </c>
      <c r="O2240" s="6" t="s">
        <v>8574</v>
      </c>
    </row>
    <row r="2241" spans="1:15" ht="30" x14ac:dyDescent="0.25">
      <c r="A2241" s="5" t="str">
        <f>IF(TRIM(I2241)="","",E2241)</f>
        <v/>
      </c>
      <c r="B2241" s="5" t="str">
        <f>IF(TRIM(J2241)="","",H2241)</f>
        <v/>
      </c>
      <c r="C2241" s="5" t="str">
        <f>LEFT(F2241,FIND(".",F2241,6))</f>
        <v>Xmp.crs.</v>
      </c>
      <c r="D2241" s="5" t="str">
        <f>VLOOKUP(C2241,PrefixUebersetzung,2,FALSE)</f>
        <v>Xmp.crs.</v>
      </c>
      <c r="E2241" s="5" t="str">
        <f>MID(F2241,FIND(".",F2241,6)+1,99)</f>
        <v>IncrementalTemperature</v>
      </c>
      <c r="F2241" s="2" t="s">
        <v>8331</v>
      </c>
      <c r="G2241" s="5" t="s">
        <v>9678</v>
      </c>
      <c r="H2241" s="3" t="s">
        <v>8266</v>
      </c>
      <c r="I2241" s="7"/>
      <c r="J2241" s="8"/>
      <c r="K2241" s="26"/>
      <c r="M2241" s="6" t="str">
        <f>IFERROR(VLOOKUP(H2241,B:J,9,FALSE),"")</f>
        <v>Nicht in XMP Spezifikation, in Beispielen gefunden.</v>
      </c>
      <c r="N2241" s="6"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xml:space="preserve">Suffix not translated </v>
      </c>
      <c r="O2241" s="6" t="s">
        <v>8574</v>
      </c>
    </row>
    <row r="2242" spans="1:15" ht="30" x14ac:dyDescent="0.25">
      <c r="A2242" s="5" t="str">
        <f>IF(TRIM(I2242)="","",E2242)</f>
        <v/>
      </c>
      <c r="B2242" s="5" t="str">
        <f>IF(TRIM(J2242)="","",H2242)</f>
        <v/>
      </c>
      <c r="C2242" s="5" t="str">
        <f>LEFT(F2242,FIND(".",F2242,6))</f>
        <v>Xmp.crs.</v>
      </c>
      <c r="D2242" s="5" t="str">
        <f>VLOOKUP(C2242,PrefixUebersetzung,2,FALSE)</f>
        <v>Xmp.crs.</v>
      </c>
      <c r="E2242" s="5" t="str">
        <f>MID(F2242,FIND(".",F2242,6)+1,99)</f>
        <v>IncrementalTint</v>
      </c>
      <c r="F2242" s="2" t="s">
        <v>8332</v>
      </c>
      <c r="G2242" s="5" t="s">
        <v>9678</v>
      </c>
      <c r="H2242" s="3" t="s">
        <v>8266</v>
      </c>
      <c r="I2242" s="7"/>
      <c r="J2242" s="8"/>
      <c r="K2242" s="26"/>
      <c r="M2242" s="6" t="str">
        <f>IFERROR(VLOOKUP(H2242,B:J,9,FALSE),"")</f>
        <v>Nicht in XMP Spezifikation, in Beispielen gefunden.</v>
      </c>
      <c r="N2242" s="6"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xml:space="preserve">Suffix not translated </v>
      </c>
      <c r="O2242" s="6" t="s">
        <v>8574</v>
      </c>
    </row>
    <row r="2243" spans="1:15" ht="30" x14ac:dyDescent="0.25">
      <c r="A2243" s="5" t="str">
        <f>IF(TRIM(I2243)="","",E2243)</f>
        <v/>
      </c>
      <c r="B2243" s="5" t="str">
        <f>IF(TRIM(J2243)="","",H2243)</f>
        <v/>
      </c>
      <c r="C2243" s="5" t="str">
        <f>LEFT(F2243,FIND(".",F2243,6))</f>
        <v>Xmp.crs.</v>
      </c>
      <c r="D2243" s="5" t="str">
        <f>VLOOKUP(C2243,PrefixUebersetzung,2,FALSE)</f>
        <v>Xmp.crs.</v>
      </c>
      <c r="E2243" s="5" t="str">
        <f>MID(F2243,FIND(".",F2243,6)+1,99)</f>
        <v>JPEGHandling</v>
      </c>
      <c r="F2243" s="2" t="s">
        <v>8333</v>
      </c>
      <c r="G2243" s="5" t="s">
        <v>9678</v>
      </c>
      <c r="H2243" s="3" t="s">
        <v>8266</v>
      </c>
      <c r="I2243" s="7"/>
      <c r="J2243" s="8"/>
      <c r="K2243" s="26"/>
      <c r="M2243" s="6" t="str">
        <f>IFERROR(VLOOKUP(H2243,B:J,9,FALSE),"")</f>
        <v>Nicht in XMP Spezifikation, in Beispielen gefunden.</v>
      </c>
      <c r="N2243" s="6"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xml:space="preserve">Suffix not translated </v>
      </c>
      <c r="O2243" s="6" t="s">
        <v>8574</v>
      </c>
    </row>
    <row r="2244" spans="1:15" ht="30" x14ac:dyDescent="0.25">
      <c r="A2244" s="5" t="str">
        <f>IF(TRIM(I2244)="","",E2244)</f>
        <v/>
      </c>
      <c r="B2244" s="5" t="str">
        <f>IF(TRIM(J2244)="","",H2244)</f>
        <v/>
      </c>
      <c r="C2244" s="5" t="str">
        <f>LEFT(F2244,FIND(".",F2244,6))</f>
        <v>Xmp.crs.</v>
      </c>
      <c r="D2244" s="5" t="str">
        <f>VLOOKUP(C2244,PrefixUebersetzung,2,FALSE)</f>
        <v>Xmp.crs.</v>
      </c>
      <c r="E2244" s="5" t="str">
        <f>MID(F2244,FIND(".",F2244,6)+1,99)</f>
        <v>Left</v>
      </c>
      <c r="F2244" s="2" t="s">
        <v>8334</v>
      </c>
      <c r="G2244" s="5" t="s">
        <v>9678</v>
      </c>
      <c r="H2244" s="3" t="s">
        <v>8266</v>
      </c>
      <c r="I2244" s="7"/>
      <c r="J2244" s="8"/>
      <c r="K2244" s="26"/>
      <c r="M2244" s="6" t="str">
        <f>IFERROR(VLOOKUP(H2244,B:J,9,FALSE),"")</f>
        <v>Nicht in XMP Spezifikation, in Beispielen gefunden.</v>
      </c>
      <c r="N2244" s="6"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xml:space="preserve">Suffix not translated </v>
      </c>
      <c r="O2244" s="6" t="s">
        <v>8574</v>
      </c>
    </row>
    <row r="2245" spans="1:15" ht="30" x14ac:dyDescent="0.25">
      <c r="A2245" s="5" t="str">
        <f>IF(TRIM(I2245)="","",E2245)</f>
        <v/>
      </c>
      <c r="B2245" s="5" t="str">
        <f>IF(TRIM(J2245)="","",H2245)</f>
        <v/>
      </c>
      <c r="C2245" s="5" t="str">
        <f>LEFT(F2245,FIND(".",F2245,6))</f>
        <v>Xmp.crs.</v>
      </c>
      <c r="D2245" s="5" t="str">
        <f>VLOOKUP(C2245,PrefixUebersetzung,2,FALSE)</f>
        <v>Xmp.crs.</v>
      </c>
      <c r="E2245" s="5" t="str">
        <f>MID(F2245,FIND(".",F2245,6)+1,99)</f>
        <v>LensManualDistortionAmount</v>
      </c>
      <c r="F2245" s="2" t="s">
        <v>8335</v>
      </c>
      <c r="G2245" s="5" t="s">
        <v>9678</v>
      </c>
      <c r="H2245" s="3" t="s">
        <v>8266</v>
      </c>
      <c r="I2245" s="7"/>
      <c r="J2245" s="8"/>
      <c r="K2245" s="26"/>
      <c r="M2245" s="6" t="str">
        <f>IFERROR(VLOOKUP(H2245,B:J,9,FALSE),"")</f>
        <v>Nicht in XMP Spezifikation, in Beispielen gefunden.</v>
      </c>
      <c r="N2245" s="6"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xml:space="preserve">Suffix not translated </v>
      </c>
      <c r="O2245" s="6" t="s">
        <v>8574</v>
      </c>
    </row>
    <row r="2246" spans="1:15" ht="30" x14ac:dyDescent="0.25">
      <c r="A2246" s="5" t="str">
        <f>IF(TRIM(I2246)="","",E2246)</f>
        <v/>
      </c>
      <c r="B2246" s="5" t="str">
        <f>IF(TRIM(J2246)="","",H2246)</f>
        <v/>
      </c>
      <c r="C2246" s="5" t="str">
        <f>LEFT(F2246,FIND(".",F2246,6))</f>
        <v>Xmp.crs.</v>
      </c>
      <c r="D2246" s="5" t="str">
        <f>VLOOKUP(C2246,PrefixUebersetzung,2,FALSE)</f>
        <v>Xmp.crs.</v>
      </c>
      <c r="E2246" s="5" t="str">
        <f>MID(F2246,FIND(".",F2246,6)+1,99)</f>
        <v>LensProfileChromaticAberrationScale</v>
      </c>
      <c r="F2246" s="2" t="s">
        <v>8336</v>
      </c>
      <c r="G2246" s="5" t="s">
        <v>9678</v>
      </c>
      <c r="H2246" s="3" t="s">
        <v>8266</v>
      </c>
      <c r="I2246" s="7"/>
      <c r="J2246" s="8"/>
      <c r="K2246" s="26"/>
      <c r="M2246" s="6" t="str">
        <f>IFERROR(VLOOKUP(H2246,B:J,9,FALSE),"")</f>
        <v>Nicht in XMP Spezifikation, in Beispielen gefunden.</v>
      </c>
      <c r="N2246" s="6"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xml:space="preserve">Suffix not translated </v>
      </c>
      <c r="O2246" s="6" t="s">
        <v>8574</v>
      </c>
    </row>
    <row r="2247" spans="1:15" ht="30" x14ac:dyDescent="0.25">
      <c r="A2247" s="5" t="str">
        <f>IF(TRIM(I2247)="","",E2247)</f>
        <v/>
      </c>
      <c r="B2247" s="5" t="str">
        <f>IF(TRIM(J2247)="","",H2247)</f>
        <v/>
      </c>
      <c r="C2247" s="5" t="str">
        <f>LEFT(F2247,FIND(".",F2247,6))</f>
        <v>Xmp.crs.</v>
      </c>
      <c r="D2247" s="5" t="str">
        <f>VLOOKUP(C2247,PrefixUebersetzung,2,FALSE)</f>
        <v>Xmp.crs.</v>
      </c>
      <c r="E2247" s="5" t="str">
        <f>MID(F2247,FIND(".",F2247,6)+1,99)</f>
        <v>LensProfileDigest</v>
      </c>
      <c r="F2247" s="2" t="s">
        <v>8337</v>
      </c>
      <c r="G2247" s="5" t="s">
        <v>9678</v>
      </c>
      <c r="H2247" s="3" t="s">
        <v>8266</v>
      </c>
      <c r="I2247" s="7"/>
      <c r="J2247" s="8"/>
      <c r="K2247" s="26"/>
      <c r="M2247" s="6" t="str">
        <f>IFERROR(VLOOKUP(H2247,B:J,9,FALSE),"")</f>
        <v>Nicht in XMP Spezifikation, in Beispielen gefunden.</v>
      </c>
      <c r="N2247" s="6"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xml:space="preserve">Suffix not translated </v>
      </c>
      <c r="O2247" s="6" t="s">
        <v>8574</v>
      </c>
    </row>
    <row r="2248" spans="1:15" ht="30" x14ac:dyDescent="0.25">
      <c r="A2248" s="5" t="str">
        <f>IF(TRIM(I2248)="","",E2248)</f>
        <v/>
      </c>
      <c r="B2248" s="5" t="str">
        <f>IF(TRIM(J2248)="","",H2248)</f>
        <v/>
      </c>
      <c r="C2248" s="5" t="str">
        <f>LEFT(F2248,FIND(".",F2248,6))</f>
        <v>Xmp.crs.</v>
      </c>
      <c r="D2248" s="5" t="str">
        <f>VLOOKUP(C2248,PrefixUebersetzung,2,FALSE)</f>
        <v>Xmp.crs.</v>
      </c>
      <c r="E2248" s="5" t="str">
        <f>MID(F2248,FIND(".",F2248,6)+1,99)</f>
        <v>LensProfileDistortionScale</v>
      </c>
      <c r="F2248" s="2" t="s">
        <v>8338</v>
      </c>
      <c r="G2248" s="5" t="s">
        <v>9678</v>
      </c>
      <c r="H2248" s="3" t="s">
        <v>8266</v>
      </c>
      <c r="I2248" s="7"/>
      <c r="J2248" s="8"/>
      <c r="K2248" s="26"/>
      <c r="M2248" s="6" t="str">
        <f>IFERROR(VLOOKUP(H2248,B:J,9,FALSE),"")</f>
        <v>Nicht in XMP Spezifikation, in Beispielen gefunden.</v>
      </c>
      <c r="N2248" s="6"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xml:space="preserve">Suffix not translated </v>
      </c>
      <c r="O2248" s="6" t="s">
        <v>8574</v>
      </c>
    </row>
    <row r="2249" spans="1:15" ht="30" x14ac:dyDescent="0.25">
      <c r="A2249" s="5" t="str">
        <f>IF(TRIM(I2249)="","",E2249)</f>
        <v/>
      </c>
      <c r="B2249" s="5" t="str">
        <f>IF(TRIM(J2249)="","",H2249)</f>
        <v/>
      </c>
      <c r="C2249" s="5" t="str">
        <f>LEFT(F2249,FIND(".",F2249,6))</f>
        <v>Xmp.crs.</v>
      </c>
      <c r="D2249" s="5" t="str">
        <f>VLOOKUP(C2249,PrefixUebersetzung,2,FALSE)</f>
        <v>Xmp.crs.</v>
      </c>
      <c r="E2249" s="5" t="str">
        <f>MID(F2249,FIND(".",F2249,6)+1,99)</f>
        <v>LensProfileEnable</v>
      </c>
      <c r="F2249" s="2" t="s">
        <v>8339</v>
      </c>
      <c r="G2249" s="5" t="s">
        <v>9678</v>
      </c>
      <c r="H2249" s="3" t="s">
        <v>8266</v>
      </c>
      <c r="I2249" s="7"/>
      <c r="J2249" s="8"/>
      <c r="K2249" s="26"/>
      <c r="M2249" s="6" t="str">
        <f>IFERROR(VLOOKUP(H2249,B:J,9,FALSE),"")</f>
        <v>Nicht in XMP Spezifikation, in Beispielen gefunden.</v>
      </c>
      <c r="N2249" s="6"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xml:space="preserve">Suffix not translated </v>
      </c>
      <c r="O2249" s="6" t="s">
        <v>8574</v>
      </c>
    </row>
    <row r="2250" spans="1:15" ht="30" x14ac:dyDescent="0.25">
      <c r="A2250" s="5" t="str">
        <f>IF(TRIM(I2250)="","",E2250)</f>
        <v/>
      </c>
      <c r="B2250" s="5" t="str">
        <f>IF(TRIM(J2250)="","",H2250)</f>
        <v/>
      </c>
      <c r="C2250" s="5" t="str">
        <f>LEFT(F2250,FIND(".",F2250,6))</f>
        <v>Xmp.crs.</v>
      </c>
      <c r="D2250" s="5" t="str">
        <f>VLOOKUP(C2250,PrefixUebersetzung,2,FALSE)</f>
        <v>Xmp.crs.</v>
      </c>
      <c r="E2250" s="5" t="str">
        <f>MID(F2250,FIND(".",F2250,6)+1,99)</f>
        <v>LensProfileFilename</v>
      </c>
      <c r="F2250" s="2" t="s">
        <v>8340</v>
      </c>
      <c r="G2250" s="5" t="s">
        <v>9678</v>
      </c>
      <c r="H2250" s="3" t="s">
        <v>8266</v>
      </c>
      <c r="I2250" s="7"/>
      <c r="J2250" s="8"/>
      <c r="K2250" s="26"/>
      <c r="M2250" s="6" t="str">
        <f>IFERROR(VLOOKUP(H2250,B:J,9,FALSE),"")</f>
        <v>Nicht in XMP Spezifikation, in Beispielen gefunden.</v>
      </c>
      <c r="N2250" s="6"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xml:space="preserve">Suffix not translated </v>
      </c>
      <c r="O2250" s="6" t="s">
        <v>8574</v>
      </c>
    </row>
    <row r="2251" spans="1:15" ht="30" x14ac:dyDescent="0.25">
      <c r="A2251" s="5" t="str">
        <f>IF(TRIM(I2251)="","",E2251)</f>
        <v/>
      </c>
      <c r="B2251" s="5" t="str">
        <f>IF(TRIM(J2251)="","",H2251)</f>
        <v/>
      </c>
      <c r="C2251" s="5" t="str">
        <f>LEFT(F2251,FIND(".",F2251,6))</f>
        <v>Xmp.crs.</v>
      </c>
      <c r="D2251" s="5" t="str">
        <f>VLOOKUP(C2251,PrefixUebersetzung,2,FALSE)</f>
        <v>Xmp.crs.</v>
      </c>
      <c r="E2251" s="5" t="str">
        <f>MID(F2251,FIND(".",F2251,6)+1,99)</f>
        <v>LensProfileMatchKeyCameraModelName</v>
      </c>
      <c r="F2251" s="2" t="s">
        <v>8341</v>
      </c>
      <c r="G2251" s="5" t="s">
        <v>9678</v>
      </c>
      <c r="H2251" s="3" t="s">
        <v>8266</v>
      </c>
      <c r="I2251" s="7"/>
      <c r="J2251" s="8"/>
      <c r="K2251" s="26"/>
      <c r="M2251" s="6" t="str">
        <f>IFERROR(VLOOKUP(H2251,B:J,9,FALSE),"")</f>
        <v>Nicht in XMP Spezifikation, in Beispielen gefunden.</v>
      </c>
      <c r="N2251" s="6"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xml:space="preserve">Suffix not translated </v>
      </c>
      <c r="O2251" s="6" t="s">
        <v>8574</v>
      </c>
    </row>
    <row r="2252" spans="1:15" ht="30" x14ac:dyDescent="0.25">
      <c r="A2252" s="5" t="str">
        <f>IF(TRIM(I2252)="","",E2252)</f>
        <v/>
      </c>
      <c r="B2252" s="5" t="str">
        <f>IF(TRIM(J2252)="","",H2252)</f>
        <v/>
      </c>
      <c r="C2252" s="5" t="str">
        <f>LEFT(F2252,FIND(".",F2252,6))</f>
        <v>Xmp.crs.</v>
      </c>
      <c r="D2252" s="5" t="str">
        <f>VLOOKUP(C2252,PrefixUebersetzung,2,FALSE)</f>
        <v>Xmp.crs.</v>
      </c>
      <c r="E2252" s="5" t="str">
        <f>MID(F2252,FIND(".",F2252,6)+1,99)</f>
        <v>LensProfileMatchKeyExifMake</v>
      </c>
      <c r="F2252" s="2" t="s">
        <v>8342</v>
      </c>
      <c r="G2252" s="5" t="s">
        <v>9678</v>
      </c>
      <c r="H2252" s="3" t="s">
        <v>8266</v>
      </c>
      <c r="I2252" s="7"/>
      <c r="J2252" s="8"/>
      <c r="K2252" s="26"/>
      <c r="M2252" s="6" t="str">
        <f>IFERROR(VLOOKUP(H2252,B:J,9,FALSE),"")</f>
        <v>Nicht in XMP Spezifikation, in Beispielen gefunden.</v>
      </c>
      <c r="N2252" s="6"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xml:space="preserve">Suffix not translated </v>
      </c>
      <c r="O2252" s="6" t="s">
        <v>8574</v>
      </c>
    </row>
    <row r="2253" spans="1:15" ht="30" x14ac:dyDescent="0.25">
      <c r="A2253" s="5" t="str">
        <f>IF(TRIM(I2253)="","",E2253)</f>
        <v/>
      </c>
      <c r="B2253" s="5" t="str">
        <f>IF(TRIM(J2253)="","",H2253)</f>
        <v/>
      </c>
      <c r="C2253" s="5" t="str">
        <f>LEFT(F2253,FIND(".",F2253,6))</f>
        <v>Xmp.crs.</v>
      </c>
      <c r="D2253" s="5" t="str">
        <f>VLOOKUP(C2253,PrefixUebersetzung,2,FALSE)</f>
        <v>Xmp.crs.</v>
      </c>
      <c r="E2253" s="5" t="str">
        <f>MID(F2253,FIND(".",F2253,6)+1,99)</f>
        <v>LensProfileMatchKeyExifModel</v>
      </c>
      <c r="F2253" s="2" t="s">
        <v>8343</v>
      </c>
      <c r="G2253" s="5" t="s">
        <v>9678</v>
      </c>
      <c r="H2253" s="3" t="s">
        <v>8266</v>
      </c>
      <c r="I2253" s="7"/>
      <c r="J2253" s="8"/>
      <c r="K2253" s="26"/>
      <c r="M2253" s="6" t="str">
        <f>IFERROR(VLOOKUP(H2253,B:J,9,FALSE),"")</f>
        <v>Nicht in XMP Spezifikation, in Beispielen gefunden.</v>
      </c>
      <c r="N2253" s="6"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xml:space="preserve">Suffix not translated </v>
      </c>
      <c r="O2253" s="6" t="s">
        <v>8574</v>
      </c>
    </row>
    <row r="2254" spans="1:15" ht="30" x14ac:dyDescent="0.25">
      <c r="A2254" s="5" t="str">
        <f>IF(TRIM(I2254)="","",E2254)</f>
        <v/>
      </c>
      <c r="B2254" s="5" t="str">
        <f>IF(TRIM(J2254)="","",H2254)</f>
        <v/>
      </c>
      <c r="C2254" s="5" t="str">
        <f>LEFT(F2254,FIND(".",F2254,6))</f>
        <v>Xmp.crs.</v>
      </c>
      <c r="D2254" s="5" t="str">
        <f>VLOOKUP(C2254,PrefixUebersetzung,2,FALSE)</f>
        <v>Xmp.crs.</v>
      </c>
      <c r="E2254" s="5" t="str">
        <f>MID(F2254,FIND(".",F2254,6)+1,99)</f>
        <v>LensProfileMatchKeyIsRaw</v>
      </c>
      <c r="F2254" s="2" t="s">
        <v>8344</v>
      </c>
      <c r="G2254" s="5" t="s">
        <v>9678</v>
      </c>
      <c r="H2254" s="3" t="s">
        <v>8266</v>
      </c>
      <c r="I2254" s="7"/>
      <c r="J2254" s="8"/>
      <c r="K2254" s="26"/>
      <c r="M2254" s="6" t="str">
        <f>IFERROR(VLOOKUP(H2254,B:J,9,FALSE),"")</f>
        <v>Nicht in XMP Spezifikation, in Beispielen gefunden.</v>
      </c>
      <c r="N2254" s="6"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xml:space="preserve">Suffix not translated </v>
      </c>
      <c r="O2254" s="6" t="s">
        <v>8574</v>
      </c>
    </row>
    <row r="2255" spans="1:15" ht="30" x14ac:dyDescent="0.25">
      <c r="A2255" s="5" t="str">
        <f>IF(TRIM(I2255)="","",E2255)</f>
        <v/>
      </c>
      <c r="B2255" s="5" t="str">
        <f>IF(TRIM(J2255)="","",H2255)</f>
        <v/>
      </c>
      <c r="C2255" s="5" t="str">
        <f>LEFT(F2255,FIND(".",F2255,6))</f>
        <v>Xmp.crs.</v>
      </c>
      <c r="D2255" s="5" t="str">
        <f>VLOOKUP(C2255,PrefixUebersetzung,2,FALSE)</f>
        <v>Xmp.crs.</v>
      </c>
      <c r="E2255" s="5" t="str">
        <f>MID(F2255,FIND(".",F2255,6)+1,99)</f>
        <v>LensProfileMatchKeyLensID</v>
      </c>
      <c r="F2255" s="2" t="s">
        <v>8345</v>
      </c>
      <c r="G2255" s="5" t="s">
        <v>9678</v>
      </c>
      <c r="H2255" s="3" t="s">
        <v>8266</v>
      </c>
      <c r="I2255" s="7"/>
      <c r="J2255" s="8"/>
      <c r="K2255" s="26"/>
      <c r="M2255" s="6" t="str">
        <f>IFERROR(VLOOKUP(H2255,B:J,9,FALSE),"")</f>
        <v>Nicht in XMP Spezifikation, in Beispielen gefunden.</v>
      </c>
      <c r="N2255" s="6"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xml:space="preserve">Suffix not translated </v>
      </c>
      <c r="O2255" s="6" t="s">
        <v>8574</v>
      </c>
    </row>
    <row r="2256" spans="1:15" ht="30" x14ac:dyDescent="0.25">
      <c r="A2256" s="5" t="str">
        <f>IF(TRIM(I2256)="","",E2256)</f>
        <v/>
      </c>
      <c r="B2256" s="5" t="str">
        <f>IF(TRIM(J2256)="","",H2256)</f>
        <v/>
      </c>
      <c r="C2256" s="5" t="str">
        <f>LEFT(F2256,FIND(".",F2256,6))</f>
        <v>Xmp.crs.</v>
      </c>
      <c r="D2256" s="5" t="str">
        <f>VLOOKUP(C2256,PrefixUebersetzung,2,FALSE)</f>
        <v>Xmp.crs.</v>
      </c>
      <c r="E2256" s="5" t="str">
        <f>MID(F2256,FIND(".",F2256,6)+1,99)</f>
        <v>LensProfileMatchKeyLensInfo</v>
      </c>
      <c r="F2256" s="2" t="s">
        <v>8346</v>
      </c>
      <c r="G2256" s="5" t="s">
        <v>9678</v>
      </c>
      <c r="H2256" s="3" t="s">
        <v>8266</v>
      </c>
      <c r="I2256" s="7"/>
      <c r="J2256" s="8"/>
      <c r="K2256" s="26"/>
      <c r="M2256" s="6" t="str">
        <f>IFERROR(VLOOKUP(H2256,B:J,9,FALSE),"")</f>
        <v>Nicht in XMP Spezifikation, in Beispielen gefunden.</v>
      </c>
      <c r="N2256" s="6"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xml:space="preserve">Suffix not translated </v>
      </c>
      <c r="O2256" s="6" t="s">
        <v>8574</v>
      </c>
    </row>
    <row r="2257" spans="1:16" ht="30" x14ac:dyDescent="0.25">
      <c r="A2257" s="5" t="str">
        <f>IF(TRIM(I2257)="","",E2257)</f>
        <v/>
      </c>
      <c r="B2257" s="5" t="str">
        <f>IF(TRIM(J2257)="","",H2257)</f>
        <v/>
      </c>
      <c r="C2257" s="5" t="str">
        <f>LEFT(F2257,FIND(".",F2257,6))</f>
        <v>Xmp.crs.</v>
      </c>
      <c r="D2257" s="5" t="str">
        <f>VLOOKUP(C2257,PrefixUebersetzung,2,FALSE)</f>
        <v>Xmp.crs.</v>
      </c>
      <c r="E2257" s="5" t="str">
        <f>MID(F2257,FIND(".",F2257,6)+1,99)</f>
        <v>LensProfileMatchKeyLensName</v>
      </c>
      <c r="F2257" s="2" t="s">
        <v>8347</v>
      </c>
      <c r="G2257" s="5" t="s">
        <v>9678</v>
      </c>
      <c r="H2257" s="3" t="s">
        <v>8266</v>
      </c>
      <c r="I2257" s="7"/>
      <c r="J2257" s="8"/>
      <c r="K2257" s="26"/>
      <c r="M2257" s="6" t="str">
        <f>IFERROR(VLOOKUP(H2257,B:J,9,FALSE),"")</f>
        <v>Nicht in XMP Spezifikation, in Beispielen gefunden.</v>
      </c>
      <c r="N2257" s="6"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xml:space="preserve">Suffix not translated </v>
      </c>
      <c r="O2257" s="6" t="s">
        <v>8574</v>
      </c>
    </row>
    <row r="2258" spans="1:16" ht="30" x14ac:dyDescent="0.25">
      <c r="A2258" s="5" t="str">
        <f>IF(TRIM(I2258)="","",E2258)</f>
        <v/>
      </c>
      <c r="B2258" s="5" t="str">
        <f>IF(TRIM(J2258)="","",H2258)</f>
        <v/>
      </c>
      <c r="C2258" s="5" t="str">
        <f>LEFT(F2258,FIND(".",F2258,6))</f>
        <v>Xmp.crs.</v>
      </c>
      <c r="D2258" s="5" t="str">
        <f>VLOOKUP(C2258,PrefixUebersetzung,2,FALSE)</f>
        <v>Xmp.crs.</v>
      </c>
      <c r="E2258" s="5" t="str">
        <f>MID(F2258,FIND(".",F2258,6)+1,99)</f>
        <v>LensProfileMatchKeySensorFormatFactor</v>
      </c>
      <c r="F2258" s="2" t="s">
        <v>8348</v>
      </c>
      <c r="G2258" s="5" t="s">
        <v>9678</v>
      </c>
      <c r="H2258" s="3" t="s">
        <v>8266</v>
      </c>
      <c r="I2258" s="7"/>
      <c r="J2258" s="8"/>
      <c r="K2258" s="26"/>
      <c r="M2258" s="6" t="str">
        <f>IFERROR(VLOOKUP(H2258,B:J,9,FALSE),"")</f>
        <v>Nicht in XMP Spezifikation, in Beispielen gefunden.</v>
      </c>
      <c r="N2258" s="6"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xml:space="preserve">Suffix not translated </v>
      </c>
      <c r="O2258" s="6" t="s">
        <v>8574</v>
      </c>
    </row>
    <row r="2259" spans="1:16" ht="30" x14ac:dyDescent="0.25">
      <c r="A2259" s="5" t="str">
        <f>IF(TRIM(I2259)="","",E2259)</f>
        <v/>
      </c>
      <c r="B2259" s="5" t="str">
        <f>IF(TRIM(J2259)="","",H2259)</f>
        <v/>
      </c>
      <c r="C2259" s="5" t="str">
        <f>LEFT(F2259,FIND(".",F2259,6))</f>
        <v>Xmp.crs.</v>
      </c>
      <c r="D2259" s="5" t="str">
        <f>VLOOKUP(C2259,PrefixUebersetzung,2,FALSE)</f>
        <v>Xmp.crs.</v>
      </c>
      <c r="E2259" s="5" t="str">
        <f>MID(F2259,FIND(".",F2259,6)+1,99)</f>
        <v>LensProfileName</v>
      </c>
      <c r="F2259" s="2" t="s">
        <v>8349</v>
      </c>
      <c r="G2259" s="5" t="s">
        <v>9678</v>
      </c>
      <c r="H2259" s="3" t="s">
        <v>8266</v>
      </c>
      <c r="I2259" s="7"/>
      <c r="J2259" s="8"/>
      <c r="K2259" s="26"/>
      <c r="M2259" s="6" t="str">
        <f>IFERROR(VLOOKUP(H2259,B:J,9,FALSE),"")</f>
        <v>Nicht in XMP Spezifikation, in Beispielen gefunden.</v>
      </c>
      <c r="N2259" s="6"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xml:space="preserve">Suffix not translated </v>
      </c>
      <c r="O2259" s="6" t="s">
        <v>8574</v>
      </c>
    </row>
    <row r="2260" spans="1:16" ht="30" x14ac:dyDescent="0.25">
      <c r="A2260" s="5" t="str">
        <f>IF(TRIM(I2260)="","",E2260)</f>
        <v/>
      </c>
      <c r="B2260" s="5" t="str">
        <f>IF(TRIM(J2260)="","",H2260)</f>
        <v/>
      </c>
      <c r="C2260" s="5" t="str">
        <f>LEFT(F2260,FIND(".",F2260,6))</f>
        <v>Xmp.crs.</v>
      </c>
      <c r="D2260" s="5" t="str">
        <f>VLOOKUP(C2260,PrefixUebersetzung,2,FALSE)</f>
        <v>Xmp.crs.</v>
      </c>
      <c r="E2260" s="5" t="str">
        <f>MID(F2260,FIND(".",F2260,6)+1,99)</f>
        <v>LensProfileSetup</v>
      </c>
      <c r="F2260" s="2" t="s">
        <v>8350</v>
      </c>
      <c r="G2260" s="5" t="s">
        <v>9678</v>
      </c>
      <c r="H2260" s="3" t="s">
        <v>8266</v>
      </c>
      <c r="I2260" s="7"/>
      <c r="J2260" s="8"/>
      <c r="K2260" s="26"/>
      <c r="M2260" s="6" t="str">
        <f>IFERROR(VLOOKUP(H2260,B:J,9,FALSE),"")</f>
        <v>Nicht in XMP Spezifikation, in Beispielen gefunden.</v>
      </c>
      <c r="N2260" s="6"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xml:space="preserve">Suffix not translated </v>
      </c>
      <c r="O2260" s="6" t="s">
        <v>8574</v>
      </c>
    </row>
    <row r="2261" spans="1:16" ht="30" x14ac:dyDescent="0.25">
      <c r="A2261" s="5" t="str">
        <f>IF(TRIM(I2261)="","",E2261)</f>
        <v/>
      </c>
      <c r="B2261" s="5" t="str">
        <f>IF(TRIM(J2261)="","",H2261)</f>
        <v/>
      </c>
      <c r="C2261" s="5" t="str">
        <f>LEFT(F2261,FIND(".",F2261,6))</f>
        <v>Xmp.crs.</v>
      </c>
      <c r="D2261" s="5" t="str">
        <f>VLOOKUP(C2261,PrefixUebersetzung,2,FALSE)</f>
        <v>Xmp.crs.</v>
      </c>
      <c r="E2261" s="5" t="str">
        <f>MID(F2261,FIND(".",F2261,6)+1,99)</f>
        <v>LensProfileVignettingScale</v>
      </c>
      <c r="F2261" s="2" t="s">
        <v>8351</v>
      </c>
      <c r="G2261" s="5" t="s">
        <v>9678</v>
      </c>
      <c r="H2261" s="3" t="s">
        <v>8266</v>
      </c>
      <c r="I2261" s="7"/>
      <c r="J2261" s="8"/>
      <c r="K2261" s="26"/>
      <c r="M2261" s="6" t="str">
        <f>IFERROR(VLOOKUP(H2261,B:J,9,FALSE),"")</f>
        <v>Nicht in XMP Spezifikation, in Beispielen gefunden.</v>
      </c>
      <c r="N2261" s="6"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xml:space="preserve">Suffix not translated </v>
      </c>
      <c r="O2261" s="6" t="s">
        <v>8574</v>
      </c>
    </row>
    <row r="2262" spans="1:16" ht="30" x14ac:dyDescent="0.25">
      <c r="A2262" s="5" t="str">
        <f>IF(TRIM(I2262)="","",E2262)</f>
        <v/>
      </c>
      <c r="B2262" s="5" t="str">
        <f>IF(TRIM(J2262)="","",H2262)</f>
        <v/>
      </c>
      <c r="C2262" s="5" t="str">
        <f>LEFT(F2262,FIND(".",F2262,6))</f>
        <v>Xmp.crs.</v>
      </c>
      <c r="D2262" s="5" t="str">
        <f>VLOOKUP(C2262,PrefixUebersetzung,2,FALSE)</f>
        <v>Xmp.crs.</v>
      </c>
      <c r="E2262" s="5" t="str">
        <f>MID(F2262,FIND(".",F2262,6)+1,99)</f>
        <v>LuminanceAdjustmentAqua</v>
      </c>
      <c r="F2262" s="2" t="s">
        <v>8352</v>
      </c>
      <c r="G2262" s="5" t="s">
        <v>9678</v>
      </c>
      <c r="H2262" s="3" t="s">
        <v>8266</v>
      </c>
      <c r="I2262" s="7"/>
      <c r="J2262" s="8"/>
      <c r="K2262" s="26"/>
      <c r="M2262" s="6" t="str">
        <f>IFERROR(VLOOKUP(H2262,B:J,9,FALSE),"")</f>
        <v>Nicht in XMP Spezifikation, in Beispielen gefunden.</v>
      </c>
      <c r="N2262" s="6"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xml:space="preserve">Suffix not translated </v>
      </c>
      <c r="O2262" s="6" t="s">
        <v>8574</v>
      </c>
    </row>
    <row r="2263" spans="1:16" ht="30" x14ac:dyDescent="0.25">
      <c r="A2263" s="5" t="str">
        <f>IF(TRIM(I2263)="","",E2263)</f>
        <v/>
      </c>
      <c r="B2263" s="5" t="str">
        <f>IF(TRIM(J2263)="","",H2263)</f>
        <v/>
      </c>
      <c r="C2263" s="5" t="str">
        <f>LEFT(F2263,FIND(".",F2263,6))</f>
        <v>Xmp.crs.</v>
      </c>
      <c r="D2263" s="5" t="str">
        <f>VLOOKUP(C2263,PrefixUebersetzung,2,FALSE)</f>
        <v>Xmp.crs.</v>
      </c>
      <c r="E2263" s="5" t="str">
        <f>MID(F2263,FIND(".",F2263,6)+1,99)</f>
        <v>LuminanceAdjustmentBlue</v>
      </c>
      <c r="F2263" s="2" t="s">
        <v>8353</v>
      </c>
      <c r="G2263" s="5" t="s">
        <v>9678</v>
      </c>
      <c r="H2263" s="3" t="s">
        <v>8266</v>
      </c>
      <c r="I2263" s="7"/>
      <c r="J2263" s="8"/>
      <c r="K2263" s="26"/>
      <c r="M2263" s="6" t="str">
        <f>IFERROR(VLOOKUP(H2263,B:J,9,FALSE),"")</f>
        <v>Nicht in XMP Spezifikation, in Beispielen gefunden.</v>
      </c>
      <c r="N2263" s="6"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xml:space="preserve">Suffix not translated </v>
      </c>
      <c r="O2263" s="6" t="s">
        <v>8574</v>
      </c>
    </row>
    <row r="2264" spans="1:16" ht="30" x14ac:dyDescent="0.25">
      <c r="A2264" s="5" t="str">
        <f>IF(TRIM(I2264)="","",E2264)</f>
        <v/>
      </c>
      <c r="B2264" s="5" t="str">
        <f>IF(TRIM(J2264)="","",H2264)</f>
        <v/>
      </c>
      <c r="C2264" s="5" t="str">
        <f>LEFT(F2264,FIND(".",F2264,6))</f>
        <v>Xmp.crs.</v>
      </c>
      <c r="D2264" s="5" t="str">
        <f>VLOOKUP(C2264,PrefixUebersetzung,2,FALSE)</f>
        <v>Xmp.crs.</v>
      </c>
      <c r="E2264" s="5" t="str">
        <f>MID(F2264,FIND(".",F2264,6)+1,99)</f>
        <v>LuminanceAdjustmentGreen</v>
      </c>
      <c r="F2264" s="2" t="s">
        <v>8354</v>
      </c>
      <c r="G2264" s="5" t="s">
        <v>9678</v>
      </c>
      <c r="H2264" s="3" t="s">
        <v>8266</v>
      </c>
      <c r="I2264" s="7"/>
      <c r="J2264" s="8"/>
      <c r="K2264" s="26"/>
      <c r="M2264" s="6" t="str">
        <f>IFERROR(VLOOKUP(H2264,B:J,9,FALSE),"")</f>
        <v>Nicht in XMP Spezifikation, in Beispielen gefunden.</v>
      </c>
      <c r="N2264" s="6"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xml:space="preserve">Suffix not translated </v>
      </c>
      <c r="O2264" s="6" t="s">
        <v>8574</v>
      </c>
    </row>
    <row r="2265" spans="1:16" ht="30" x14ac:dyDescent="0.25">
      <c r="A2265" s="5" t="str">
        <f>IF(TRIM(I2265)="","",E2265)</f>
        <v/>
      </c>
      <c r="B2265" s="5" t="str">
        <f>IF(TRIM(J2265)="","",H2265)</f>
        <v/>
      </c>
      <c r="C2265" s="5" t="str">
        <f>LEFT(F2265,FIND(".",F2265,6))</f>
        <v>Xmp.crs.</v>
      </c>
      <c r="D2265" s="5" t="str">
        <f>VLOOKUP(C2265,PrefixUebersetzung,2,FALSE)</f>
        <v>Xmp.crs.</v>
      </c>
      <c r="E2265" s="5" t="str">
        <f>MID(F2265,FIND(".",F2265,6)+1,99)</f>
        <v>LuminanceAdjustmentMagenta</v>
      </c>
      <c r="F2265" s="2" t="s">
        <v>8355</v>
      </c>
      <c r="G2265" s="5" t="s">
        <v>9678</v>
      </c>
      <c r="H2265" s="3" t="s">
        <v>8266</v>
      </c>
      <c r="I2265" s="7"/>
      <c r="J2265" s="8"/>
      <c r="K2265" s="26"/>
      <c r="M2265" s="6" t="str">
        <f>IFERROR(VLOOKUP(H2265,B:J,9,FALSE),"")</f>
        <v>Nicht in XMP Spezifikation, in Beispielen gefunden.</v>
      </c>
      <c r="N2265" s="6"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v>
      </c>
      <c r="O2265" s="6" t="s">
        <v>8574</v>
      </c>
    </row>
    <row r="2266" spans="1:16" ht="30" x14ac:dyDescent="0.25">
      <c r="A2266" s="5" t="str">
        <f>IF(TRIM(I2266)="","",E2266)</f>
        <v/>
      </c>
      <c r="B2266" s="5" t="str">
        <f>IF(TRIM(J2266)="","",H2266)</f>
        <v/>
      </c>
      <c r="C2266" s="5" t="str">
        <f>LEFT(F2266,FIND(".",F2266,6))</f>
        <v>Xmp.crs.</v>
      </c>
      <c r="D2266" s="5" t="str">
        <f>VLOOKUP(C2266,PrefixUebersetzung,2,FALSE)</f>
        <v>Xmp.crs.</v>
      </c>
      <c r="E2266" s="5" t="str">
        <f>MID(F2266,FIND(".",F2266,6)+1,99)</f>
        <v>LuminanceAdjustmentOrange</v>
      </c>
      <c r="F2266" s="2" t="s">
        <v>8356</v>
      </c>
      <c r="G2266" s="5" t="s">
        <v>9678</v>
      </c>
      <c r="H2266" s="3" t="s">
        <v>8266</v>
      </c>
      <c r="I2266" s="7"/>
      <c r="J2266" s="8"/>
      <c r="K2266" s="26"/>
      <c r="M2266" s="6" t="str">
        <f>IFERROR(VLOOKUP(H2266,B:J,9,FALSE),"")</f>
        <v>Nicht in XMP Spezifikation, in Beispielen gefunden.</v>
      </c>
      <c r="N2266" s="6"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xml:space="preserve">Suffix not translated </v>
      </c>
      <c r="O2266" s="6" t="s">
        <v>8574</v>
      </c>
    </row>
    <row r="2267" spans="1:16" ht="30" x14ac:dyDescent="0.25">
      <c r="A2267" s="5" t="str">
        <f>IF(TRIM(I2267)="","",E2267)</f>
        <v/>
      </c>
      <c r="B2267" s="5" t="str">
        <f>IF(TRIM(J2267)="","",H2267)</f>
        <v/>
      </c>
      <c r="C2267" s="5" t="str">
        <f>LEFT(F2267,FIND(".",F2267,6))</f>
        <v>Xmp.crs.</v>
      </c>
      <c r="D2267" s="5" t="str">
        <f>VLOOKUP(C2267,PrefixUebersetzung,2,FALSE)</f>
        <v>Xmp.crs.</v>
      </c>
      <c r="E2267" s="5" t="str">
        <f>MID(F2267,FIND(".",F2267,6)+1,99)</f>
        <v>LuminanceAdjustmentPurple</v>
      </c>
      <c r="F2267" s="2" t="s">
        <v>8357</v>
      </c>
      <c r="G2267" s="5" t="s">
        <v>9678</v>
      </c>
      <c r="H2267" s="3" t="s">
        <v>8266</v>
      </c>
      <c r="I2267" s="7"/>
      <c r="J2267" s="8"/>
      <c r="K2267" s="26"/>
      <c r="M2267" s="6" t="str">
        <f>IFERROR(VLOOKUP(H2267,B:J,9,FALSE),"")</f>
        <v>Nicht in XMP Spezifikation, in Beispielen gefunden.</v>
      </c>
      <c r="N2267" s="6"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xml:space="preserve">Suffix not translated </v>
      </c>
      <c r="O2267" s="6" t="s">
        <v>8574</v>
      </c>
    </row>
    <row r="2268" spans="1:16" ht="30" x14ac:dyDescent="0.25">
      <c r="A2268" s="5" t="str">
        <f>IF(TRIM(I2268)="","",E2268)</f>
        <v/>
      </c>
      <c r="B2268" s="5" t="str">
        <f>IF(TRIM(J2268)="","",H2268)</f>
        <v/>
      </c>
      <c r="C2268" s="5" t="str">
        <f>LEFT(F2268,FIND(".",F2268,6))</f>
        <v>Xmp.crs.</v>
      </c>
      <c r="D2268" s="5" t="str">
        <f>VLOOKUP(C2268,PrefixUebersetzung,2,FALSE)</f>
        <v>Xmp.crs.</v>
      </c>
      <c r="E2268" s="5" t="str">
        <f>MID(F2268,FIND(".",F2268,6)+1,99)</f>
        <v>LuminanceAdjustmentRed</v>
      </c>
      <c r="F2268" s="2" t="s">
        <v>8358</v>
      </c>
      <c r="G2268" s="5" t="s">
        <v>9678</v>
      </c>
      <c r="H2268" s="3" t="s">
        <v>8266</v>
      </c>
      <c r="I2268" s="7"/>
      <c r="J2268" s="8"/>
      <c r="K2268" s="26"/>
      <c r="M2268" s="6" t="str">
        <f>IFERROR(VLOOKUP(H2268,B:J,9,FALSE),"")</f>
        <v>Nicht in XMP Spezifikation, in Beispielen gefunden.</v>
      </c>
      <c r="N2268" s="6"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xml:space="preserve">Suffix not translated </v>
      </c>
      <c r="O2268" s="6" t="s">
        <v>8574</v>
      </c>
    </row>
    <row r="2269" spans="1:16" ht="30" x14ac:dyDescent="0.25">
      <c r="A2269" s="5" t="str">
        <f>IF(TRIM(I2269)="","",E2269)</f>
        <v/>
      </c>
      <c r="B2269" s="5" t="str">
        <f>IF(TRIM(J2269)="","",H2269)</f>
        <v/>
      </c>
      <c r="C2269" s="5" t="str">
        <f>LEFT(F2269,FIND(".",F2269,6))</f>
        <v>Xmp.crs.</v>
      </c>
      <c r="D2269" s="5" t="str">
        <f>VLOOKUP(C2269,PrefixUebersetzung,2,FALSE)</f>
        <v>Xmp.crs.</v>
      </c>
      <c r="E2269" s="5" t="str">
        <f>MID(F2269,FIND(".",F2269,6)+1,99)</f>
        <v>LuminanceAdjustmentYellow</v>
      </c>
      <c r="F2269" s="2" t="s">
        <v>8359</v>
      </c>
      <c r="G2269" s="5" t="s">
        <v>9678</v>
      </c>
      <c r="H2269" s="3" t="s">
        <v>8266</v>
      </c>
      <c r="I2269" s="7"/>
      <c r="J2269" s="8"/>
      <c r="K2269" s="26"/>
      <c r="M2269" s="6" t="str">
        <f>IFERROR(VLOOKUP(H2269,B:J,9,FALSE),"")</f>
        <v>Nicht in XMP Spezifikation, in Beispielen gefunden.</v>
      </c>
      <c r="N2269" s="6"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xml:space="preserve">Suffix not translated </v>
      </c>
      <c r="O2269" s="6" t="s">
        <v>8574</v>
      </c>
    </row>
    <row r="2270" spans="1:16" ht="30" x14ac:dyDescent="0.25">
      <c r="A2270" s="5" t="str">
        <f>IF(TRIM(I2270)="","",E2270)</f>
        <v/>
      </c>
      <c r="B2270" s="5" t="str">
        <f>IF(TRIM(J2270)="","",H2270)</f>
        <v/>
      </c>
      <c r="C2270" s="5" t="str">
        <f>LEFT(F2270,FIND(".",F2270,6))</f>
        <v>Xmp.crs.</v>
      </c>
      <c r="D2270" s="5" t="str">
        <f>VLOOKUP(C2270,PrefixUebersetzung,2,FALSE)</f>
        <v>Xmp.crs.</v>
      </c>
      <c r="E2270" s="5" t="str">
        <f>MID(F2270,FIND(".",F2270,6)+1,99)</f>
        <v>LuminanceNoiseReductionContrast</v>
      </c>
      <c r="F2270" s="2" t="s">
        <v>8360</v>
      </c>
      <c r="G2270" s="5" t="s">
        <v>9678</v>
      </c>
      <c r="H2270" s="3" t="s">
        <v>8266</v>
      </c>
      <c r="I2270" s="7"/>
      <c r="J2270" s="8"/>
      <c r="K2270" s="26"/>
      <c r="M2270" s="6" t="str">
        <f>IFERROR(VLOOKUP(H2270,B:J,9,FALSE),"")</f>
        <v>Nicht in XMP Spezifikation, in Beispielen gefunden.</v>
      </c>
      <c r="N2270" s="6"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xml:space="preserve">Suffix not translated </v>
      </c>
      <c r="O2270" s="6" t="s">
        <v>8574</v>
      </c>
    </row>
    <row r="2271" spans="1:16" ht="30" x14ac:dyDescent="0.25">
      <c r="A2271" s="5" t="str">
        <f>IF(TRIM(I2271)="","",E2271)</f>
        <v/>
      </c>
      <c r="B2271" s="5" t="str">
        <f>IF(TRIM(J2271)="","",H2271)</f>
        <v/>
      </c>
      <c r="C2271" s="5" t="str">
        <f>LEFT(F2271,FIND(".",F2271,6))</f>
        <v>Xmp.crs.</v>
      </c>
      <c r="D2271" s="5" t="str">
        <f>VLOOKUP(C2271,PrefixUebersetzung,2,FALSE)</f>
        <v>Xmp.crs.</v>
      </c>
      <c r="E2271" s="5" t="str">
        <f>MID(F2271,FIND(".",F2271,6)+1,99)</f>
        <v>LuminanceNoiseReductionDetail</v>
      </c>
      <c r="F2271" s="2" t="s">
        <v>8361</v>
      </c>
      <c r="G2271" s="5" t="s">
        <v>9678</v>
      </c>
      <c r="H2271" s="3" t="s">
        <v>8266</v>
      </c>
      <c r="I2271" s="7"/>
      <c r="J2271" s="8"/>
      <c r="K2271" s="26"/>
      <c r="M2271" s="6" t="str">
        <f>IFERROR(VLOOKUP(H2271,B:J,9,FALSE),"")</f>
        <v>Nicht in XMP Spezifikation, in Beispielen gefunden.</v>
      </c>
      <c r="N2271" s="6"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xml:space="preserve">Suffix not translated </v>
      </c>
      <c r="O2271" s="6" t="s">
        <v>8574</v>
      </c>
    </row>
    <row r="2272" spans="1:16" x14ac:dyDescent="0.25">
      <c r="A2272" s="5" t="str">
        <f>IF(TRIM(I2272)="","",E2272)</f>
        <v/>
      </c>
      <c r="B2272" s="5" t="str">
        <f>IF(TRIM(J2272)="","",H2272)</f>
        <v/>
      </c>
      <c r="C2272" s="5" t="str">
        <f>LEFT(F2272,FIND(".",F2272,6))</f>
        <v>Xmp.crs.</v>
      </c>
      <c r="D2272" s="5" t="str">
        <f>VLOOKUP(C2272,PrefixUebersetzung,2,FALSE)</f>
        <v>Xmp.crs.</v>
      </c>
      <c r="E2272" s="5" t="str">
        <f>MID(F2272,FIND(".",F2272,6)+1,99)</f>
        <v>LuminanceSmoothing</v>
      </c>
      <c r="F2272" s="5" t="s">
        <v>1672</v>
      </c>
      <c r="G2272" s="5" t="s">
        <v>9678</v>
      </c>
      <c r="H2272" s="6" t="s">
        <v>9698</v>
      </c>
      <c r="I2272" s="7"/>
      <c r="K2272" s="26"/>
      <c r="N2272" s="6"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xml:space="preserve">Suffix not translated Description not translated </v>
      </c>
      <c r="O2272" s="6" t="s">
        <v>8574</v>
      </c>
      <c r="P2272" s="6" t="s">
        <v>8574</v>
      </c>
    </row>
    <row r="2273" spans="1:15" ht="30" x14ac:dyDescent="0.25">
      <c r="A2273" s="5" t="str">
        <f>IF(TRIM(I2273)="","",E2273)</f>
        <v/>
      </c>
      <c r="B2273" s="5" t="str">
        <f>IF(TRIM(J2273)="","",H2273)</f>
        <v/>
      </c>
      <c r="C2273" s="5" t="str">
        <f>LEFT(F2273,FIND(".",F2273,6))</f>
        <v>Xmp.crs.</v>
      </c>
      <c r="D2273" s="5" t="str">
        <f>VLOOKUP(C2273,PrefixUebersetzung,2,FALSE)</f>
        <v>Xmp.crs.</v>
      </c>
      <c r="E2273" s="5" t="str">
        <f>MID(F2273,FIND(".",F2273,6)+1,99)</f>
        <v>MaskValue</v>
      </c>
      <c r="F2273" s="2" t="s">
        <v>8362</v>
      </c>
      <c r="G2273" s="5" t="s">
        <v>9678</v>
      </c>
      <c r="H2273" s="3" t="s">
        <v>8266</v>
      </c>
      <c r="I2273" s="7"/>
      <c r="J2273" s="8"/>
      <c r="K2273" s="26"/>
      <c r="M2273" s="6" t="str">
        <f>IFERROR(VLOOKUP(H2273,B:J,9,FALSE),"")</f>
        <v>Nicht in XMP Spezifikation, in Beispielen gefunden.</v>
      </c>
      <c r="N2273" s="6"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xml:space="preserve">Suffix not translated </v>
      </c>
      <c r="O2273" s="6" t="s">
        <v>8574</v>
      </c>
    </row>
    <row r="2274" spans="1:15" ht="30" x14ac:dyDescent="0.25">
      <c r="A2274" s="5" t="str">
        <f>IF(TRIM(I2274)="","",E2274)</f>
        <v>Method</v>
      </c>
      <c r="B2274" s="5" t="str">
        <f>IF(TRIM(J2274)="","",H2274)</f>
        <v/>
      </c>
      <c r="C2274" s="5" t="str">
        <f>LEFT(F2274,FIND(".",F2274,6))</f>
        <v>Xmp.crs.</v>
      </c>
      <c r="D2274" s="5" t="str">
        <f>VLOOKUP(C2274,PrefixUebersetzung,2,FALSE)</f>
        <v>Xmp.crs.</v>
      </c>
      <c r="E2274" s="5" t="str">
        <f>MID(F2274,FIND(".",F2274,6)+1,99)</f>
        <v>Method</v>
      </c>
      <c r="F2274" s="2" t="s">
        <v>8363</v>
      </c>
      <c r="G2274" s="5" t="s">
        <v>9678</v>
      </c>
      <c r="H2274" s="3" t="s">
        <v>8266</v>
      </c>
      <c r="I2274" s="7" t="s">
        <v>8965</v>
      </c>
      <c r="J2274" s="8"/>
      <c r="K2274" s="26"/>
      <c r="M2274" s="6" t="str">
        <f>IFERROR(VLOOKUP(H2274,B:J,9,FALSE),"")</f>
        <v>Nicht in XMP Spezifikation, in Beispielen gefunden.</v>
      </c>
      <c r="N2274" s="6"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c r="O2274" s="6" t="s">
        <v>8574</v>
      </c>
    </row>
    <row r="2275" spans="1:15" ht="30" x14ac:dyDescent="0.25">
      <c r="A2275" s="5" t="str">
        <f>IF(TRIM(I2275)="","",E2275)</f>
        <v>Midpoint</v>
      </c>
      <c r="B2275" s="5" t="str">
        <f>IF(TRIM(J2275)="","",H2275)</f>
        <v/>
      </c>
      <c r="C2275" s="5" t="str">
        <f>LEFT(F2275,FIND(".",F2275,6))</f>
        <v>Xmp.crs.</v>
      </c>
      <c r="D2275" s="5" t="str">
        <f>VLOOKUP(C2275,PrefixUebersetzung,2,FALSE)</f>
        <v>Xmp.crs.</v>
      </c>
      <c r="E2275" s="5" t="str">
        <f>MID(F2275,FIND(".",F2275,6)+1,99)</f>
        <v>Midpoint</v>
      </c>
      <c r="F2275" s="2" t="s">
        <v>8364</v>
      </c>
      <c r="G2275" s="5" t="s">
        <v>9678</v>
      </c>
      <c r="H2275" s="3" t="s">
        <v>8266</v>
      </c>
      <c r="I2275" s="7" t="s">
        <v>8966</v>
      </c>
      <c r="J2275" s="8"/>
      <c r="K2275" s="26"/>
      <c r="M2275" s="6" t="str">
        <f>IFERROR(VLOOKUP(H2275,B:J,9,FALSE),"")</f>
        <v>Nicht in XMP Spezifikation, in Beispielen gefunden.</v>
      </c>
      <c r="N2275" s="6"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c r="O2275" s="6" t="s">
        <v>8574</v>
      </c>
    </row>
    <row r="2276" spans="1:15" ht="30" x14ac:dyDescent="0.25">
      <c r="A2276" s="5" t="str">
        <f>IF(TRIM(I2276)="","",E2276)</f>
        <v>MoireFilter</v>
      </c>
      <c r="B2276" s="5" t="str">
        <f>IF(TRIM(J2276)="","",H2276)</f>
        <v/>
      </c>
      <c r="C2276" s="5" t="str">
        <f>LEFT(F2276,FIND(".",F2276,6))</f>
        <v>Xmp.crs.</v>
      </c>
      <c r="D2276" s="5" t="str">
        <f>VLOOKUP(C2276,PrefixUebersetzung,2,FALSE)</f>
        <v>Xmp.crs.</v>
      </c>
      <c r="E2276" s="5" t="str">
        <f>MID(F2276,FIND(".",F2276,6)+1,99)</f>
        <v>MoireFilter</v>
      </c>
      <c r="F2276" s="2" t="s">
        <v>8365</v>
      </c>
      <c r="G2276" s="5" t="s">
        <v>9678</v>
      </c>
      <c r="H2276" s="3" t="s">
        <v>8266</v>
      </c>
      <c r="I2276" s="7" t="s">
        <v>8967</v>
      </c>
      <c r="J2276" s="8"/>
      <c r="K2276" s="26"/>
      <c r="M2276" s="6" t="str">
        <f>IFERROR(VLOOKUP(H2276,B:J,9,FALSE),"")</f>
        <v>Nicht in XMP Spezifikation, in Beispielen gefunden.</v>
      </c>
      <c r="N2276" s="6"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c r="O2276" s="6" t="s">
        <v>8574</v>
      </c>
    </row>
    <row r="2277" spans="1:15" ht="30" x14ac:dyDescent="0.25">
      <c r="A2277" s="5" t="str">
        <f>IF(TRIM(I2277)="","",E2277)</f>
        <v/>
      </c>
      <c r="B2277" s="5" t="str">
        <f>IF(TRIM(J2277)="","",H2277)</f>
        <v/>
      </c>
      <c r="C2277" s="5" t="str">
        <f>LEFT(F2277,FIND(".",F2277,6))</f>
        <v>Xmp.crs.</v>
      </c>
      <c r="D2277" s="5" t="str">
        <f>VLOOKUP(C2277,PrefixUebersetzung,2,FALSE)</f>
        <v>Xmp.crs.</v>
      </c>
      <c r="E2277" s="5" t="str">
        <f>MID(F2277,FIND(".",F2277,6)+1,99)</f>
        <v>NegativeCacheLargePreviewSize</v>
      </c>
      <c r="F2277" s="2" t="s">
        <v>8366</v>
      </c>
      <c r="G2277" s="5" t="s">
        <v>9678</v>
      </c>
      <c r="H2277" s="3" t="s">
        <v>8266</v>
      </c>
      <c r="I2277" s="7"/>
      <c r="J2277" s="8"/>
      <c r="K2277" s="26"/>
      <c r="M2277" s="6" t="str">
        <f>IFERROR(VLOOKUP(H2277,B:J,9,FALSE),"")</f>
        <v>Nicht in XMP Spezifikation, in Beispielen gefunden.</v>
      </c>
      <c r="N2277" s="6"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xml:space="preserve">Suffix not translated </v>
      </c>
      <c r="O2277" s="6" t="s">
        <v>8574</v>
      </c>
    </row>
    <row r="2278" spans="1:15" ht="30" x14ac:dyDescent="0.25">
      <c r="A2278" s="5" t="str">
        <f>IF(TRIM(I2278)="","",E2278)</f>
        <v/>
      </c>
      <c r="B2278" s="5" t="str">
        <f>IF(TRIM(J2278)="","",H2278)</f>
        <v/>
      </c>
      <c r="C2278" s="5" t="str">
        <f>LEFT(F2278,FIND(".",F2278,6))</f>
        <v>Xmp.crs.</v>
      </c>
      <c r="D2278" s="5" t="str">
        <f>VLOOKUP(C2278,PrefixUebersetzung,2,FALSE)</f>
        <v>Xmp.crs.</v>
      </c>
      <c r="E2278" s="5" t="str">
        <f>MID(F2278,FIND(".",F2278,6)+1,99)</f>
        <v>NegativeCacheMaximumSize</v>
      </c>
      <c r="F2278" s="2" t="s">
        <v>8367</v>
      </c>
      <c r="G2278" s="5" t="s">
        <v>9678</v>
      </c>
      <c r="H2278" s="3" t="s">
        <v>8266</v>
      </c>
      <c r="I2278" s="7"/>
      <c r="J2278" s="8"/>
      <c r="K2278" s="26"/>
      <c r="M2278" s="6" t="str">
        <f>IFERROR(VLOOKUP(H2278,B:J,9,FALSE),"")</f>
        <v>Nicht in XMP Spezifikation, in Beispielen gefunden.</v>
      </c>
      <c r="N2278" s="6"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xml:space="preserve">Suffix not translated </v>
      </c>
      <c r="O2278" s="6" t="s">
        <v>8574</v>
      </c>
    </row>
    <row r="2279" spans="1:15" ht="30" x14ac:dyDescent="0.25">
      <c r="A2279" s="5" t="str">
        <f>IF(TRIM(I2279)="","",E2279)</f>
        <v/>
      </c>
      <c r="B2279" s="5" t="str">
        <f>IF(TRIM(J2279)="","",H2279)</f>
        <v/>
      </c>
      <c r="C2279" s="5" t="str">
        <f>LEFT(F2279,FIND(".",F2279,6))</f>
        <v>Xmp.crs.</v>
      </c>
      <c r="D2279" s="5" t="str">
        <f>VLOOKUP(C2279,PrefixUebersetzung,2,FALSE)</f>
        <v>Xmp.crs.</v>
      </c>
      <c r="E2279" s="5" t="str">
        <f>MID(F2279,FIND(".",F2279,6)+1,99)</f>
        <v>NegativeCachePath</v>
      </c>
      <c r="F2279" s="2" t="s">
        <v>8368</v>
      </c>
      <c r="G2279" s="5" t="s">
        <v>9678</v>
      </c>
      <c r="H2279" s="3" t="s">
        <v>8266</v>
      </c>
      <c r="I2279" s="7"/>
      <c r="J2279" s="8"/>
      <c r="K2279" s="26"/>
      <c r="M2279" s="6" t="str">
        <f>IFERROR(VLOOKUP(H2279,B:J,9,FALSE),"")</f>
        <v>Nicht in XMP Spezifikation, in Beispielen gefunden.</v>
      </c>
      <c r="N2279" s="6"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xml:space="preserve">Suffix not translated </v>
      </c>
      <c r="O2279" s="6" t="s">
        <v>8574</v>
      </c>
    </row>
    <row r="2280" spans="1:15" ht="30" x14ac:dyDescent="0.25">
      <c r="A2280" s="5" t="str">
        <f>IF(TRIM(I2280)="","",E2280)</f>
        <v>OffsetY</v>
      </c>
      <c r="B2280" s="5" t="str">
        <f>IF(TRIM(J2280)="","",H2280)</f>
        <v/>
      </c>
      <c r="C2280" s="5" t="str">
        <f>LEFT(F2280,FIND(".",F2280,6))</f>
        <v>Xmp.crs.</v>
      </c>
      <c r="D2280" s="5" t="str">
        <f>VLOOKUP(C2280,PrefixUebersetzung,2,FALSE)</f>
        <v>Xmp.crs.</v>
      </c>
      <c r="E2280" s="5" t="str">
        <f>MID(F2280,FIND(".",F2280,6)+1,99)</f>
        <v>OffsetY</v>
      </c>
      <c r="F2280" s="2" t="s">
        <v>8369</v>
      </c>
      <c r="G2280" s="5" t="s">
        <v>9678</v>
      </c>
      <c r="H2280" s="3" t="s">
        <v>8266</v>
      </c>
      <c r="I2280" s="7" t="s">
        <v>8968</v>
      </c>
      <c r="J2280" s="8"/>
      <c r="K2280" s="26"/>
      <c r="M2280" s="6" t="str">
        <f>IFERROR(VLOOKUP(H2280,B:J,9,FALSE),"")</f>
        <v>Nicht in XMP Spezifikation, in Beispielen gefunden.</v>
      </c>
      <c r="N2280" s="6"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c r="O2280" s="6" t="s">
        <v>8574</v>
      </c>
    </row>
    <row r="2281" spans="1:15" ht="30" x14ac:dyDescent="0.25">
      <c r="A2281" s="5" t="str">
        <f>IF(TRIM(I2281)="","",E2281)</f>
        <v>Opacity</v>
      </c>
      <c r="B2281" s="5" t="str">
        <f>IF(TRIM(J2281)="","",H2281)</f>
        <v/>
      </c>
      <c r="C2281" s="5" t="str">
        <f>LEFT(F2281,FIND(".",F2281,6))</f>
        <v>Xmp.crs.</v>
      </c>
      <c r="D2281" s="5" t="str">
        <f>VLOOKUP(C2281,PrefixUebersetzung,2,FALSE)</f>
        <v>Xmp.crs.</v>
      </c>
      <c r="E2281" s="5" t="str">
        <f>MID(F2281,FIND(".",F2281,6)+1,99)</f>
        <v>Opacity</v>
      </c>
      <c r="F2281" s="2" t="s">
        <v>8370</v>
      </c>
      <c r="G2281" s="5" t="s">
        <v>9678</v>
      </c>
      <c r="H2281" s="3" t="s">
        <v>8266</v>
      </c>
      <c r="I2281" s="7" t="s">
        <v>8769</v>
      </c>
      <c r="J2281" s="8"/>
      <c r="K2281" s="26"/>
      <c r="M2281" s="6" t="str">
        <f>IFERROR(VLOOKUP(H2281,B:J,9,FALSE),"")</f>
        <v>Nicht in XMP Spezifikation, in Beispielen gefunden.</v>
      </c>
      <c r="N2281" s="6"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c r="O2281" s="6" t="s">
        <v>8574</v>
      </c>
    </row>
    <row r="2282" spans="1:15" x14ac:dyDescent="0.25">
      <c r="A2282" s="5" t="str">
        <f>IF(TRIM(I2282)="","",E2282)</f>
        <v/>
      </c>
      <c r="B2282" s="5" t="str">
        <f>IF(TRIM(J2282)="","",H2282)</f>
        <v/>
      </c>
      <c r="C2282" s="5" t="str">
        <f>LEFT(F2282,FIND(".",F2282,6))</f>
        <v>Xmp.crs.</v>
      </c>
      <c r="D2282" s="5" t="str">
        <f>VLOOKUP(C2282,PrefixUebersetzung,2,FALSE)</f>
        <v>Xmp.crs.</v>
      </c>
      <c r="E2282" s="5" t="str">
        <f>MID(F2282,FIND(".",F2282,6)+1,99)</f>
        <v>PaintBasedCorrections</v>
      </c>
      <c r="F2282" s="2" t="s">
        <v>8371</v>
      </c>
      <c r="G2282" s="5" t="s">
        <v>9678</v>
      </c>
      <c r="H2282" s="3" t="s">
        <v>8277</v>
      </c>
      <c r="I2282" s="7"/>
      <c r="J2282" s="32"/>
      <c r="K2282" s="26"/>
      <c r="M2282" s="6" t="str">
        <f>IFERROR(VLOOKUP(H2282,B:J,9,FALSE),"")</f>
        <v/>
      </c>
      <c r="N2282" s="6"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xml:space="preserve">Suffix not translated Description not translated </v>
      </c>
      <c r="O2282" s="6" t="s">
        <v>8574</v>
      </c>
    </row>
    <row r="2283" spans="1:15" ht="30" x14ac:dyDescent="0.25">
      <c r="A2283" s="5" t="str">
        <f>IF(TRIM(I2283)="","",E2283)</f>
        <v/>
      </c>
      <c r="B2283" s="5" t="str">
        <f>IF(TRIM(J2283)="","",H2283)</f>
        <v/>
      </c>
      <c r="C2283" s="5" t="str">
        <f>LEFT(F2283,FIND(".",F2283,6))</f>
        <v>Xmp.crs.</v>
      </c>
      <c r="D2283" s="5" t="str">
        <f>VLOOKUP(C2283,PrefixUebersetzung,2,FALSE)</f>
        <v>Xmp.crs.</v>
      </c>
      <c r="E2283" s="5" t="str">
        <f>MID(F2283,FIND(".",F2283,6)+1,99)</f>
        <v>ParametricDarks</v>
      </c>
      <c r="F2283" s="2" t="s">
        <v>8372</v>
      </c>
      <c r="G2283" s="5" t="s">
        <v>9678</v>
      </c>
      <c r="H2283" s="3" t="s">
        <v>8266</v>
      </c>
      <c r="I2283" s="7"/>
      <c r="J2283" s="8"/>
      <c r="K2283" s="26"/>
      <c r="M2283" s="6" t="str">
        <f>IFERROR(VLOOKUP(H2283,B:J,9,FALSE),"")</f>
        <v>Nicht in XMP Spezifikation, in Beispielen gefunden.</v>
      </c>
      <c r="N2283" s="6"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xml:space="preserve">Suffix not translated </v>
      </c>
      <c r="O2283" s="6" t="s">
        <v>8574</v>
      </c>
    </row>
    <row r="2284" spans="1:15" ht="30" x14ac:dyDescent="0.25">
      <c r="A2284" s="5" t="str">
        <f>IF(TRIM(I2284)="","",E2284)</f>
        <v/>
      </c>
      <c r="B2284" s="5" t="str">
        <f>IF(TRIM(J2284)="","",H2284)</f>
        <v/>
      </c>
      <c r="C2284" s="5" t="str">
        <f>LEFT(F2284,FIND(".",F2284,6))</f>
        <v>Xmp.crs.</v>
      </c>
      <c r="D2284" s="5" t="str">
        <f>VLOOKUP(C2284,PrefixUebersetzung,2,FALSE)</f>
        <v>Xmp.crs.</v>
      </c>
      <c r="E2284" s="5" t="str">
        <f>MID(F2284,FIND(".",F2284,6)+1,99)</f>
        <v>ParametricHighlights</v>
      </c>
      <c r="F2284" s="2" t="s">
        <v>8373</v>
      </c>
      <c r="G2284" s="5" t="s">
        <v>9678</v>
      </c>
      <c r="H2284" s="3" t="s">
        <v>8266</v>
      </c>
      <c r="I2284" s="7"/>
      <c r="J2284" s="8"/>
      <c r="K2284" s="26"/>
      <c r="M2284" s="6" t="str">
        <f>IFERROR(VLOOKUP(H2284,B:J,9,FALSE),"")</f>
        <v>Nicht in XMP Spezifikation, in Beispielen gefunden.</v>
      </c>
      <c r="N2284" s="6"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xml:space="preserve">Suffix not translated </v>
      </c>
      <c r="O2284" s="6" t="s">
        <v>8574</v>
      </c>
    </row>
    <row r="2285" spans="1:15" ht="30" x14ac:dyDescent="0.25">
      <c r="A2285" s="5" t="str">
        <f>IF(TRIM(I2285)="","",E2285)</f>
        <v/>
      </c>
      <c r="B2285" s="5" t="str">
        <f>IF(TRIM(J2285)="","",H2285)</f>
        <v/>
      </c>
      <c r="C2285" s="5" t="str">
        <f>LEFT(F2285,FIND(".",F2285,6))</f>
        <v>Xmp.crs.</v>
      </c>
      <c r="D2285" s="5" t="str">
        <f>VLOOKUP(C2285,PrefixUebersetzung,2,FALSE)</f>
        <v>Xmp.crs.</v>
      </c>
      <c r="E2285" s="5" t="str">
        <f>MID(F2285,FIND(".",F2285,6)+1,99)</f>
        <v>ParametricHighlightSplit</v>
      </c>
      <c r="F2285" s="2" t="s">
        <v>8374</v>
      </c>
      <c r="G2285" s="5" t="s">
        <v>9678</v>
      </c>
      <c r="H2285" s="3" t="s">
        <v>8266</v>
      </c>
      <c r="I2285" s="7"/>
      <c r="J2285" s="8"/>
      <c r="K2285" s="26"/>
      <c r="M2285" s="6" t="str">
        <f>IFERROR(VLOOKUP(H2285,B:J,9,FALSE),"")</f>
        <v>Nicht in XMP Spezifikation, in Beispielen gefunden.</v>
      </c>
      <c r="N2285" s="6"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xml:space="preserve">Suffix not translated </v>
      </c>
      <c r="O2285" s="6" t="s">
        <v>8574</v>
      </c>
    </row>
    <row r="2286" spans="1:15" ht="30" x14ac:dyDescent="0.25">
      <c r="A2286" s="5" t="str">
        <f>IF(TRIM(I2286)="","",E2286)</f>
        <v/>
      </c>
      <c r="B2286" s="5" t="str">
        <f>IF(TRIM(J2286)="","",H2286)</f>
        <v/>
      </c>
      <c r="C2286" s="5" t="str">
        <f>LEFT(F2286,FIND(".",F2286,6))</f>
        <v>Xmp.crs.</v>
      </c>
      <c r="D2286" s="5" t="str">
        <f>VLOOKUP(C2286,PrefixUebersetzung,2,FALSE)</f>
        <v>Xmp.crs.</v>
      </c>
      <c r="E2286" s="5" t="str">
        <f>MID(F2286,FIND(".",F2286,6)+1,99)</f>
        <v>ParametricLights</v>
      </c>
      <c r="F2286" s="2" t="s">
        <v>8375</v>
      </c>
      <c r="G2286" s="5" t="s">
        <v>9678</v>
      </c>
      <c r="H2286" s="3" t="s">
        <v>8266</v>
      </c>
      <c r="I2286" s="7"/>
      <c r="J2286" s="8"/>
      <c r="K2286" s="26"/>
      <c r="M2286" s="6" t="str">
        <f>IFERROR(VLOOKUP(H2286,B:J,9,FALSE),"")</f>
        <v>Nicht in XMP Spezifikation, in Beispielen gefunden.</v>
      </c>
      <c r="N2286" s="6"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xml:space="preserve">Suffix not translated </v>
      </c>
      <c r="O2286" s="6" t="s">
        <v>8574</v>
      </c>
    </row>
    <row r="2287" spans="1:15" ht="30" x14ac:dyDescent="0.25">
      <c r="A2287" s="5" t="str">
        <f>IF(TRIM(I2287)="","",E2287)</f>
        <v/>
      </c>
      <c r="B2287" s="5" t="str">
        <f>IF(TRIM(J2287)="","",H2287)</f>
        <v/>
      </c>
      <c r="C2287" s="5" t="str">
        <f>LEFT(F2287,FIND(".",F2287,6))</f>
        <v>Xmp.crs.</v>
      </c>
      <c r="D2287" s="5" t="str">
        <f>VLOOKUP(C2287,PrefixUebersetzung,2,FALSE)</f>
        <v>Xmp.crs.</v>
      </c>
      <c r="E2287" s="5" t="str">
        <f>MID(F2287,FIND(".",F2287,6)+1,99)</f>
        <v>ParametricMidtoneSplit</v>
      </c>
      <c r="F2287" s="2" t="s">
        <v>8376</v>
      </c>
      <c r="G2287" s="5" t="s">
        <v>9678</v>
      </c>
      <c r="H2287" s="3" t="s">
        <v>8266</v>
      </c>
      <c r="I2287" s="7"/>
      <c r="J2287" s="8"/>
      <c r="K2287" s="26"/>
      <c r="M2287" s="6" t="str">
        <f>IFERROR(VLOOKUP(H2287,B:J,9,FALSE),"")</f>
        <v>Nicht in XMP Spezifikation, in Beispielen gefunden.</v>
      </c>
      <c r="N2287" s="6"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xml:space="preserve">Suffix not translated </v>
      </c>
      <c r="O2287" s="6" t="s">
        <v>8574</v>
      </c>
    </row>
    <row r="2288" spans="1:15" ht="30" x14ac:dyDescent="0.25">
      <c r="A2288" s="5" t="str">
        <f>IF(TRIM(I2288)="","",E2288)</f>
        <v/>
      </c>
      <c r="B2288" s="5" t="str">
        <f>IF(TRIM(J2288)="","",H2288)</f>
        <v/>
      </c>
      <c r="C2288" s="5" t="str">
        <f>LEFT(F2288,FIND(".",F2288,6))</f>
        <v>Xmp.crs.</v>
      </c>
      <c r="D2288" s="5" t="str">
        <f>VLOOKUP(C2288,PrefixUebersetzung,2,FALSE)</f>
        <v>Xmp.crs.</v>
      </c>
      <c r="E2288" s="5" t="str">
        <f>MID(F2288,FIND(".",F2288,6)+1,99)</f>
        <v>ParametricShadows</v>
      </c>
      <c r="F2288" s="2" t="s">
        <v>8377</v>
      </c>
      <c r="G2288" s="5" t="s">
        <v>9678</v>
      </c>
      <c r="H2288" s="3" t="s">
        <v>8266</v>
      </c>
      <c r="I2288" s="7"/>
      <c r="J2288" s="8"/>
      <c r="K2288" s="26"/>
      <c r="M2288" s="6" t="str">
        <f>IFERROR(VLOOKUP(H2288,B:J,9,FALSE),"")</f>
        <v>Nicht in XMP Spezifikation, in Beispielen gefunden.</v>
      </c>
      <c r="N2288" s="6"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xml:space="preserve">Suffix not translated </v>
      </c>
      <c r="O2288" s="6" t="s">
        <v>8574</v>
      </c>
    </row>
    <row r="2289" spans="1:15" ht="30" x14ac:dyDescent="0.25">
      <c r="A2289" s="5" t="str">
        <f>IF(TRIM(I2289)="","",E2289)</f>
        <v/>
      </c>
      <c r="B2289" s="5" t="str">
        <f>IF(TRIM(J2289)="","",H2289)</f>
        <v/>
      </c>
      <c r="C2289" s="5" t="str">
        <f>LEFT(F2289,FIND(".",F2289,6))</f>
        <v>Xmp.crs.</v>
      </c>
      <c r="D2289" s="5" t="str">
        <f>VLOOKUP(C2289,PrefixUebersetzung,2,FALSE)</f>
        <v>Xmp.crs.</v>
      </c>
      <c r="E2289" s="5" t="str">
        <f>MID(F2289,FIND(".",F2289,6)+1,99)</f>
        <v>ParametricShadowSplit</v>
      </c>
      <c r="F2289" s="2" t="s">
        <v>8378</v>
      </c>
      <c r="G2289" s="5" t="s">
        <v>9678</v>
      </c>
      <c r="H2289" s="3" t="s">
        <v>8266</v>
      </c>
      <c r="I2289" s="7"/>
      <c r="J2289" s="8"/>
      <c r="K2289" s="26"/>
      <c r="M2289" s="6" t="str">
        <f>IFERROR(VLOOKUP(H2289,B:J,9,FALSE),"")</f>
        <v>Nicht in XMP Spezifikation, in Beispielen gefunden.</v>
      </c>
      <c r="N2289" s="6"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xml:space="preserve">Suffix not translated </v>
      </c>
      <c r="O2289" s="6" t="s">
        <v>8574</v>
      </c>
    </row>
    <row r="2290" spans="1:15" ht="30" x14ac:dyDescent="0.25">
      <c r="A2290" s="5" t="str">
        <f>IF(TRIM(I2290)="","",E2290)</f>
        <v/>
      </c>
      <c r="B2290" s="5" t="str">
        <f>IF(TRIM(J2290)="","",H2290)</f>
        <v/>
      </c>
      <c r="C2290" s="5" t="str">
        <f>LEFT(F2290,FIND(".",F2290,6))</f>
        <v>Xmp.crs.</v>
      </c>
      <c r="D2290" s="5" t="str">
        <f>VLOOKUP(C2290,PrefixUebersetzung,2,FALSE)</f>
        <v>Xmp.crs.</v>
      </c>
      <c r="E2290" s="5" t="str">
        <f>MID(F2290,FIND(".",F2290,6)+1,99)</f>
        <v>PerimeterValue</v>
      </c>
      <c r="F2290" s="2" t="s">
        <v>8379</v>
      </c>
      <c r="G2290" s="5" t="s">
        <v>9678</v>
      </c>
      <c r="H2290" s="3" t="s">
        <v>8266</v>
      </c>
      <c r="I2290" s="7"/>
      <c r="J2290" s="8"/>
      <c r="K2290" s="26"/>
      <c r="M2290" s="6" t="str">
        <f>IFERROR(VLOOKUP(H2290,B:J,9,FALSE),"")</f>
        <v>Nicht in XMP Spezifikation, in Beispielen gefunden.</v>
      </c>
      <c r="N2290" s="6"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xml:space="preserve">Suffix not translated </v>
      </c>
      <c r="O2290" s="6" t="s">
        <v>8574</v>
      </c>
    </row>
    <row r="2291" spans="1:15" ht="30" x14ac:dyDescent="0.25">
      <c r="A2291" s="5" t="str">
        <f>IF(TRIM(I2291)="","",E2291)</f>
        <v/>
      </c>
      <c r="B2291" s="5" t="str">
        <f>IF(TRIM(J2291)="","",H2291)</f>
        <v/>
      </c>
      <c r="C2291" s="5" t="str">
        <f>LEFT(F2291,FIND(".",F2291,6))</f>
        <v>Xmp.crs.</v>
      </c>
      <c r="D2291" s="5" t="str">
        <f>VLOOKUP(C2291,PrefixUebersetzung,2,FALSE)</f>
        <v>Xmp.crs.</v>
      </c>
      <c r="E2291" s="5" t="str">
        <f>MID(F2291,FIND(".",F2291,6)+1,99)</f>
        <v>PerspectiveAspect</v>
      </c>
      <c r="F2291" s="2" t="s">
        <v>8380</v>
      </c>
      <c r="G2291" s="5" t="s">
        <v>9678</v>
      </c>
      <c r="H2291" s="3" t="s">
        <v>8266</v>
      </c>
      <c r="I2291" s="7"/>
      <c r="J2291" s="8"/>
      <c r="K2291" s="26"/>
      <c r="M2291" s="6" t="str">
        <f>IFERROR(VLOOKUP(H2291,B:J,9,FALSE),"")</f>
        <v>Nicht in XMP Spezifikation, in Beispielen gefunden.</v>
      </c>
      <c r="N2291" s="6"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xml:space="preserve">Suffix not translated </v>
      </c>
      <c r="O2291" s="6" t="s">
        <v>8574</v>
      </c>
    </row>
    <row r="2292" spans="1:15" ht="30" x14ac:dyDescent="0.25">
      <c r="A2292" s="5" t="str">
        <f>IF(TRIM(I2292)="","",E2292)</f>
        <v/>
      </c>
      <c r="B2292" s="5" t="str">
        <f>IF(TRIM(J2292)="","",H2292)</f>
        <v/>
      </c>
      <c r="C2292" s="5" t="str">
        <f>LEFT(F2292,FIND(".",F2292,6))</f>
        <v>Xmp.crs.</v>
      </c>
      <c r="D2292" s="5" t="str">
        <f>VLOOKUP(C2292,PrefixUebersetzung,2,FALSE)</f>
        <v>Xmp.crs.</v>
      </c>
      <c r="E2292" s="5" t="str">
        <f>MID(F2292,FIND(".",F2292,6)+1,99)</f>
        <v>PerspectiveHorizontal</v>
      </c>
      <c r="F2292" s="2" t="s">
        <v>8381</v>
      </c>
      <c r="G2292" s="5" t="s">
        <v>9678</v>
      </c>
      <c r="H2292" s="3" t="s">
        <v>8266</v>
      </c>
      <c r="I2292" s="7"/>
      <c r="J2292" s="8"/>
      <c r="K2292" s="26"/>
      <c r="M2292" s="6" t="str">
        <f>IFERROR(VLOOKUP(H2292,B:J,9,FALSE),"")</f>
        <v>Nicht in XMP Spezifikation, in Beispielen gefunden.</v>
      </c>
      <c r="N2292" s="6"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xml:space="preserve">Suffix not translated </v>
      </c>
      <c r="O2292" s="6" t="s">
        <v>8574</v>
      </c>
    </row>
    <row r="2293" spans="1:15" ht="30" x14ac:dyDescent="0.25">
      <c r="A2293" s="5" t="str">
        <f>IF(TRIM(I2293)="","",E2293)</f>
        <v/>
      </c>
      <c r="B2293" s="5" t="str">
        <f>IF(TRIM(J2293)="","",H2293)</f>
        <v/>
      </c>
      <c r="C2293" s="5" t="str">
        <f>LEFT(F2293,FIND(".",F2293,6))</f>
        <v>Xmp.crs.</v>
      </c>
      <c r="D2293" s="5" t="str">
        <f>VLOOKUP(C2293,PrefixUebersetzung,2,FALSE)</f>
        <v>Xmp.crs.</v>
      </c>
      <c r="E2293" s="5" t="str">
        <f>MID(F2293,FIND(".",F2293,6)+1,99)</f>
        <v>PerspectiveRotate</v>
      </c>
      <c r="F2293" s="2" t="s">
        <v>8382</v>
      </c>
      <c r="G2293" s="5" t="s">
        <v>9678</v>
      </c>
      <c r="H2293" s="3" t="s">
        <v>8266</v>
      </c>
      <c r="I2293" s="7"/>
      <c r="J2293" s="8"/>
      <c r="K2293" s="26"/>
      <c r="M2293" s="6" t="str">
        <f>IFERROR(VLOOKUP(H2293,B:J,9,FALSE),"")</f>
        <v>Nicht in XMP Spezifikation, in Beispielen gefunden.</v>
      </c>
      <c r="N2293" s="6"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xml:space="preserve">Suffix not translated </v>
      </c>
      <c r="O2293" s="6" t="s">
        <v>8574</v>
      </c>
    </row>
    <row r="2294" spans="1:15" ht="30" x14ac:dyDescent="0.25">
      <c r="A2294" s="5" t="str">
        <f>IF(TRIM(I2294)="","",E2294)</f>
        <v/>
      </c>
      <c r="B2294" s="5" t="str">
        <f>IF(TRIM(J2294)="","",H2294)</f>
        <v/>
      </c>
      <c r="C2294" s="5" t="str">
        <f>LEFT(F2294,FIND(".",F2294,6))</f>
        <v>Xmp.crs.</v>
      </c>
      <c r="D2294" s="5" t="str">
        <f>VLOOKUP(C2294,PrefixUebersetzung,2,FALSE)</f>
        <v>Xmp.crs.</v>
      </c>
      <c r="E2294" s="5" t="str">
        <f>MID(F2294,FIND(".",F2294,6)+1,99)</f>
        <v>PerspectiveScale</v>
      </c>
      <c r="F2294" s="2" t="s">
        <v>8383</v>
      </c>
      <c r="G2294" s="5" t="s">
        <v>9678</v>
      </c>
      <c r="H2294" s="3" t="s">
        <v>8266</v>
      </c>
      <c r="I2294" s="7"/>
      <c r="J2294" s="8"/>
      <c r="K2294" s="26"/>
      <c r="M2294" s="6" t="str">
        <f>IFERROR(VLOOKUP(H2294,B:J,9,FALSE),"")</f>
        <v>Nicht in XMP Spezifikation, in Beispielen gefunden.</v>
      </c>
      <c r="N2294" s="6"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xml:space="preserve">Suffix not translated </v>
      </c>
      <c r="O2294" s="6" t="s">
        <v>8574</v>
      </c>
    </row>
    <row r="2295" spans="1:15" ht="30" x14ac:dyDescent="0.25">
      <c r="A2295" s="5" t="str">
        <f>IF(TRIM(I2295)="","",E2295)</f>
        <v/>
      </c>
      <c r="B2295" s="5" t="str">
        <f>IF(TRIM(J2295)="","",H2295)</f>
        <v/>
      </c>
      <c r="C2295" s="5" t="str">
        <f>LEFT(F2295,FIND(".",F2295,6))</f>
        <v>Xmp.crs.</v>
      </c>
      <c r="D2295" s="5" t="str">
        <f>VLOOKUP(C2295,PrefixUebersetzung,2,FALSE)</f>
        <v>Xmp.crs.</v>
      </c>
      <c r="E2295" s="5" t="str">
        <f>MID(F2295,FIND(".",F2295,6)+1,99)</f>
        <v>PerspectiveUpright</v>
      </c>
      <c r="F2295" s="2" t="s">
        <v>8384</v>
      </c>
      <c r="G2295" s="5" t="s">
        <v>9678</v>
      </c>
      <c r="H2295" s="3" t="s">
        <v>8266</v>
      </c>
      <c r="I2295" s="7"/>
      <c r="J2295" s="8"/>
      <c r="K2295" s="26"/>
      <c r="M2295" s="6" t="str">
        <f>IFERROR(VLOOKUP(H2295,B:J,9,FALSE),"")</f>
        <v>Nicht in XMP Spezifikation, in Beispielen gefunden.</v>
      </c>
      <c r="N2295" s="6"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xml:space="preserve">Suffix not translated </v>
      </c>
      <c r="O2295" s="6" t="s">
        <v>8574</v>
      </c>
    </row>
    <row r="2296" spans="1:15" ht="30" x14ac:dyDescent="0.25">
      <c r="A2296" s="5" t="str">
        <f>IF(TRIM(I2296)="","",E2296)</f>
        <v/>
      </c>
      <c r="B2296" s="5" t="str">
        <f>IF(TRIM(J2296)="","",H2296)</f>
        <v/>
      </c>
      <c r="C2296" s="5" t="str">
        <f>LEFT(F2296,FIND(".",F2296,6))</f>
        <v>Xmp.crs.</v>
      </c>
      <c r="D2296" s="5" t="str">
        <f>VLOOKUP(C2296,PrefixUebersetzung,2,FALSE)</f>
        <v>Xmp.crs.</v>
      </c>
      <c r="E2296" s="5" t="str">
        <f>MID(F2296,FIND(".",F2296,6)+1,99)</f>
        <v>PerspectiveVertical</v>
      </c>
      <c r="F2296" s="2" t="s">
        <v>8385</v>
      </c>
      <c r="G2296" s="5" t="s">
        <v>9678</v>
      </c>
      <c r="H2296" s="3" t="s">
        <v>8266</v>
      </c>
      <c r="I2296" s="7"/>
      <c r="J2296" s="8"/>
      <c r="K2296" s="26"/>
      <c r="M2296" s="6" t="str">
        <f>IFERROR(VLOOKUP(H2296,B:J,9,FALSE),"")</f>
        <v>Nicht in XMP Spezifikation, in Beispielen gefunden.</v>
      </c>
      <c r="N2296" s="6"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xml:space="preserve">Suffix not translated </v>
      </c>
      <c r="O2296" s="6" t="s">
        <v>8574</v>
      </c>
    </row>
    <row r="2297" spans="1:15" ht="30" x14ac:dyDescent="0.25">
      <c r="A2297" s="5" t="str">
        <f>IF(TRIM(I2297)="","",E2297)</f>
        <v/>
      </c>
      <c r="B2297" s="5" t="str">
        <f>IF(TRIM(J2297)="","",H2297)</f>
        <v/>
      </c>
      <c r="C2297" s="5" t="str">
        <f>LEFT(F2297,FIND(".",F2297,6))</f>
        <v>Xmp.crs.</v>
      </c>
      <c r="D2297" s="5" t="str">
        <f>VLOOKUP(C2297,PrefixUebersetzung,2,FALSE)</f>
        <v>Xmp.crs.</v>
      </c>
      <c r="E2297" s="5" t="str">
        <f>MID(F2297,FIND(".",F2297,6)+1,99)</f>
        <v>PostCropVignetteAmount</v>
      </c>
      <c r="F2297" s="2" t="s">
        <v>8386</v>
      </c>
      <c r="G2297" s="5" t="s">
        <v>9678</v>
      </c>
      <c r="H2297" s="3" t="s">
        <v>8266</v>
      </c>
      <c r="I2297" s="7"/>
      <c r="J2297" s="8"/>
      <c r="K2297" s="26"/>
      <c r="M2297" s="6" t="str">
        <f>IFERROR(VLOOKUP(H2297,B:J,9,FALSE),"")</f>
        <v>Nicht in XMP Spezifikation, in Beispielen gefunden.</v>
      </c>
      <c r="N2297" s="6"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xml:space="preserve">Suffix not translated </v>
      </c>
      <c r="O2297" s="6" t="s">
        <v>8574</v>
      </c>
    </row>
    <row r="2298" spans="1:15" ht="30" x14ac:dyDescent="0.25">
      <c r="A2298" s="5" t="str">
        <f>IF(TRIM(I2298)="","",E2298)</f>
        <v/>
      </c>
      <c r="B2298" s="5" t="str">
        <f>IF(TRIM(J2298)="","",H2298)</f>
        <v/>
      </c>
      <c r="C2298" s="5" t="str">
        <f>LEFT(F2298,FIND(".",F2298,6))</f>
        <v>Xmp.crs.</v>
      </c>
      <c r="D2298" s="5" t="str">
        <f>VLOOKUP(C2298,PrefixUebersetzung,2,FALSE)</f>
        <v>Xmp.crs.</v>
      </c>
      <c r="E2298" s="5" t="str">
        <f>MID(F2298,FIND(".",F2298,6)+1,99)</f>
        <v>PostCropVignetteFeather</v>
      </c>
      <c r="F2298" s="2" t="s">
        <v>8387</v>
      </c>
      <c r="G2298" s="5" t="s">
        <v>9678</v>
      </c>
      <c r="H2298" s="3" t="s">
        <v>8266</v>
      </c>
      <c r="I2298" s="7"/>
      <c r="J2298" s="8"/>
      <c r="K2298" s="26"/>
      <c r="M2298" s="6" t="str">
        <f>IFERROR(VLOOKUP(H2298,B:J,9,FALSE),"")</f>
        <v>Nicht in XMP Spezifikation, in Beispielen gefunden.</v>
      </c>
      <c r="N2298" s="6"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xml:space="preserve">Suffix not translated </v>
      </c>
      <c r="O2298" s="6" t="s">
        <v>8574</v>
      </c>
    </row>
    <row r="2299" spans="1:15" ht="30" x14ac:dyDescent="0.25">
      <c r="A2299" s="5" t="str">
        <f>IF(TRIM(I2299)="","",E2299)</f>
        <v/>
      </c>
      <c r="B2299" s="5" t="str">
        <f>IF(TRIM(J2299)="","",H2299)</f>
        <v/>
      </c>
      <c r="C2299" s="5" t="str">
        <f>LEFT(F2299,FIND(".",F2299,6))</f>
        <v>Xmp.crs.</v>
      </c>
      <c r="D2299" s="5" t="str">
        <f>VLOOKUP(C2299,PrefixUebersetzung,2,FALSE)</f>
        <v>Xmp.crs.</v>
      </c>
      <c r="E2299" s="5" t="str">
        <f>MID(F2299,FIND(".",F2299,6)+1,99)</f>
        <v>PostCropVignetteHighlightContrast</v>
      </c>
      <c r="F2299" s="2" t="s">
        <v>8388</v>
      </c>
      <c r="G2299" s="5" t="s">
        <v>9678</v>
      </c>
      <c r="H2299" s="3" t="s">
        <v>8266</v>
      </c>
      <c r="I2299" s="7"/>
      <c r="J2299" s="8"/>
      <c r="K2299" s="26"/>
      <c r="M2299" s="6" t="str">
        <f>IFERROR(VLOOKUP(H2299,B:J,9,FALSE),"")</f>
        <v>Nicht in XMP Spezifikation, in Beispielen gefunden.</v>
      </c>
      <c r="N2299" s="6"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xml:space="preserve">Suffix not translated </v>
      </c>
      <c r="O2299" s="6" t="s">
        <v>8574</v>
      </c>
    </row>
    <row r="2300" spans="1:15" ht="30" x14ac:dyDescent="0.25">
      <c r="A2300" s="5" t="str">
        <f>IF(TRIM(I2300)="","",E2300)</f>
        <v/>
      </c>
      <c r="B2300" s="5" t="str">
        <f>IF(TRIM(J2300)="","",H2300)</f>
        <v/>
      </c>
      <c r="C2300" s="5" t="str">
        <f>LEFT(F2300,FIND(".",F2300,6))</f>
        <v>Xmp.crs.</v>
      </c>
      <c r="D2300" s="5" t="str">
        <f>VLOOKUP(C2300,PrefixUebersetzung,2,FALSE)</f>
        <v>Xmp.crs.</v>
      </c>
      <c r="E2300" s="5" t="str">
        <f>MID(F2300,FIND(".",F2300,6)+1,99)</f>
        <v>PostCropVignetteMidpoint</v>
      </c>
      <c r="F2300" s="2" t="s">
        <v>8389</v>
      </c>
      <c r="G2300" s="5" t="s">
        <v>9678</v>
      </c>
      <c r="H2300" s="3" t="s">
        <v>8266</v>
      </c>
      <c r="I2300" s="7"/>
      <c r="J2300" s="8"/>
      <c r="K2300" s="26"/>
      <c r="M2300" s="6" t="str">
        <f>IFERROR(VLOOKUP(H2300,B:J,9,FALSE),"")</f>
        <v>Nicht in XMP Spezifikation, in Beispielen gefunden.</v>
      </c>
      <c r="N2300" s="6"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xml:space="preserve">Suffix not translated </v>
      </c>
      <c r="O2300" s="6" t="s">
        <v>8574</v>
      </c>
    </row>
    <row r="2301" spans="1:15" ht="30" x14ac:dyDescent="0.25">
      <c r="A2301" s="5" t="str">
        <f>IF(TRIM(I2301)="","",E2301)</f>
        <v/>
      </c>
      <c r="B2301" s="5" t="str">
        <f>IF(TRIM(J2301)="","",H2301)</f>
        <v/>
      </c>
      <c r="C2301" s="5" t="str">
        <f>LEFT(F2301,FIND(".",F2301,6))</f>
        <v>Xmp.crs.</v>
      </c>
      <c r="D2301" s="5" t="str">
        <f>VLOOKUP(C2301,PrefixUebersetzung,2,FALSE)</f>
        <v>Xmp.crs.</v>
      </c>
      <c r="E2301" s="5" t="str">
        <f>MID(F2301,FIND(".",F2301,6)+1,99)</f>
        <v>PostCropVignetteRoundness</v>
      </c>
      <c r="F2301" s="2" t="s">
        <v>8390</v>
      </c>
      <c r="G2301" s="5" t="s">
        <v>9678</v>
      </c>
      <c r="H2301" s="3" t="s">
        <v>8266</v>
      </c>
      <c r="I2301" s="7"/>
      <c r="J2301" s="8"/>
      <c r="K2301" s="26"/>
      <c r="M2301" s="6" t="str">
        <f>IFERROR(VLOOKUP(H2301,B:J,9,FALSE),"")</f>
        <v>Nicht in XMP Spezifikation, in Beispielen gefunden.</v>
      </c>
      <c r="N2301" s="6"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v>
      </c>
      <c r="O2301" s="6" t="s">
        <v>8574</v>
      </c>
    </row>
    <row r="2302" spans="1:15" ht="30" x14ac:dyDescent="0.25">
      <c r="A2302" s="5" t="str">
        <f>IF(TRIM(I2302)="","",E2302)</f>
        <v/>
      </c>
      <c r="B2302" s="5" t="str">
        <f>IF(TRIM(J2302)="","",H2302)</f>
        <v/>
      </c>
      <c r="C2302" s="5" t="str">
        <f>LEFT(F2302,FIND(".",F2302,6))</f>
        <v>Xmp.crs.</v>
      </c>
      <c r="D2302" s="5" t="str">
        <f>VLOOKUP(C2302,PrefixUebersetzung,2,FALSE)</f>
        <v>Xmp.crs.</v>
      </c>
      <c r="E2302" s="5" t="str">
        <f>MID(F2302,FIND(".",F2302,6)+1,99)</f>
        <v>PostCropVignetteStyle</v>
      </c>
      <c r="F2302" s="2" t="s">
        <v>8391</v>
      </c>
      <c r="G2302" s="5" t="s">
        <v>9678</v>
      </c>
      <c r="H2302" s="3" t="s">
        <v>8266</v>
      </c>
      <c r="I2302" s="7"/>
      <c r="J2302" s="8"/>
      <c r="K2302" s="26"/>
      <c r="M2302" s="6" t="str">
        <f>IFERROR(VLOOKUP(H2302,B:J,9,FALSE),"")</f>
        <v>Nicht in XMP Spezifikation, in Beispielen gefunden.</v>
      </c>
      <c r="N2302" s="6"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xml:space="preserve">Suffix not translated </v>
      </c>
      <c r="O2302" s="6" t="s">
        <v>8574</v>
      </c>
    </row>
    <row r="2303" spans="1:15" ht="30" x14ac:dyDescent="0.25">
      <c r="A2303" s="5" t="str">
        <f>IF(TRIM(I2303)="","",E2303)</f>
        <v/>
      </c>
      <c r="B2303" s="5" t="str">
        <f>IF(TRIM(J2303)="","",H2303)</f>
        <v/>
      </c>
      <c r="C2303" s="5" t="str">
        <f>LEFT(F2303,FIND(".",F2303,6))</f>
        <v>Xmp.crs.</v>
      </c>
      <c r="D2303" s="5" t="str">
        <f>VLOOKUP(C2303,PrefixUebersetzung,2,FALSE)</f>
        <v>Xmp.crs.</v>
      </c>
      <c r="E2303" s="5" t="str">
        <f>MID(F2303,FIND(".",F2303,6)+1,99)</f>
        <v>ProcessVersion</v>
      </c>
      <c r="F2303" s="2" t="s">
        <v>8392</v>
      </c>
      <c r="G2303" s="5" t="s">
        <v>9678</v>
      </c>
      <c r="H2303" s="3" t="s">
        <v>8266</v>
      </c>
      <c r="I2303" s="7"/>
      <c r="J2303" s="8"/>
      <c r="K2303" s="26"/>
      <c r="M2303" s="6" t="str">
        <f>IFERROR(VLOOKUP(H2303,B:J,9,FALSE),"")</f>
        <v>Nicht in XMP Spezifikation, in Beispielen gefunden.</v>
      </c>
      <c r="N2303" s="6"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v>
      </c>
      <c r="O2303" s="6" t="s">
        <v>8574</v>
      </c>
    </row>
    <row r="2304" spans="1:15" ht="30" x14ac:dyDescent="0.25">
      <c r="A2304" s="5" t="str">
        <f>IF(TRIM(I2304)="","",E2304)</f>
        <v>Radius</v>
      </c>
      <c r="B2304" s="5" t="str">
        <f>IF(TRIM(J2304)="","",H2304)</f>
        <v/>
      </c>
      <c r="C2304" s="5" t="str">
        <f>LEFT(F2304,FIND(".",F2304,6))</f>
        <v>Xmp.crs.</v>
      </c>
      <c r="D2304" s="5" t="str">
        <f>VLOOKUP(C2304,PrefixUebersetzung,2,FALSE)</f>
        <v>Xmp.crs.</v>
      </c>
      <c r="E2304" s="5" t="str">
        <f>MID(F2304,FIND(".",F2304,6)+1,99)</f>
        <v>Radius</v>
      </c>
      <c r="F2304" s="2" t="s">
        <v>8393</v>
      </c>
      <c r="G2304" s="5" t="s">
        <v>9678</v>
      </c>
      <c r="H2304" s="3" t="s">
        <v>8266</v>
      </c>
      <c r="I2304" s="7" t="s">
        <v>8573</v>
      </c>
      <c r="J2304" s="8"/>
      <c r="K2304" s="26"/>
      <c r="M2304" s="6" t="str">
        <f>IFERROR(VLOOKUP(H2304,B:J,9,FALSE),"")</f>
        <v>Nicht in XMP Spezifikation, in Beispielen gefunden.</v>
      </c>
      <c r="N2304" s="6"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O2304" s="6" t="s">
        <v>8574</v>
      </c>
    </row>
    <row r="2305" spans="1:17" ht="30" x14ac:dyDescent="0.25">
      <c r="A2305" s="5" t="str">
        <f>IF(TRIM(I2305)="","",E2305)</f>
        <v>RawFileName</v>
      </c>
      <c r="B2305" s="5" t="str">
        <f>IF(TRIM(J2305)="","",H2305)</f>
        <v>File name of raw file (not a complete path).</v>
      </c>
      <c r="C2305" s="5" t="str">
        <f>LEFT(F2305,FIND(".",F2305,6))</f>
        <v>Xmp.crs.</v>
      </c>
      <c r="D2305" s="5" t="str">
        <f>VLOOKUP(C2305,PrefixUebersetzung,2,FALSE)</f>
        <v>Xmp.crs.</v>
      </c>
      <c r="E2305" s="5" t="str">
        <f>MID(F2305,FIND(".",F2305,6)+1,99)</f>
        <v>RawFileName</v>
      </c>
      <c r="F2305" s="5" t="s">
        <v>1673</v>
      </c>
      <c r="G2305" s="5" t="s">
        <v>9678</v>
      </c>
      <c r="H2305" s="6" t="s">
        <v>3333</v>
      </c>
      <c r="I2305" s="7" t="s">
        <v>5084</v>
      </c>
      <c r="J2305" s="14" t="s">
        <v>6678</v>
      </c>
      <c r="K2305" s="26"/>
      <c r="N2305" s="6"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6" t="s">
        <v>8574</v>
      </c>
      <c r="P2305" s="6" t="s">
        <v>8574</v>
      </c>
      <c r="Q2305" s="6" t="s">
        <v>9302</v>
      </c>
    </row>
    <row r="2306" spans="1:17" ht="30" x14ac:dyDescent="0.25">
      <c r="A2306" s="5" t="str">
        <f>IF(TRIM(I2306)="","",E2306)</f>
        <v/>
      </c>
      <c r="B2306" s="5" t="str">
        <f>IF(TRIM(J2306)="","",H2306)</f>
        <v/>
      </c>
      <c r="C2306" s="5" t="str">
        <f>LEFT(F2306,FIND(".",F2306,6))</f>
        <v>Xmp.crs.</v>
      </c>
      <c r="D2306" s="5" t="str">
        <f>VLOOKUP(C2306,PrefixUebersetzung,2,FALSE)</f>
        <v>Xmp.crs.</v>
      </c>
      <c r="E2306" s="5" t="str">
        <f>MID(F2306,FIND(".",F2306,6)+1,99)</f>
        <v>RedEyeInfo</v>
      </c>
      <c r="F2306" s="2" t="s">
        <v>8394</v>
      </c>
      <c r="G2306" s="5" t="s">
        <v>9679</v>
      </c>
      <c r="H2306" s="3" t="s">
        <v>8266</v>
      </c>
      <c r="I2306" s="7"/>
      <c r="J2306" s="8"/>
      <c r="K2306" s="26"/>
      <c r="M2306" s="6" t="str">
        <f>IFERROR(VLOOKUP(H2306,B:J,9,FALSE),"")</f>
        <v>Nicht in XMP Spezifikation, in Beispielen gefunden.</v>
      </c>
      <c r="N2306" s="6"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xml:space="preserve">Suffix not translated </v>
      </c>
      <c r="O2306" s="6" t="s">
        <v>8574</v>
      </c>
    </row>
    <row r="2307" spans="1:17" x14ac:dyDescent="0.25">
      <c r="A2307" s="5" t="str">
        <f>IF(TRIM(I2307)="","",E2307)</f>
        <v>RedHue</v>
      </c>
      <c r="B2307" s="5" t="str">
        <f>IF(TRIM(J2307)="","",H2307)</f>
        <v>"Red Hue" setting. Range -100 to +100.</v>
      </c>
      <c r="C2307" s="5" t="str">
        <f>LEFT(F2307,FIND(".",F2307,6))</f>
        <v>Xmp.crs.</v>
      </c>
      <c r="D2307" s="5" t="str">
        <f>VLOOKUP(C2307,PrefixUebersetzung,2,FALSE)</f>
        <v>Xmp.crs.</v>
      </c>
      <c r="E2307" s="5" t="str">
        <f>MID(F2307,FIND(".",F2307,6)+1,99)</f>
        <v>RedHue</v>
      </c>
      <c r="F2307" s="5" t="s">
        <v>1674</v>
      </c>
      <c r="G2307" s="5" t="s">
        <v>9678</v>
      </c>
      <c r="H2307" s="6" t="s">
        <v>9699</v>
      </c>
      <c r="I2307" s="7" t="s">
        <v>4514</v>
      </c>
      <c r="J2307" s="14" t="s">
        <v>5535</v>
      </c>
      <c r="K2307" s="26"/>
      <c r="N2307" s="6"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O2307" s="6" t="s">
        <v>8574</v>
      </c>
      <c r="P2307" s="6" t="s">
        <v>8574</v>
      </c>
    </row>
    <row r="2308" spans="1:17" x14ac:dyDescent="0.25">
      <c r="A2308" s="5" t="str">
        <f>IF(TRIM(I2308)="","",E2308)</f>
        <v>RedSaturation</v>
      </c>
      <c r="B2308" s="5" t="str">
        <f>IF(TRIM(J2308)="","",H2308)</f>
        <v>"Red Saturation" setting. Range -100 to +100.</v>
      </c>
      <c r="C2308" s="5" t="str">
        <f>LEFT(F2308,FIND(".",F2308,6))</f>
        <v>Xmp.crs.</v>
      </c>
      <c r="D2308" s="5" t="str">
        <f>VLOOKUP(C2308,PrefixUebersetzung,2,FALSE)</f>
        <v>Xmp.crs.</v>
      </c>
      <c r="E2308" s="5" t="str">
        <f>MID(F2308,FIND(".",F2308,6)+1,99)</f>
        <v>RedSaturation</v>
      </c>
      <c r="F2308" s="5" t="s">
        <v>1675</v>
      </c>
      <c r="G2308" s="5" t="s">
        <v>9678</v>
      </c>
      <c r="H2308" s="6" t="s">
        <v>9700</v>
      </c>
      <c r="I2308" s="7" t="s">
        <v>4515</v>
      </c>
      <c r="J2308" s="14" t="s">
        <v>5536</v>
      </c>
      <c r="K2308" s="26"/>
      <c r="N2308" s="6"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c r="O2308" s="6" t="s">
        <v>8574</v>
      </c>
      <c r="P2308" s="6" t="s">
        <v>8574</v>
      </c>
    </row>
    <row r="2309" spans="1:17" x14ac:dyDescent="0.25">
      <c r="A2309" s="5" t="str">
        <f>IF(TRIM(I2309)="","",E2309)</f>
        <v/>
      </c>
      <c r="B2309" s="5" t="str">
        <f>IF(TRIM(J2309)="","",H2309)</f>
        <v/>
      </c>
      <c r="C2309" s="5" t="str">
        <f>LEFT(F2309,FIND(".",F2309,6))</f>
        <v>Xmp.crs.</v>
      </c>
      <c r="D2309" s="5" t="str">
        <f>VLOOKUP(C2309,PrefixUebersetzung,2,FALSE)</f>
        <v>Xmp.crs.</v>
      </c>
      <c r="E2309" s="5" t="str">
        <f>MID(F2309,FIND(".",F2309,6)+1,99)</f>
        <v>RetouchAreas</v>
      </c>
      <c r="F2309" s="2" t="s">
        <v>8395</v>
      </c>
      <c r="G2309" s="5" t="s">
        <v>9678</v>
      </c>
      <c r="H2309" s="3" t="s">
        <v>8277</v>
      </c>
      <c r="I2309" s="7"/>
      <c r="K2309" s="26"/>
      <c r="M2309" s="6" t="str">
        <f>IFERROR(VLOOKUP(H2309,B:J,9,FALSE),"")</f>
        <v/>
      </c>
      <c r="N2309" s="6"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xml:space="preserve">Suffix not translated Description not translated </v>
      </c>
      <c r="O2309" s="6" t="s">
        <v>8574</v>
      </c>
    </row>
    <row r="2310" spans="1:17" ht="30" x14ac:dyDescent="0.25">
      <c r="A2310" s="5" t="str">
        <f>IF(TRIM(I2310)="","",E2310)</f>
        <v/>
      </c>
      <c r="B2310" s="5" t="str">
        <f>IF(TRIM(J2310)="","",H2310)</f>
        <v/>
      </c>
      <c r="C2310" s="5" t="str">
        <f>LEFT(F2310,FIND(".",F2310,6))</f>
        <v>Xmp.crs.</v>
      </c>
      <c r="D2310" s="5" t="str">
        <f>VLOOKUP(C2310,PrefixUebersetzung,2,FALSE)</f>
        <v>Xmp.crs.</v>
      </c>
      <c r="E2310" s="5" t="str">
        <f>MID(F2310,FIND(".",F2310,6)+1,99)</f>
        <v>RetouchInfo</v>
      </c>
      <c r="F2310" s="2" t="s">
        <v>8396</v>
      </c>
      <c r="G2310" s="5" t="s">
        <v>9679</v>
      </c>
      <c r="H2310" s="3" t="s">
        <v>8266</v>
      </c>
      <c r="I2310" s="7"/>
      <c r="J2310" s="8"/>
      <c r="K2310" s="26"/>
      <c r="M2310" s="6" t="str">
        <f>IFERROR(VLOOKUP(H2310,B:J,9,FALSE),"")</f>
        <v>Nicht in XMP Spezifikation, in Beispielen gefunden.</v>
      </c>
      <c r="N2310" s="6"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xml:space="preserve">Suffix not translated </v>
      </c>
      <c r="O2310" s="6" t="s">
        <v>8574</v>
      </c>
    </row>
    <row r="2311" spans="1:17" ht="30" x14ac:dyDescent="0.25">
      <c r="A2311" s="5" t="str">
        <f>IF(TRIM(I2311)="","",E2311)</f>
        <v/>
      </c>
      <c r="B2311" s="5" t="str">
        <f>IF(TRIM(J2311)="","",H2311)</f>
        <v/>
      </c>
      <c r="C2311" s="5" t="str">
        <f>LEFT(F2311,FIND(".",F2311,6))</f>
        <v>Xmp.crs.</v>
      </c>
      <c r="D2311" s="5" t="str">
        <f>VLOOKUP(C2311,PrefixUebersetzung,2,FALSE)</f>
        <v>Xmp.crs.</v>
      </c>
      <c r="E2311" s="5" t="str">
        <f>MID(F2311,FIND(".",F2311,6)+1,99)</f>
        <v>Right</v>
      </c>
      <c r="F2311" s="2" t="s">
        <v>8397</v>
      </c>
      <c r="G2311" s="5" t="s">
        <v>9678</v>
      </c>
      <c r="H2311" s="3" t="s">
        <v>8266</v>
      </c>
      <c r="I2311" s="7"/>
      <c r="J2311" s="8"/>
      <c r="K2311" s="26"/>
      <c r="M2311" s="6" t="str">
        <f>IFERROR(VLOOKUP(H2311,B:J,9,FALSE),"")</f>
        <v>Nicht in XMP Spezifikation, in Beispielen gefunden.</v>
      </c>
      <c r="N2311" s="6"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xml:space="preserve">Suffix not translated </v>
      </c>
      <c r="O2311" s="6" t="s">
        <v>8574</v>
      </c>
    </row>
    <row r="2312" spans="1:17" ht="30" x14ac:dyDescent="0.25">
      <c r="A2312" s="5" t="str">
        <f>IF(TRIM(I2312)="","",E2312)</f>
        <v/>
      </c>
      <c r="B2312" s="5" t="str">
        <f>IF(TRIM(J2312)="","",H2312)</f>
        <v/>
      </c>
      <c r="C2312" s="5" t="str">
        <f>LEFT(F2312,FIND(".",F2312,6))</f>
        <v>Xmp.crs.</v>
      </c>
      <c r="D2312" s="5" t="str">
        <f>VLOOKUP(C2312,PrefixUebersetzung,2,FALSE)</f>
        <v>Xmp.crs.</v>
      </c>
      <c r="E2312" s="5" t="str">
        <f>MID(F2312,FIND(".",F2312,6)+1,99)</f>
        <v>Roundness</v>
      </c>
      <c r="F2312" s="2" t="s">
        <v>8398</v>
      </c>
      <c r="G2312" s="5" t="s">
        <v>9678</v>
      </c>
      <c r="H2312" s="3" t="s">
        <v>8266</v>
      </c>
      <c r="I2312" s="7"/>
      <c r="J2312" s="8"/>
      <c r="K2312" s="26"/>
      <c r="M2312" s="6" t="str">
        <f>IFERROR(VLOOKUP(H2312,B:J,9,FALSE),"")</f>
        <v>Nicht in XMP Spezifikation, in Beispielen gefunden.</v>
      </c>
      <c r="N2312" s="6"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xml:space="preserve">Suffix not translated </v>
      </c>
      <c r="O2312" s="6" t="s">
        <v>8574</v>
      </c>
    </row>
    <row r="2313" spans="1:17" x14ac:dyDescent="0.25">
      <c r="A2313" s="5" t="str">
        <f>IF(TRIM(I2313)="","",E2313)</f>
        <v/>
      </c>
      <c r="B2313" s="5" t="str">
        <f>IF(TRIM(J2313)="","",H2313)</f>
        <v>"Saturation" setting. Range -100 to +100.</v>
      </c>
      <c r="C2313" s="5" t="str">
        <f>LEFT(F2313,FIND(".",F2313,6))</f>
        <v>Xmp.crs.</v>
      </c>
      <c r="D2313" s="5" t="str">
        <f>VLOOKUP(C2313,PrefixUebersetzung,2,FALSE)</f>
        <v>Xmp.crs.</v>
      </c>
      <c r="E2313" s="5" t="str">
        <f>MID(F2313,FIND(".",F2313,6)+1,99)</f>
        <v>Saturation</v>
      </c>
      <c r="F2313" s="5" t="s">
        <v>1676</v>
      </c>
      <c r="G2313" s="5" t="s">
        <v>9678</v>
      </c>
      <c r="H2313" s="6" t="s">
        <v>9701</v>
      </c>
      <c r="I2313" s="7"/>
      <c r="J2313" s="14" t="s">
        <v>5343</v>
      </c>
      <c r="K2313" s="26"/>
      <c r="L2313" s="6" t="str">
        <f>IFERROR(VLOOKUP(E2313,A:I,9, FALSE),"")</f>
        <v>Sättigung</v>
      </c>
      <c r="N2313" s="6"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P2313" s="6" t="s">
        <v>8574</v>
      </c>
    </row>
    <row r="2314" spans="1:17" ht="30" x14ac:dyDescent="0.25">
      <c r="A2314" s="5" t="str">
        <f>IF(TRIM(I2314)="","",E2314)</f>
        <v/>
      </c>
      <c r="B2314" s="5" t="str">
        <f>IF(TRIM(J2314)="","",H2314)</f>
        <v/>
      </c>
      <c r="C2314" s="5" t="str">
        <f>LEFT(F2314,FIND(".",F2314,6))</f>
        <v>Xmp.crs.</v>
      </c>
      <c r="D2314" s="5" t="str">
        <f>VLOOKUP(C2314,PrefixUebersetzung,2,FALSE)</f>
        <v>Xmp.crs.</v>
      </c>
      <c r="E2314" s="5" t="str">
        <f>MID(F2314,FIND(".",F2314,6)+1,99)</f>
        <v>SaturationAdjustmentAqua</v>
      </c>
      <c r="F2314" s="2" t="s">
        <v>8399</v>
      </c>
      <c r="G2314" s="5" t="s">
        <v>9678</v>
      </c>
      <c r="H2314" s="3" t="s">
        <v>8266</v>
      </c>
      <c r="I2314" s="7"/>
      <c r="J2314" s="8"/>
      <c r="K2314" s="26"/>
      <c r="M2314" s="6" t="str">
        <f>IFERROR(VLOOKUP(H2314,B:J,9,FALSE),"")</f>
        <v>Nicht in XMP Spezifikation, in Beispielen gefunden.</v>
      </c>
      <c r="N2314" s="6"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xml:space="preserve">Suffix not translated </v>
      </c>
      <c r="O2314" s="6" t="s">
        <v>8574</v>
      </c>
    </row>
    <row r="2315" spans="1:17" ht="30" x14ac:dyDescent="0.25">
      <c r="A2315" s="5" t="str">
        <f>IF(TRIM(I2315)="","",E2315)</f>
        <v/>
      </c>
      <c r="B2315" s="5" t="str">
        <f>IF(TRIM(J2315)="","",H2315)</f>
        <v/>
      </c>
      <c r="C2315" s="5" t="str">
        <f>LEFT(F2315,FIND(".",F2315,6))</f>
        <v>Xmp.crs.</v>
      </c>
      <c r="D2315" s="5" t="str">
        <f>VLOOKUP(C2315,PrefixUebersetzung,2,FALSE)</f>
        <v>Xmp.crs.</v>
      </c>
      <c r="E2315" s="5" t="str">
        <f>MID(F2315,FIND(".",F2315,6)+1,99)</f>
        <v>SaturationAdjustmentBlue</v>
      </c>
      <c r="F2315" s="2" t="s">
        <v>8400</v>
      </c>
      <c r="G2315" s="5" t="s">
        <v>9678</v>
      </c>
      <c r="H2315" s="3" t="s">
        <v>8266</v>
      </c>
      <c r="I2315" s="7"/>
      <c r="J2315" s="8"/>
      <c r="K2315" s="26"/>
      <c r="M2315" s="6" t="str">
        <f>IFERROR(VLOOKUP(H2315,B:J,9,FALSE),"")</f>
        <v>Nicht in XMP Spezifikation, in Beispielen gefunden.</v>
      </c>
      <c r="N2315" s="6"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xml:space="preserve">Suffix not translated </v>
      </c>
      <c r="O2315" s="6" t="s">
        <v>8574</v>
      </c>
    </row>
    <row r="2316" spans="1:17" ht="30" x14ac:dyDescent="0.25">
      <c r="A2316" s="5" t="str">
        <f>IF(TRIM(I2316)="","",E2316)</f>
        <v/>
      </c>
      <c r="B2316" s="5" t="str">
        <f>IF(TRIM(J2316)="","",H2316)</f>
        <v/>
      </c>
      <c r="C2316" s="5" t="str">
        <f>LEFT(F2316,FIND(".",F2316,6))</f>
        <v>Xmp.crs.</v>
      </c>
      <c r="D2316" s="5" t="str">
        <f>VLOOKUP(C2316,PrefixUebersetzung,2,FALSE)</f>
        <v>Xmp.crs.</v>
      </c>
      <c r="E2316" s="5" t="str">
        <f>MID(F2316,FIND(".",F2316,6)+1,99)</f>
        <v>SaturationAdjustmentGreen</v>
      </c>
      <c r="F2316" s="2" t="s">
        <v>8401</v>
      </c>
      <c r="G2316" s="5" t="s">
        <v>9678</v>
      </c>
      <c r="H2316" s="3" t="s">
        <v>8266</v>
      </c>
      <c r="I2316" s="7"/>
      <c r="J2316" s="8"/>
      <c r="K2316" s="26"/>
      <c r="M2316" s="6" t="str">
        <f>IFERROR(VLOOKUP(H2316,B:J,9,FALSE),"")</f>
        <v>Nicht in XMP Spezifikation, in Beispielen gefunden.</v>
      </c>
      <c r="N2316" s="6"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xml:space="preserve">Suffix not translated </v>
      </c>
      <c r="O2316" s="6" t="s">
        <v>8574</v>
      </c>
    </row>
    <row r="2317" spans="1:17" ht="30" x14ac:dyDescent="0.25">
      <c r="A2317" s="5" t="str">
        <f>IF(TRIM(I2317)="","",E2317)</f>
        <v/>
      </c>
      <c r="B2317" s="5" t="str">
        <f>IF(TRIM(J2317)="","",H2317)</f>
        <v/>
      </c>
      <c r="C2317" s="5" t="str">
        <f>LEFT(F2317,FIND(".",F2317,6))</f>
        <v>Xmp.crs.</v>
      </c>
      <c r="D2317" s="5" t="str">
        <f>VLOOKUP(C2317,PrefixUebersetzung,2,FALSE)</f>
        <v>Xmp.crs.</v>
      </c>
      <c r="E2317" s="5" t="str">
        <f>MID(F2317,FIND(".",F2317,6)+1,99)</f>
        <v>SaturationAdjustmentMagenta</v>
      </c>
      <c r="F2317" s="2" t="s">
        <v>8402</v>
      </c>
      <c r="G2317" s="5" t="s">
        <v>9678</v>
      </c>
      <c r="H2317" s="3" t="s">
        <v>8266</v>
      </c>
      <c r="I2317" s="7"/>
      <c r="J2317" s="8"/>
      <c r="K2317" s="26"/>
      <c r="M2317" s="6" t="str">
        <f>IFERROR(VLOOKUP(H2317,B:J,9,FALSE),"")</f>
        <v>Nicht in XMP Spezifikation, in Beispielen gefunden.</v>
      </c>
      <c r="N2317" s="6"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xml:space="preserve">Suffix not translated </v>
      </c>
      <c r="O2317" s="6" t="s">
        <v>8574</v>
      </c>
    </row>
    <row r="2318" spans="1:17" ht="30" x14ac:dyDescent="0.25">
      <c r="A2318" s="5" t="str">
        <f>IF(TRIM(I2318)="","",E2318)</f>
        <v/>
      </c>
      <c r="B2318" s="5" t="str">
        <f>IF(TRIM(J2318)="","",H2318)</f>
        <v/>
      </c>
      <c r="C2318" s="5" t="str">
        <f>LEFT(F2318,FIND(".",F2318,6))</f>
        <v>Xmp.crs.</v>
      </c>
      <c r="D2318" s="5" t="str">
        <f>VLOOKUP(C2318,PrefixUebersetzung,2,FALSE)</f>
        <v>Xmp.crs.</v>
      </c>
      <c r="E2318" s="5" t="str">
        <f>MID(F2318,FIND(".",F2318,6)+1,99)</f>
        <v>SaturationAdjustmentOrange</v>
      </c>
      <c r="F2318" s="2" t="s">
        <v>8403</v>
      </c>
      <c r="G2318" s="5" t="s">
        <v>9678</v>
      </c>
      <c r="H2318" s="3" t="s">
        <v>8266</v>
      </c>
      <c r="I2318" s="7"/>
      <c r="J2318" s="8"/>
      <c r="K2318" s="26"/>
      <c r="M2318" s="6" t="str">
        <f>IFERROR(VLOOKUP(H2318,B:J,9,FALSE),"")</f>
        <v>Nicht in XMP Spezifikation, in Beispielen gefunden.</v>
      </c>
      <c r="N2318" s="6"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v>
      </c>
      <c r="O2318" s="6" t="s">
        <v>8574</v>
      </c>
    </row>
    <row r="2319" spans="1:17" ht="30" x14ac:dyDescent="0.25">
      <c r="A2319" s="5" t="str">
        <f>IF(TRIM(I2319)="","",E2319)</f>
        <v/>
      </c>
      <c r="B2319" s="5" t="str">
        <f>IF(TRIM(J2319)="","",H2319)</f>
        <v/>
      </c>
      <c r="C2319" s="5" t="str">
        <f>LEFT(F2319,FIND(".",F2319,6))</f>
        <v>Xmp.crs.</v>
      </c>
      <c r="D2319" s="5" t="str">
        <f>VLOOKUP(C2319,PrefixUebersetzung,2,FALSE)</f>
        <v>Xmp.crs.</v>
      </c>
      <c r="E2319" s="5" t="str">
        <f>MID(F2319,FIND(".",F2319,6)+1,99)</f>
        <v>SaturationAdjustmentPurple</v>
      </c>
      <c r="F2319" s="2" t="s">
        <v>8404</v>
      </c>
      <c r="G2319" s="5" t="s">
        <v>9678</v>
      </c>
      <c r="H2319" s="3" t="s">
        <v>8266</v>
      </c>
      <c r="I2319" s="7"/>
      <c r="J2319" s="8"/>
      <c r="K2319" s="26"/>
      <c r="M2319" s="6" t="str">
        <f>IFERROR(VLOOKUP(H2319,B:J,9,FALSE),"")</f>
        <v>Nicht in XMP Spezifikation, in Beispielen gefunden.</v>
      </c>
      <c r="N2319" s="6"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xml:space="preserve">Suffix not translated </v>
      </c>
      <c r="O2319" s="6" t="s">
        <v>8574</v>
      </c>
    </row>
    <row r="2320" spans="1:17" ht="30" x14ac:dyDescent="0.25">
      <c r="A2320" s="5" t="str">
        <f>IF(TRIM(I2320)="","",E2320)</f>
        <v/>
      </c>
      <c r="B2320" s="5" t="str">
        <f>IF(TRIM(J2320)="","",H2320)</f>
        <v/>
      </c>
      <c r="C2320" s="5" t="str">
        <f>LEFT(F2320,FIND(".",F2320,6))</f>
        <v>Xmp.crs.</v>
      </c>
      <c r="D2320" s="5" t="str">
        <f>VLOOKUP(C2320,PrefixUebersetzung,2,FALSE)</f>
        <v>Xmp.crs.</v>
      </c>
      <c r="E2320" s="5" t="str">
        <f>MID(F2320,FIND(".",F2320,6)+1,99)</f>
        <v>SaturationAdjustmentRed</v>
      </c>
      <c r="F2320" s="2" t="s">
        <v>8405</v>
      </c>
      <c r="G2320" s="5" t="s">
        <v>9678</v>
      </c>
      <c r="H2320" s="3" t="s">
        <v>8266</v>
      </c>
      <c r="I2320" s="7"/>
      <c r="J2320" s="8"/>
      <c r="K2320" s="26"/>
      <c r="M2320" s="6" t="str">
        <f>IFERROR(VLOOKUP(H2320,B:J,9,FALSE),"")</f>
        <v>Nicht in XMP Spezifikation, in Beispielen gefunden.</v>
      </c>
      <c r="N2320" s="6"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xml:space="preserve">Suffix not translated </v>
      </c>
      <c r="O2320" s="6" t="s">
        <v>8574</v>
      </c>
    </row>
    <row r="2321" spans="1:16" ht="30" x14ac:dyDescent="0.25">
      <c r="A2321" s="5" t="str">
        <f>IF(TRIM(I2321)="","",E2321)</f>
        <v/>
      </c>
      <c r="B2321" s="5" t="str">
        <f>IF(TRIM(J2321)="","",H2321)</f>
        <v/>
      </c>
      <c r="C2321" s="5" t="str">
        <f>LEFT(F2321,FIND(".",F2321,6))</f>
        <v>Xmp.crs.</v>
      </c>
      <c r="D2321" s="5" t="str">
        <f>VLOOKUP(C2321,PrefixUebersetzung,2,FALSE)</f>
        <v>Xmp.crs.</v>
      </c>
      <c r="E2321" s="5" t="str">
        <f>MID(F2321,FIND(".",F2321,6)+1,99)</f>
        <v>SaturationAdjustmentYellow</v>
      </c>
      <c r="F2321" s="2" t="s">
        <v>8406</v>
      </c>
      <c r="G2321" s="5" t="s">
        <v>9678</v>
      </c>
      <c r="H2321" s="3" t="s">
        <v>8266</v>
      </c>
      <c r="I2321" s="7"/>
      <c r="J2321" s="8"/>
      <c r="K2321" s="26"/>
      <c r="M2321" s="6" t="str">
        <f>IFERROR(VLOOKUP(H2321,B:J,9,FALSE),"")</f>
        <v>Nicht in XMP Spezifikation, in Beispielen gefunden.</v>
      </c>
      <c r="N2321" s="6"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xml:space="preserve">Suffix not translated </v>
      </c>
      <c r="O2321" s="6" t="s">
        <v>8574</v>
      </c>
    </row>
    <row r="2322" spans="1:16" ht="30" x14ac:dyDescent="0.25">
      <c r="A2322" s="5" t="str">
        <f>IF(TRIM(I2322)="","",E2322)</f>
        <v/>
      </c>
      <c r="B2322" s="5" t="str">
        <f>IF(TRIM(J2322)="","",H2322)</f>
        <v/>
      </c>
      <c r="C2322" s="5" t="str">
        <f>LEFT(F2322,FIND(".",F2322,6))</f>
        <v>Xmp.crs.</v>
      </c>
      <c r="D2322" s="5" t="str">
        <f>VLOOKUP(C2322,PrefixUebersetzung,2,FALSE)</f>
        <v>Xmp.crs.</v>
      </c>
      <c r="E2322" s="5" t="str">
        <f>MID(F2322,FIND(".",F2322,6)+1,99)</f>
        <v>Seed</v>
      </c>
      <c r="F2322" s="2" t="s">
        <v>8407</v>
      </c>
      <c r="G2322" s="5" t="s">
        <v>9678</v>
      </c>
      <c r="H2322" s="3" t="s">
        <v>8266</v>
      </c>
      <c r="I2322" s="7"/>
      <c r="J2322" s="8"/>
      <c r="K2322" s="26"/>
      <c r="M2322" s="6" t="str">
        <f>IFERROR(VLOOKUP(H2322,B:J,9,FALSE),"")</f>
        <v>Nicht in XMP Spezifikation, in Beispielen gefunden.</v>
      </c>
      <c r="N2322" s="6"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v>
      </c>
      <c r="O2322" s="6" t="s">
        <v>8574</v>
      </c>
    </row>
    <row r="2323" spans="1:16" x14ac:dyDescent="0.25">
      <c r="A2323" s="5" t="str">
        <f>IF(TRIM(I2323)="","",E2323)</f>
        <v>Shadows</v>
      </c>
      <c r="B2323" s="5" t="str">
        <f>IF(TRIM(J2323)="","",H2323)</f>
        <v>"Shadows" setting. Range 0 to +100.</v>
      </c>
      <c r="C2323" s="5" t="str">
        <f>LEFT(F2323,FIND(".",F2323,6))</f>
        <v>Xmp.crs.</v>
      </c>
      <c r="D2323" s="5" t="str">
        <f>VLOOKUP(C2323,PrefixUebersetzung,2,FALSE)</f>
        <v>Xmp.crs.</v>
      </c>
      <c r="E2323" s="5" t="str">
        <f>MID(F2323,FIND(".",F2323,6)+1,99)</f>
        <v>Shadows</v>
      </c>
      <c r="F2323" s="5" t="s">
        <v>1677</v>
      </c>
      <c r="G2323" s="5" t="s">
        <v>9678</v>
      </c>
      <c r="H2323" s="6" t="s">
        <v>9702</v>
      </c>
      <c r="I2323" s="7" t="s">
        <v>4083</v>
      </c>
      <c r="J2323" s="14" t="s">
        <v>4106</v>
      </c>
      <c r="K2323" s="26"/>
      <c r="N2323" s="6"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6" t="s">
        <v>8574</v>
      </c>
      <c r="P2323" s="6" t="s">
        <v>8574</v>
      </c>
    </row>
    <row r="2324" spans="1:16" ht="30" x14ac:dyDescent="0.25">
      <c r="A2324" s="5" t="str">
        <f>IF(TRIM(I2324)="","",E2324)</f>
        <v/>
      </c>
      <c r="B2324" s="5" t="str">
        <f>IF(TRIM(J2324)="","",H2324)</f>
        <v/>
      </c>
      <c r="C2324" s="5" t="str">
        <f>LEFT(F2324,FIND(".",F2324,6))</f>
        <v>Xmp.crs.</v>
      </c>
      <c r="D2324" s="5" t="str">
        <f>VLOOKUP(C2324,PrefixUebersetzung,2,FALSE)</f>
        <v>Xmp.crs.</v>
      </c>
      <c r="E2324" s="5" t="str">
        <f>MID(F2324,FIND(".",F2324,6)+1,99)</f>
        <v>Shadows2012</v>
      </c>
      <c r="F2324" s="2" t="s">
        <v>8408</v>
      </c>
      <c r="G2324" s="5" t="s">
        <v>9678</v>
      </c>
      <c r="H2324" s="3" t="s">
        <v>8266</v>
      </c>
      <c r="I2324" s="7"/>
      <c r="J2324" s="8"/>
      <c r="K2324" s="26"/>
      <c r="M2324" s="6" t="str">
        <f>IFERROR(VLOOKUP(H2324,B:J,9,FALSE),"")</f>
        <v>Nicht in XMP Spezifikation, in Beispielen gefunden.</v>
      </c>
      <c r="N2324" s="6"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xml:space="preserve">Suffix not translated </v>
      </c>
      <c r="O2324" s="6" t="s">
        <v>8574</v>
      </c>
    </row>
    <row r="2325" spans="1:16" x14ac:dyDescent="0.25">
      <c r="A2325" s="5" t="str">
        <f>IF(TRIM(I2325)="","",E2325)</f>
        <v>ShadowTint</v>
      </c>
      <c r="B2325" s="5" t="str">
        <f>IF(TRIM(J2325)="","",H2325)</f>
        <v>"Shadow Tint" setting. Range -100 to +100.</v>
      </c>
      <c r="C2325" s="5" t="str">
        <f>LEFT(F2325,FIND(".",F2325,6))</f>
        <v>Xmp.crs.</v>
      </c>
      <c r="D2325" s="5" t="str">
        <f>VLOOKUP(C2325,PrefixUebersetzung,2,FALSE)</f>
        <v>Xmp.crs.</v>
      </c>
      <c r="E2325" s="5" t="str">
        <f>MID(F2325,FIND(".",F2325,6)+1,99)</f>
        <v>ShadowTint</v>
      </c>
      <c r="F2325" s="5" t="s">
        <v>1678</v>
      </c>
      <c r="G2325" s="5" t="s">
        <v>9678</v>
      </c>
      <c r="H2325" s="6" t="s">
        <v>9703</v>
      </c>
      <c r="I2325" s="7" t="s">
        <v>4516</v>
      </c>
      <c r="J2325" s="14" t="s">
        <v>4107</v>
      </c>
      <c r="K2325" s="26"/>
      <c r="N2325" s="6"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c r="O2325" s="6" t="s">
        <v>8574</v>
      </c>
      <c r="P2325" s="6" t="s">
        <v>8574</v>
      </c>
    </row>
    <row r="2326" spans="1:16" ht="30" x14ac:dyDescent="0.25">
      <c r="A2326" s="5" t="str">
        <f>IF(TRIM(I2326)="","",E2326)</f>
        <v/>
      </c>
      <c r="B2326" s="5" t="str">
        <f>IF(TRIM(J2326)="","",H2326)</f>
        <v/>
      </c>
      <c r="C2326" s="5" t="str">
        <f>LEFT(F2326,FIND(".",F2326,6))</f>
        <v>Xmp.crs.</v>
      </c>
      <c r="D2326" s="5" t="str">
        <f>VLOOKUP(C2326,PrefixUebersetzung,2,FALSE)</f>
        <v>Xmp.crs.</v>
      </c>
      <c r="E2326" s="5" t="str">
        <f>MID(F2326,FIND(".",F2326,6)+1,99)</f>
        <v>SharpenDetail</v>
      </c>
      <c r="F2326" s="2" t="s">
        <v>8409</v>
      </c>
      <c r="G2326" s="5" t="s">
        <v>9678</v>
      </c>
      <c r="H2326" s="3" t="s">
        <v>8266</v>
      </c>
      <c r="I2326" s="7"/>
      <c r="J2326" s="8"/>
      <c r="K2326" s="26"/>
      <c r="M2326" s="6" t="str">
        <f>IFERROR(VLOOKUP(H2326,B:J,9,FALSE),"")</f>
        <v>Nicht in XMP Spezifikation, in Beispielen gefunden.</v>
      </c>
      <c r="N2326" s="6"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xml:space="preserve">Suffix not translated </v>
      </c>
      <c r="O2326" s="6" t="s">
        <v>8574</v>
      </c>
    </row>
    <row r="2327" spans="1:16" ht="30" x14ac:dyDescent="0.25">
      <c r="A2327" s="5" t="str">
        <f>IF(TRIM(I2327)="","",E2327)</f>
        <v/>
      </c>
      <c r="B2327" s="5" t="str">
        <f>IF(TRIM(J2327)="","",H2327)</f>
        <v/>
      </c>
      <c r="C2327" s="5" t="str">
        <f>LEFT(F2327,FIND(".",F2327,6))</f>
        <v>Xmp.crs.</v>
      </c>
      <c r="D2327" s="5" t="str">
        <f>VLOOKUP(C2327,PrefixUebersetzung,2,FALSE)</f>
        <v>Xmp.crs.</v>
      </c>
      <c r="E2327" s="5" t="str">
        <f>MID(F2327,FIND(".",F2327,6)+1,99)</f>
        <v>SharpenEdgeMasking</v>
      </c>
      <c r="F2327" s="2" t="s">
        <v>8410</v>
      </c>
      <c r="G2327" s="5" t="s">
        <v>9678</v>
      </c>
      <c r="H2327" s="3" t="s">
        <v>8266</v>
      </c>
      <c r="I2327" s="7"/>
      <c r="J2327" s="8"/>
      <c r="K2327" s="26"/>
      <c r="M2327" s="6" t="str">
        <f>IFERROR(VLOOKUP(H2327,B:J,9,FALSE),"")</f>
        <v>Nicht in XMP Spezifikation, in Beispielen gefunden.</v>
      </c>
      <c r="N2327" s="6"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xml:space="preserve">Suffix not translated </v>
      </c>
      <c r="O2327" s="6" t="s">
        <v>8574</v>
      </c>
    </row>
    <row r="2328" spans="1:16" ht="30" x14ac:dyDescent="0.25">
      <c r="A2328" s="5" t="str">
        <f>IF(TRIM(I2328)="","",E2328)</f>
        <v/>
      </c>
      <c r="B2328" s="5" t="str">
        <f>IF(TRIM(J2328)="","",H2328)</f>
        <v/>
      </c>
      <c r="C2328" s="5" t="str">
        <f>LEFT(F2328,FIND(".",F2328,6))</f>
        <v>Xmp.crs.</v>
      </c>
      <c r="D2328" s="5" t="str">
        <f>VLOOKUP(C2328,PrefixUebersetzung,2,FALSE)</f>
        <v>Xmp.crs.</v>
      </c>
      <c r="E2328" s="5" t="str">
        <f>MID(F2328,FIND(".",F2328,6)+1,99)</f>
        <v>SharpenRadius</v>
      </c>
      <c r="F2328" s="2" t="s">
        <v>8411</v>
      </c>
      <c r="G2328" s="5" t="s">
        <v>9678</v>
      </c>
      <c r="H2328" s="3" t="s">
        <v>8266</v>
      </c>
      <c r="I2328" s="7"/>
      <c r="J2328" s="8"/>
      <c r="K2328" s="26"/>
      <c r="M2328" s="6" t="str">
        <f>IFERROR(VLOOKUP(H2328,B:J,9,FALSE),"")</f>
        <v>Nicht in XMP Spezifikation, in Beispielen gefunden.</v>
      </c>
      <c r="N2328" s="6"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xml:space="preserve">Suffix not translated </v>
      </c>
      <c r="O2328" s="6" t="s">
        <v>8574</v>
      </c>
    </row>
    <row r="2329" spans="1:16" ht="30" x14ac:dyDescent="0.25">
      <c r="A2329" s="5" t="str">
        <f>IF(TRIM(I2329)="","",E2329)</f>
        <v/>
      </c>
      <c r="B2329" s="5" t="str">
        <f>IF(TRIM(J2329)="","",H2329)</f>
        <v>"Sharpness" setting. Range 0 to +100.</v>
      </c>
      <c r="C2329" s="5" t="str">
        <f>LEFT(F2329,FIND(".",F2329,6))</f>
        <v>Xmp.crs.</v>
      </c>
      <c r="D2329" s="5" t="str">
        <f>VLOOKUP(C2329,PrefixUebersetzung,2,FALSE)</f>
        <v>Xmp.crs.</v>
      </c>
      <c r="E2329" s="5" t="str">
        <f>MID(F2329,FIND(".",F2329,6)+1,99)</f>
        <v>Sharpness</v>
      </c>
      <c r="F2329" s="5" t="s">
        <v>1679</v>
      </c>
      <c r="G2329" s="5" t="s">
        <v>9678</v>
      </c>
      <c r="H2329" s="6" t="s">
        <v>9687</v>
      </c>
      <c r="I2329" s="7"/>
      <c r="J2329" s="14" t="s">
        <v>5344</v>
      </c>
      <c r="K2329" s="26"/>
      <c r="L2329" s="6" t="str">
        <f>IFERROR(VLOOKUP(E2329,A:I,9, FALSE),"")</f>
        <v>Schärfe</v>
      </c>
      <c r="M2329" s="6" t="str">
        <f>IFERROR(VLOOKUP(H2329,B:J,9,FALSE),"")</f>
        <v>Einstellung für die Schärfe. Bereich 0 bis 100.</v>
      </c>
      <c r="N2329" s="6"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c>
      <c r="P2329" s="6" t="s">
        <v>8574</v>
      </c>
    </row>
    <row r="2330" spans="1:16" ht="30" x14ac:dyDescent="0.25">
      <c r="A2330" s="5" t="str">
        <f>IF(TRIM(I2330)="","",E2330)</f>
        <v/>
      </c>
      <c r="B2330" s="5" t="str">
        <f>IF(TRIM(J2330)="","",H2330)</f>
        <v/>
      </c>
      <c r="C2330" s="5" t="str">
        <f>LEFT(F2330,FIND(".",F2330,6))</f>
        <v>Xmp.crs.</v>
      </c>
      <c r="D2330" s="5" t="str">
        <f>VLOOKUP(C2330,PrefixUebersetzung,2,FALSE)</f>
        <v>Xmp.crs.</v>
      </c>
      <c r="E2330" s="5" t="str">
        <f>MID(F2330,FIND(".",F2330,6)+1,99)</f>
        <v>SizeX</v>
      </c>
      <c r="F2330" s="2" t="s">
        <v>8412</v>
      </c>
      <c r="G2330" s="5" t="s">
        <v>9678</v>
      </c>
      <c r="H2330" s="3" t="s">
        <v>8266</v>
      </c>
      <c r="I2330" s="7"/>
      <c r="J2330" s="8"/>
      <c r="K2330" s="26"/>
      <c r="M2330" s="6" t="str">
        <f>IFERROR(VLOOKUP(H2330,B:J,9,FALSE),"")</f>
        <v>Nicht in XMP Spezifikation, in Beispielen gefunden.</v>
      </c>
      <c r="N2330" s="6"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v>
      </c>
      <c r="O2330" s="6" t="s">
        <v>8574</v>
      </c>
    </row>
    <row r="2331" spans="1:16" ht="30" x14ac:dyDescent="0.25">
      <c r="A2331" s="5" t="str">
        <f>IF(TRIM(I2331)="","",E2331)</f>
        <v/>
      </c>
      <c r="B2331" s="5" t="str">
        <f>IF(TRIM(J2331)="","",H2331)</f>
        <v/>
      </c>
      <c r="C2331" s="5" t="str">
        <f>LEFT(F2331,FIND(".",F2331,6))</f>
        <v>Xmp.crs.</v>
      </c>
      <c r="D2331" s="5" t="str">
        <f>VLOOKUP(C2331,PrefixUebersetzung,2,FALSE)</f>
        <v>Xmp.crs.</v>
      </c>
      <c r="E2331" s="5" t="str">
        <f>MID(F2331,FIND(".",F2331,6)+1,99)</f>
        <v>SizeY</v>
      </c>
      <c r="F2331" s="2" t="s">
        <v>8413</v>
      </c>
      <c r="G2331" s="5" t="s">
        <v>9678</v>
      </c>
      <c r="H2331" s="3" t="s">
        <v>8266</v>
      </c>
      <c r="I2331" s="7"/>
      <c r="J2331" s="8"/>
      <c r="K2331" s="26"/>
      <c r="M2331" s="6" t="str">
        <f>IFERROR(VLOOKUP(H2331,B:J,9,FALSE),"")</f>
        <v>Nicht in XMP Spezifikation, in Beispielen gefunden.</v>
      </c>
      <c r="N2331" s="6"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xml:space="preserve">Suffix not translated </v>
      </c>
      <c r="O2331" s="6" t="s">
        <v>8574</v>
      </c>
    </row>
    <row r="2332" spans="1:16" ht="30" x14ac:dyDescent="0.25">
      <c r="A2332" s="5" t="str">
        <f>IF(TRIM(I2332)="","",E2332)</f>
        <v/>
      </c>
      <c r="B2332" s="5" t="str">
        <f>IF(TRIM(J2332)="","",H2332)</f>
        <v/>
      </c>
      <c r="C2332" s="5" t="str">
        <f>LEFT(F2332,FIND(".",F2332,6))</f>
        <v>Xmp.crs.</v>
      </c>
      <c r="D2332" s="5" t="str">
        <f>VLOOKUP(C2332,PrefixUebersetzung,2,FALSE)</f>
        <v>Xmp.crs.</v>
      </c>
      <c r="E2332" s="5" t="str">
        <f>MID(F2332,FIND(".",F2332,6)+1,99)</f>
        <v>Smoothness</v>
      </c>
      <c r="F2332" s="2" t="s">
        <v>8414</v>
      </c>
      <c r="G2332" s="5" t="s">
        <v>9678</v>
      </c>
      <c r="H2332" s="3" t="s">
        <v>8266</v>
      </c>
      <c r="I2332" s="7"/>
      <c r="J2332" s="8"/>
      <c r="K2332" s="26"/>
      <c r="M2332" s="6" t="str">
        <f>IFERROR(VLOOKUP(H2332,B:J,9,FALSE),"")</f>
        <v>Nicht in XMP Spezifikation, in Beispielen gefunden.</v>
      </c>
      <c r="N2332" s="6"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xml:space="preserve">Suffix not translated </v>
      </c>
      <c r="O2332" s="6" t="s">
        <v>8574</v>
      </c>
    </row>
    <row r="2333" spans="1:16" ht="30" x14ac:dyDescent="0.25">
      <c r="A2333" s="5" t="str">
        <f>IF(TRIM(I2333)="","",E2333)</f>
        <v/>
      </c>
      <c r="B2333" s="5" t="str">
        <f>IF(TRIM(J2333)="","",H2333)</f>
        <v/>
      </c>
      <c r="C2333" s="5" t="str">
        <f>LEFT(F2333,FIND(".",F2333,6))</f>
        <v>Xmp.crs.</v>
      </c>
      <c r="D2333" s="5" t="str">
        <f>VLOOKUP(C2333,PrefixUebersetzung,2,FALSE)</f>
        <v>Xmp.crs.</v>
      </c>
      <c r="E2333" s="5" t="str">
        <f>MID(F2333,FIND(".",F2333,6)+1,99)</f>
        <v>SourceState</v>
      </c>
      <c r="F2333" s="2" t="s">
        <v>8415</v>
      </c>
      <c r="G2333" s="5" t="s">
        <v>9678</v>
      </c>
      <c r="H2333" s="3" t="s">
        <v>8266</v>
      </c>
      <c r="I2333" s="7"/>
      <c r="J2333" s="8"/>
      <c r="K2333" s="26"/>
      <c r="M2333" s="6" t="str">
        <f>IFERROR(VLOOKUP(H2333,B:J,9,FALSE),"")</f>
        <v>Nicht in XMP Spezifikation, in Beispielen gefunden.</v>
      </c>
      <c r="N2333" s="6"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xml:space="preserve">Suffix not translated </v>
      </c>
      <c r="O2333" s="6" t="s">
        <v>8574</v>
      </c>
    </row>
    <row r="2334" spans="1:16" ht="30" x14ac:dyDescent="0.25">
      <c r="A2334" s="5" t="str">
        <f>IF(TRIM(I2334)="","",E2334)</f>
        <v/>
      </c>
      <c r="B2334" s="5" t="str">
        <f>IF(TRIM(J2334)="","",H2334)</f>
        <v/>
      </c>
      <c r="C2334" s="5" t="str">
        <f>LEFT(F2334,FIND(".",F2334,6))</f>
        <v>Xmp.crs.</v>
      </c>
      <c r="D2334" s="5" t="str">
        <f>VLOOKUP(C2334,PrefixUebersetzung,2,FALSE)</f>
        <v>Xmp.crs.</v>
      </c>
      <c r="E2334" s="5" t="str">
        <f>MID(F2334,FIND(".",F2334,6)+1,99)</f>
        <v>SourceX</v>
      </c>
      <c r="F2334" s="2" t="s">
        <v>8416</v>
      </c>
      <c r="G2334" s="5" t="s">
        <v>9678</v>
      </c>
      <c r="H2334" s="3" t="s">
        <v>8266</v>
      </c>
      <c r="I2334" s="7"/>
      <c r="J2334" s="8"/>
      <c r="K2334" s="26"/>
      <c r="M2334" s="6" t="str">
        <f>IFERROR(VLOOKUP(H2334,B:J,9,FALSE),"")</f>
        <v>Nicht in XMP Spezifikation, in Beispielen gefunden.</v>
      </c>
      <c r="N2334" s="6"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xml:space="preserve">Suffix not translated </v>
      </c>
      <c r="O2334" s="6" t="s">
        <v>8574</v>
      </c>
    </row>
    <row r="2335" spans="1:16" ht="30" x14ac:dyDescent="0.25">
      <c r="A2335" s="5" t="str">
        <f>IF(TRIM(I2335)="","",E2335)</f>
        <v/>
      </c>
      <c r="B2335" s="5" t="str">
        <f>IF(TRIM(J2335)="","",H2335)</f>
        <v/>
      </c>
      <c r="C2335" s="5" t="str">
        <f>LEFT(F2335,FIND(".",F2335,6))</f>
        <v>Xmp.crs.</v>
      </c>
      <c r="D2335" s="5" t="str">
        <f>VLOOKUP(C2335,PrefixUebersetzung,2,FALSE)</f>
        <v>Xmp.crs.</v>
      </c>
      <c r="E2335" s="5" t="str">
        <f>MID(F2335,FIND(".",F2335,6)+1,99)</f>
        <v>SplitToningBalance</v>
      </c>
      <c r="F2335" s="2" t="s">
        <v>8417</v>
      </c>
      <c r="G2335" s="5" t="s">
        <v>9678</v>
      </c>
      <c r="H2335" s="3" t="s">
        <v>8266</v>
      </c>
      <c r="I2335" s="7"/>
      <c r="J2335" s="8"/>
      <c r="K2335" s="26"/>
      <c r="M2335" s="6" t="str">
        <f>IFERROR(VLOOKUP(H2335,B:J,9,FALSE),"")</f>
        <v>Nicht in XMP Spezifikation, in Beispielen gefunden.</v>
      </c>
      <c r="N2335" s="6"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xml:space="preserve">Suffix not translated </v>
      </c>
      <c r="O2335" s="6" t="s">
        <v>8574</v>
      </c>
    </row>
    <row r="2336" spans="1:16" ht="30" x14ac:dyDescent="0.25">
      <c r="A2336" s="5" t="str">
        <f>IF(TRIM(I2336)="","",E2336)</f>
        <v/>
      </c>
      <c r="B2336" s="5" t="str">
        <f>IF(TRIM(J2336)="","",H2336)</f>
        <v/>
      </c>
      <c r="C2336" s="5" t="str">
        <f>LEFT(F2336,FIND(".",F2336,6))</f>
        <v>Xmp.crs.</v>
      </c>
      <c r="D2336" s="5" t="str">
        <f>VLOOKUP(C2336,PrefixUebersetzung,2,FALSE)</f>
        <v>Xmp.crs.</v>
      </c>
      <c r="E2336" s="5" t="str">
        <f>MID(F2336,FIND(".",F2336,6)+1,99)</f>
        <v>SplitToningHighlightHue</v>
      </c>
      <c r="F2336" s="2" t="s">
        <v>8418</v>
      </c>
      <c r="G2336" s="5" t="s">
        <v>9678</v>
      </c>
      <c r="H2336" s="3" t="s">
        <v>8266</v>
      </c>
      <c r="I2336" s="7"/>
      <c r="J2336" s="8"/>
      <c r="K2336" s="26"/>
      <c r="M2336" s="6" t="str">
        <f>IFERROR(VLOOKUP(H2336,B:J,9,FALSE),"")</f>
        <v>Nicht in XMP Spezifikation, in Beispielen gefunden.</v>
      </c>
      <c r="N2336" s="6"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xml:space="preserve">Suffix not translated </v>
      </c>
      <c r="O2336" s="6" t="s">
        <v>8574</v>
      </c>
    </row>
    <row r="2337" spans="1:16" ht="30" x14ac:dyDescent="0.25">
      <c r="A2337" s="5" t="str">
        <f>IF(TRIM(I2337)="","",E2337)</f>
        <v/>
      </c>
      <c r="B2337" s="5" t="str">
        <f>IF(TRIM(J2337)="","",H2337)</f>
        <v/>
      </c>
      <c r="C2337" s="5" t="str">
        <f>LEFT(F2337,FIND(".",F2337,6))</f>
        <v>Xmp.crs.</v>
      </c>
      <c r="D2337" s="5" t="str">
        <f>VLOOKUP(C2337,PrefixUebersetzung,2,FALSE)</f>
        <v>Xmp.crs.</v>
      </c>
      <c r="E2337" s="5" t="str">
        <f>MID(F2337,FIND(".",F2337,6)+1,99)</f>
        <v>SplitToningHighlightSaturation</v>
      </c>
      <c r="F2337" s="2" t="s">
        <v>8419</v>
      </c>
      <c r="G2337" s="5" t="s">
        <v>9678</v>
      </c>
      <c r="H2337" s="3" t="s">
        <v>8266</v>
      </c>
      <c r="I2337" s="7"/>
      <c r="J2337" s="8"/>
      <c r="K2337" s="26"/>
      <c r="M2337" s="6" t="str">
        <f>IFERROR(VLOOKUP(H2337,B:J,9,FALSE),"")</f>
        <v>Nicht in XMP Spezifikation, in Beispielen gefunden.</v>
      </c>
      <c r="N2337" s="6"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xml:space="preserve">Suffix not translated </v>
      </c>
      <c r="O2337" s="6" t="s">
        <v>8574</v>
      </c>
    </row>
    <row r="2338" spans="1:16" ht="30" x14ac:dyDescent="0.25">
      <c r="A2338" s="5" t="str">
        <f>IF(TRIM(I2338)="","",E2338)</f>
        <v/>
      </c>
      <c r="B2338" s="5" t="str">
        <f>IF(TRIM(J2338)="","",H2338)</f>
        <v/>
      </c>
      <c r="C2338" s="5" t="str">
        <f>LEFT(F2338,FIND(".",F2338,6))</f>
        <v>Xmp.crs.</v>
      </c>
      <c r="D2338" s="5" t="str">
        <f>VLOOKUP(C2338,PrefixUebersetzung,2,FALSE)</f>
        <v>Xmp.crs.</v>
      </c>
      <c r="E2338" s="5" t="str">
        <f>MID(F2338,FIND(".",F2338,6)+1,99)</f>
        <v>SplitToningShadowHue</v>
      </c>
      <c r="F2338" s="2" t="s">
        <v>8420</v>
      </c>
      <c r="G2338" s="5" t="s">
        <v>9678</v>
      </c>
      <c r="H2338" s="3" t="s">
        <v>8266</v>
      </c>
      <c r="I2338" s="7"/>
      <c r="J2338" s="8"/>
      <c r="K2338" s="26"/>
      <c r="M2338" s="6" t="str">
        <f>IFERROR(VLOOKUP(H2338,B:J,9,FALSE),"")</f>
        <v>Nicht in XMP Spezifikation, in Beispielen gefunden.</v>
      </c>
      <c r="N2338" s="6"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v>
      </c>
      <c r="O2338" s="6" t="s">
        <v>8574</v>
      </c>
    </row>
    <row r="2339" spans="1:16" ht="30" x14ac:dyDescent="0.25">
      <c r="A2339" s="5" t="str">
        <f>IF(TRIM(I2339)="","",E2339)</f>
        <v/>
      </c>
      <c r="B2339" s="5" t="str">
        <f>IF(TRIM(J2339)="","",H2339)</f>
        <v/>
      </c>
      <c r="C2339" s="5" t="str">
        <f>LEFT(F2339,FIND(".",F2339,6))</f>
        <v>Xmp.crs.</v>
      </c>
      <c r="D2339" s="5" t="str">
        <f>VLOOKUP(C2339,PrefixUebersetzung,2,FALSE)</f>
        <v>Xmp.crs.</v>
      </c>
      <c r="E2339" s="5" t="str">
        <f>MID(F2339,FIND(".",F2339,6)+1,99)</f>
        <v>SplitToningShadowSaturation</v>
      </c>
      <c r="F2339" s="2" t="s">
        <v>8421</v>
      </c>
      <c r="G2339" s="5" t="s">
        <v>9678</v>
      </c>
      <c r="H2339" s="3" t="s">
        <v>8266</v>
      </c>
      <c r="I2339" s="7"/>
      <c r="J2339" s="8"/>
      <c r="K2339" s="26"/>
      <c r="M2339" s="6" t="str">
        <f>IFERROR(VLOOKUP(H2339,B:J,9,FALSE),"")</f>
        <v>Nicht in XMP Spezifikation, in Beispielen gefunden.</v>
      </c>
      <c r="N2339" s="6"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xml:space="preserve">Suffix not translated </v>
      </c>
      <c r="O2339" s="6" t="s">
        <v>8574</v>
      </c>
    </row>
    <row r="2340" spans="1:16" ht="30" x14ac:dyDescent="0.25">
      <c r="A2340" s="5" t="str">
        <f>IF(TRIM(I2340)="","",E2340)</f>
        <v/>
      </c>
      <c r="B2340" s="5" t="str">
        <f>IF(TRIM(J2340)="","",H2340)</f>
        <v/>
      </c>
      <c r="C2340" s="5" t="str">
        <f>LEFT(F2340,FIND(".",F2340,6))</f>
        <v>Xmp.crs.</v>
      </c>
      <c r="D2340" s="5" t="str">
        <f>VLOOKUP(C2340,PrefixUebersetzung,2,FALSE)</f>
        <v>Xmp.crs.</v>
      </c>
      <c r="E2340" s="5" t="str">
        <f>MID(F2340,FIND(".",F2340,6)+1,99)</f>
        <v>SpotType</v>
      </c>
      <c r="F2340" s="2" t="s">
        <v>8422</v>
      </c>
      <c r="G2340" s="5" t="s">
        <v>9678</v>
      </c>
      <c r="H2340" s="3" t="s">
        <v>8266</v>
      </c>
      <c r="I2340" s="7"/>
      <c r="J2340" s="8"/>
      <c r="K2340" s="26"/>
      <c r="M2340" s="6" t="str">
        <f>IFERROR(VLOOKUP(H2340,B:J,9,FALSE),"")</f>
        <v>Nicht in XMP Spezifikation, in Beispielen gefunden.</v>
      </c>
      <c r="N2340" s="6"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xml:space="preserve">Suffix not translated </v>
      </c>
      <c r="O2340" s="6" t="s">
        <v>8574</v>
      </c>
    </row>
    <row r="2341" spans="1:16" x14ac:dyDescent="0.25">
      <c r="A2341" s="5" t="str">
        <f>IF(TRIM(I2341)="","",E2341)</f>
        <v/>
      </c>
      <c r="B2341" s="5" t="str">
        <f>IF(TRIM(J2341)="","",H2341)</f>
        <v>"Temperature" setting. Range 2000 to 50000.</v>
      </c>
      <c r="C2341" s="5" t="str">
        <f>LEFT(F2341,FIND(".",F2341,6))</f>
        <v>Xmp.crs.</v>
      </c>
      <c r="D2341" s="5" t="str">
        <f>VLOOKUP(C2341,PrefixUebersetzung,2,FALSE)</f>
        <v>Xmp.crs.</v>
      </c>
      <c r="E2341" s="5" t="str">
        <f>MID(F2341,FIND(".",F2341,6)+1,99)</f>
        <v>Temperature</v>
      </c>
      <c r="F2341" s="5" t="s">
        <v>1680</v>
      </c>
      <c r="G2341" s="5" t="s">
        <v>9678</v>
      </c>
      <c r="H2341" s="6" t="s">
        <v>9704</v>
      </c>
      <c r="I2341" s="7"/>
      <c r="J2341" s="14" t="s">
        <v>4108</v>
      </c>
      <c r="K2341" s="26"/>
      <c r="L2341" s="6" t="str">
        <f>IFERROR(VLOOKUP(E2341,A:I,9, FALSE),"")</f>
        <v>Temperatur</v>
      </c>
      <c r="N2341" s="6"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P2341" s="6" t="s">
        <v>8574</v>
      </c>
    </row>
    <row r="2342" spans="1:16" ht="30" x14ac:dyDescent="0.25">
      <c r="A2342" s="5" t="str">
        <f>IF(TRIM(I2342)="","",E2342)</f>
        <v/>
      </c>
      <c r="B2342" s="5" t="str">
        <f>IF(TRIM(J2342)="","",H2342)</f>
        <v/>
      </c>
      <c r="C2342" s="5" t="str">
        <f>LEFT(F2342,FIND(".",F2342,6))</f>
        <v>Xmp.crs.</v>
      </c>
      <c r="D2342" s="5" t="str">
        <f>VLOOKUP(C2342,PrefixUebersetzung,2,FALSE)</f>
        <v>Xmp.crs.</v>
      </c>
      <c r="E2342" s="5" t="str">
        <f>MID(F2342,FIND(".",F2342,6)+1,99)</f>
        <v>TIFFHandling</v>
      </c>
      <c r="F2342" s="2" t="s">
        <v>8423</v>
      </c>
      <c r="G2342" s="5" t="s">
        <v>9678</v>
      </c>
      <c r="H2342" s="3" t="s">
        <v>8266</v>
      </c>
      <c r="I2342" s="7"/>
      <c r="J2342" s="8"/>
      <c r="K2342" s="26"/>
      <c r="M2342" s="6" t="str">
        <f>IFERROR(VLOOKUP(H2342,B:J,9,FALSE),"")</f>
        <v>Nicht in XMP Spezifikation, in Beispielen gefunden.</v>
      </c>
      <c r="N2342" s="6"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xml:space="preserve">Suffix not translated </v>
      </c>
      <c r="O2342" s="6" t="s">
        <v>8574</v>
      </c>
    </row>
    <row r="2343" spans="1:16" x14ac:dyDescent="0.25">
      <c r="A2343" s="5" t="str">
        <f>IF(TRIM(I2343)="","",E2343)</f>
        <v>Tint</v>
      </c>
      <c r="B2343" s="5" t="str">
        <f>IF(TRIM(J2343)="","",H2343)</f>
        <v>"Tint" setting. Range -150 to +150.</v>
      </c>
      <c r="C2343" s="5" t="str">
        <f>LEFT(F2343,FIND(".",F2343,6))</f>
        <v>Xmp.crs.</v>
      </c>
      <c r="D2343" s="5" t="str">
        <f>VLOOKUP(C2343,PrefixUebersetzung,2,FALSE)</f>
        <v>Xmp.crs.</v>
      </c>
      <c r="E2343" s="5" t="str">
        <f>MID(F2343,FIND(".",F2343,6)+1,99)</f>
        <v>Tint</v>
      </c>
      <c r="F2343" s="5" t="s">
        <v>1681</v>
      </c>
      <c r="G2343" s="5" t="s">
        <v>9678</v>
      </c>
      <c r="H2343" s="6" t="s">
        <v>9705</v>
      </c>
      <c r="I2343" s="7" t="s">
        <v>4517</v>
      </c>
      <c r="J2343" s="14" t="s">
        <v>5537</v>
      </c>
      <c r="K2343" s="26"/>
      <c r="N2343" s="6"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O2343" s="6" t="s">
        <v>8574</v>
      </c>
      <c r="P2343" s="6" t="s">
        <v>8574</v>
      </c>
    </row>
    <row r="2344" spans="1:16" ht="45" x14ac:dyDescent="0.25">
      <c r="A2344" s="5" t="str">
        <f>IF(TRIM(I2344)="","",E2344)</f>
        <v/>
      </c>
      <c r="B2344" s="5" t="str">
        <f>IF(TRIM(J2344)="","",H2344)</f>
        <v>Array of points (Integer, Integer) defining a "Tone Curve".</v>
      </c>
      <c r="C2344" s="5" t="str">
        <f>LEFT(F2344,FIND(".",F2344,6))</f>
        <v>Xmp.crs.</v>
      </c>
      <c r="D2344" s="5" t="str">
        <f>VLOOKUP(C2344,PrefixUebersetzung,2,FALSE)</f>
        <v>Xmp.crs.</v>
      </c>
      <c r="E2344" s="5" t="str">
        <f>MID(F2344,FIND(".",F2344,6)+1,99)</f>
        <v>ToneCurve</v>
      </c>
      <c r="F2344" s="5" t="s">
        <v>1682</v>
      </c>
      <c r="G2344" s="5" t="s">
        <v>9678</v>
      </c>
      <c r="H2344" s="6" t="s">
        <v>3334</v>
      </c>
      <c r="I2344" s="7"/>
      <c r="J2344" s="14" t="s">
        <v>5345</v>
      </c>
      <c r="K2344" s="26"/>
      <c r="L2344" s="6" t="str">
        <f>IFERROR(VLOOKUP(E2344,A:I,9, FALSE),"")</f>
        <v>Tonkurve</v>
      </c>
      <c r="M2344" s="6" t="str">
        <f>IFERROR(VLOOKUP(H2344,B:J,9,FALSE),"")</f>
        <v>Tabelle von Punkten (Integer, Integer), die eine "Tone Curve" definieren.</v>
      </c>
      <c r="N2344" s="6"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c r="P2344" s="6" t="s">
        <v>8574</v>
      </c>
    </row>
    <row r="2345" spans="1:16" ht="45" x14ac:dyDescent="0.25">
      <c r="A2345" s="5" t="str">
        <f>IF(TRIM(I2345)="","",E2345)</f>
        <v/>
      </c>
      <c r="B2345" s="5" t="str">
        <f>IF(TRIM(J2345)="","",H2345)</f>
        <v/>
      </c>
      <c r="C2345" s="5" t="str">
        <f>LEFT(F2345,FIND(".",F2345,6))</f>
        <v>Xmp.crs.</v>
      </c>
      <c r="D2345" s="5" t="str">
        <f>VLOOKUP(C2345,PrefixUebersetzung,2,FALSE)</f>
        <v>Xmp.crs.</v>
      </c>
      <c r="E2345" s="5" t="str">
        <f>MID(F2345,FIND(".",F2345,6)+1,99)</f>
        <v>ToneCurveBlue</v>
      </c>
      <c r="F2345" s="2" t="s">
        <v>8424</v>
      </c>
      <c r="G2345" s="5" t="s">
        <v>9678</v>
      </c>
      <c r="H2345" s="3" t="s">
        <v>3334</v>
      </c>
      <c r="I2345" s="7"/>
      <c r="J2345" s="8"/>
      <c r="K2345" s="26"/>
      <c r="M2345" s="6" t="str">
        <f>IFERROR(VLOOKUP(H2345,B:J,9,FALSE),"")</f>
        <v>Tabelle von Punkten (Integer, Integer), die eine "Tone Curve" definieren.</v>
      </c>
      <c r="N2345" s="6"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xml:space="preserve">Suffix not translated </v>
      </c>
      <c r="O2345" s="6" t="s">
        <v>8574</v>
      </c>
    </row>
    <row r="2346" spans="1:16" ht="45" x14ac:dyDescent="0.25">
      <c r="A2346" s="5" t="str">
        <f>IF(TRIM(I2346)="","",E2346)</f>
        <v/>
      </c>
      <c r="B2346" s="5" t="str">
        <f>IF(TRIM(J2346)="","",H2346)</f>
        <v/>
      </c>
      <c r="C2346" s="5" t="str">
        <f>LEFT(F2346,FIND(".",F2346,6))</f>
        <v>Xmp.crs.</v>
      </c>
      <c r="D2346" s="5" t="str">
        <f>VLOOKUP(C2346,PrefixUebersetzung,2,FALSE)</f>
        <v>Xmp.crs.</v>
      </c>
      <c r="E2346" s="5" t="str">
        <f>MID(F2346,FIND(".",F2346,6)+1,99)</f>
        <v>ToneCurveGreen</v>
      </c>
      <c r="F2346" s="2" t="s">
        <v>8425</v>
      </c>
      <c r="G2346" s="5" t="s">
        <v>9678</v>
      </c>
      <c r="H2346" s="3" t="s">
        <v>3334</v>
      </c>
      <c r="I2346" s="7"/>
      <c r="J2346" s="8"/>
      <c r="K2346" s="26"/>
      <c r="M2346" s="6" t="str">
        <f>IFERROR(VLOOKUP(H2346,B:J,9,FALSE),"")</f>
        <v>Tabelle von Punkten (Integer, Integer), die eine "Tone Curve" definieren.</v>
      </c>
      <c r="N2346" s="6"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xml:space="preserve">Suffix not translated </v>
      </c>
      <c r="O2346" s="6" t="s">
        <v>8574</v>
      </c>
    </row>
    <row r="2347" spans="1:16" ht="60" x14ac:dyDescent="0.25">
      <c r="A2347" s="5" t="str">
        <f>IF(TRIM(I2347)="","",E2347)</f>
        <v>ToneCurveName</v>
      </c>
      <c r="B2347" s="5" t="str">
        <f>IF(TRIM(J2347)="","",H2347)</f>
        <v>The name of the Tone Curve described by ToneCurve. One of: Linear, Medium Contrast, Strong Contrast, Custom or a user-defined preset name.</v>
      </c>
      <c r="C2347" s="5" t="str">
        <f>LEFT(F2347,FIND(".",F2347,6))</f>
        <v>Xmp.crs.</v>
      </c>
      <c r="D2347" s="5" t="str">
        <f>VLOOKUP(C2347,PrefixUebersetzung,2,FALSE)</f>
        <v>Xmp.crs.</v>
      </c>
      <c r="E2347" s="5" t="str">
        <f>MID(F2347,FIND(".",F2347,6)+1,99)</f>
        <v>ToneCurveName</v>
      </c>
      <c r="F2347" s="5" t="s">
        <v>1683</v>
      </c>
      <c r="G2347" s="5" t="s">
        <v>9678</v>
      </c>
      <c r="H2347" s="6" t="s">
        <v>3335</v>
      </c>
      <c r="I2347" s="7" t="s">
        <v>4971</v>
      </c>
      <c r="J2347" s="14" t="s">
        <v>5538</v>
      </c>
      <c r="K2347" s="26"/>
      <c r="N2347" s="6"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O2347" s="6" t="s">
        <v>8574</v>
      </c>
      <c r="P2347" s="6" t="s">
        <v>8574</v>
      </c>
    </row>
    <row r="2348" spans="1:16" ht="45" x14ac:dyDescent="0.25">
      <c r="A2348" s="5" t="str">
        <f>IF(TRIM(I2348)="","",E2348)</f>
        <v/>
      </c>
      <c r="B2348" s="5" t="str">
        <f>IF(TRIM(J2348)="","",H2348)</f>
        <v>Values: Linear, Medium Contrast, Strong Contrast, Custom. Not in XMP Specification. Found in sample files.</v>
      </c>
      <c r="C2348" s="5" t="str">
        <f>LEFT(F2348,FIND(".",F2348,6))</f>
        <v>Xmp.crs.</v>
      </c>
      <c r="D2348" s="5" t="str">
        <f>VLOOKUP(C2348,PrefixUebersetzung,2,FALSE)</f>
        <v>Xmp.crs.</v>
      </c>
      <c r="E2348" s="5" t="str">
        <f>MID(F2348,FIND(".",F2348,6)+1,99)</f>
        <v>ToneCurveName2012</v>
      </c>
      <c r="F2348" s="2" t="s">
        <v>8426</v>
      </c>
      <c r="G2348" s="5" t="s">
        <v>9678</v>
      </c>
      <c r="H2348" s="3" t="s">
        <v>8427</v>
      </c>
      <c r="I2348" s="7"/>
      <c r="J2348" s="8" t="s">
        <v>8859</v>
      </c>
      <c r="K2348" s="26"/>
      <c r="N2348" s="6"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xml:space="preserve">Suffix not translated </v>
      </c>
      <c r="O2348" s="6" t="s">
        <v>8574</v>
      </c>
      <c r="P2348" s="6" t="s">
        <v>8574</v>
      </c>
    </row>
    <row r="2349" spans="1:16" ht="45" x14ac:dyDescent="0.25">
      <c r="A2349" s="5" t="str">
        <f>IF(TRIM(I2349)="","",E2349)</f>
        <v/>
      </c>
      <c r="B2349" s="5" t="str">
        <f>IF(TRIM(J2349)="","",H2349)</f>
        <v/>
      </c>
      <c r="C2349" s="5" t="str">
        <f>LEFT(F2349,FIND(".",F2349,6))</f>
        <v>Xmp.crs.</v>
      </c>
      <c r="D2349" s="5" t="str">
        <f>VLOOKUP(C2349,PrefixUebersetzung,2,FALSE)</f>
        <v>Xmp.crs.</v>
      </c>
      <c r="E2349" s="5" t="str">
        <f>MID(F2349,FIND(".",F2349,6)+1,99)</f>
        <v>ToneCurvePV2012</v>
      </c>
      <c r="F2349" s="2" t="s">
        <v>8428</v>
      </c>
      <c r="G2349" s="5" t="s">
        <v>9678</v>
      </c>
      <c r="H2349" s="3" t="s">
        <v>3334</v>
      </c>
      <c r="I2349" s="7"/>
      <c r="J2349" s="8"/>
      <c r="K2349" s="26"/>
      <c r="M2349" s="6" t="str">
        <f>IFERROR(VLOOKUP(H2349,B:J,9,FALSE),"")</f>
        <v>Tabelle von Punkten (Integer, Integer), die eine "Tone Curve" definieren.</v>
      </c>
      <c r="N2349" s="6"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xml:space="preserve">Suffix not translated </v>
      </c>
      <c r="O2349" s="6" t="s">
        <v>8574</v>
      </c>
    </row>
    <row r="2350" spans="1:16" ht="45" x14ac:dyDescent="0.25">
      <c r="A2350" s="5" t="str">
        <f>IF(TRIM(I2350)="","",E2350)</f>
        <v/>
      </c>
      <c r="B2350" s="5" t="str">
        <f>IF(TRIM(J2350)="","",H2350)</f>
        <v/>
      </c>
      <c r="C2350" s="5" t="str">
        <f>LEFT(F2350,FIND(".",F2350,6))</f>
        <v>Xmp.crs.</v>
      </c>
      <c r="D2350" s="5" t="str">
        <f>VLOOKUP(C2350,PrefixUebersetzung,2,FALSE)</f>
        <v>Xmp.crs.</v>
      </c>
      <c r="E2350" s="5" t="str">
        <f>MID(F2350,FIND(".",F2350,6)+1,99)</f>
        <v>ToneCurvePV2012Blue</v>
      </c>
      <c r="F2350" s="2" t="s">
        <v>8429</v>
      </c>
      <c r="G2350" s="5" t="s">
        <v>9678</v>
      </c>
      <c r="H2350" s="3" t="s">
        <v>3334</v>
      </c>
      <c r="I2350" s="7"/>
      <c r="J2350" s="8"/>
      <c r="K2350" s="26"/>
      <c r="M2350" s="6" t="str">
        <f>IFERROR(VLOOKUP(H2350,B:J,9,FALSE),"")</f>
        <v>Tabelle von Punkten (Integer, Integer), die eine "Tone Curve" definieren.</v>
      </c>
      <c r="N2350" s="6"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xml:space="preserve">Suffix not translated </v>
      </c>
      <c r="O2350" s="6" t="s">
        <v>8574</v>
      </c>
    </row>
    <row r="2351" spans="1:16" ht="45" x14ac:dyDescent="0.25">
      <c r="A2351" s="5" t="str">
        <f>IF(TRIM(I2351)="","",E2351)</f>
        <v/>
      </c>
      <c r="B2351" s="5" t="str">
        <f>IF(TRIM(J2351)="","",H2351)</f>
        <v/>
      </c>
      <c r="C2351" s="5" t="str">
        <f>LEFT(F2351,FIND(".",F2351,6))</f>
        <v>Xmp.crs.</v>
      </c>
      <c r="D2351" s="5" t="str">
        <f>VLOOKUP(C2351,PrefixUebersetzung,2,FALSE)</f>
        <v>Xmp.crs.</v>
      </c>
      <c r="E2351" s="5" t="str">
        <f>MID(F2351,FIND(".",F2351,6)+1,99)</f>
        <v>ToneCurvePV2012Green</v>
      </c>
      <c r="F2351" s="2" t="s">
        <v>8430</v>
      </c>
      <c r="G2351" s="5" t="s">
        <v>9678</v>
      </c>
      <c r="H2351" s="3" t="s">
        <v>3334</v>
      </c>
      <c r="I2351" s="7"/>
      <c r="J2351" s="8"/>
      <c r="K2351" s="26"/>
      <c r="M2351" s="6" t="str">
        <f>IFERROR(VLOOKUP(H2351,B:J,9,FALSE),"")</f>
        <v>Tabelle von Punkten (Integer, Integer), die eine "Tone Curve" definieren.</v>
      </c>
      <c r="N2351" s="6"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xml:space="preserve">Suffix not translated </v>
      </c>
      <c r="O2351" s="6" t="s">
        <v>8574</v>
      </c>
    </row>
    <row r="2352" spans="1:16" ht="45" x14ac:dyDescent="0.25">
      <c r="A2352" s="5" t="str">
        <f>IF(TRIM(I2352)="","",E2352)</f>
        <v/>
      </c>
      <c r="B2352" s="5" t="str">
        <f>IF(TRIM(J2352)="","",H2352)</f>
        <v/>
      </c>
      <c r="C2352" s="5" t="str">
        <f>LEFT(F2352,FIND(".",F2352,6))</f>
        <v>Xmp.crs.</v>
      </c>
      <c r="D2352" s="5" t="str">
        <f>VLOOKUP(C2352,PrefixUebersetzung,2,FALSE)</f>
        <v>Xmp.crs.</v>
      </c>
      <c r="E2352" s="5" t="str">
        <f>MID(F2352,FIND(".",F2352,6)+1,99)</f>
        <v>ToneCurvePV2012Red</v>
      </c>
      <c r="F2352" s="2" t="s">
        <v>8431</v>
      </c>
      <c r="G2352" s="5" t="s">
        <v>9678</v>
      </c>
      <c r="H2352" s="3" t="s">
        <v>3334</v>
      </c>
      <c r="I2352" s="7"/>
      <c r="J2352" s="8"/>
      <c r="K2352" s="26"/>
      <c r="M2352" s="6" t="str">
        <f>IFERROR(VLOOKUP(H2352,B:J,9,FALSE),"")</f>
        <v>Tabelle von Punkten (Integer, Integer), die eine "Tone Curve" definieren.</v>
      </c>
      <c r="N2352" s="6"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xml:space="preserve">Suffix not translated </v>
      </c>
      <c r="O2352" s="6" t="s">
        <v>8574</v>
      </c>
    </row>
    <row r="2353" spans="1:15" ht="45" x14ac:dyDescent="0.25">
      <c r="A2353" s="5" t="str">
        <f>IF(TRIM(I2353)="","",E2353)</f>
        <v/>
      </c>
      <c r="B2353" s="5" t="str">
        <f>IF(TRIM(J2353)="","",H2353)</f>
        <v/>
      </c>
      <c r="C2353" s="5" t="str">
        <f>LEFT(F2353,FIND(".",F2353,6))</f>
        <v>Xmp.crs.</v>
      </c>
      <c r="D2353" s="5" t="str">
        <f>VLOOKUP(C2353,PrefixUebersetzung,2,FALSE)</f>
        <v>Xmp.crs.</v>
      </c>
      <c r="E2353" s="5" t="str">
        <f>MID(F2353,FIND(".",F2353,6)+1,99)</f>
        <v>ToneCurveRed</v>
      </c>
      <c r="F2353" s="2" t="s">
        <v>8432</v>
      </c>
      <c r="G2353" s="5" t="s">
        <v>9678</v>
      </c>
      <c r="H2353" s="3" t="s">
        <v>3334</v>
      </c>
      <c r="I2353" s="7"/>
      <c r="J2353" s="8"/>
      <c r="K2353" s="26"/>
      <c r="M2353" s="6" t="str">
        <f>IFERROR(VLOOKUP(H2353,B:J,9,FALSE),"")</f>
        <v>Tabelle von Punkten (Integer, Integer), die eine "Tone Curve" definieren.</v>
      </c>
      <c r="N2353" s="6"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xml:space="preserve">Suffix not translated </v>
      </c>
      <c r="O2353" s="6" t="s">
        <v>8574</v>
      </c>
    </row>
    <row r="2354" spans="1:15" ht="30" x14ac:dyDescent="0.25">
      <c r="A2354" s="5" t="str">
        <f>IF(TRIM(I2354)="","",E2354)</f>
        <v/>
      </c>
      <c r="B2354" s="5" t="str">
        <f>IF(TRIM(J2354)="","",H2354)</f>
        <v/>
      </c>
      <c r="C2354" s="5" t="str">
        <f>LEFT(F2354,FIND(".",F2354,6))</f>
        <v>Xmp.crs.</v>
      </c>
      <c r="D2354" s="5" t="str">
        <f>VLOOKUP(C2354,PrefixUebersetzung,2,FALSE)</f>
        <v>Xmp.crs.</v>
      </c>
      <c r="E2354" s="5" t="str">
        <f>MID(F2354,FIND(".",F2354,6)+1,99)</f>
        <v>Top</v>
      </c>
      <c r="F2354" s="2" t="s">
        <v>8433</v>
      </c>
      <c r="G2354" s="5" t="s">
        <v>9678</v>
      </c>
      <c r="H2354" s="3" t="s">
        <v>8266</v>
      </c>
      <c r="I2354" s="7"/>
      <c r="J2354" s="8"/>
      <c r="K2354" s="26"/>
      <c r="M2354" s="6" t="str">
        <f>IFERROR(VLOOKUP(H2354,B:J,9,FALSE),"")</f>
        <v>Nicht in XMP Spezifikation, in Beispielen gefunden.</v>
      </c>
      <c r="N2354" s="6"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xml:space="preserve">Suffix not translated </v>
      </c>
      <c r="O2354" s="6" t="s">
        <v>8574</v>
      </c>
    </row>
    <row r="2355" spans="1:15" ht="30" x14ac:dyDescent="0.25">
      <c r="A2355" s="5" t="str">
        <f>IF(TRIM(I2355)="","",E2355)</f>
        <v/>
      </c>
      <c r="B2355" s="5" t="str">
        <f>IF(TRIM(J2355)="","",H2355)</f>
        <v/>
      </c>
      <c r="C2355" s="5" t="str">
        <f>LEFT(F2355,FIND(".",F2355,6))</f>
        <v>Xmp.crs.</v>
      </c>
      <c r="D2355" s="5" t="str">
        <f>VLOOKUP(C2355,PrefixUebersetzung,2,FALSE)</f>
        <v>Xmp.crs.</v>
      </c>
      <c r="E2355" s="5" t="str">
        <f>MID(F2355,FIND(".",F2355,6)+1,99)</f>
        <v>UprightCenterMode</v>
      </c>
      <c r="F2355" s="2" t="s">
        <v>8434</v>
      </c>
      <c r="G2355" s="5" t="s">
        <v>9678</v>
      </c>
      <c r="H2355" s="3" t="s">
        <v>8266</v>
      </c>
      <c r="I2355" s="7"/>
      <c r="J2355" s="8"/>
      <c r="K2355" s="26"/>
      <c r="M2355" s="6" t="str">
        <f>IFERROR(VLOOKUP(H2355,B:J,9,FALSE),"")</f>
        <v>Nicht in XMP Spezifikation, in Beispielen gefunden.</v>
      </c>
      <c r="N2355" s="6"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xml:space="preserve">Suffix not translated </v>
      </c>
      <c r="O2355" s="6" t="s">
        <v>8574</v>
      </c>
    </row>
    <row r="2356" spans="1:15" ht="30" x14ac:dyDescent="0.25">
      <c r="A2356" s="5" t="str">
        <f>IF(TRIM(I2356)="","",E2356)</f>
        <v/>
      </c>
      <c r="B2356" s="5" t="str">
        <f>IF(TRIM(J2356)="","",H2356)</f>
        <v/>
      </c>
      <c r="C2356" s="5" t="str">
        <f>LEFT(F2356,FIND(".",F2356,6))</f>
        <v>Xmp.crs.</v>
      </c>
      <c r="D2356" s="5" t="str">
        <f>VLOOKUP(C2356,PrefixUebersetzung,2,FALSE)</f>
        <v>Xmp.crs.</v>
      </c>
      <c r="E2356" s="5" t="str">
        <f>MID(F2356,FIND(".",F2356,6)+1,99)</f>
        <v>UprightCenterNormX</v>
      </c>
      <c r="F2356" s="2" t="s">
        <v>8435</v>
      </c>
      <c r="G2356" s="5" t="s">
        <v>9678</v>
      </c>
      <c r="H2356" s="3" t="s">
        <v>8266</v>
      </c>
      <c r="I2356" s="7"/>
      <c r="J2356" s="8"/>
      <c r="K2356" s="26"/>
      <c r="M2356" s="6" t="str">
        <f>IFERROR(VLOOKUP(H2356,B:J,9,FALSE),"")</f>
        <v>Nicht in XMP Spezifikation, in Beispielen gefunden.</v>
      </c>
      <c r="N2356" s="6"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xml:space="preserve">Suffix not translated </v>
      </c>
      <c r="O2356" s="6" t="s">
        <v>8574</v>
      </c>
    </row>
    <row r="2357" spans="1:15" ht="30" x14ac:dyDescent="0.25">
      <c r="A2357" s="5" t="str">
        <f>IF(TRIM(I2357)="","",E2357)</f>
        <v/>
      </c>
      <c r="B2357" s="5" t="str">
        <f>IF(TRIM(J2357)="","",H2357)</f>
        <v/>
      </c>
      <c r="C2357" s="5" t="str">
        <f>LEFT(F2357,FIND(".",F2357,6))</f>
        <v>Xmp.crs.</v>
      </c>
      <c r="D2357" s="5" t="str">
        <f>VLOOKUP(C2357,PrefixUebersetzung,2,FALSE)</f>
        <v>Xmp.crs.</v>
      </c>
      <c r="E2357" s="5" t="str">
        <f>MID(F2357,FIND(".",F2357,6)+1,99)</f>
        <v>UprightCenterNormY</v>
      </c>
      <c r="F2357" s="2" t="s">
        <v>8436</v>
      </c>
      <c r="G2357" s="5" t="s">
        <v>9678</v>
      </c>
      <c r="H2357" s="3" t="s">
        <v>8266</v>
      </c>
      <c r="I2357" s="7"/>
      <c r="J2357" s="8"/>
      <c r="K2357" s="26"/>
      <c r="M2357" s="6" t="str">
        <f>IFERROR(VLOOKUP(H2357,B:J,9,FALSE),"")</f>
        <v>Nicht in XMP Spezifikation, in Beispielen gefunden.</v>
      </c>
      <c r="N2357" s="6"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xml:space="preserve">Suffix not translated </v>
      </c>
      <c r="O2357" s="6" t="s">
        <v>8574</v>
      </c>
    </row>
    <row r="2358" spans="1:15" ht="30" x14ac:dyDescent="0.25">
      <c r="A2358" s="5" t="str">
        <f>IF(TRIM(I2358)="","",E2358)</f>
        <v/>
      </c>
      <c r="B2358" s="5" t="str">
        <f>IF(TRIM(J2358)="","",H2358)</f>
        <v/>
      </c>
      <c r="C2358" s="5" t="str">
        <f>LEFT(F2358,FIND(".",F2358,6))</f>
        <v>Xmp.crs.</v>
      </c>
      <c r="D2358" s="5" t="str">
        <f>VLOOKUP(C2358,PrefixUebersetzung,2,FALSE)</f>
        <v>Xmp.crs.</v>
      </c>
      <c r="E2358" s="5" t="str">
        <f>MID(F2358,FIND(".",F2358,6)+1,99)</f>
        <v>UprightDependentDigest</v>
      </c>
      <c r="F2358" s="2" t="s">
        <v>8437</v>
      </c>
      <c r="G2358" s="5" t="s">
        <v>9678</v>
      </c>
      <c r="H2358" s="3" t="s">
        <v>8266</v>
      </c>
      <c r="I2358" s="7"/>
      <c r="J2358" s="8"/>
      <c r="K2358" s="26"/>
      <c r="M2358" s="6" t="str">
        <f>IFERROR(VLOOKUP(H2358,B:J,9,FALSE),"")</f>
        <v>Nicht in XMP Spezifikation, in Beispielen gefunden.</v>
      </c>
      <c r="N2358" s="6"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v>
      </c>
      <c r="O2358" s="6" t="s">
        <v>8574</v>
      </c>
    </row>
    <row r="2359" spans="1:15" ht="30" x14ac:dyDescent="0.25">
      <c r="A2359" s="5" t="str">
        <f>IF(TRIM(I2359)="","",E2359)</f>
        <v/>
      </c>
      <c r="B2359" s="5" t="str">
        <f>IF(TRIM(J2359)="","",H2359)</f>
        <v/>
      </c>
      <c r="C2359" s="5" t="str">
        <f>LEFT(F2359,FIND(".",F2359,6))</f>
        <v>Xmp.crs.</v>
      </c>
      <c r="D2359" s="5" t="str">
        <f>VLOOKUP(C2359,PrefixUebersetzung,2,FALSE)</f>
        <v>Xmp.crs.</v>
      </c>
      <c r="E2359" s="5" t="str">
        <f>MID(F2359,FIND(".",F2359,6)+1,99)</f>
        <v>UprightFocalLength35mm</v>
      </c>
      <c r="F2359" s="2" t="s">
        <v>8438</v>
      </c>
      <c r="G2359" s="5" t="s">
        <v>9678</v>
      </c>
      <c r="H2359" s="3" t="s">
        <v>8266</v>
      </c>
      <c r="I2359" s="7"/>
      <c r="J2359" s="8"/>
      <c r="K2359" s="26"/>
      <c r="M2359" s="6" t="str">
        <f>IFERROR(VLOOKUP(H2359,B:J,9,FALSE),"")</f>
        <v>Nicht in XMP Spezifikation, in Beispielen gefunden.</v>
      </c>
      <c r="N2359" s="6"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xml:space="preserve">Suffix not translated </v>
      </c>
      <c r="O2359" s="6" t="s">
        <v>8574</v>
      </c>
    </row>
    <row r="2360" spans="1:15" ht="30" x14ac:dyDescent="0.25">
      <c r="A2360" s="5" t="str">
        <f>IF(TRIM(I2360)="","",E2360)</f>
        <v/>
      </c>
      <c r="B2360" s="5" t="str">
        <f>IF(TRIM(J2360)="","",H2360)</f>
        <v/>
      </c>
      <c r="C2360" s="5" t="str">
        <f>LEFT(F2360,FIND(".",F2360,6))</f>
        <v>Xmp.crs.</v>
      </c>
      <c r="D2360" s="5" t="str">
        <f>VLOOKUP(C2360,PrefixUebersetzung,2,FALSE)</f>
        <v>Xmp.crs.</v>
      </c>
      <c r="E2360" s="5" t="str">
        <f>MID(F2360,FIND(".",F2360,6)+1,99)</f>
        <v>UprightFocalMode</v>
      </c>
      <c r="F2360" s="2" t="s">
        <v>8439</v>
      </c>
      <c r="G2360" s="5" t="s">
        <v>9678</v>
      </c>
      <c r="H2360" s="3" t="s">
        <v>8266</v>
      </c>
      <c r="I2360" s="7"/>
      <c r="J2360" s="8"/>
      <c r="K2360" s="26"/>
      <c r="M2360" s="6" t="str">
        <f>IFERROR(VLOOKUP(H2360,B:J,9,FALSE),"")</f>
        <v>Nicht in XMP Spezifikation, in Beispielen gefunden.</v>
      </c>
      <c r="N2360" s="6"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xml:space="preserve">Suffix not translated </v>
      </c>
      <c r="O2360" s="6" t="s">
        <v>8574</v>
      </c>
    </row>
    <row r="2361" spans="1:15" ht="30" x14ac:dyDescent="0.25">
      <c r="A2361" s="5" t="str">
        <f>IF(TRIM(I2361)="","",E2361)</f>
        <v/>
      </c>
      <c r="B2361" s="5" t="str">
        <f>IF(TRIM(J2361)="","",H2361)</f>
        <v/>
      </c>
      <c r="C2361" s="5" t="str">
        <f>LEFT(F2361,FIND(".",F2361,6))</f>
        <v>Xmp.crs.</v>
      </c>
      <c r="D2361" s="5" t="str">
        <f>VLOOKUP(C2361,PrefixUebersetzung,2,FALSE)</f>
        <v>Xmp.crs.</v>
      </c>
      <c r="E2361" s="5" t="str">
        <f>MID(F2361,FIND(".",F2361,6)+1,99)</f>
        <v>UprightPreview</v>
      </c>
      <c r="F2361" s="2" t="s">
        <v>8440</v>
      </c>
      <c r="G2361" s="5" t="s">
        <v>9678</v>
      </c>
      <c r="H2361" s="3" t="s">
        <v>8266</v>
      </c>
      <c r="I2361" s="7"/>
      <c r="J2361" s="8"/>
      <c r="K2361" s="26"/>
      <c r="M2361" s="6" t="str">
        <f>IFERROR(VLOOKUP(H2361,B:J,9,FALSE),"")</f>
        <v>Nicht in XMP Spezifikation, in Beispielen gefunden.</v>
      </c>
      <c r="N2361" s="6"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xml:space="preserve">Suffix not translated </v>
      </c>
      <c r="O2361" s="6" t="s">
        <v>8574</v>
      </c>
    </row>
    <row r="2362" spans="1:15" ht="30" x14ac:dyDescent="0.25">
      <c r="A2362" s="5" t="str">
        <f>IF(TRIM(I2362)="","",E2362)</f>
        <v/>
      </c>
      <c r="B2362" s="5" t="str">
        <f>IF(TRIM(J2362)="","",H2362)</f>
        <v/>
      </c>
      <c r="C2362" s="5" t="str">
        <f>LEFT(F2362,FIND(".",F2362,6))</f>
        <v>Xmp.crs.</v>
      </c>
      <c r="D2362" s="5" t="str">
        <f>VLOOKUP(C2362,PrefixUebersetzung,2,FALSE)</f>
        <v>Xmp.crs.</v>
      </c>
      <c r="E2362" s="5" t="str">
        <f>MID(F2362,FIND(".",F2362,6)+1,99)</f>
        <v>UprightTransform_0</v>
      </c>
      <c r="F2362" s="2" t="s">
        <v>8441</v>
      </c>
      <c r="G2362" s="5" t="s">
        <v>9678</v>
      </c>
      <c r="H2362" s="3" t="s">
        <v>8266</v>
      </c>
      <c r="I2362" s="7"/>
      <c r="J2362" s="8"/>
      <c r="K2362" s="26"/>
      <c r="M2362" s="6" t="str">
        <f>IFERROR(VLOOKUP(H2362,B:J,9,FALSE),"")</f>
        <v>Nicht in XMP Spezifikation, in Beispielen gefunden.</v>
      </c>
      <c r="N2362" s="6"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v>
      </c>
      <c r="O2362" s="6" t="s">
        <v>8574</v>
      </c>
    </row>
    <row r="2363" spans="1:15" ht="30" x14ac:dyDescent="0.25">
      <c r="A2363" s="5" t="str">
        <f>IF(TRIM(I2363)="","",E2363)</f>
        <v/>
      </c>
      <c r="B2363" s="5" t="str">
        <f>IF(TRIM(J2363)="","",H2363)</f>
        <v/>
      </c>
      <c r="C2363" s="5" t="str">
        <f>LEFT(F2363,FIND(".",F2363,6))</f>
        <v>Xmp.crs.</v>
      </c>
      <c r="D2363" s="5" t="str">
        <f>VLOOKUP(C2363,PrefixUebersetzung,2,FALSE)</f>
        <v>Xmp.crs.</v>
      </c>
      <c r="E2363" s="5" t="str">
        <f>MID(F2363,FIND(".",F2363,6)+1,99)</f>
        <v>UprightTransform_1</v>
      </c>
      <c r="F2363" s="2" t="s">
        <v>8442</v>
      </c>
      <c r="G2363" s="5" t="s">
        <v>9678</v>
      </c>
      <c r="H2363" s="3" t="s">
        <v>8266</v>
      </c>
      <c r="I2363" s="7"/>
      <c r="J2363" s="8"/>
      <c r="K2363" s="26"/>
      <c r="M2363" s="6" t="str">
        <f>IFERROR(VLOOKUP(H2363,B:J,9,FALSE),"")</f>
        <v>Nicht in XMP Spezifikation, in Beispielen gefunden.</v>
      </c>
      <c r="N2363" s="6"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xml:space="preserve">Suffix not translated </v>
      </c>
      <c r="O2363" s="6" t="s">
        <v>8574</v>
      </c>
    </row>
    <row r="2364" spans="1:15" ht="30" x14ac:dyDescent="0.25">
      <c r="A2364" s="5" t="str">
        <f>IF(TRIM(I2364)="","",E2364)</f>
        <v/>
      </c>
      <c r="B2364" s="5" t="str">
        <f>IF(TRIM(J2364)="","",H2364)</f>
        <v/>
      </c>
      <c r="C2364" s="5" t="str">
        <f>LEFT(F2364,FIND(".",F2364,6))</f>
        <v>Xmp.crs.</v>
      </c>
      <c r="D2364" s="5" t="str">
        <f>VLOOKUP(C2364,PrefixUebersetzung,2,FALSE)</f>
        <v>Xmp.crs.</v>
      </c>
      <c r="E2364" s="5" t="str">
        <f>MID(F2364,FIND(".",F2364,6)+1,99)</f>
        <v>UprightTransform_2</v>
      </c>
      <c r="F2364" s="2" t="s">
        <v>8443</v>
      </c>
      <c r="G2364" s="5" t="s">
        <v>9678</v>
      </c>
      <c r="H2364" s="3" t="s">
        <v>8266</v>
      </c>
      <c r="I2364" s="7"/>
      <c r="J2364" s="8"/>
      <c r="K2364" s="26"/>
      <c r="M2364" s="6" t="str">
        <f>IFERROR(VLOOKUP(H2364,B:J,9,FALSE),"")</f>
        <v>Nicht in XMP Spezifikation, in Beispielen gefunden.</v>
      </c>
      <c r="N2364" s="6"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xml:space="preserve">Suffix not translated </v>
      </c>
      <c r="O2364" s="6" t="s">
        <v>8574</v>
      </c>
    </row>
    <row r="2365" spans="1:15" ht="30" x14ac:dyDescent="0.25">
      <c r="A2365" s="5" t="str">
        <f>IF(TRIM(I2365)="","",E2365)</f>
        <v/>
      </c>
      <c r="B2365" s="5" t="str">
        <f>IF(TRIM(J2365)="","",H2365)</f>
        <v/>
      </c>
      <c r="C2365" s="5" t="str">
        <f>LEFT(F2365,FIND(".",F2365,6))</f>
        <v>Xmp.crs.</v>
      </c>
      <c r="D2365" s="5" t="str">
        <f>VLOOKUP(C2365,PrefixUebersetzung,2,FALSE)</f>
        <v>Xmp.crs.</v>
      </c>
      <c r="E2365" s="5" t="str">
        <f>MID(F2365,FIND(".",F2365,6)+1,99)</f>
        <v>UprightTransform_3</v>
      </c>
      <c r="F2365" s="2" t="s">
        <v>8444</v>
      </c>
      <c r="G2365" s="5" t="s">
        <v>9678</v>
      </c>
      <c r="H2365" s="3" t="s">
        <v>8266</v>
      </c>
      <c r="I2365" s="7"/>
      <c r="J2365" s="8"/>
      <c r="K2365" s="26"/>
      <c r="M2365" s="6" t="str">
        <f>IFERROR(VLOOKUP(H2365,B:J,9,FALSE),"")</f>
        <v>Nicht in XMP Spezifikation, in Beispielen gefunden.</v>
      </c>
      <c r="N2365" s="6"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xml:space="preserve">Suffix not translated </v>
      </c>
      <c r="O2365" s="6" t="s">
        <v>8574</v>
      </c>
    </row>
    <row r="2366" spans="1:15" ht="30" x14ac:dyDescent="0.25">
      <c r="A2366" s="5" t="str">
        <f>IF(TRIM(I2366)="","",E2366)</f>
        <v/>
      </c>
      <c r="B2366" s="5" t="str">
        <f>IF(TRIM(J2366)="","",H2366)</f>
        <v/>
      </c>
      <c r="C2366" s="5" t="str">
        <f>LEFT(F2366,FIND(".",F2366,6))</f>
        <v>Xmp.crs.</v>
      </c>
      <c r="D2366" s="5" t="str">
        <f>VLOOKUP(C2366,PrefixUebersetzung,2,FALSE)</f>
        <v>Xmp.crs.</v>
      </c>
      <c r="E2366" s="5" t="str">
        <f>MID(F2366,FIND(".",F2366,6)+1,99)</f>
        <v>UprightTransform_4</v>
      </c>
      <c r="F2366" s="2" t="s">
        <v>8445</v>
      </c>
      <c r="G2366" s="5" t="s">
        <v>9678</v>
      </c>
      <c r="H2366" s="3" t="s">
        <v>8266</v>
      </c>
      <c r="I2366" s="7"/>
      <c r="J2366" s="8"/>
      <c r="K2366" s="26"/>
      <c r="M2366" s="6" t="str">
        <f>IFERROR(VLOOKUP(H2366,B:J,9,FALSE),"")</f>
        <v>Nicht in XMP Spezifikation, in Beispielen gefunden.</v>
      </c>
      <c r="N2366" s="6"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v>
      </c>
      <c r="O2366" s="6" t="s">
        <v>8574</v>
      </c>
    </row>
    <row r="2367" spans="1:15" ht="30" x14ac:dyDescent="0.25">
      <c r="A2367" s="5" t="str">
        <f>IF(TRIM(I2367)="","",E2367)</f>
        <v/>
      </c>
      <c r="B2367" s="5" t="str">
        <f>IF(TRIM(J2367)="","",H2367)</f>
        <v/>
      </c>
      <c r="C2367" s="5" t="str">
        <f>LEFT(F2367,FIND(".",F2367,6))</f>
        <v>Xmp.crs.</v>
      </c>
      <c r="D2367" s="5" t="str">
        <f>VLOOKUP(C2367,PrefixUebersetzung,2,FALSE)</f>
        <v>Xmp.crs.</v>
      </c>
      <c r="E2367" s="5" t="str">
        <f>MID(F2367,FIND(".",F2367,6)+1,99)</f>
        <v>UprightTransformCount</v>
      </c>
      <c r="F2367" s="2" t="s">
        <v>8446</v>
      </c>
      <c r="G2367" s="5" t="s">
        <v>9678</v>
      </c>
      <c r="H2367" s="3" t="s">
        <v>8266</v>
      </c>
      <c r="I2367" s="7"/>
      <c r="J2367" s="8"/>
      <c r="K2367" s="26"/>
      <c r="M2367" s="6" t="str">
        <f>IFERROR(VLOOKUP(H2367,B:J,9,FALSE),"")</f>
        <v>Nicht in XMP Spezifikation, in Beispielen gefunden.</v>
      </c>
      <c r="N2367" s="6"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xml:space="preserve">Suffix not translated </v>
      </c>
      <c r="O2367" s="6" t="s">
        <v>8574</v>
      </c>
    </row>
    <row r="2368" spans="1:15" ht="30" x14ac:dyDescent="0.25">
      <c r="A2368" s="5" t="str">
        <f>IF(TRIM(I2368)="","",E2368)</f>
        <v/>
      </c>
      <c r="B2368" s="5" t="str">
        <f>IF(TRIM(J2368)="","",H2368)</f>
        <v/>
      </c>
      <c r="C2368" s="5" t="str">
        <f>LEFT(F2368,FIND(".",F2368,6))</f>
        <v>Xmp.crs.</v>
      </c>
      <c r="D2368" s="5" t="str">
        <f>VLOOKUP(C2368,PrefixUebersetzung,2,FALSE)</f>
        <v>Xmp.crs.</v>
      </c>
      <c r="E2368" s="5" t="str">
        <f>MID(F2368,FIND(".",F2368,6)+1,99)</f>
        <v>UprightVersion</v>
      </c>
      <c r="F2368" s="2" t="s">
        <v>8447</v>
      </c>
      <c r="G2368" s="5" t="s">
        <v>9678</v>
      </c>
      <c r="H2368" s="3" t="s">
        <v>8266</v>
      </c>
      <c r="I2368" s="7"/>
      <c r="J2368" s="8"/>
      <c r="K2368" s="26"/>
      <c r="M2368" s="6" t="str">
        <f>IFERROR(VLOOKUP(H2368,B:J,9,FALSE),"")</f>
        <v>Nicht in XMP Spezifikation, in Beispielen gefunden.</v>
      </c>
      <c r="N2368" s="6"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xml:space="preserve">Suffix not translated </v>
      </c>
      <c r="O2368" s="6" t="s">
        <v>8574</v>
      </c>
    </row>
    <row r="2369" spans="1:17" x14ac:dyDescent="0.25">
      <c r="A2369" s="5" t="str">
        <f>IF(TRIM(I2369)="","",E2369)</f>
        <v/>
      </c>
      <c r="B2369" s="5" t="str">
        <f>IF(TRIM(J2369)="","",H2369)</f>
        <v>Version of Camera Raw plugin.</v>
      </c>
      <c r="C2369" s="5" t="str">
        <f>LEFT(F2369,FIND(".",F2369,6))</f>
        <v>Xmp.crs.</v>
      </c>
      <c r="D2369" s="5" t="str">
        <f>VLOOKUP(C2369,PrefixUebersetzung,2,FALSE)</f>
        <v>Xmp.crs.</v>
      </c>
      <c r="E2369" s="5" t="str">
        <f>MID(F2369,FIND(".",F2369,6)+1,99)</f>
        <v>Version</v>
      </c>
      <c r="F2369" s="5" t="s">
        <v>1684</v>
      </c>
      <c r="G2369" s="5" t="s">
        <v>9678</v>
      </c>
      <c r="H2369" s="6" t="s">
        <v>3336</v>
      </c>
      <c r="I2369" s="7"/>
      <c r="J2369" s="14" t="s">
        <v>5346</v>
      </c>
      <c r="K2369" s="26"/>
      <c r="L2369" s="6" t="str">
        <f>IFERROR(VLOOKUP(E2369,A:I,9, FALSE),"")</f>
        <v>Version</v>
      </c>
      <c r="N2369" s="6"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c r="P2369" s="6" t="s">
        <v>8574</v>
      </c>
      <c r="Q2369" s="6" t="s">
        <v>9550</v>
      </c>
    </row>
    <row r="2370" spans="1:17" ht="30" x14ac:dyDescent="0.25">
      <c r="A2370" s="5" t="str">
        <f>IF(TRIM(I2370)="","",E2370)</f>
        <v/>
      </c>
      <c r="B2370" s="5" t="str">
        <f>IF(TRIM(J2370)="","",H2370)</f>
        <v/>
      </c>
      <c r="C2370" s="5" t="str">
        <f>LEFT(F2370,FIND(".",F2370,6))</f>
        <v>Xmp.crs.</v>
      </c>
      <c r="D2370" s="5" t="str">
        <f>VLOOKUP(C2370,PrefixUebersetzung,2,FALSE)</f>
        <v>Xmp.crs.</v>
      </c>
      <c r="E2370" s="5" t="str">
        <f>MID(F2370,FIND(".",F2370,6)+1,99)</f>
        <v>Vibrance</v>
      </c>
      <c r="F2370" s="2" t="s">
        <v>8448</v>
      </c>
      <c r="G2370" s="5" t="s">
        <v>9678</v>
      </c>
      <c r="H2370" s="3" t="s">
        <v>8266</v>
      </c>
      <c r="I2370" s="7"/>
      <c r="J2370" s="8"/>
      <c r="K2370" s="26"/>
      <c r="M2370" s="6" t="str">
        <f>IFERROR(VLOOKUP(H2370,B:J,9,FALSE),"")</f>
        <v>Nicht in XMP Spezifikation, in Beispielen gefunden.</v>
      </c>
      <c r="N2370" s="6"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xml:space="preserve">Suffix not translated </v>
      </c>
      <c r="O2370" s="6" t="s">
        <v>8574</v>
      </c>
    </row>
    <row r="2371" spans="1:17" x14ac:dyDescent="0.25">
      <c r="A2371" s="5" t="str">
        <f>IF(TRIM(I2371)="","",E2371)</f>
        <v>VignetteAmount</v>
      </c>
      <c r="B2371" s="5" t="str">
        <f>IF(TRIM(J2371)="","",H2371)</f>
        <v>"Vignetting Amount" setting. Range -100 to +100.</v>
      </c>
      <c r="C2371" s="5" t="str">
        <f>LEFT(F2371,FIND(".",F2371,6))</f>
        <v>Xmp.crs.</v>
      </c>
      <c r="D2371" s="5" t="str">
        <f>VLOOKUP(C2371,PrefixUebersetzung,2,FALSE)</f>
        <v>Xmp.crs.</v>
      </c>
      <c r="E2371" s="5" t="str">
        <f>MID(F2371,FIND(".",F2371,6)+1,99)</f>
        <v>VignetteAmount</v>
      </c>
      <c r="F2371" s="5" t="s">
        <v>1685</v>
      </c>
      <c r="G2371" s="5" t="s">
        <v>9678</v>
      </c>
      <c r="H2371" s="6" t="s">
        <v>9706</v>
      </c>
      <c r="I2371" s="7" t="s">
        <v>4518</v>
      </c>
      <c r="J2371" s="14" t="s">
        <v>5539</v>
      </c>
      <c r="K2371" s="26"/>
      <c r="N2371" s="6"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c r="O2371" s="6" t="s">
        <v>8574</v>
      </c>
      <c r="P2371" s="6" t="s">
        <v>8574</v>
      </c>
    </row>
    <row r="2372" spans="1:17" x14ac:dyDescent="0.25">
      <c r="A2372" s="5" t="str">
        <f>IF(TRIM(I2372)="","",E2372)</f>
        <v>VignetteMidpoint</v>
      </c>
      <c r="B2372" s="5" t="str">
        <f>IF(TRIM(J2372)="","",H2372)</f>
        <v>"Vignetting Midpoint" setting. Range 0 to +100.</v>
      </c>
      <c r="C2372" s="5" t="str">
        <f>LEFT(F2372,FIND(".",F2372,6))</f>
        <v>Xmp.crs.</v>
      </c>
      <c r="D2372" s="5" t="str">
        <f>VLOOKUP(C2372,PrefixUebersetzung,2,FALSE)</f>
        <v>Xmp.crs.</v>
      </c>
      <c r="E2372" s="5" t="str">
        <f>MID(F2372,FIND(".",F2372,6)+1,99)</f>
        <v>VignetteMidpoint</v>
      </c>
      <c r="F2372" s="5" t="s">
        <v>1686</v>
      </c>
      <c r="G2372" s="5" t="s">
        <v>9678</v>
      </c>
      <c r="H2372" s="6" t="s">
        <v>9707</v>
      </c>
      <c r="I2372" s="7" t="s">
        <v>4519</v>
      </c>
      <c r="J2372" s="14" t="s">
        <v>4109</v>
      </c>
      <c r="K2372" s="26"/>
      <c r="N2372" s="6"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c r="O2372" s="6" t="s">
        <v>8574</v>
      </c>
      <c r="P2372" s="6" t="s">
        <v>8574</v>
      </c>
    </row>
    <row r="2373" spans="1:17" ht="30" x14ac:dyDescent="0.25">
      <c r="A2373" s="5" t="str">
        <f>IF(TRIM(I2373)="","",E2373)</f>
        <v/>
      </c>
      <c r="B2373" s="5" t="str">
        <f>IF(TRIM(J2373)="","",H2373)</f>
        <v/>
      </c>
      <c r="C2373" s="5" t="str">
        <f>LEFT(F2373,FIND(".",F2373,6))</f>
        <v>Xmp.crs.</v>
      </c>
      <c r="D2373" s="5" t="str">
        <f>VLOOKUP(C2373,PrefixUebersetzung,2,FALSE)</f>
        <v>Xmp.crs.</v>
      </c>
      <c r="E2373" s="5" t="str">
        <f>MID(F2373,FIND(".",F2373,6)+1,99)</f>
        <v>What</v>
      </c>
      <c r="F2373" s="2" t="s">
        <v>8449</v>
      </c>
      <c r="G2373" s="5" t="s">
        <v>9678</v>
      </c>
      <c r="H2373" s="3" t="s">
        <v>8266</v>
      </c>
      <c r="I2373" s="7"/>
      <c r="J2373" s="8"/>
      <c r="K2373" s="26"/>
      <c r="M2373" s="6" t="str">
        <f>IFERROR(VLOOKUP(H2373,B:J,9,FALSE),"")</f>
        <v>Nicht in XMP Spezifikation, in Beispielen gefunden.</v>
      </c>
      <c r="N2373" s="6"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xml:space="preserve">Suffix not translated </v>
      </c>
      <c r="O2373" s="6" t="s">
        <v>8574</v>
      </c>
    </row>
    <row r="2374" spans="1:17" ht="60" x14ac:dyDescent="0.25">
      <c r="A2374" s="5" t="str">
        <f>IF(TRIM(I2374)="","",E2374)</f>
        <v/>
      </c>
      <c r="B2374" s="5" t="str">
        <f>IF(TRIM(J2374)="","",H2374)</f>
        <v>"White Balance" setting. One of: As Shot, Auto, Daylight, Cloudy, Shade, Tungsten, Fluorescent, Flash, Custom</v>
      </c>
      <c r="C2374" s="5" t="str">
        <f>LEFT(F2374,FIND(".",F2374,6))</f>
        <v>Xmp.crs.</v>
      </c>
      <c r="D2374" s="5" t="str">
        <f>VLOOKUP(C2374,PrefixUebersetzung,2,FALSE)</f>
        <v>Xmp.crs.</v>
      </c>
      <c r="E2374" s="5" t="str">
        <f>MID(F2374,FIND(".",F2374,6)+1,99)</f>
        <v>WhiteBalance</v>
      </c>
      <c r="F2374" s="5" t="s">
        <v>1687</v>
      </c>
      <c r="G2374" s="5" t="s">
        <v>9678</v>
      </c>
      <c r="H2374" s="6" t="s">
        <v>9708</v>
      </c>
      <c r="I2374" s="7"/>
      <c r="J2374" s="14" t="s">
        <v>5347</v>
      </c>
      <c r="K2374" s="26"/>
      <c r="L2374" s="6" t="str">
        <f>IFERROR(VLOOKUP(E2374,A:I,9, FALSE),"")</f>
        <v>Weißabgleich</v>
      </c>
      <c r="M2374" s="6" t="str">
        <f>IFERROR(VLOOKUP(H2374,B:J,9,FALSE),"")</f>
        <v>Weißabgleich-Einstellung. Einer von: Wie aufgenommen, Auto, Tageslicht, Bewölkt, Schatten, Kunstlicht, Fluoreszenz, Blitz, Benutzerdefiniert</v>
      </c>
      <c r="N2374" s="6"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c r="P2374" s="6" t="s">
        <v>8574</v>
      </c>
    </row>
    <row r="2375" spans="1:17" ht="30" x14ac:dyDescent="0.25">
      <c r="A2375" s="5" t="str">
        <f>IF(TRIM(I2375)="","",E2375)</f>
        <v/>
      </c>
      <c r="B2375" s="5" t="str">
        <f>IF(TRIM(J2375)="","",H2375)</f>
        <v/>
      </c>
      <c r="C2375" s="5" t="str">
        <f>LEFT(F2375,FIND(".",F2375,6))</f>
        <v>Xmp.crs.</v>
      </c>
      <c r="D2375" s="5" t="str">
        <f>VLOOKUP(C2375,PrefixUebersetzung,2,FALSE)</f>
        <v>Xmp.crs.</v>
      </c>
      <c r="E2375" s="5" t="str">
        <f>MID(F2375,FIND(".",F2375,6)+1,99)</f>
        <v>Whites2012</v>
      </c>
      <c r="F2375" s="2" t="s">
        <v>8450</v>
      </c>
      <c r="G2375" s="5" t="s">
        <v>9678</v>
      </c>
      <c r="H2375" s="3" t="s">
        <v>8266</v>
      </c>
      <c r="I2375" s="7"/>
      <c r="J2375" s="8"/>
      <c r="K2375" s="26"/>
      <c r="M2375" s="6" t="str">
        <f>IFERROR(VLOOKUP(H2375,B:J,9,FALSE),"")</f>
        <v>Nicht in XMP Spezifikation, in Beispielen gefunden.</v>
      </c>
      <c r="N2375" s="6"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xml:space="preserve">Suffix not translated </v>
      </c>
      <c r="O2375" s="6" t="s">
        <v>8574</v>
      </c>
    </row>
    <row r="2376" spans="1:17" ht="30" x14ac:dyDescent="0.25">
      <c r="A2376" s="5" t="str">
        <f>IF(TRIM(I2376)="","",E2376)</f>
        <v>X</v>
      </c>
      <c r="B2376" s="5" t="str">
        <f>IF(TRIM(J2376)="","",H2376)</f>
        <v/>
      </c>
      <c r="C2376" s="5" t="str">
        <f>LEFT(F2376,FIND(".",F2376,6))</f>
        <v>Xmp.crs.</v>
      </c>
      <c r="D2376" s="5" t="str">
        <f>VLOOKUP(C2376,PrefixUebersetzung,2,FALSE)</f>
        <v>Xmp.crs.</v>
      </c>
      <c r="E2376" s="5" t="str">
        <f>MID(F2376,FIND(".",F2376,6)+1,99)</f>
        <v>X</v>
      </c>
      <c r="F2376" s="2" t="s">
        <v>8451</v>
      </c>
      <c r="G2376" s="5" t="s">
        <v>9678</v>
      </c>
      <c r="H2376" s="3" t="s">
        <v>8266</v>
      </c>
      <c r="I2376" s="7" t="s">
        <v>8574</v>
      </c>
      <c r="J2376" s="8"/>
      <c r="K2376" s="26"/>
      <c r="M2376" s="6" t="str">
        <f>IFERROR(VLOOKUP(H2376,B:J,9,FALSE),"")</f>
        <v>Nicht in XMP Spezifikation, in Beispielen gefunden.</v>
      </c>
      <c r="N2376" s="6"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c r="O2376" s="6" t="s">
        <v>8574</v>
      </c>
    </row>
    <row r="2377" spans="1:17" ht="30" x14ac:dyDescent="0.25">
      <c r="A2377" s="5" t="str">
        <f>IF(TRIM(I2377)="","",E2377)</f>
        <v>Y</v>
      </c>
      <c r="B2377" s="5" t="str">
        <f>IF(TRIM(J2377)="","",H2377)</f>
        <v/>
      </c>
      <c r="C2377" s="5" t="str">
        <f>LEFT(F2377,FIND(".",F2377,6))</f>
        <v>Xmp.crs.</v>
      </c>
      <c r="D2377" s="5" t="str">
        <f>VLOOKUP(C2377,PrefixUebersetzung,2,FALSE)</f>
        <v>Xmp.crs.</v>
      </c>
      <c r="E2377" s="5" t="str">
        <f>MID(F2377,FIND(".",F2377,6)+1,99)</f>
        <v>Y</v>
      </c>
      <c r="F2377" s="2" t="s">
        <v>8452</v>
      </c>
      <c r="G2377" s="5" t="s">
        <v>9678</v>
      </c>
      <c r="H2377" s="3" t="s">
        <v>8266</v>
      </c>
      <c r="I2377" s="7" t="s">
        <v>8575</v>
      </c>
      <c r="J2377" s="8"/>
      <c r="K2377" s="26"/>
      <c r="M2377" s="6" t="str">
        <f>IFERROR(VLOOKUP(H2377,B:J,9,FALSE),"")</f>
        <v>Nicht in XMP Spezifikation, in Beispielen gefunden.</v>
      </c>
      <c r="N2377" s="6"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c r="O2377" s="6" t="s">
        <v>8574</v>
      </c>
    </row>
    <row r="2378" spans="1:17" ht="30" x14ac:dyDescent="0.25">
      <c r="A2378" s="5" t="str">
        <f>IF(TRIM(I2378)="","",E2378)</f>
        <v/>
      </c>
      <c r="B2378" s="5" t="str">
        <f>IF(TRIM(J2378)="","",H2378)</f>
        <v/>
      </c>
      <c r="C2378" s="5" t="str">
        <f>LEFT(F2378,FIND(".",F2378,6))</f>
        <v>Xmp.crs.</v>
      </c>
      <c r="D2378" s="5" t="str">
        <f>VLOOKUP(C2378,PrefixUebersetzung,2,FALSE)</f>
        <v>Xmp.crs.</v>
      </c>
      <c r="E2378" s="5" t="str">
        <f>MID(F2378,FIND(".",F2378,6)+1,99)</f>
        <v>ZeroX</v>
      </c>
      <c r="F2378" s="2" t="s">
        <v>8453</v>
      </c>
      <c r="G2378" s="5" t="s">
        <v>9678</v>
      </c>
      <c r="H2378" s="3" t="s">
        <v>8266</v>
      </c>
      <c r="I2378" s="7"/>
      <c r="J2378" s="8"/>
      <c r="K2378" s="26"/>
      <c r="M2378" s="6" t="str">
        <f>IFERROR(VLOOKUP(H2378,B:J,9,FALSE),"")</f>
        <v>Nicht in XMP Spezifikation, in Beispielen gefunden.</v>
      </c>
      <c r="N2378" s="6"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xml:space="preserve">Suffix not translated </v>
      </c>
      <c r="O2378" s="6" t="s">
        <v>8574</v>
      </c>
    </row>
    <row r="2379" spans="1:17" ht="30" x14ac:dyDescent="0.25">
      <c r="A2379" s="5" t="str">
        <f>IF(TRIM(I2379)="","",E2379)</f>
        <v/>
      </c>
      <c r="B2379" s="5" t="str">
        <f>IF(TRIM(J2379)="","",H2379)</f>
        <v/>
      </c>
      <c r="C2379" s="5" t="str">
        <f>LEFT(F2379,FIND(".",F2379,6))</f>
        <v>Xmp.crs.</v>
      </c>
      <c r="D2379" s="5" t="str">
        <f>VLOOKUP(C2379,PrefixUebersetzung,2,FALSE)</f>
        <v>Xmp.crs.</v>
      </c>
      <c r="E2379" s="5" t="str">
        <f>MID(F2379,FIND(".",F2379,6)+1,99)</f>
        <v>ZeroY</v>
      </c>
      <c r="F2379" s="2" t="s">
        <v>8454</v>
      </c>
      <c r="G2379" s="5" t="s">
        <v>9678</v>
      </c>
      <c r="H2379" s="3" t="s">
        <v>8266</v>
      </c>
      <c r="I2379" s="7"/>
      <c r="J2379" s="8"/>
      <c r="K2379" s="26"/>
      <c r="M2379" s="6" t="str">
        <f>IFERROR(VLOOKUP(H2379,B:J,9,FALSE),"")</f>
        <v>Nicht in XMP Spezifikation, in Beispielen gefunden.</v>
      </c>
      <c r="N2379" s="6"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xml:space="preserve">Suffix not translated </v>
      </c>
      <c r="O2379" s="6" t="s">
        <v>8574</v>
      </c>
    </row>
    <row r="2380" spans="1:17" x14ac:dyDescent="0.25">
      <c r="A2380" s="5" t="str">
        <f>IF(TRIM(I2380)="","",E2380)</f>
        <v/>
      </c>
      <c r="B2380" s="5" t="str">
        <f>IF(TRIM(J2380)="","",H2380)</f>
        <v>Camera Raw Saved Settings Name.</v>
      </c>
      <c r="C2380" s="5" t="str">
        <f>LEFT(F2380,FIND(".",F2380,6))</f>
        <v>Xmp.crss.</v>
      </c>
      <c r="D2380" s="5" t="str">
        <f>VLOOKUP(C2380,PrefixUebersetzung,2,FALSE)</f>
        <v>Xmp.crss.</v>
      </c>
      <c r="E2380" s="5" t="str">
        <f>MID(F2380,FIND(".",F2380,6)+1,99)</f>
        <v>Name</v>
      </c>
      <c r="F2380" s="2" t="s">
        <v>8455</v>
      </c>
      <c r="G2380" s="5" t="s">
        <v>9678</v>
      </c>
      <c r="H2380" s="3" t="s">
        <v>8456</v>
      </c>
      <c r="I2380" s="7"/>
      <c r="J2380" s="13" t="s">
        <v>8836</v>
      </c>
      <c r="K2380" s="26"/>
      <c r="L2380" s="6" t="str">
        <f>IFERROR(VLOOKUP(E2380,A:I,9, FALSE),"")</f>
        <v>Name</v>
      </c>
      <c r="N2380" s="6"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c r="P2380" s="6" t="s">
        <v>8574</v>
      </c>
      <c r="Q2380" s="6" t="s">
        <v>9183</v>
      </c>
    </row>
    <row r="2381" spans="1:17" ht="30" x14ac:dyDescent="0.25">
      <c r="A2381" s="5" t="str">
        <f>IF(TRIM(I2381)="","",E2381)</f>
        <v>Parameters</v>
      </c>
      <c r="B2381" s="5" t="str">
        <f>IF(TRIM(J2381)="","",H2381)</f>
        <v>*Main structure* Camera Raw Saved Settings Parameters.</v>
      </c>
      <c r="C2381" s="5" t="str">
        <f>LEFT(F2381,FIND(".",F2381,6))</f>
        <v>Xmp.crss.</v>
      </c>
      <c r="D2381" s="5" t="str">
        <f>VLOOKUP(C2381,PrefixUebersetzung,2,FALSE)</f>
        <v>Xmp.crss.</v>
      </c>
      <c r="E2381" s="5" t="str">
        <f>MID(F2381,FIND(".",F2381,6)+1,99)</f>
        <v>Parameters</v>
      </c>
      <c r="F2381" s="2" t="s">
        <v>8457</v>
      </c>
      <c r="G2381" s="5" t="s">
        <v>9678</v>
      </c>
      <c r="H2381" s="3" t="s">
        <v>8458</v>
      </c>
      <c r="I2381" s="7" t="s">
        <v>8768</v>
      </c>
      <c r="J2381" s="8" t="s">
        <v>8839</v>
      </c>
      <c r="K2381" s="26"/>
      <c r="N2381" s="6"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c r="O2381" s="6" t="s">
        <v>8574</v>
      </c>
      <c r="P2381" s="6" t="s">
        <v>8574</v>
      </c>
    </row>
    <row r="2382" spans="1:17" ht="30" x14ac:dyDescent="0.25">
      <c r="A2382" s="5" t="str">
        <f>IF(TRIM(I2382)="","",E2382)</f>
        <v>SavedSettings</v>
      </c>
      <c r="B2382" s="5" t="str">
        <f>IF(TRIM(J2382)="","",H2382)</f>
        <v>*Main structure* Camera Raw Saved Settings.</v>
      </c>
      <c r="C2382" s="5" t="str">
        <f>LEFT(F2382,FIND(".",F2382,6))</f>
        <v>Xmp.crss.</v>
      </c>
      <c r="D2382" s="5" t="str">
        <f>VLOOKUP(C2382,PrefixUebersetzung,2,FALSE)</f>
        <v>Xmp.crss.</v>
      </c>
      <c r="E2382" s="5" t="str">
        <f>MID(F2382,FIND(".",F2382,6)+1,99)</f>
        <v>SavedSettings</v>
      </c>
      <c r="F2382" s="2" t="s">
        <v>8459</v>
      </c>
      <c r="G2382" s="5" t="s">
        <v>9678</v>
      </c>
      <c r="H2382" s="3" t="s">
        <v>8460</v>
      </c>
      <c r="I2382" s="7" t="s">
        <v>8770</v>
      </c>
      <c r="J2382" s="14" t="s">
        <v>8906</v>
      </c>
      <c r="K2382" s="26"/>
      <c r="N2382" s="6"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c r="O2382" s="6" t="s">
        <v>8574</v>
      </c>
      <c r="P2382" s="6" t="s">
        <v>8574</v>
      </c>
    </row>
    <row r="2383" spans="1:17" x14ac:dyDescent="0.25">
      <c r="A2383" s="5" t="str">
        <f>IF(TRIM(I2383)="","",E2383)</f>
        <v>Type</v>
      </c>
      <c r="B2383" s="5" t="str">
        <f>IF(TRIM(J2383)="","",H2383)</f>
        <v>Camera Raw Saved Settings Type.</v>
      </c>
      <c r="C2383" s="5" t="str">
        <f>LEFT(F2383,FIND(".",F2383,6))</f>
        <v>Xmp.crss.</v>
      </c>
      <c r="D2383" s="5" t="str">
        <f>VLOOKUP(C2383,PrefixUebersetzung,2,FALSE)</f>
        <v>Xmp.crss.</v>
      </c>
      <c r="E2383" s="5" t="str">
        <f>MID(F2383,FIND(".",F2383,6)+1,99)</f>
        <v>Type</v>
      </c>
      <c r="F2383" s="2" t="s">
        <v>8461</v>
      </c>
      <c r="G2383" s="5" t="s">
        <v>9678</v>
      </c>
      <c r="H2383" s="3" t="s">
        <v>8462</v>
      </c>
      <c r="I2383" s="7" t="s">
        <v>4529</v>
      </c>
      <c r="J2383" s="14" t="s">
        <v>8907</v>
      </c>
      <c r="K2383" s="26"/>
      <c r="L2383" s="6" t="str">
        <f>IFERROR(VLOOKUP(E2383,A:I,9, FALSE),"")</f>
        <v>Typ</v>
      </c>
      <c r="N2383" s="6"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c r="O2383" s="6" t="s">
        <v>8574</v>
      </c>
      <c r="P2383" s="6" t="s">
        <v>8574</v>
      </c>
      <c r="Q2383" s="6" t="s">
        <v>4838</v>
      </c>
    </row>
    <row r="2384" spans="1:17" ht="30" x14ac:dyDescent="0.25">
      <c r="A2384" s="5" t="str">
        <f>IF(TRIM(I2384)="","",E2384)</f>
        <v>contributor</v>
      </c>
      <c r="B2384" s="5" t="str">
        <f>IF(TRIM(J2384)="","",H2384)</f>
        <v>Contributors to the resource (other than the authors).</v>
      </c>
      <c r="C2384" s="5" t="str">
        <f>LEFT(F2384,FIND(".",F2384,6))</f>
        <v>Xmp.dc.</v>
      </c>
      <c r="D2384" s="5" t="str">
        <f>VLOOKUP(C2384,PrefixUebersetzung,2,FALSE)</f>
        <v>Xmp.dc.</v>
      </c>
      <c r="E2384" s="5" t="str">
        <f>MID(F2384,FIND(".",F2384,6)+1,99)</f>
        <v>contributor</v>
      </c>
      <c r="F2384" s="5" t="s">
        <v>1688</v>
      </c>
      <c r="G2384" s="5" t="s">
        <v>9679</v>
      </c>
      <c r="H2384" s="6" t="s">
        <v>3337</v>
      </c>
      <c r="I2384" s="7" t="s">
        <v>4520</v>
      </c>
      <c r="J2384" s="14" t="s">
        <v>5540</v>
      </c>
      <c r="K2384" s="26"/>
      <c r="N2384" s="6"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c r="O2384" s="6" t="s">
        <v>8574</v>
      </c>
      <c r="P2384" s="6" t="s">
        <v>8574</v>
      </c>
      <c r="Q2384" s="6" t="s">
        <v>9221</v>
      </c>
    </row>
    <row r="2385" spans="1:17" ht="60" x14ac:dyDescent="0.25">
      <c r="A2385" s="5" t="str">
        <f>IF(TRIM(I2385)="","",E2385)</f>
        <v>coverage</v>
      </c>
      <c r="B2385" s="5" t="str">
        <f>IF(TRIM(J2385)="","",H2385)</f>
        <v>The spatial or temporal topic of the resource, the spatial applicability of the resource, or the jurisdiction under which the resource is relevant.</v>
      </c>
      <c r="C2385" s="5" t="str">
        <f>LEFT(F2385,FIND(".",F2385,6))</f>
        <v>Xmp.dc.</v>
      </c>
      <c r="D2385" s="5" t="str">
        <f>VLOOKUP(C2385,PrefixUebersetzung,2,FALSE)</f>
        <v>Xmp.dc.</v>
      </c>
      <c r="E2385" s="5" t="str">
        <f>MID(F2385,FIND(".",F2385,6)+1,99)</f>
        <v>coverage</v>
      </c>
      <c r="F2385" s="5" t="s">
        <v>1689</v>
      </c>
      <c r="G2385" s="5" t="s">
        <v>9678</v>
      </c>
      <c r="H2385" s="6" t="s">
        <v>3338</v>
      </c>
      <c r="I2385" s="7" t="s">
        <v>4521</v>
      </c>
      <c r="J2385" s="14" t="s">
        <v>5541</v>
      </c>
      <c r="K2385" s="26"/>
      <c r="N2385" s="6"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c r="O2385" s="6" t="s">
        <v>8574</v>
      </c>
      <c r="P2385" s="6" t="s">
        <v>8574</v>
      </c>
    </row>
    <row r="2386" spans="1:17" ht="30" x14ac:dyDescent="0.25">
      <c r="A2386" s="5" t="str">
        <f>IF(TRIM(I2386)="","",E2386)</f>
        <v>creator</v>
      </c>
      <c r="B2386" s="5" t="str">
        <f>IF(TRIM(J2386)="","",H2386)</f>
        <v>The authors of the resource (listed in order of precedence, if significant).</v>
      </c>
      <c r="C2386" s="5" t="str">
        <f>LEFT(F2386,FIND(".",F2386,6))</f>
        <v>Xmp.dc.</v>
      </c>
      <c r="D2386" s="5" t="str">
        <f>VLOOKUP(C2386,PrefixUebersetzung,2,FALSE)</f>
        <v>Xmp.dc.</v>
      </c>
      <c r="E2386" s="5" t="str">
        <f>MID(F2386,FIND(".",F2386,6)+1,99)</f>
        <v>creator</v>
      </c>
      <c r="F2386" s="5" t="s">
        <v>1690</v>
      </c>
      <c r="G2386" s="5" t="s">
        <v>9680</v>
      </c>
      <c r="H2386" s="6" t="s">
        <v>3339</v>
      </c>
      <c r="I2386" s="7" t="s">
        <v>4522</v>
      </c>
      <c r="J2386" s="14" t="s">
        <v>5542</v>
      </c>
      <c r="K2386" s="26"/>
      <c r="N2386" s="6"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c r="O2386" s="6" t="s">
        <v>8574</v>
      </c>
      <c r="P2386" s="6" t="s">
        <v>8574</v>
      </c>
    </row>
    <row r="2387" spans="1:17" ht="30" x14ac:dyDescent="0.25">
      <c r="A2387" s="5" t="str">
        <f>IF(TRIM(I2387)="","",E2387)</f>
        <v/>
      </c>
      <c r="B2387" s="5" t="str">
        <f>IF(TRIM(J2387)="","",H2387)</f>
        <v>Date(s) that something interesting happened to the resource.</v>
      </c>
      <c r="C2387" s="5" t="str">
        <f>LEFT(F2387,FIND(".",F2387,6))</f>
        <v>Xmp.dc.</v>
      </c>
      <c r="D2387" s="5" t="str">
        <f>VLOOKUP(C2387,PrefixUebersetzung,2,FALSE)</f>
        <v>Xmp.dc.</v>
      </c>
      <c r="E2387" s="5" t="str">
        <f>MID(F2387,FIND(".",F2387,6)+1,99)</f>
        <v>date</v>
      </c>
      <c r="F2387" s="5" t="s">
        <v>1691</v>
      </c>
      <c r="G2387" s="5" t="s">
        <v>9680</v>
      </c>
      <c r="H2387" s="6" t="s">
        <v>3340</v>
      </c>
      <c r="I2387" s="7"/>
      <c r="J2387" s="14" t="s">
        <v>5348</v>
      </c>
      <c r="K2387" s="26"/>
      <c r="L2387" s="6" t="str">
        <f>IFERROR(VLOOKUP(E2387,A:I,9, FALSE),"")</f>
        <v>Datum</v>
      </c>
      <c r="N2387" s="6"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c r="P2387" s="6" t="s">
        <v>8574</v>
      </c>
      <c r="Q2387" s="6" t="s">
        <v>9241</v>
      </c>
    </row>
    <row r="2388" spans="1:17" ht="45" x14ac:dyDescent="0.25">
      <c r="A2388" s="5" t="str">
        <f>IF(TRIM(I2388)="","",E2388)</f>
        <v>description</v>
      </c>
      <c r="B2388" s="5" t="str">
        <f>IF(TRIM(J2388)="","",H2388)</f>
        <v>A textual description of the content of the resource. Multiple values may be present for different languages.</v>
      </c>
      <c r="C2388" s="5" t="str">
        <f>LEFT(F2388,FIND(".",F2388,6))</f>
        <v>Xmp.dc.</v>
      </c>
      <c r="D2388" s="5" t="str">
        <f>VLOOKUP(C2388,PrefixUebersetzung,2,FALSE)</f>
        <v>Xmp.dc.</v>
      </c>
      <c r="E2388" s="5" t="str">
        <f>MID(F2388,FIND(".",F2388,6)+1,99)</f>
        <v>description</v>
      </c>
      <c r="F2388" s="5" t="s">
        <v>1692</v>
      </c>
      <c r="G2388" s="5" t="s">
        <v>9681</v>
      </c>
      <c r="H2388" s="6" t="s">
        <v>3341</v>
      </c>
      <c r="I2388" s="7" t="s">
        <v>3708</v>
      </c>
      <c r="J2388" s="14" t="s">
        <v>5543</v>
      </c>
      <c r="K2388" s="26"/>
      <c r="L2388" s="6" t="str">
        <f>IFERROR(VLOOKUP(E2388,A:I,9, FALSE),"")</f>
        <v>Beschreibung</v>
      </c>
      <c r="N2388" s="6"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c r="O2388" s="6" t="s">
        <v>8574</v>
      </c>
      <c r="P2388" s="6" t="s">
        <v>8574</v>
      </c>
    </row>
    <row r="2389" spans="1:17" ht="75" x14ac:dyDescent="0.25">
      <c r="A2389" s="5" t="str">
        <f>IF(TRIM(I2389)="","",E2389)</f>
        <v/>
      </c>
      <c r="B2389" s="5" t="str">
        <f>IF(TRIM(J2389)="","",H2389)</f>
        <v>The file format used when saving the resource. Tools and applications should set this property to the save format of the data. It may include appropriate qualifiers.</v>
      </c>
      <c r="C2389" s="5" t="str">
        <f>LEFT(F2389,FIND(".",F2389,6))</f>
        <v>Xmp.dc.</v>
      </c>
      <c r="D2389" s="5" t="str">
        <f>VLOOKUP(C2389,PrefixUebersetzung,2,FALSE)</f>
        <v>Xmp.dc.</v>
      </c>
      <c r="E2389" s="5" t="str">
        <f>MID(F2389,FIND(".",F2389,6)+1,99)</f>
        <v>format</v>
      </c>
      <c r="F2389" s="5" t="s">
        <v>1693</v>
      </c>
      <c r="G2389" s="5" t="s">
        <v>9678</v>
      </c>
      <c r="H2389" s="6" t="s">
        <v>3342</v>
      </c>
      <c r="I2389" s="7"/>
      <c r="J2389" s="14" t="s">
        <v>5544</v>
      </c>
      <c r="K2389" s="26"/>
      <c r="L2389" s="6" t="str">
        <f>IFERROR(VLOOKUP(E2389,A:I,9, FALSE),"")</f>
        <v>Format</v>
      </c>
      <c r="N2389" s="6"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c r="P2389" s="6" t="s">
        <v>8574</v>
      </c>
    </row>
    <row r="2390" spans="1:17" ht="60" x14ac:dyDescent="0.25">
      <c r="A2390" s="5" t="str">
        <f>IF(TRIM(I2390)="","",E2390)</f>
        <v>identifier</v>
      </c>
      <c r="B2390" s="5" t="str">
        <f>IF(TRIM(J2390)="","",H2390)</f>
        <v>Unique identifier of the resource. Recommended best practice is to identify the resource by means of a string conforming to a formal identification system.</v>
      </c>
      <c r="C2390" s="5" t="str">
        <f>LEFT(F2390,FIND(".",F2390,6))</f>
        <v>Xmp.dc.</v>
      </c>
      <c r="D2390" s="5" t="str">
        <f>VLOOKUP(C2390,PrefixUebersetzung,2,FALSE)</f>
        <v>Xmp.dc.</v>
      </c>
      <c r="E2390" s="5" t="str">
        <f>MID(F2390,FIND(".",F2390,6)+1,99)</f>
        <v>identifier</v>
      </c>
      <c r="F2390" s="5" t="s">
        <v>1694</v>
      </c>
      <c r="G2390" s="5" t="s">
        <v>9678</v>
      </c>
      <c r="H2390" s="6" t="s">
        <v>3343</v>
      </c>
      <c r="I2390" s="7" t="s">
        <v>4524</v>
      </c>
      <c r="J2390" s="14" t="s">
        <v>5545</v>
      </c>
      <c r="K2390" s="26"/>
      <c r="L2390" s="6" t="str">
        <f>IFERROR(VLOOKUP(E2390,A:I,9, FALSE),"")</f>
        <v>Kennung</v>
      </c>
      <c r="N2390" s="6"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c r="O2390" s="6" t="s">
        <v>8574</v>
      </c>
      <c r="P2390" s="6" t="s">
        <v>8574</v>
      </c>
    </row>
    <row r="2391" spans="1:17" ht="30" x14ac:dyDescent="0.25">
      <c r="A2391" s="5" t="str">
        <f>IF(TRIM(I2391)="","",E2391)</f>
        <v/>
      </c>
      <c r="B2391" s="5" t="str">
        <f>IF(TRIM(J2391)="","",H2391)</f>
        <v>An unordered array specifying the languages used in the resource.</v>
      </c>
      <c r="C2391" s="5" t="str">
        <f>LEFT(F2391,FIND(".",F2391,6))</f>
        <v>Xmp.dc.</v>
      </c>
      <c r="D2391" s="5" t="str">
        <f>VLOOKUP(C2391,PrefixUebersetzung,2,FALSE)</f>
        <v>Xmp.dc.</v>
      </c>
      <c r="E2391" s="5" t="str">
        <f>MID(F2391,FIND(".",F2391,6)+1,99)</f>
        <v>language</v>
      </c>
      <c r="F2391" s="5" t="s">
        <v>1695</v>
      </c>
      <c r="G2391" s="5" t="s">
        <v>9679</v>
      </c>
      <c r="H2391" s="6" t="s">
        <v>3344</v>
      </c>
      <c r="I2391" s="7"/>
      <c r="J2391" s="14" t="s">
        <v>5349</v>
      </c>
      <c r="K2391" s="26"/>
      <c r="L2391" s="6" t="str">
        <f>IFERROR(VLOOKUP(E2391,A:I,9, FALSE),"")</f>
        <v>Sprache</v>
      </c>
      <c r="N2391" s="6"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c>
      <c r="P2391" s="6" t="s">
        <v>8574</v>
      </c>
    </row>
    <row r="2392" spans="1:17" ht="90" x14ac:dyDescent="0.25">
      <c r="A2392" s="5" t="str">
        <f>IF(TRIM(I2392)="","",E2392)</f>
        <v>publisher</v>
      </c>
      <c r="B2392" s="5" t="str">
        <f>IF(TRIM(J2392)="","",H2392)</f>
        <v>An entity responsible for making the resource available. Examples of a Publisher include a person, an organization, or a service. Typically, the name of a Publisher should be used to indicate the entity.</v>
      </c>
      <c r="C2392" s="5" t="str">
        <f>LEFT(F2392,FIND(".",F2392,6))</f>
        <v>Xmp.dc.</v>
      </c>
      <c r="D2392" s="5" t="str">
        <f>VLOOKUP(C2392,PrefixUebersetzung,2,FALSE)</f>
        <v>Xmp.dc.</v>
      </c>
      <c r="E2392" s="5" t="str">
        <f>MID(F2392,FIND(".",F2392,6)+1,99)</f>
        <v>publisher</v>
      </c>
      <c r="F2392" s="5" t="s">
        <v>1696</v>
      </c>
      <c r="G2392" s="5" t="s">
        <v>9679</v>
      </c>
      <c r="H2392" s="6" t="s">
        <v>3345</v>
      </c>
      <c r="I2392" s="7" t="s">
        <v>4525</v>
      </c>
      <c r="J2392" s="14" t="s">
        <v>6679</v>
      </c>
      <c r="K2392" s="26"/>
      <c r="N2392" s="6"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c r="O2392" s="6" t="s">
        <v>8574</v>
      </c>
      <c r="P2392" s="6" t="s">
        <v>8574</v>
      </c>
    </row>
    <row r="2393" spans="1:17" ht="60" x14ac:dyDescent="0.25">
      <c r="A2393" s="5" t="str">
        <f>IF(TRIM(I2393)="","",E2393)</f>
        <v>relation</v>
      </c>
      <c r="B2393" s="5" t="str">
        <f>IF(TRIM(J2393)="","",H2393)</f>
        <v>Relationships to other documents. Recommended best practice is to identify the related resource by means of a string conforming to a formal identification system.</v>
      </c>
      <c r="C2393" s="5" t="str">
        <f>LEFT(F2393,FIND(".",F2393,6))</f>
        <v>Xmp.dc.</v>
      </c>
      <c r="D2393" s="5" t="str">
        <f>VLOOKUP(C2393,PrefixUebersetzung,2,FALSE)</f>
        <v>Xmp.dc.</v>
      </c>
      <c r="E2393" s="5" t="str">
        <f>MID(F2393,FIND(".",F2393,6)+1,99)</f>
        <v>relation</v>
      </c>
      <c r="F2393" s="5" t="s">
        <v>1697</v>
      </c>
      <c r="G2393" s="5" t="s">
        <v>9679</v>
      </c>
      <c r="H2393" s="6" t="s">
        <v>3346</v>
      </c>
      <c r="I2393" s="7" t="s">
        <v>4526</v>
      </c>
      <c r="J2393" s="14" t="s">
        <v>5546</v>
      </c>
      <c r="K2393" s="26"/>
      <c r="N2393" s="6"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c r="O2393" s="6" t="s">
        <v>8574</v>
      </c>
      <c r="P2393" s="6" t="s">
        <v>8574</v>
      </c>
    </row>
    <row r="2394" spans="1:17" ht="75" x14ac:dyDescent="0.25">
      <c r="A2394" s="5" t="str">
        <f>IF(TRIM(I2394)="","",E2394)</f>
        <v>rights</v>
      </c>
      <c r="B2394" s="5" t="str">
        <f>IF(TRIM(J2394)="","",H2394)</f>
        <v>Informal rights statement, selected by language. Typically, rights information includes a statement about various property rights associated with the resource, including intellectual property rights.</v>
      </c>
      <c r="C2394" s="5" t="str">
        <f>LEFT(F2394,FIND(".",F2394,6))</f>
        <v>Xmp.dc.</v>
      </c>
      <c r="D2394" s="5" t="str">
        <f>VLOOKUP(C2394,PrefixUebersetzung,2,FALSE)</f>
        <v>Xmp.dc.</v>
      </c>
      <c r="E2394" s="5" t="str">
        <f>MID(F2394,FIND(".",F2394,6)+1,99)</f>
        <v>rights</v>
      </c>
      <c r="F2394" s="5" t="s">
        <v>1698</v>
      </c>
      <c r="G2394" s="5" t="s">
        <v>9681</v>
      </c>
      <c r="H2394" s="6" t="s">
        <v>3347</v>
      </c>
      <c r="I2394" s="7" t="s">
        <v>4527</v>
      </c>
      <c r="J2394" s="14" t="s">
        <v>5549</v>
      </c>
      <c r="K2394" s="26"/>
      <c r="N2394" s="6"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c r="O2394" s="6" t="s">
        <v>8574</v>
      </c>
      <c r="P2394" s="6" t="s">
        <v>8574</v>
      </c>
    </row>
    <row r="2395" spans="1:17" ht="30" x14ac:dyDescent="0.25">
      <c r="A2395" s="5" t="str">
        <f>IF(TRIM(I2395)="","",E2395)</f>
        <v/>
      </c>
      <c r="B2395" s="5" t="str">
        <f>IF(TRIM(J2395)="","",H2395)</f>
        <v>Unique identifier of the work from which this resource was derived.</v>
      </c>
      <c r="C2395" s="5" t="str">
        <f>LEFT(F2395,FIND(".",F2395,6))</f>
        <v>Xmp.dc.</v>
      </c>
      <c r="D2395" s="5" t="str">
        <f>VLOOKUP(C2395,PrefixUebersetzung,2,FALSE)</f>
        <v>Xmp.dc.</v>
      </c>
      <c r="E2395" s="5" t="str">
        <f>MID(F2395,FIND(".",F2395,6)+1,99)</f>
        <v>source</v>
      </c>
      <c r="F2395" s="5" t="s">
        <v>1699</v>
      </c>
      <c r="G2395" s="5" t="s">
        <v>9678</v>
      </c>
      <c r="H2395" s="6" t="s">
        <v>3348</v>
      </c>
      <c r="I2395" s="7"/>
      <c r="J2395" s="14" t="s">
        <v>4110</v>
      </c>
      <c r="K2395" s="26"/>
      <c r="L2395" s="6" t="str">
        <f>IFERROR(VLOOKUP(E2395,A:I,9, FALSE),"")</f>
        <v>Quelle</v>
      </c>
      <c r="N2395" s="6"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c r="P2395" s="6" t="s">
        <v>8574</v>
      </c>
    </row>
    <row r="2396" spans="1:17" ht="45" x14ac:dyDescent="0.25">
      <c r="A2396" s="5" t="str">
        <f>IF(TRIM(I2396)="","",E2396)</f>
        <v/>
      </c>
      <c r="B2396" s="5" t="str">
        <f>IF(TRIM(J2396)="","",H2396)</f>
        <v>An unordered array of descriptive phrases or keywords that specify the topic of the content of the resource.</v>
      </c>
      <c r="C2396" s="5" t="str">
        <f>LEFT(F2396,FIND(".",F2396,6))</f>
        <v>Xmp.dc.</v>
      </c>
      <c r="D2396" s="5" t="str">
        <f>VLOOKUP(C2396,PrefixUebersetzung,2,FALSE)</f>
        <v>Xmp.dc.</v>
      </c>
      <c r="E2396" s="5" t="str">
        <f>MID(F2396,FIND(".",F2396,6)+1,99)</f>
        <v>subject</v>
      </c>
      <c r="F2396" s="5" t="s">
        <v>1700</v>
      </c>
      <c r="G2396" s="5" t="s">
        <v>9679</v>
      </c>
      <c r="H2396" s="6" t="s">
        <v>3349</v>
      </c>
      <c r="I2396" s="7"/>
      <c r="J2396" s="14" t="s">
        <v>4111</v>
      </c>
      <c r="K2396" s="26"/>
      <c r="L2396" s="6" t="str">
        <f>IFERROR(VLOOKUP(E2396,A:I,9, FALSE),"")</f>
        <v>Betreff</v>
      </c>
      <c r="N2396" s="6"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c r="P2396" s="6" t="s">
        <v>8574</v>
      </c>
    </row>
    <row r="2397" spans="1:17" ht="60" x14ac:dyDescent="0.25">
      <c r="A2397" s="5" t="str">
        <f>IF(TRIM(I2397)="","",E2397)</f>
        <v/>
      </c>
      <c r="B2397" s="5" t="str">
        <f>IF(TRIM(J2397)="","",H2397)</f>
        <v>The title of the document, or the name given to the resource. Typically, it will be a name by which the resource is formally known.</v>
      </c>
      <c r="C2397" s="5" t="str">
        <f>LEFT(F2397,FIND(".",F2397,6))</f>
        <v>Xmp.dc.</v>
      </c>
      <c r="D2397" s="5" t="str">
        <f>VLOOKUP(C2397,PrefixUebersetzung,2,FALSE)</f>
        <v>Xmp.dc.</v>
      </c>
      <c r="E2397" s="5" t="str">
        <f>MID(F2397,FIND(".",F2397,6)+1,99)</f>
        <v>title</v>
      </c>
      <c r="F2397" s="5" t="s">
        <v>1701</v>
      </c>
      <c r="G2397" s="5" t="s">
        <v>9681</v>
      </c>
      <c r="H2397" s="6" t="s">
        <v>3350</v>
      </c>
      <c r="I2397" s="7"/>
      <c r="J2397" s="14" t="s">
        <v>5548</v>
      </c>
      <c r="K2397" s="26"/>
      <c r="L2397" s="6" t="str">
        <f>IFERROR(VLOOKUP(E2397,A:I,9, FALSE),"")</f>
        <v>Titel</v>
      </c>
      <c r="N2397" s="6"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c r="P2397" s="6" t="s">
        <v>8574</v>
      </c>
    </row>
    <row r="2398" spans="1:17" ht="30" x14ac:dyDescent="0.25">
      <c r="A2398" s="5" t="str">
        <f>IF(TRIM(I2398)="","",E2398)</f>
        <v/>
      </c>
      <c r="B2398" s="5" t="str">
        <f>IF(TRIM(J2398)="","",H2398)</f>
        <v>A document type; for example, novel, poem, or working paper.</v>
      </c>
      <c r="C2398" s="5" t="str">
        <f>LEFT(F2398,FIND(".",F2398,6))</f>
        <v>Xmp.dc.</v>
      </c>
      <c r="D2398" s="5" t="str">
        <f>VLOOKUP(C2398,PrefixUebersetzung,2,FALSE)</f>
        <v>Xmp.dc.</v>
      </c>
      <c r="E2398" s="5" t="str">
        <f>MID(F2398,FIND(".",F2398,6)+1,99)</f>
        <v>type</v>
      </c>
      <c r="F2398" s="5" t="s">
        <v>1702</v>
      </c>
      <c r="G2398" s="5" t="s">
        <v>9679</v>
      </c>
      <c r="H2398" s="6" t="s">
        <v>3351</v>
      </c>
      <c r="I2398" s="7"/>
      <c r="J2398" s="14" t="s">
        <v>4112</v>
      </c>
      <c r="K2398" s="26"/>
      <c r="L2398" s="6" t="str">
        <f>IFERROR(VLOOKUP(E2398,A:I,9, FALSE),"")</f>
        <v>Typ</v>
      </c>
      <c r="N2398" s="6"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c r="P2398" s="6" t="s">
        <v>8574</v>
      </c>
      <c r="Q2398" s="6" t="s">
        <v>9095</v>
      </c>
    </row>
    <row r="2399" spans="1:17" ht="45" x14ac:dyDescent="0.25">
      <c r="A2399" s="5" t="str">
        <f>IF(TRIM(I2399)="","",E2399)</f>
        <v>accessRights</v>
      </c>
      <c r="B2399" s="5" t="str">
        <f>IF(TRIM(J2399)="","",H2399)</f>
        <v>Information about who can access the resource or an indication of its security status.</v>
      </c>
      <c r="C2399" s="5" t="str">
        <f>LEFT(F2399,FIND(".",F2399,6))</f>
        <v>Xmp.dcterms.</v>
      </c>
      <c r="D2399" s="5" t="str">
        <f>VLOOKUP(C2399,PrefixUebersetzung,2,FALSE)</f>
        <v>Xmp.dcterms.</v>
      </c>
      <c r="E2399" s="5" t="str">
        <f>MID(F2399,FIND(".",F2399,6)+1,99)</f>
        <v>accessRights</v>
      </c>
      <c r="F2399" s="2" t="s">
        <v>7164</v>
      </c>
      <c r="G2399" s="5" t="s">
        <v>9681</v>
      </c>
      <c r="H2399" s="3" t="s">
        <v>7165</v>
      </c>
      <c r="I2399" s="7" t="s">
        <v>7709</v>
      </c>
      <c r="J2399" s="33" t="s">
        <v>7929</v>
      </c>
      <c r="K2399" s="26"/>
      <c r="N2399" s="6"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c r="O2399" s="6" t="s">
        <v>8574</v>
      </c>
      <c r="P2399" s="6" t="s">
        <v>8574</v>
      </c>
    </row>
    <row r="2400" spans="1:17" ht="30" x14ac:dyDescent="0.25">
      <c r="A2400" s="5" t="str">
        <f>IF(TRIM(I2400)="","",E2400)</f>
        <v>bibliographicCitation</v>
      </c>
      <c r="B2400" s="5" t="str">
        <f>IF(TRIM(J2400)="","",H2400)</f>
        <v>A bibliographic reference for the resource.</v>
      </c>
      <c r="C2400" s="5" t="str">
        <f>LEFT(F2400,FIND(".",F2400,6))</f>
        <v>Xmp.dcterms.</v>
      </c>
      <c r="D2400" s="5" t="str">
        <f>VLOOKUP(C2400,PrefixUebersetzung,2,FALSE)</f>
        <v>Xmp.dcterms.</v>
      </c>
      <c r="E2400" s="5" t="str">
        <f>MID(F2400,FIND(".",F2400,6)+1,99)</f>
        <v>bibliographicCitation</v>
      </c>
      <c r="F2400" s="2" t="s">
        <v>7166</v>
      </c>
      <c r="G2400" s="5" t="s">
        <v>9678</v>
      </c>
      <c r="H2400" s="3" t="s">
        <v>7167</v>
      </c>
      <c r="I2400" s="7" t="s">
        <v>7718</v>
      </c>
      <c r="J2400" s="33" t="s">
        <v>7721</v>
      </c>
      <c r="K2400" s="26"/>
      <c r="N2400" s="6"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c r="O2400" s="6" t="s">
        <v>8574</v>
      </c>
      <c r="P2400" s="6" t="s">
        <v>8574</v>
      </c>
      <c r="Q2400" s="6" t="s">
        <v>9093</v>
      </c>
    </row>
    <row r="2401" spans="1:17" ht="30" x14ac:dyDescent="0.25">
      <c r="A2401" s="5" t="str">
        <f>IF(TRIM(I2401)="","",E2401)</f>
        <v/>
      </c>
      <c r="B2401" s="5" t="str">
        <f>IF(TRIM(J2401)="","",H2401)</f>
        <v>A language of the resource.</v>
      </c>
      <c r="C2401" s="5" t="str">
        <f>LEFT(F2401,FIND(".",F2401,6))</f>
        <v>Xmp.dcterms.</v>
      </c>
      <c r="D2401" s="5" t="str">
        <f>VLOOKUP(C2401,PrefixUebersetzung,2,FALSE)</f>
        <v>Xmp.dcterms.</v>
      </c>
      <c r="E2401" s="5" t="str">
        <f>MID(F2401,FIND(".",F2401,6)+1,99)</f>
        <v>language</v>
      </c>
      <c r="F2401" s="2" t="s">
        <v>7168</v>
      </c>
      <c r="G2401" s="5" t="s">
        <v>9679</v>
      </c>
      <c r="H2401" s="3" t="s">
        <v>7169</v>
      </c>
      <c r="I2401" s="7"/>
      <c r="J2401" s="33" t="s">
        <v>7928</v>
      </c>
      <c r="K2401" s="26"/>
      <c r="L2401" s="6" t="str">
        <f>IFERROR(VLOOKUP(E2401,A:I,9, FALSE),"")</f>
        <v>Sprache</v>
      </c>
      <c r="N2401" s="6"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c r="P2401" s="6" t="s">
        <v>8574</v>
      </c>
      <c r="Q2401" s="6" t="s">
        <v>9093</v>
      </c>
    </row>
    <row r="2402" spans="1:17" ht="30" x14ac:dyDescent="0.25">
      <c r="A2402" s="5" t="str">
        <f>IF(TRIM(I2402)="","",E2402)</f>
        <v>license</v>
      </c>
      <c r="B2402" s="5" t="str">
        <f>IF(TRIM(J2402)="","",H2402)</f>
        <v>A legal document giving official permission to do something with the resource.</v>
      </c>
      <c r="C2402" s="5" t="str">
        <f>LEFT(F2402,FIND(".",F2402,6))</f>
        <v>Xmp.dcterms.</v>
      </c>
      <c r="D2402" s="5" t="str">
        <f>VLOOKUP(C2402,PrefixUebersetzung,2,FALSE)</f>
        <v>Xmp.dcterms.</v>
      </c>
      <c r="E2402" s="5" t="str">
        <f>MID(F2402,FIND(".",F2402,6)+1,99)</f>
        <v>license</v>
      </c>
      <c r="F2402" s="2" t="s">
        <v>7170</v>
      </c>
      <c r="G2402" s="5" t="s">
        <v>9681</v>
      </c>
      <c r="H2402" s="3" t="s">
        <v>7171</v>
      </c>
      <c r="I2402" s="7" t="s">
        <v>7710</v>
      </c>
      <c r="J2402" s="33" t="s">
        <v>7930</v>
      </c>
      <c r="K2402" s="26"/>
      <c r="N2402" s="6"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c r="O2402" s="6" t="s">
        <v>8574</v>
      </c>
      <c r="P2402" s="6" t="s">
        <v>8574</v>
      </c>
    </row>
    <row r="2403" spans="1:17" ht="30" x14ac:dyDescent="0.25">
      <c r="A2403" s="5" t="str">
        <f>IF(TRIM(I2403)="","",E2403)</f>
        <v/>
      </c>
      <c r="B2403" s="5" t="str">
        <f>IF(TRIM(J2403)="","",H2403)</f>
        <v>*Main structure* containing Darwin Core location based information.</v>
      </c>
      <c r="C2403" s="5" t="str">
        <f>LEFT(F2403,FIND(".",F2403,6))</f>
        <v>Xmp.dcterms.</v>
      </c>
      <c r="D2403" s="5" t="str">
        <f>VLOOKUP(C2403,PrefixUebersetzung,2,FALSE)</f>
        <v>Xmp.dcterms.</v>
      </c>
      <c r="E2403" s="5" t="str">
        <f>MID(F2403,FIND(".",F2403,6)+1,99)</f>
        <v>Location</v>
      </c>
      <c r="F2403" s="2" t="s">
        <v>7172</v>
      </c>
      <c r="G2403" s="5" t="s">
        <v>9678</v>
      </c>
      <c r="H2403" s="3" t="s">
        <v>7173</v>
      </c>
      <c r="I2403" s="7"/>
      <c r="J2403" s="33" t="s">
        <v>7931</v>
      </c>
      <c r="K2403" s="26"/>
      <c r="L2403" s="6" t="str">
        <f>IFERROR(VLOOKUP(E2403,A:I,9, FALSE),"")</f>
        <v>Ort</v>
      </c>
      <c r="N2403" s="6"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c r="P2403" s="6" t="s">
        <v>8574</v>
      </c>
    </row>
    <row r="2404" spans="1:17" ht="30" x14ac:dyDescent="0.25">
      <c r="A2404" s="5" t="str">
        <f>IF(TRIM(I2404)="","",E2404)</f>
        <v>modified</v>
      </c>
      <c r="B2404" s="5" t="str">
        <f>IF(TRIM(J2404)="","",H2404)</f>
        <v>Date on which the resource was changed.</v>
      </c>
      <c r="C2404" s="5" t="str">
        <f>LEFT(F2404,FIND(".",F2404,6))</f>
        <v>Xmp.dcterms.</v>
      </c>
      <c r="D2404" s="5" t="str">
        <f>VLOOKUP(C2404,PrefixUebersetzung,2,FALSE)</f>
        <v>Xmp.dcterms.</v>
      </c>
      <c r="E2404" s="5" t="str">
        <f>MID(F2404,FIND(".",F2404,6)+1,99)</f>
        <v>modified</v>
      </c>
      <c r="F2404" s="2" t="s">
        <v>7174</v>
      </c>
      <c r="G2404" s="5" t="s">
        <v>9680</v>
      </c>
      <c r="H2404" s="3" t="s">
        <v>7175</v>
      </c>
      <c r="I2404" s="7" t="s">
        <v>7711</v>
      </c>
      <c r="J2404" s="33" t="s">
        <v>7932</v>
      </c>
      <c r="K2404" s="26"/>
      <c r="N2404" s="6"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c r="O2404" s="6" t="s">
        <v>8574</v>
      </c>
      <c r="P2404" s="6" t="s">
        <v>8574</v>
      </c>
      <c r="Q2404" s="6" t="s">
        <v>9092</v>
      </c>
    </row>
    <row r="2405" spans="1:17" ht="45" x14ac:dyDescent="0.25">
      <c r="A2405" s="5" t="str">
        <f>IF(TRIM(I2405)="","",E2405)</f>
        <v>references</v>
      </c>
      <c r="B2405" s="5" t="str">
        <f>IF(TRIM(J2405)="","",H2405)</f>
        <v>A related resource that is referenced, cited, or otherwise pointed to by the described resource.</v>
      </c>
      <c r="C2405" s="5" t="str">
        <f>LEFT(F2405,FIND(".",F2405,6))</f>
        <v>Xmp.dcterms.</v>
      </c>
      <c r="D2405" s="5" t="str">
        <f>VLOOKUP(C2405,PrefixUebersetzung,2,FALSE)</f>
        <v>Xmp.dcterms.</v>
      </c>
      <c r="E2405" s="5" t="str">
        <f>MID(F2405,FIND(".",F2405,6)+1,99)</f>
        <v>references</v>
      </c>
      <c r="F2405" s="2" t="s">
        <v>7176</v>
      </c>
      <c r="G2405" s="5" t="s">
        <v>9679</v>
      </c>
      <c r="H2405" s="3" t="s">
        <v>7177</v>
      </c>
      <c r="I2405" s="7" t="s">
        <v>7719</v>
      </c>
      <c r="J2405" s="33" t="s">
        <v>7933</v>
      </c>
      <c r="K2405" s="26"/>
      <c r="N2405" s="6"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c r="O2405" s="6" t="s">
        <v>8574</v>
      </c>
      <c r="P2405" s="6" t="s">
        <v>8574</v>
      </c>
    </row>
    <row r="2406" spans="1:17" ht="30" x14ac:dyDescent="0.25">
      <c r="A2406" s="5" t="str">
        <f>IF(TRIM(I2406)="","",E2406)</f>
        <v>rightsHolder</v>
      </c>
      <c r="B2406" s="5" t="str">
        <f>IF(TRIM(J2406)="","",H2406)</f>
        <v>A person or organization owning or managing rights over the resource.</v>
      </c>
      <c r="C2406" s="5" t="str">
        <f>LEFT(F2406,FIND(".",F2406,6))</f>
        <v>Xmp.dcterms.</v>
      </c>
      <c r="D2406" s="5" t="str">
        <f>VLOOKUP(C2406,PrefixUebersetzung,2,FALSE)</f>
        <v>Xmp.dcterms.</v>
      </c>
      <c r="E2406" s="5" t="str">
        <f>MID(F2406,FIND(".",F2406,6)+1,99)</f>
        <v>rightsHolder</v>
      </c>
      <c r="F2406" s="2" t="s">
        <v>7178</v>
      </c>
      <c r="G2406" s="5" t="s">
        <v>9680</v>
      </c>
      <c r="H2406" s="3" t="s">
        <v>7179</v>
      </c>
      <c r="I2406" s="7" t="s">
        <v>7720</v>
      </c>
      <c r="J2406" s="33" t="s">
        <v>7934</v>
      </c>
      <c r="K2406" s="26"/>
      <c r="N2406" s="6"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c r="O2406" s="6" t="s">
        <v>8574</v>
      </c>
      <c r="P2406" s="6" t="s">
        <v>8574</v>
      </c>
    </row>
    <row r="2407" spans="1:17" x14ac:dyDescent="0.25">
      <c r="A2407" s="5" t="str">
        <f>IF(TRIM(I2407)="","",E2407)</f>
        <v/>
      </c>
      <c r="B2407" s="5" t="str">
        <f>IF(TRIM(J2407)="","",H2407)</f>
        <v>The nature or genre of the resource.</v>
      </c>
      <c r="C2407" s="5" t="str">
        <f>LEFT(F2407,FIND(".",F2407,6))</f>
        <v>Xmp.dcterms.</v>
      </c>
      <c r="D2407" s="5" t="str">
        <f>VLOOKUP(C2407,PrefixUebersetzung,2,FALSE)</f>
        <v>Xmp.dcterms.</v>
      </c>
      <c r="E2407" s="5" t="str">
        <f>MID(F2407,FIND(".",F2407,6)+1,99)</f>
        <v>type</v>
      </c>
      <c r="F2407" s="2" t="s">
        <v>7180</v>
      </c>
      <c r="G2407" s="5" t="s">
        <v>9679</v>
      </c>
      <c r="H2407" s="3" t="s">
        <v>7181</v>
      </c>
      <c r="I2407" s="7"/>
      <c r="J2407" s="33" t="s">
        <v>7935</v>
      </c>
      <c r="K2407" s="26"/>
      <c r="L2407" s="6" t="str">
        <f>IFERROR(VLOOKUP(E2407,A:I,9, FALSE),"")</f>
        <v>Typ</v>
      </c>
      <c r="N2407" s="6"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c r="P2407" s="6" t="s">
        <v>8574</v>
      </c>
      <c r="Q2407" s="6" t="s">
        <v>4175</v>
      </c>
    </row>
    <row r="2408" spans="1:17" ht="45" x14ac:dyDescent="0.25">
      <c r="A2408" s="5" t="str">
        <f>IF(TRIM(I2408)="","",E2408)</f>
        <v>CaptionsAuthorNames</v>
      </c>
      <c r="B2408" s="5" t="str">
        <f>IF(TRIM(J2408)="","",H2408)</f>
        <v>The list of all captions author names for each language alternative captions set in standard XMP tags.</v>
      </c>
      <c r="C2408" s="5" t="str">
        <f>LEFT(F2408,FIND(".",F2408,6))</f>
        <v>Xmp.digiKam.</v>
      </c>
      <c r="D2408" s="5" t="str">
        <f>VLOOKUP(C2408,PrefixUebersetzung,2,FALSE)</f>
        <v>Xmp.digiKam.</v>
      </c>
      <c r="E2408" s="5" t="str">
        <f>MID(F2408,FIND(".",F2408,6)+1,99)</f>
        <v>CaptionsAuthorNames</v>
      </c>
      <c r="F2408" s="5" t="s">
        <v>1703</v>
      </c>
      <c r="G2408" s="5" t="s">
        <v>9681</v>
      </c>
      <c r="H2408" s="6" t="s">
        <v>3352</v>
      </c>
      <c r="I2408" s="7" t="s">
        <v>4530</v>
      </c>
      <c r="J2408" s="14" t="s">
        <v>5553</v>
      </c>
      <c r="K2408" s="26"/>
      <c r="N2408" s="6"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c>
      <c r="O2408" s="6" t="s">
        <v>8574</v>
      </c>
      <c r="P2408" s="6" t="s">
        <v>8574</v>
      </c>
    </row>
    <row r="2409" spans="1:17" ht="45" x14ac:dyDescent="0.25">
      <c r="A2409" s="5" t="str">
        <f>IF(TRIM(I2409)="","",E2409)</f>
        <v>CaptionsDateTimeStamps</v>
      </c>
      <c r="B2409" s="5" t="str">
        <f>IF(TRIM(J2409)="","",H2409)</f>
        <v>The list of all captions date time stamps for each language alternative captions set in standard XMP tags.</v>
      </c>
      <c r="C2409" s="5" t="str">
        <f>LEFT(F2409,FIND(".",F2409,6))</f>
        <v>Xmp.digiKam.</v>
      </c>
      <c r="D2409" s="5" t="str">
        <f>VLOOKUP(C2409,PrefixUebersetzung,2,FALSE)</f>
        <v>Xmp.digiKam.</v>
      </c>
      <c r="E2409" s="5" t="str">
        <f>MID(F2409,FIND(".",F2409,6)+1,99)</f>
        <v>CaptionsDateTimeStamps</v>
      </c>
      <c r="F2409" s="5" t="s">
        <v>1704</v>
      </c>
      <c r="G2409" s="5" t="s">
        <v>9681</v>
      </c>
      <c r="H2409" s="6" t="s">
        <v>3353</v>
      </c>
      <c r="I2409" s="7" t="s">
        <v>4531</v>
      </c>
      <c r="J2409" s="14" t="s">
        <v>5554</v>
      </c>
      <c r="K2409" s="26"/>
      <c r="N2409" s="6"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c r="O2409" s="6" t="s">
        <v>8574</v>
      </c>
      <c r="P2409" s="6" t="s">
        <v>8574</v>
      </c>
    </row>
    <row r="2410" spans="1:17" ht="75" x14ac:dyDescent="0.25">
      <c r="A2410" s="5" t="str">
        <f>IF(TRIM(I2410)="","",E2410)</f>
        <v>ColorLabel</v>
      </c>
      <c r="B2410" s="5" t="str">
        <f>IF(TRIM(J2410)="","",H2410)</f>
        <v>The color label assigned to this item. Possible values are "0": no label; "1": Red; "2": Orange; "3": Yellow; "4": Green; "5": Blue; "6": Magenta; "7": Gray; "8": Black; "9": White.</v>
      </c>
      <c r="C2410" s="5" t="str">
        <f>LEFT(F2410,FIND(".",F2410,6))</f>
        <v>Xmp.digiKam.</v>
      </c>
      <c r="D2410" s="5" t="str">
        <f>VLOOKUP(C2410,PrefixUebersetzung,2,FALSE)</f>
        <v>Xmp.digiKam.</v>
      </c>
      <c r="E2410" s="5" t="str">
        <f>MID(F2410,FIND(".",F2410,6)+1,99)</f>
        <v>ColorLabel</v>
      </c>
      <c r="F2410" s="5" t="s">
        <v>1705</v>
      </c>
      <c r="G2410" s="5" t="s">
        <v>9678</v>
      </c>
      <c r="H2410" s="6" t="s">
        <v>3354</v>
      </c>
      <c r="I2410" s="7" t="s">
        <v>4532</v>
      </c>
      <c r="J2410" s="14" t="s">
        <v>5555</v>
      </c>
      <c r="K2410" s="26"/>
      <c r="N2410" s="6"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c r="O2410" s="6" t="s">
        <v>8574</v>
      </c>
      <c r="P2410" s="6" t="s">
        <v>8574</v>
      </c>
    </row>
    <row r="2411" spans="1:17" ht="45" x14ac:dyDescent="0.25">
      <c r="A2411" s="5" t="str">
        <f>IF(TRIM(I2411)="","",E2411)</f>
        <v/>
      </c>
      <c r="B2411" s="5" t="str">
        <f>IF(TRIM(J2411)="","",H2411)</f>
        <v>An XML based content to list all action processed on this image with image editor (as crop, rotate, color corrections, adjustments, etc.).</v>
      </c>
      <c r="C2411" s="5" t="str">
        <f>LEFT(F2411,FIND(".",F2411,6))</f>
        <v>Xmp.digiKam.</v>
      </c>
      <c r="D2411" s="5" t="str">
        <f>VLOOKUP(C2411,PrefixUebersetzung,2,FALSE)</f>
        <v>Xmp.digiKam.</v>
      </c>
      <c r="E2411" s="5" t="str">
        <f>MID(F2411,FIND(".",F2411,6)+1,99)</f>
        <v>ImageHistory</v>
      </c>
      <c r="F2411" s="5" t="s">
        <v>1706</v>
      </c>
      <c r="G2411" s="5" t="s">
        <v>9678</v>
      </c>
      <c r="H2411" s="6" t="s">
        <v>9638</v>
      </c>
      <c r="I2411" s="7"/>
      <c r="J2411" s="14" t="s">
        <v>5350</v>
      </c>
      <c r="K2411" s="26"/>
      <c r="L2411" s="6" t="str">
        <f>IFERROR(VLOOKUP(E2411,A:I,9, FALSE),"")</f>
        <v>Bildänderungshistorie</v>
      </c>
      <c r="N2411" s="6"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c r="P2411" s="6" t="s">
        <v>8574</v>
      </c>
    </row>
    <row r="2412" spans="1:17" ht="75" x14ac:dyDescent="0.25">
      <c r="A2412" s="5" t="str">
        <f>IF(TRIM(I2412)="","",E2412)</f>
        <v>LensCorrectionSettings</v>
      </c>
      <c r="B2412" s="5" t="str">
        <f>IF(TRIM(J2412)="","",H2412)</f>
        <v>The list of Lens Correction tools settings used to fix lens distortion. This include Batch Queue Manager and Image editor tools based on LensFun library.</v>
      </c>
      <c r="C2412" s="5" t="str">
        <f>LEFT(F2412,FIND(".",F2412,6))</f>
        <v>Xmp.digiKam.</v>
      </c>
      <c r="D2412" s="5" t="str">
        <f>VLOOKUP(C2412,PrefixUebersetzung,2,FALSE)</f>
        <v>Xmp.digiKam.</v>
      </c>
      <c r="E2412" s="5" t="str">
        <f>MID(F2412,FIND(".",F2412,6)+1,99)</f>
        <v>LensCorrectionSettings</v>
      </c>
      <c r="F2412" s="5" t="s">
        <v>1707</v>
      </c>
      <c r="G2412" s="5" t="s">
        <v>9678</v>
      </c>
      <c r="H2412" s="6" t="s">
        <v>9639</v>
      </c>
      <c r="I2412" s="7" t="s">
        <v>5131</v>
      </c>
      <c r="J2412" s="14" t="s">
        <v>5556</v>
      </c>
      <c r="K2412" s="26"/>
      <c r="N2412" s="6"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c r="O2412" s="6" t="s">
        <v>8574</v>
      </c>
      <c r="P2412" s="6" t="s">
        <v>8574</v>
      </c>
    </row>
    <row r="2413" spans="1:17" ht="45" x14ac:dyDescent="0.25">
      <c r="A2413" s="5" t="str">
        <f>IF(TRIM(I2413)="","",E2413)</f>
        <v/>
      </c>
      <c r="B2413" s="5" t="str">
        <f>IF(TRIM(J2413)="","",H2413)</f>
        <v/>
      </c>
      <c r="C2413" s="5" t="str">
        <f>LEFT(F2413,FIND(".",F2413,6))</f>
        <v>Xmp.digiKam.</v>
      </c>
      <c r="D2413" s="5" t="str">
        <f>VLOOKUP(C2413,PrefixUebersetzung,2,FALSE)</f>
        <v>Xmp.digiKam.</v>
      </c>
      <c r="E2413" s="5" t="str">
        <f>MID(F2413,FIND(".",F2413,6)+1,99)</f>
        <v>PickLabel</v>
      </c>
      <c r="F2413" s="5" t="s">
        <v>1708</v>
      </c>
      <c r="G2413" s="5" t="s">
        <v>9678</v>
      </c>
      <c r="H2413" s="6" t="s">
        <v>3355</v>
      </c>
      <c r="I2413" s="7"/>
      <c r="K2413" s="26"/>
      <c r="N2413" s="6"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xml:space="preserve">Suffix not translated Description not translated </v>
      </c>
      <c r="O2413" s="6" t="s">
        <v>8574</v>
      </c>
      <c r="P2413" s="6" t="s">
        <v>8574</v>
      </c>
    </row>
    <row r="2414" spans="1:17" ht="45" x14ac:dyDescent="0.25">
      <c r="A2414" s="5" t="str">
        <f>IF(TRIM(I2414)="","",E2414)</f>
        <v/>
      </c>
      <c r="B2414" s="5" t="str">
        <f>IF(TRIM(J2414)="","",H2414)</f>
        <v>Reduced size JPEG preview image encoded as base64 for a fast screen rendering.</v>
      </c>
      <c r="C2414" s="5" t="str">
        <f>LEFT(F2414,FIND(".",F2414,6))</f>
        <v>Xmp.digiKam.</v>
      </c>
      <c r="D2414" s="5" t="str">
        <f>VLOOKUP(C2414,PrefixUebersetzung,2,FALSE)</f>
        <v>Xmp.digiKam.</v>
      </c>
      <c r="E2414" s="5" t="str">
        <f>MID(F2414,FIND(".",F2414,6)+1,99)</f>
        <v>Preview</v>
      </c>
      <c r="F2414" s="11" t="s">
        <v>8725</v>
      </c>
      <c r="G2414" s="5" t="s">
        <v>9678</v>
      </c>
      <c r="H2414" s="11" t="s">
        <v>8726</v>
      </c>
      <c r="I2414" s="7"/>
      <c r="J2414" s="8" t="s">
        <v>8844</v>
      </c>
      <c r="K2414" s="26"/>
      <c r="L2414" s="6" t="str">
        <f>IFERROR(VLOOKUP(E2414,A:I,9, FALSE),"")</f>
        <v>Vorschau</v>
      </c>
      <c r="N2414" s="6"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c r="P2414" s="6" t="s">
        <v>8574</v>
      </c>
    </row>
    <row r="2415" spans="1:17" ht="45" x14ac:dyDescent="0.25">
      <c r="A2415" s="5" t="str">
        <f>IF(TRIM(I2415)="","",E2415)</f>
        <v>TagsList</v>
      </c>
      <c r="B2415" s="5" t="str">
        <f>IF(TRIM(J2415)="","",H2415)</f>
        <v>The list of complete tags path as string. The path hierarchy is separated by '/' character (ex.: "City/Paris/Monument/Eiffel Tower".</v>
      </c>
      <c r="C2415" s="5" t="str">
        <f>LEFT(F2415,FIND(".",F2415,6))</f>
        <v>Xmp.digiKam.</v>
      </c>
      <c r="D2415" s="5" t="str">
        <f>VLOOKUP(C2415,PrefixUebersetzung,2,FALSE)</f>
        <v>Xmp.digiKam.</v>
      </c>
      <c r="E2415" s="5" t="str">
        <f>MID(F2415,FIND(".",F2415,6)+1,99)</f>
        <v>TagsList</v>
      </c>
      <c r="F2415" s="5" t="s">
        <v>1709</v>
      </c>
      <c r="G2415" s="5" t="s">
        <v>9680</v>
      </c>
      <c r="H2415" s="6" t="s">
        <v>3356</v>
      </c>
      <c r="I2415" s="7" t="s">
        <v>4533</v>
      </c>
      <c r="J2415" s="14" t="s">
        <v>5557</v>
      </c>
      <c r="K2415" s="26"/>
      <c r="N2415" s="6"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c r="O2415" s="6" t="s">
        <v>8574</v>
      </c>
      <c r="P2415" s="6" t="s">
        <v>8574</v>
      </c>
    </row>
    <row r="2416" spans="1:17" ht="60" x14ac:dyDescent="0.25">
      <c r="A2416" s="5" t="str">
        <f>IF(TRIM(I2416)="","",E2416)</f>
        <v>acceptedNameUsage</v>
      </c>
      <c r="B2416" s="5" t="str">
        <f>IF(TRIM(J2416)="","",H2416)</f>
        <v>The full name, with authorship and date information if known, of the currently valid (zoological) or accepted (botanical) taxon.</v>
      </c>
      <c r="C2416" s="5" t="str">
        <f>LEFT(F2416,FIND(".",F2416,6))</f>
        <v>Xmp.dwc.</v>
      </c>
      <c r="D2416" s="5" t="str">
        <f>VLOOKUP(C2416,PrefixUebersetzung,2,FALSE)</f>
        <v>Xmp.dwc.</v>
      </c>
      <c r="E2416" s="5" t="str">
        <f>MID(F2416,FIND(".",F2416,6)+1,99)</f>
        <v>acceptedNameUsage</v>
      </c>
      <c r="F2416" s="2" t="s">
        <v>7182</v>
      </c>
      <c r="G2416" s="5" t="s">
        <v>9678</v>
      </c>
      <c r="H2416" s="3" t="s">
        <v>7183</v>
      </c>
      <c r="I2416" s="7" t="s">
        <v>7730</v>
      </c>
      <c r="J2416" s="33" t="s">
        <v>7937</v>
      </c>
      <c r="K2416" s="26"/>
      <c r="N2416" s="6"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c r="O2416" s="6" t="s">
        <v>8574</v>
      </c>
      <c r="P2416" s="6" t="s">
        <v>8574</v>
      </c>
    </row>
    <row r="2417" spans="1:16" ht="60" x14ac:dyDescent="0.25">
      <c r="A2417" s="5" t="str">
        <f>IF(TRIM(I2417)="","",E2417)</f>
        <v>acceptedNameUsageID</v>
      </c>
      <c r="B2417" s="5" t="str">
        <f>IF(TRIM(J2417)="","",H2417)</f>
        <v>An identifier for the name usage (documented meaning of the name according to a source) of the currently valid (zoological) or accepted (botanical) taxon.</v>
      </c>
      <c r="C2417" s="5" t="str">
        <f>LEFT(F2417,FIND(".",F2417,6))</f>
        <v>Xmp.dwc.</v>
      </c>
      <c r="D2417" s="5" t="str">
        <f>VLOOKUP(C2417,PrefixUebersetzung,2,FALSE)</f>
        <v>Xmp.dwc.</v>
      </c>
      <c r="E2417" s="5" t="str">
        <f>MID(F2417,FIND(".",F2417,6)+1,99)</f>
        <v>acceptedNameUsageID</v>
      </c>
      <c r="F2417" s="2" t="s">
        <v>7184</v>
      </c>
      <c r="G2417" s="5" t="s">
        <v>9678</v>
      </c>
      <c r="H2417" s="3" t="s">
        <v>7185</v>
      </c>
      <c r="I2417" s="7" t="s">
        <v>7731</v>
      </c>
      <c r="J2417" s="33" t="s">
        <v>7936</v>
      </c>
      <c r="K2417" s="26"/>
      <c r="N2417" s="6"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c r="O2417" s="6" t="s">
        <v>8574</v>
      </c>
      <c r="P2417" s="6" t="s">
        <v>8574</v>
      </c>
    </row>
    <row r="2418" spans="1:16" ht="45" x14ac:dyDescent="0.25">
      <c r="A2418" s="5" t="str">
        <f>IF(TRIM(I2418)="","",E2418)</f>
        <v>associatedMedia</v>
      </c>
      <c r="B2418" s="5" t="str">
        <f>IF(TRIM(J2418)="","",H2418)</f>
        <v>A list (concatenated and separated) of identifiers (publication, global unique identifier, URI) of media associated with the Occurrence.</v>
      </c>
      <c r="C2418" s="5" t="str">
        <f>LEFT(F2418,FIND(".",F2418,6))</f>
        <v>Xmp.dwc.</v>
      </c>
      <c r="D2418" s="5" t="str">
        <f>VLOOKUP(C2418,PrefixUebersetzung,2,FALSE)</f>
        <v>Xmp.dwc.</v>
      </c>
      <c r="E2418" s="5" t="str">
        <f>MID(F2418,FIND(".",F2418,6)+1,99)</f>
        <v>associatedMedia</v>
      </c>
      <c r="F2418" s="2" t="s">
        <v>7186</v>
      </c>
      <c r="G2418" s="5" t="s">
        <v>9679</v>
      </c>
      <c r="H2418" s="3" t="s">
        <v>7187</v>
      </c>
      <c r="I2418" s="7" t="s">
        <v>7732</v>
      </c>
      <c r="J2418" s="33" t="s">
        <v>7940</v>
      </c>
      <c r="K2418" s="26"/>
      <c r="N2418" s="6"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c r="O2418" s="6" t="s">
        <v>8574</v>
      </c>
      <c r="P2418" s="6" t="s">
        <v>8574</v>
      </c>
    </row>
    <row r="2419" spans="1:16" ht="60" x14ac:dyDescent="0.25">
      <c r="A2419" s="5" t="str">
        <f>IF(TRIM(I2419)="","",E2419)</f>
        <v>associatedOccurrences</v>
      </c>
      <c r="B2419" s="5" t="str">
        <f>IF(TRIM(J2419)="","",H2419)</f>
        <v>Deprecated. A list (concatenated and separated) of identifiers of other Occurrence records and their associations to this Occurrence.</v>
      </c>
      <c r="C2419" s="5" t="str">
        <f>LEFT(F2419,FIND(".",F2419,6))</f>
        <v>Xmp.dwc.</v>
      </c>
      <c r="D2419" s="5" t="str">
        <f>VLOOKUP(C2419,PrefixUebersetzung,2,FALSE)</f>
        <v>Xmp.dwc.</v>
      </c>
      <c r="E2419" s="5" t="str">
        <f>MID(F2419,FIND(".",F2419,6)+1,99)</f>
        <v>associatedOccurrences</v>
      </c>
      <c r="F2419" s="2" t="s">
        <v>7188</v>
      </c>
      <c r="G2419" s="5" t="s">
        <v>9679</v>
      </c>
      <c r="H2419" s="3" t="s">
        <v>9640</v>
      </c>
      <c r="I2419" s="7" t="s">
        <v>7733</v>
      </c>
      <c r="J2419" s="33" t="s">
        <v>9719</v>
      </c>
      <c r="K2419" s="26"/>
      <c r="N2419" s="6"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c r="O2419" s="6" t="s">
        <v>8574</v>
      </c>
      <c r="P2419" s="6" t="s">
        <v>8574</v>
      </c>
    </row>
    <row r="2420" spans="1:16" ht="45" x14ac:dyDescent="0.25">
      <c r="A2420" s="5" t="str">
        <f>IF(TRIM(I2420)="","",E2420)</f>
        <v>associatedOrganisms</v>
      </c>
      <c r="B2420" s="5" t="str">
        <f>IF(TRIM(J2420)="","",H2420)</f>
        <v>A list (concatenated and separated with a vertical bar ' | ' ) of identifiers of other Organisms and their associations to this Organism.</v>
      </c>
      <c r="C2420" s="5" t="str">
        <f>LEFT(F2420,FIND(".",F2420,6))</f>
        <v>Xmp.dwc.</v>
      </c>
      <c r="D2420" s="5" t="str">
        <f>VLOOKUP(C2420,PrefixUebersetzung,2,FALSE)</f>
        <v>Xmp.dwc.</v>
      </c>
      <c r="E2420" s="5" t="str">
        <f>MID(F2420,FIND(".",F2420,6)+1,99)</f>
        <v>associatedOrganisms</v>
      </c>
      <c r="F2420" s="2" t="s">
        <v>7189</v>
      </c>
      <c r="G2420" s="5" t="s">
        <v>9679</v>
      </c>
      <c r="H2420" s="3" t="s">
        <v>7190</v>
      </c>
      <c r="I2420" s="7" t="s">
        <v>7734</v>
      </c>
      <c r="J2420" s="33" t="s">
        <v>7938</v>
      </c>
      <c r="K2420" s="26"/>
      <c r="N2420" s="6"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c r="O2420" s="6" t="s">
        <v>8574</v>
      </c>
      <c r="P2420" s="6" t="s">
        <v>8574</v>
      </c>
    </row>
    <row r="2421" spans="1:16" ht="60" x14ac:dyDescent="0.25">
      <c r="A2421" s="5" t="str">
        <f>IF(TRIM(I2421)="","",E2421)</f>
        <v>associatedReferences</v>
      </c>
      <c r="B2421" s="5" t="str">
        <f>IF(TRIM(J2421)="","",H2421)</f>
        <v>A list (concatenated and separated) of identifiers (publication, bibliographic reference, global unique identifier, URI) of literature associated with the Occurrence.</v>
      </c>
      <c r="C2421" s="5" t="str">
        <f>LEFT(F2421,FIND(".",F2421,6))</f>
        <v>Xmp.dwc.</v>
      </c>
      <c r="D2421" s="5" t="str">
        <f>VLOOKUP(C2421,PrefixUebersetzung,2,FALSE)</f>
        <v>Xmp.dwc.</v>
      </c>
      <c r="E2421" s="5" t="str">
        <f>MID(F2421,FIND(".",F2421,6)+1,99)</f>
        <v>associatedReferences</v>
      </c>
      <c r="F2421" s="2" t="s">
        <v>7191</v>
      </c>
      <c r="G2421" s="5" t="s">
        <v>9679</v>
      </c>
      <c r="H2421" s="3" t="s">
        <v>7192</v>
      </c>
      <c r="I2421" s="7" t="s">
        <v>7735</v>
      </c>
      <c r="J2421" s="33" t="s">
        <v>7939</v>
      </c>
      <c r="K2421" s="26"/>
      <c r="N2421" s="6"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c r="O2421" s="6" t="s">
        <v>8574</v>
      </c>
      <c r="P2421" s="6" t="s">
        <v>8574</v>
      </c>
    </row>
    <row r="2422" spans="1:16" ht="60" x14ac:dyDescent="0.25">
      <c r="A2422" s="5" t="str">
        <f>IF(TRIM(I2422)="","",E2422)</f>
        <v>associatedSequences</v>
      </c>
      <c r="B2422" s="5" t="str">
        <f>IF(TRIM(J2422)="","",H2422)</f>
        <v>A list (concatenated and separated) of identifiers (publication, global unique identifier, URI) of genetic sequence information associated with the Occurrence.</v>
      </c>
      <c r="C2422" s="5" t="str">
        <f>LEFT(F2422,FIND(".",F2422,6))</f>
        <v>Xmp.dwc.</v>
      </c>
      <c r="D2422" s="5" t="str">
        <f>VLOOKUP(C2422,PrefixUebersetzung,2,FALSE)</f>
        <v>Xmp.dwc.</v>
      </c>
      <c r="E2422" s="5" t="str">
        <f>MID(F2422,FIND(".",F2422,6)+1,99)</f>
        <v>associatedSequences</v>
      </c>
      <c r="F2422" s="2" t="s">
        <v>7193</v>
      </c>
      <c r="G2422" s="5" t="s">
        <v>9679</v>
      </c>
      <c r="H2422" s="3" t="s">
        <v>7194</v>
      </c>
      <c r="I2422" s="7" t="s">
        <v>7736</v>
      </c>
      <c r="J2422" s="33" t="s">
        <v>7941</v>
      </c>
      <c r="K2422" s="26"/>
      <c r="N2422" s="6"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c r="O2422" s="6" t="s">
        <v>8574</v>
      </c>
      <c r="P2422" s="6" t="s">
        <v>8574</v>
      </c>
    </row>
    <row r="2423" spans="1:16" ht="45" x14ac:dyDescent="0.25">
      <c r="A2423" s="5" t="str">
        <f>IF(TRIM(I2423)="","",E2423)</f>
        <v>associatedTaxa</v>
      </c>
      <c r="B2423" s="5" t="str">
        <f>IF(TRIM(J2423)="","",H2423)</f>
        <v>A list (concatenated and separated) of identifiers or names of taxa and their associations with the Occurrence.</v>
      </c>
      <c r="C2423" s="5" t="str">
        <f>LEFT(F2423,FIND(".",F2423,6))</f>
        <v>Xmp.dwc.</v>
      </c>
      <c r="D2423" s="5" t="str">
        <f>VLOOKUP(C2423,PrefixUebersetzung,2,FALSE)</f>
        <v>Xmp.dwc.</v>
      </c>
      <c r="E2423" s="5" t="str">
        <f>MID(F2423,FIND(".",F2423,6)+1,99)</f>
        <v>associatedTaxa</v>
      </c>
      <c r="F2423" s="2" t="s">
        <v>7195</v>
      </c>
      <c r="G2423" s="5" t="s">
        <v>9679</v>
      </c>
      <c r="H2423" s="3" t="s">
        <v>7196</v>
      </c>
      <c r="I2423" s="7" t="s">
        <v>7737</v>
      </c>
      <c r="J2423" s="33" t="s">
        <v>7942</v>
      </c>
      <c r="K2423" s="26"/>
      <c r="N2423" s="6"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c r="O2423" s="6" t="s">
        <v>8574</v>
      </c>
      <c r="P2423" s="6" t="s">
        <v>8574</v>
      </c>
    </row>
    <row r="2424" spans="1:16" ht="75" x14ac:dyDescent="0.25">
      <c r="A2424" s="5" t="str">
        <f>IF(TRIM(I2424)="","",E2424)</f>
        <v>basisOfRecord</v>
      </c>
      <c r="B2424" s="5" t="str">
        <f>IF(TRIM(J2424)="","",H2424)</f>
        <v>The specific nature of the data record - a subtype of the type. Recommended best practice is to use a controlled vocabulary such as the Darwin Core Type Vocabulary (http://rs.tdwg.org/dwc/terms/type-vocabulary/index.htm).</v>
      </c>
      <c r="C2424" s="5" t="str">
        <f>LEFT(F2424,FIND(".",F2424,6))</f>
        <v>Xmp.dwc.</v>
      </c>
      <c r="D2424" s="5" t="str">
        <f>VLOOKUP(C2424,PrefixUebersetzung,2,FALSE)</f>
        <v>Xmp.dwc.</v>
      </c>
      <c r="E2424" s="5" t="str">
        <f>MID(F2424,FIND(".",F2424,6)+1,99)</f>
        <v>basisOfRecord</v>
      </c>
      <c r="F2424" s="2" t="s">
        <v>7197</v>
      </c>
      <c r="G2424" s="5" t="s">
        <v>9678</v>
      </c>
      <c r="H2424" s="3" t="s">
        <v>7198</v>
      </c>
      <c r="I2424" s="7" t="s">
        <v>7738</v>
      </c>
      <c r="J2424" s="33" t="s">
        <v>7943</v>
      </c>
      <c r="K2424" s="26"/>
      <c r="N2424" s="6"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c r="O2424" s="6" t="s">
        <v>8574</v>
      </c>
      <c r="P2424" s="6" t="s">
        <v>8574</v>
      </c>
    </row>
    <row r="2425" spans="1:16" ht="45" x14ac:dyDescent="0.25">
      <c r="A2425" s="5" t="str">
        <f>IF(TRIM(I2425)="","",E2425)</f>
        <v>bed</v>
      </c>
      <c r="B2425" s="5" t="str">
        <f>IF(TRIM(J2425)="","",H2425)</f>
        <v>The full name of the lithostratigraphic bed from which the cataloged item was collected.</v>
      </c>
      <c r="C2425" s="5" t="str">
        <f>LEFT(F2425,FIND(".",F2425,6))</f>
        <v>Xmp.dwc.</v>
      </c>
      <c r="D2425" s="5" t="str">
        <f>VLOOKUP(C2425,PrefixUebersetzung,2,FALSE)</f>
        <v>Xmp.dwc.</v>
      </c>
      <c r="E2425" s="5" t="str">
        <f>MID(F2425,FIND(".",F2425,6)+1,99)</f>
        <v>bed</v>
      </c>
      <c r="F2425" s="2" t="s">
        <v>7199</v>
      </c>
      <c r="G2425" s="5" t="s">
        <v>9678</v>
      </c>
      <c r="H2425" s="3" t="s">
        <v>7200</v>
      </c>
      <c r="I2425" s="2" t="s">
        <v>7944</v>
      </c>
      <c r="J2425" s="33" t="s">
        <v>7945</v>
      </c>
      <c r="K2425" s="26"/>
      <c r="N2425" s="6"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c r="O2425" s="6" t="s">
        <v>8574</v>
      </c>
      <c r="P2425" s="6" t="s">
        <v>8574</v>
      </c>
    </row>
    <row r="2426" spans="1:16" ht="60" x14ac:dyDescent="0.25">
      <c r="A2426" s="5" t="str">
        <f>IF(TRIM(I2426)="","",E2426)</f>
        <v>behavior</v>
      </c>
      <c r="B2426" s="5" t="str">
        <f>IF(TRIM(J2426)="","",H2426)</f>
        <v>A description of the behavior shown by the subject at the time the Occurrence was recorded. Recommended best practice is to use a controlled vocabulary.</v>
      </c>
      <c r="C2426" s="5" t="str">
        <f>LEFT(F2426,FIND(".",F2426,6))</f>
        <v>Xmp.dwc.</v>
      </c>
      <c r="D2426" s="5" t="str">
        <f>VLOOKUP(C2426,PrefixUebersetzung,2,FALSE)</f>
        <v>Xmp.dwc.</v>
      </c>
      <c r="E2426" s="5" t="str">
        <f>MID(F2426,FIND(".",F2426,6)+1,99)</f>
        <v>behavior</v>
      </c>
      <c r="F2426" s="2" t="s">
        <v>7201</v>
      </c>
      <c r="G2426" s="5" t="s">
        <v>9678</v>
      </c>
      <c r="H2426" s="3" t="s">
        <v>7202</v>
      </c>
      <c r="I2426" s="2" t="s">
        <v>7739</v>
      </c>
      <c r="J2426" s="33" t="s">
        <v>7946</v>
      </c>
      <c r="K2426" s="26"/>
      <c r="N2426" s="6"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c r="O2426" s="6" t="s">
        <v>8574</v>
      </c>
      <c r="P2426" s="6" t="s">
        <v>8574</v>
      </c>
    </row>
    <row r="2427" spans="1:16" ht="45" x14ac:dyDescent="0.25">
      <c r="A2427" s="5" t="str">
        <f>IF(TRIM(I2427)="","",E2427)</f>
        <v>catalogNumber</v>
      </c>
      <c r="B2427" s="5" t="str">
        <f>IF(TRIM(J2427)="","",H2427)</f>
        <v>An identifier (preferably unique) for the record within the data set or collection.</v>
      </c>
      <c r="C2427" s="5" t="str">
        <f>LEFT(F2427,FIND(".",F2427,6))</f>
        <v>Xmp.dwc.</v>
      </c>
      <c r="D2427" s="5" t="str">
        <f>VLOOKUP(C2427,PrefixUebersetzung,2,FALSE)</f>
        <v>Xmp.dwc.</v>
      </c>
      <c r="E2427" s="5" t="str">
        <f>MID(F2427,FIND(".",F2427,6)+1,99)</f>
        <v>catalogNumber</v>
      </c>
      <c r="F2427" s="2" t="s">
        <v>7203</v>
      </c>
      <c r="G2427" s="5" t="s">
        <v>9678</v>
      </c>
      <c r="H2427" s="3" t="s">
        <v>7204</v>
      </c>
      <c r="I2427" s="7" t="s">
        <v>7740</v>
      </c>
      <c r="J2427" s="33" t="s">
        <v>7947</v>
      </c>
      <c r="K2427" s="26"/>
      <c r="N2427" s="6"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c r="O2427" s="6" t="s">
        <v>8574</v>
      </c>
      <c r="P2427" s="6" t="s">
        <v>8574</v>
      </c>
    </row>
    <row r="2428" spans="1:16" ht="30" x14ac:dyDescent="0.25">
      <c r="A2428" s="5" t="str">
        <f>IF(TRIM(I2428)="","",E2428)</f>
        <v>class</v>
      </c>
      <c r="B2428" s="5" t="str">
        <f>IF(TRIM(J2428)="","",H2428)</f>
        <v>The full scientific name of the class in which the taxon is classified.</v>
      </c>
      <c r="C2428" s="5" t="str">
        <f>LEFT(F2428,FIND(".",F2428,6))</f>
        <v>Xmp.dwc.</v>
      </c>
      <c r="D2428" s="5" t="str">
        <f>VLOOKUP(C2428,PrefixUebersetzung,2,FALSE)</f>
        <v>Xmp.dwc.</v>
      </c>
      <c r="E2428" s="5" t="str">
        <f>MID(F2428,FIND(".",F2428,6)+1,99)</f>
        <v>class</v>
      </c>
      <c r="F2428" s="2" t="s">
        <v>7205</v>
      </c>
      <c r="G2428" s="5" t="s">
        <v>9678</v>
      </c>
      <c r="H2428" s="3" t="s">
        <v>7206</v>
      </c>
      <c r="I2428" s="7" t="s">
        <v>7741</v>
      </c>
      <c r="J2428" s="33" t="s">
        <v>7948</v>
      </c>
      <c r="K2428" s="26"/>
      <c r="N2428" s="6"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c r="O2428" s="6" t="s">
        <v>8574</v>
      </c>
      <c r="P2428" s="6" t="s">
        <v>8574</v>
      </c>
    </row>
    <row r="2429" spans="1:16" ht="45" x14ac:dyDescent="0.25">
      <c r="A2429" s="5" t="str">
        <f>IF(TRIM(I2429)="","",E2429)</f>
        <v/>
      </c>
      <c r="B2429" s="5" t="str">
        <f>IF(TRIM(J2429)="","",H2429)</f>
        <v/>
      </c>
      <c r="C2429" s="5" t="str">
        <f>LEFT(F2429,FIND(".",F2429,6))</f>
        <v>Xmp.dwc.</v>
      </c>
      <c r="D2429" s="5" t="str">
        <f>VLOOKUP(C2429,PrefixUebersetzung,2,FALSE)</f>
        <v>Xmp.dwc.</v>
      </c>
      <c r="E2429" s="5" t="str">
        <f>MID(F2429,FIND(".",F2429,6)+1,99)</f>
        <v>collectionCode</v>
      </c>
      <c r="F2429" s="2" t="s">
        <v>7207</v>
      </c>
      <c r="G2429" s="5" t="s">
        <v>9678</v>
      </c>
      <c r="H2429" s="3" t="s">
        <v>7208</v>
      </c>
      <c r="I2429" s="7"/>
      <c r="K2429" s="26"/>
      <c r="N2429" s="6"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xml:space="preserve">Suffix not translated Description not translated </v>
      </c>
      <c r="O2429" s="6" t="s">
        <v>8574</v>
      </c>
      <c r="P2429" s="6" t="s">
        <v>8574</v>
      </c>
    </row>
    <row r="2430" spans="1:16" ht="75" x14ac:dyDescent="0.25">
      <c r="A2430" s="5" t="str">
        <f>IF(TRIM(I2430)="","",E2430)</f>
        <v/>
      </c>
      <c r="B2430" s="5" t="str">
        <f>IF(TRIM(J2430)="","",H2430)</f>
        <v/>
      </c>
      <c r="C2430" s="5" t="str">
        <f>LEFT(F2430,FIND(".",F2430,6))</f>
        <v>Xmp.dwc.</v>
      </c>
      <c r="D2430" s="5" t="str">
        <f>VLOOKUP(C2430,PrefixUebersetzung,2,FALSE)</f>
        <v>Xmp.dwc.</v>
      </c>
      <c r="E2430" s="5" t="str">
        <f>MID(F2430,FIND(".",F2430,6)+1,99)</f>
        <v>collectionID</v>
      </c>
      <c r="F2430" s="2" t="s">
        <v>7209</v>
      </c>
      <c r="G2430" s="5" t="s">
        <v>9678</v>
      </c>
      <c r="H2430" s="3" t="s">
        <v>7210</v>
      </c>
      <c r="I2430" s="7"/>
      <c r="K2430" s="26"/>
      <c r="N2430" s="6"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xml:space="preserve">Suffix not translated Description not translated </v>
      </c>
      <c r="O2430" s="6" t="s">
        <v>8574</v>
      </c>
      <c r="P2430" s="6" t="s">
        <v>8574</v>
      </c>
    </row>
    <row r="2431" spans="1:16" ht="60" x14ac:dyDescent="0.25">
      <c r="A2431" s="5" t="str">
        <f>IF(TRIM(I2431)="","",E2431)</f>
        <v>continent</v>
      </c>
      <c r="B2431" s="5" t="str">
        <f>IF(TRIM(J2431)="","",H2431)</f>
        <v>The name of the continent in which the Location occurs. Recommended best practice is to use a controlled vocabulary such as the Getty Thesaurus of Geographic Names or the ISO 3166 Continent code.</v>
      </c>
      <c r="C2431" s="5" t="str">
        <f>LEFT(F2431,FIND(".",F2431,6))</f>
        <v>Xmp.dwc.</v>
      </c>
      <c r="D2431" s="5" t="str">
        <f>VLOOKUP(C2431,PrefixUebersetzung,2,FALSE)</f>
        <v>Xmp.dwc.</v>
      </c>
      <c r="E2431" s="5" t="str">
        <f>MID(F2431,FIND(".",F2431,6)+1,99)</f>
        <v>continent</v>
      </c>
      <c r="F2431" s="2" t="s">
        <v>7211</v>
      </c>
      <c r="G2431" s="5" t="s">
        <v>9678</v>
      </c>
      <c r="H2431" s="3" t="s">
        <v>7212</v>
      </c>
      <c r="I2431" s="7" t="s">
        <v>7742</v>
      </c>
      <c r="J2431" s="14" t="s">
        <v>8908</v>
      </c>
      <c r="K2431" s="26"/>
      <c r="N2431" s="6"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c r="O2431" s="6" t="s">
        <v>8574</v>
      </c>
      <c r="P2431" s="6" t="s">
        <v>8574</v>
      </c>
    </row>
    <row r="2432" spans="1:16" ht="45" x14ac:dyDescent="0.25">
      <c r="A2432" s="5" t="str">
        <f>IF(TRIM(I2432)="","",E2432)</f>
        <v>coordinatePrecision</v>
      </c>
      <c r="B2432" s="5" t="str">
        <f>IF(TRIM(J2432)="","",H2432)</f>
        <v>A decimal representation of the precision of the coordinates given in the decimalLatitude and decimalLongitude.</v>
      </c>
      <c r="C2432" s="5" t="str">
        <f>LEFT(F2432,FIND(".",F2432,6))</f>
        <v>Xmp.dwc.</v>
      </c>
      <c r="D2432" s="5" t="str">
        <f>VLOOKUP(C2432,PrefixUebersetzung,2,FALSE)</f>
        <v>Xmp.dwc.</v>
      </c>
      <c r="E2432" s="5" t="str">
        <f>MID(F2432,FIND(".",F2432,6)+1,99)</f>
        <v>coordinatePrecision</v>
      </c>
      <c r="F2432" s="2" t="s">
        <v>7213</v>
      </c>
      <c r="G2432" s="5" t="s">
        <v>9678</v>
      </c>
      <c r="H2432" s="3" t="s">
        <v>7214</v>
      </c>
      <c r="I2432" s="7" t="s">
        <v>7743</v>
      </c>
      <c r="J2432" s="14" t="s">
        <v>8909</v>
      </c>
      <c r="K2432" s="26"/>
      <c r="N2432" s="6"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c r="O2432" s="6" t="s">
        <v>8574</v>
      </c>
      <c r="P2432" s="6" t="s">
        <v>8574</v>
      </c>
    </row>
    <row r="2433" spans="1:16" ht="120" x14ac:dyDescent="0.25">
      <c r="A2433" s="5" t="str">
        <f>IF(TRIM(I2433)="","",E2433)</f>
        <v>coordinateUncertaintyInMeters</v>
      </c>
      <c r="B2433" s="5" t="str">
        <f>IF(TRIM(J2433)="","",H2433)</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2433" s="5" t="str">
        <f>LEFT(F2433,FIND(".",F2433,6))</f>
        <v>Xmp.dwc.</v>
      </c>
      <c r="D2433" s="5" t="str">
        <f>VLOOKUP(C2433,PrefixUebersetzung,2,FALSE)</f>
        <v>Xmp.dwc.</v>
      </c>
      <c r="E2433" s="5" t="str">
        <f>MID(F2433,FIND(".",F2433,6)+1,99)</f>
        <v>coordinateUncertaintyInMeters</v>
      </c>
      <c r="F2433" s="2" t="s">
        <v>7215</v>
      </c>
      <c r="G2433" s="5" t="s">
        <v>9678</v>
      </c>
      <c r="H2433" s="3" t="s">
        <v>7216</v>
      </c>
      <c r="I2433" s="7" t="s">
        <v>7744</v>
      </c>
      <c r="J2433" s="14" t="s">
        <v>8910</v>
      </c>
      <c r="K2433" s="26"/>
      <c r="N2433" s="6"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c r="O2433" s="6" t="s">
        <v>8574</v>
      </c>
      <c r="P2433" s="6" t="s">
        <v>8574</v>
      </c>
    </row>
    <row r="2434" spans="1:16" ht="75" x14ac:dyDescent="0.25">
      <c r="A2434" s="5" t="str">
        <f>IF(TRIM(I2434)="","",E2434)</f>
        <v/>
      </c>
      <c r="B2434" s="5" t="str">
        <f>IF(TRIM(J2434)="","",H2434)</f>
        <v>The name of the country or major administrative unit in which the Location occurs. Recommended best practice is to use a controlled vocabulary such as the Getty Thesaurus of Geographic Names.</v>
      </c>
      <c r="C2434" s="5" t="str">
        <f>LEFT(F2434,FIND(".",F2434,6))</f>
        <v>Xmp.dwc.</v>
      </c>
      <c r="D2434" s="5" t="str">
        <f>VLOOKUP(C2434,PrefixUebersetzung,2,FALSE)</f>
        <v>Xmp.dwc.</v>
      </c>
      <c r="E2434" s="5" t="str">
        <f>MID(F2434,FIND(".",F2434,6)+1,99)</f>
        <v>country</v>
      </c>
      <c r="F2434" s="2" t="s">
        <v>7217</v>
      </c>
      <c r="G2434" s="5" t="s">
        <v>9678</v>
      </c>
      <c r="H2434" s="3" t="s">
        <v>7218</v>
      </c>
      <c r="I2434" s="7"/>
      <c r="J2434" s="14" t="s">
        <v>8911</v>
      </c>
      <c r="K2434" s="26"/>
      <c r="L2434" s="6" t="str">
        <f>IFERROR(VLOOKUP(E2434,A:I,9, FALSE),"")</f>
        <v>Land</v>
      </c>
      <c r="N2434" s="6"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c r="P2434" s="6" t="s">
        <v>8574</v>
      </c>
    </row>
    <row r="2435" spans="1:16" ht="45" x14ac:dyDescent="0.25">
      <c r="A2435" s="5" t="str">
        <f>IF(TRIM(I2435)="","",E2435)</f>
        <v/>
      </c>
      <c r="B2435" s="5" t="str">
        <f>IF(TRIM(J2435)="","",H2435)</f>
        <v>The standard code for the country in which the Location occurs. Recommended best practice is to use ISO 3166-1-alpha-2 country codes.</v>
      </c>
      <c r="C2435" s="5" t="str">
        <f>LEFT(F2435,FIND(".",F2435,6))</f>
        <v>Xmp.dwc.</v>
      </c>
      <c r="D2435" s="5" t="str">
        <f>VLOOKUP(C2435,PrefixUebersetzung,2,FALSE)</f>
        <v>Xmp.dwc.</v>
      </c>
      <c r="E2435" s="5" t="str">
        <f>MID(F2435,FIND(".",F2435,6)+1,99)</f>
        <v>countryCode</v>
      </c>
      <c r="F2435" s="2" t="s">
        <v>7219</v>
      </c>
      <c r="G2435" s="5" t="s">
        <v>9678</v>
      </c>
      <c r="H2435" s="3" t="s">
        <v>7220</v>
      </c>
      <c r="I2435" s="7"/>
      <c r="J2435" s="14" t="s">
        <v>8912</v>
      </c>
      <c r="K2435" s="26"/>
      <c r="L2435" s="6" t="str">
        <f>IFERROR(VLOOKUP(E2435,A:I,9, FALSE),"")</f>
        <v>Länderkennzeichen</v>
      </c>
      <c r="N2435" s="6"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c r="P2435" s="6" t="s">
        <v>8574</v>
      </c>
    </row>
    <row r="2436" spans="1:16" ht="60" x14ac:dyDescent="0.25">
      <c r="A2436" s="5" t="str">
        <f>IF(TRIM(I2436)="","",E2436)</f>
        <v>county</v>
      </c>
      <c r="B2436" s="5" t="str">
        <f>IF(TRIM(J2436)="","",H2436)</f>
        <v>The full, unabbreviated name of the next smaller administrative region than stateProvince (county, shire, department, etc.) in which the Location occurs.</v>
      </c>
      <c r="C2436" s="5" t="str">
        <f>LEFT(F2436,FIND(".",F2436,6))</f>
        <v>Xmp.dwc.</v>
      </c>
      <c r="D2436" s="5" t="str">
        <f>VLOOKUP(C2436,PrefixUebersetzung,2,FALSE)</f>
        <v>Xmp.dwc.</v>
      </c>
      <c r="E2436" s="5" t="str">
        <f>MID(F2436,FIND(".",F2436,6)+1,99)</f>
        <v>county</v>
      </c>
      <c r="F2436" s="2" t="s">
        <v>7221</v>
      </c>
      <c r="G2436" s="5" t="s">
        <v>9678</v>
      </c>
      <c r="H2436" s="3" t="s">
        <v>7222</v>
      </c>
      <c r="I2436" s="7" t="s">
        <v>7745</v>
      </c>
      <c r="J2436" s="14" t="s">
        <v>8913</v>
      </c>
      <c r="K2436" s="26"/>
      <c r="N2436" s="6"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c r="O2436" s="6" t="s">
        <v>8574</v>
      </c>
      <c r="P2436" s="6" t="s">
        <v>8574</v>
      </c>
    </row>
    <row r="2437" spans="1:16" ht="75" x14ac:dyDescent="0.25">
      <c r="A2437" s="5" t="str">
        <f>IF(TRIM(I2437)="","",E2437)</f>
        <v>dataGeneralizations</v>
      </c>
      <c r="B2437" s="5" t="str">
        <f>IF(TRIM(J2437)="","",H2437)</f>
        <v>Actions taken to make the shared data less specific or complete than in its original form. Suggests that alternative data of higher quality may be available on request.</v>
      </c>
      <c r="C2437" s="5" t="str">
        <f>LEFT(F2437,FIND(".",F2437,6))</f>
        <v>Xmp.dwc.</v>
      </c>
      <c r="D2437" s="5" t="str">
        <f>VLOOKUP(C2437,PrefixUebersetzung,2,FALSE)</f>
        <v>Xmp.dwc.</v>
      </c>
      <c r="E2437" s="5" t="str">
        <f>MID(F2437,FIND(".",F2437,6)+1,99)</f>
        <v>dataGeneralizations</v>
      </c>
      <c r="F2437" s="2" t="s">
        <v>7223</v>
      </c>
      <c r="G2437" s="5" t="s">
        <v>9678</v>
      </c>
      <c r="H2437" s="3" t="s">
        <v>7224</v>
      </c>
      <c r="I2437" s="7" t="s">
        <v>7746</v>
      </c>
      <c r="J2437" s="14" t="s">
        <v>8914</v>
      </c>
      <c r="K2437" s="26"/>
      <c r="N2437" s="6"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c r="O2437" s="6" t="s">
        <v>8574</v>
      </c>
      <c r="P2437" s="6" t="s">
        <v>8574</v>
      </c>
    </row>
    <row r="2438" spans="1:16" ht="45" x14ac:dyDescent="0.25">
      <c r="A2438" s="5" t="str">
        <f>IF(TRIM(I2438)="","",E2438)</f>
        <v>datasetID</v>
      </c>
      <c r="B2438" s="5" t="str">
        <f>IF(TRIM(J2438)="","",H2438)</f>
        <v>An identifier for the set of data. May be a global unique identifier or an identifier specific to a collection or institution.</v>
      </c>
      <c r="C2438" s="5" t="str">
        <f>LEFT(F2438,FIND(".",F2438,6))</f>
        <v>Xmp.dwc.</v>
      </c>
      <c r="D2438" s="5" t="str">
        <f>VLOOKUP(C2438,PrefixUebersetzung,2,FALSE)</f>
        <v>Xmp.dwc.</v>
      </c>
      <c r="E2438" s="5" t="str">
        <f>MID(F2438,FIND(".",F2438,6)+1,99)</f>
        <v>datasetID</v>
      </c>
      <c r="F2438" s="2" t="s">
        <v>7225</v>
      </c>
      <c r="G2438" s="5" t="s">
        <v>9678</v>
      </c>
      <c r="H2438" s="3" t="s">
        <v>7226</v>
      </c>
      <c r="I2438" s="7" t="s">
        <v>7747</v>
      </c>
      <c r="J2438" s="14" t="s">
        <v>8915</v>
      </c>
      <c r="K2438" s="26"/>
      <c r="N2438" s="6"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c r="O2438" s="6" t="s">
        <v>8574</v>
      </c>
      <c r="P2438" s="6" t="s">
        <v>8574</v>
      </c>
    </row>
    <row r="2439" spans="1:16" ht="30" x14ac:dyDescent="0.25">
      <c r="A2439" s="5" t="str">
        <f>IF(TRIM(I2439)="","",E2439)</f>
        <v>datasetName</v>
      </c>
      <c r="B2439" s="5" t="str">
        <f>IF(TRIM(J2439)="","",H2439)</f>
        <v>The name identifying the data set from which the record was derived.</v>
      </c>
      <c r="C2439" s="5" t="str">
        <f>LEFT(F2439,FIND(".",F2439,6))</f>
        <v>Xmp.dwc.</v>
      </c>
      <c r="D2439" s="5" t="str">
        <f>VLOOKUP(C2439,PrefixUebersetzung,2,FALSE)</f>
        <v>Xmp.dwc.</v>
      </c>
      <c r="E2439" s="5" t="str">
        <f>MID(F2439,FIND(".",F2439,6)+1,99)</f>
        <v>datasetName</v>
      </c>
      <c r="F2439" s="2" t="s">
        <v>7227</v>
      </c>
      <c r="G2439" s="5" t="s">
        <v>9678</v>
      </c>
      <c r="H2439" s="3" t="s">
        <v>7228</v>
      </c>
      <c r="I2439" s="7" t="s">
        <v>7748</v>
      </c>
      <c r="J2439" s="14" t="s">
        <v>8916</v>
      </c>
      <c r="K2439" s="26"/>
      <c r="N2439" s="6"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c r="O2439" s="6" t="s">
        <v>8574</v>
      </c>
      <c r="P2439" s="6" t="s">
        <v>8574</v>
      </c>
    </row>
    <row r="2440" spans="1:16" ht="60" x14ac:dyDescent="0.25">
      <c r="A2440" s="5" t="str">
        <f>IF(TRIM(I2440)="","",E2440)</f>
        <v>dateIdentified</v>
      </c>
      <c r="B2440" s="5" t="str">
        <f>IF(TRIM(J2440)="","",H2440)</f>
        <v/>
      </c>
      <c r="C2440" s="5" t="str">
        <f>LEFT(F2440,FIND(".",F2440,6))</f>
        <v>Xmp.dwc.</v>
      </c>
      <c r="D2440" s="5" t="str">
        <f>VLOOKUP(C2440,PrefixUebersetzung,2,FALSE)</f>
        <v>Xmp.dwc.</v>
      </c>
      <c r="E2440" s="5" t="str">
        <f>MID(F2440,FIND(".",F2440,6)+1,99)</f>
        <v>dateIdentified</v>
      </c>
      <c r="F2440" s="2" t="s">
        <v>7229</v>
      </c>
      <c r="G2440" s="5" t="s">
        <v>9678</v>
      </c>
      <c r="H2440" s="3" t="s">
        <v>7230</v>
      </c>
      <c r="I2440" s="7" t="s">
        <v>7749</v>
      </c>
      <c r="K2440" s="26"/>
      <c r="N2440" s="6"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xml:space="preserve">Description not translated </v>
      </c>
      <c r="O2440" s="6" t="s">
        <v>8574</v>
      </c>
      <c r="P2440" s="6" t="s">
        <v>8574</v>
      </c>
    </row>
    <row r="2441" spans="1:16" ht="30" x14ac:dyDescent="0.25">
      <c r="A2441" s="5" t="str">
        <f>IF(TRIM(I2441)="","",E2441)</f>
        <v>day</v>
      </c>
      <c r="B2441" s="5" t="str">
        <f>IF(TRIM(J2441)="","",H2441)</f>
        <v>The integer day of the month on which the Event occurred.</v>
      </c>
      <c r="C2441" s="5" t="str">
        <f>LEFT(F2441,FIND(".",F2441,6))</f>
        <v>Xmp.dwc.</v>
      </c>
      <c r="D2441" s="5" t="str">
        <f>VLOOKUP(C2441,PrefixUebersetzung,2,FALSE)</f>
        <v>Xmp.dwc.</v>
      </c>
      <c r="E2441" s="5" t="str">
        <f>MID(F2441,FIND(".",F2441,6)+1,99)</f>
        <v>day</v>
      </c>
      <c r="F2441" s="2" t="s">
        <v>7231</v>
      </c>
      <c r="G2441" s="5" t="s">
        <v>9678</v>
      </c>
      <c r="H2441" s="3" t="s">
        <v>7232</v>
      </c>
      <c r="I2441" s="7" t="s">
        <v>7750</v>
      </c>
      <c r="J2441" s="14" t="s">
        <v>7722</v>
      </c>
      <c r="K2441" s="26"/>
      <c r="N2441" s="6"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c r="O2441" s="6" t="s">
        <v>8574</v>
      </c>
      <c r="P2441" s="6" t="s">
        <v>8574</v>
      </c>
    </row>
    <row r="2442" spans="1:16" ht="60" x14ac:dyDescent="0.25">
      <c r="A2442" s="5" t="str">
        <f>IF(TRIM(I2442)="","",E2442)</f>
        <v/>
      </c>
      <c r="B2442" s="5" t="str">
        <f>IF(TRIM(J2442)="","",H2442)</f>
        <v>Deprecated. Use Xmp.dcterms.Location instead. *Main structure* containing location based information.</v>
      </c>
      <c r="C2442" s="5" t="str">
        <f>LEFT(F2442,FIND(".",F2442,6))</f>
        <v>Xmp.dwc.</v>
      </c>
      <c r="D2442" s="5" t="str">
        <f>VLOOKUP(C2442,PrefixUebersetzung,2,FALSE)</f>
        <v>Xmp.dwc.</v>
      </c>
      <c r="E2442" s="5" t="str">
        <f>MID(F2442,FIND(".",F2442,6)+1,99)</f>
        <v>dctermsLocation</v>
      </c>
      <c r="F2442" s="2" t="s">
        <v>7233</v>
      </c>
      <c r="G2442" s="5" t="s">
        <v>9678</v>
      </c>
      <c r="H2442" s="3" t="s">
        <v>9641</v>
      </c>
      <c r="I2442" s="7"/>
      <c r="J2442" s="14" t="s">
        <v>8917</v>
      </c>
      <c r="K2442" s="26"/>
      <c r="N2442" s="6"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xml:space="preserve">Suffix not translated </v>
      </c>
      <c r="O2442" s="6" t="s">
        <v>8574</v>
      </c>
      <c r="P2442" s="6" t="s">
        <v>8574</v>
      </c>
    </row>
    <row r="2443" spans="1:16" ht="90" x14ac:dyDescent="0.25">
      <c r="A2443" s="5" t="str">
        <f>IF(TRIM(I2443)="","",E2443)</f>
        <v>decimalLatitude</v>
      </c>
      <c r="B2443" s="5" t="str">
        <f>IF(TRIM(J2443)="","",H2443)</f>
        <v>The geographic latitude (in decimal degrees, using the spatial reference system given in geodeticDatum) of the geographic center of a Location. Positive values are north of the Equator, negative values are south of it. Legal values lie between -90 and 90, inclusive.</v>
      </c>
      <c r="C2443" s="5" t="str">
        <f>LEFT(F2443,FIND(".",F2443,6))</f>
        <v>Xmp.dwc.</v>
      </c>
      <c r="D2443" s="5" t="str">
        <f>VLOOKUP(C2443,PrefixUebersetzung,2,FALSE)</f>
        <v>Xmp.dwc.</v>
      </c>
      <c r="E2443" s="5" t="str">
        <f>MID(F2443,FIND(".",F2443,6)+1,99)</f>
        <v>decimalLatitude</v>
      </c>
      <c r="F2443" s="2" t="s">
        <v>7234</v>
      </c>
      <c r="G2443" s="5" t="s">
        <v>9678</v>
      </c>
      <c r="H2443" s="3" t="s">
        <v>7235</v>
      </c>
      <c r="I2443" s="7" t="s">
        <v>7751</v>
      </c>
      <c r="J2443" s="14" t="s">
        <v>8918</v>
      </c>
      <c r="K2443" s="26"/>
      <c r="N2443" s="6"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c r="O2443" s="6" t="s">
        <v>8574</v>
      </c>
      <c r="P2443" s="6" t="s">
        <v>8574</v>
      </c>
    </row>
    <row r="2444" spans="1:16" ht="90" x14ac:dyDescent="0.25">
      <c r="A2444" s="5" t="str">
        <f>IF(TRIM(I2444)="","",E2444)</f>
        <v>decimalLongitude</v>
      </c>
      <c r="B2444" s="5" t="str">
        <f>IF(TRIM(J2444)="","",H2444)</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2444" s="5" t="str">
        <f>LEFT(F2444,FIND(".",F2444,6))</f>
        <v>Xmp.dwc.</v>
      </c>
      <c r="D2444" s="5" t="str">
        <f>VLOOKUP(C2444,PrefixUebersetzung,2,FALSE)</f>
        <v>Xmp.dwc.</v>
      </c>
      <c r="E2444" s="5" t="str">
        <f>MID(F2444,FIND(".",F2444,6)+1,99)</f>
        <v>decimalLongitude</v>
      </c>
      <c r="F2444" s="2" t="s">
        <v>7236</v>
      </c>
      <c r="G2444" s="5" t="s">
        <v>9678</v>
      </c>
      <c r="H2444" s="3" t="s">
        <v>7237</v>
      </c>
      <c r="I2444" s="7" t="s">
        <v>7752</v>
      </c>
      <c r="J2444" s="14" t="s">
        <v>8919</v>
      </c>
      <c r="K2444" s="26"/>
      <c r="N2444" s="6"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c r="O2444" s="6" t="s">
        <v>8574</v>
      </c>
      <c r="P2444" s="6" t="s">
        <v>8574</v>
      </c>
    </row>
    <row r="2445" spans="1:16" ht="60" x14ac:dyDescent="0.25">
      <c r="A2445" s="5" t="str">
        <f>IF(TRIM(I2445)="","",E2445)</f>
        <v/>
      </c>
      <c r="B2445" s="5" t="str">
        <f>IF(TRIM(J2445)="","",H2445)</f>
        <v/>
      </c>
      <c r="C2445" s="5" t="str">
        <f>LEFT(F2445,FIND(".",F2445,6))</f>
        <v>Xmp.dwc.</v>
      </c>
      <c r="D2445" s="5" t="str">
        <f>VLOOKUP(C2445,PrefixUebersetzung,2,FALSE)</f>
        <v>Xmp.dwc.</v>
      </c>
      <c r="E2445" s="5" t="str">
        <f>MID(F2445,FIND(".",F2445,6)+1,99)</f>
        <v>disposition</v>
      </c>
      <c r="F2445" s="2" t="s">
        <v>7238</v>
      </c>
      <c r="G2445" s="5" t="s">
        <v>9678</v>
      </c>
      <c r="H2445" s="3" t="s">
        <v>7239</v>
      </c>
      <c r="I2445" s="7"/>
      <c r="K2445" s="26"/>
      <c r="N2445" s="6"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xml:space="preserve">Suffix not translated Description not translated </v>
      </c>
      <c r="O2445" s="6" t="s">
        <v>8574</v>
      </c>
      <c r="P2445" s="6" t="s">
        <v>8574</v>
      </c>
    </row>
    <row r="2446" spans="1:16" ht="75" x14ac:dyDescent="0.25">
      <c r="A2446" s="5" t="str">
        <f>IF(TRIM(I2446)="","",E2446)</f>
        <v>dynamicProperties</v>
      </c>
      <c r="B2446" s="5" t="str">
        <f>IF(TRIM(J2446)="","",H2446)</f>
        <v>A list (concatenated and separated) of additional measurements, facts, characteristics, or assertions about the record. Meant to provide a mechanism for structured content such as key-value pairs.</v>
      </c>
      <c r="C2446" s="5" t="str">
        <f>LEFT(F2446,FIND(".",F2446,6))</f>
        <v>Xmp.dwc.</v>
      </c>
      <c r="D2446" s="5" t="str">
        <f>VLOOKUP(C2446,PrefixUebersetzung,2,FALSE)</f>
        <v>Xmp.dwc.</v>
      </c>
      <c r="E2446" s="5" t="str">
        <f>MID(F2446,FIND(".",F2446,6)+1,99)</f>
        <v>dynamicProperties</v>
      </c>
      <c r="F2446" s="2" t="s">
        <v>7240</v>
      </c>
      <c r="G2446" s="5" t="s">
        <v>9679</v>
      </c>
      <c r="H2446" s="3" t="s">
        <v>7241</v>
      </c>
      <c r="I2446" s="7" t="s">
        <v>7753</v>
      </c>
      <c r="J2446" s="14" t="s">
        <v>8920</v>
      </c>
      <c r="K2446" s="26"/>
      <c r="N2446" s="6"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c r="O2446" s="6" t="s">
        <v>8574</v>
      </c>
      <c r="P2446" s="6" t="s">
        <v>8574</v>
      </c>
    </row>
    <row r="2447" spans="1:16" ht="60" x14ac:dyDescent="0.25">
      <c r="A2447" s="5" t="str">
        <f>IF(TRIM(I2447)="","",E2447)</f>
        <v>earliestAgeOrLowestStage</v>
      </c>
      <c r="B2447" s="5" t="str">
        <f>IF(TRIM(J2447)="","",H2447)</f>
        <v/>
      </c>
      <c r="C2447" s="5" t="str">
        <f>LEFT(F2447,FIND(".",F2447,6))</f>
        <v>Xmp.dwc.</v>
      </c>
      <c r="D2447" s="5" t="str">
        <f>VLOOKUP(C2447,PrefixUebersetzung,2,FALSE)</f>
        <v>Xmp.dwc.</v>
      </c>
      <c r="E2447" s="5" t="str">
        <f>MID(F2447,FIND(".",F2447,6)+1,99)</f>
        <v>earliestAgeOrLowestStage</v>
      </c>
      <c r="F2447" s="2" t="s">
        <v>7242</v>
      </c>
      <c r="G2447" s="5" t="s">
        <v>9678</v>
      </c>
      <c r="H2447" s="3" t="s">
        <v>7243</v>
      </c>
      <c r="I2447" s="7" t="s">
        <v>7754</v>
      </c>
      <c r="K2447" s="26"/>
      <c r="N2447" s="6"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Description not translated </v>
      </c>
      <c r="O2447" s="6" t="s">
        <v>8574</v>
      </c>
      <c r="P2447" s="6" t="s">
        <v>8574</v>
      </c>
    </row>
    <row r="2448" spans="1:16" ht="105" x14ac:dyDescent="0.25">
      <c r="A2448" s="5" t="str">
        <f>IF(TRIM(I2448)="","",E2448)</f>
        <v>earliestDate</v>
      </c>
      <c r="B2448" s="5" t="str">
        <f>IF(TRIM(J2448)="","",H2448)</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2448" s="5" t="str">
        <f>LEFT(F2448,FIND(".",F2448,6))</f>
        <v>Xmp.dwc.</v>
      </c>
      <c r="D2448" s="5" t="str">
        <f>VLOOKUP(C2448,PrefixUebersetzung,2,FALSE)</f>
        <v>Xmp.dwc.</v>
      </c>
      <c r="E2448" s="5" t="str">
        <f>MID(F2448,FIND(".",F2448,6)+1,99)</f>
        <v>earliestDate</v>
      </c>
      <c r="F2448" s="2" t="s">
        <v>7244</v>
      </c>
      <c r="G2448" s="5" t="s">
        <v>9678</v>
      </c>
      <c r="H2448" s="3" t="s">
        <v>9642</v>
      </c>
      <c r="I2448" s="7" t="s">
        <v>7755</v>
      </c>
      <c r="J2448" s="14" t="s">
        <v>8921</v>
      </c>
      <c r="K2448" s="26"/>
      <c r="N2448" s="6"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c r="O2448" s="6" t="s">
        <v>8574</v>
      </c>
      <c r="P2448" s="6" t="s">
        <v>8574</v>
      </c>
    </row>
    <row r="2449" spans="1:16" ht="75" x14ac:dyDescent="0.25">
      <c r="A2449" s="5" t="str">
        <f>IF(TRIM(I2449)="","",E2449)</f>
        <v/>
      </c>
      <c r="B2449" s="5" t="str">
        <f>IF(TRIM(J2449)="","",H2449)</f>
        <v/>
      </c>
      <c r="C2449" s="5" t="str">
        <f>LEFT(F2449,FIND(".",F2449,6))</f>
        <v>Xmp.dwc.</v>
      </c>
      <c r="D2449" s="5" t="str">
        <f>VLOOKUP(C2449,PrefixUebersetzung,2,FALSE)</f>
        <v>Xmp.dwc.</v>
      </c>
      <c r="E2449" s="5" t="str">
        <f>MID(F2449,FIND(".",F2449,6)+1,99)</f>
        <v>earliestEonOrLowestEonothem</v>
      </c>
      <c r="F2449" s="2" t="s">
        <v>7245</v>
      </c>
      <c r="G2449" s="5" t="s">
        <v>9678</v>
      </c>
      <c r="H2449" s="3" t="s">
        <v>7246</v>
      </c>
      <c r="I2449" s="7"/>
      <c r="K2449" s="26"/>
      <c r="N2449" s="6"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xml:space="preserve">Suffix not translated Description not translated </v>
      </c>
      <c r="O2449" s="6" t="s">
        <v>8574</v>
      </c>
      <c r="P2449" s="6" t="s">
        <v>8574</v>
      </c>
    </row>
    <row r="2450" spans="1:16" ht="60" x14ac:dyDescent="0.25">
      <c r="A2450" s="5" t="str">
        <f>IF(TRIM(I2450)="","",E2450)</f>
        <v/>
      </c>
      <c r="B2450" s="5" t="str">
        <f>IF(TRIM(J2450)="","",H2450)</f>
        <v/>
      </c>
      <c r="C2450" s="5" t="str">
        <f>LEFT(F2450,FIND(".",F2450,6))</f>
        <v>Xmp.dwc.</v>
      </c>
      <c r="D2450" s="5" t="str">
        <f>VLOOKUP(C2450,PrefixUebersetzung,2,FALSE)</f>
        <v>Xmp.dwc.</v>
      </c>
      <c r="E2450" s="5" t="str">
        <f>MID(F2450,FIND(".",F2450,6)+1,99)</f>
        <v>earliestEpochOrLowestSeries</v>
      </c>
      <c r="F2450" s="2" t="s">
        <v>7247</v>
      </c>
      <c r="G2450" s="5" t="s">
        <v>9678</v>
      </c>
      <c r="H2450" s="3" t="s">
        <v>7248</v>
      </c>
      <c r="I2450" s="7"/>
      <c r="K2450" s="26"/>
      <c r="N2450" s="6"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xml:space="preserve">Suffix not translated Description not translated </v>
      </c>
      <c r="O2450" s="6" t="s">
        <v>8574</v>
      </c>
      <c r="P2450" s="6" t="s">
        <v>8574</v>
      </c>
    </row>
    <row r="2451" spans="1:16" ht="60" x14ac:dyDescent="0.25">
      <c r="A2451" s="5" t="str">
        <f>IF(TRIM(I2451)="","",E2451)</f>
        <v/>
      </c>
      <c r="B2451" s="5" t="str">
        <f>IF(TRIM(J2451)="","",H2451)</f>
        <v/>
      </c>
      <c r="C2451" s="5" t="str">
        <f>LEFT(F2451,FIND(".",F2451,6))</f>
        <v>Xmp.dwc.</v>
      </c>
      <c r="D2451" s="5" t="str">
        <f>VLOOKUP(C2451,PrefixUebersetzung,2,FALSE)</f>
        <v>Xmp.dwc.</v>
      </c>
      <c r="E2451" s="5" t="str">
        <f>MID(F2451,FIND(".",F2451,6)+1,99)</f>
        <v>earliestEraOrLowestErathem</v>
      </c>
      <c r="F2451" s="2" t="s">
        <v>7249</v>
      </c>
      <c r="G2451" s="5" t="s">
        <v>9678</v>
      </c>
      <c r="H2451" s="3" t="s">
        <v>7250</v>
      </c>
      <c r="I2451" s="7"/>
      <c r="K2451" s="26"/>
      <c r="N2451" s="6"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Description not translated </v>
      </c>
      <c r="O2451" s="6" t="s">
        <v>8574</v>
      </c>
      <c r="P2451" s="6" t="s">
        <v>8574</v>
      </c>
    </row>
    <row r="2452" spans="1:16" ht="60" x14ac:dyDescent="0.25">
      <c r="A2452" s="5" t="str">
        <f>IF(TRIM(I2452)="","",E2452)</f>
        <v/>
      </c>
      <c r="B2452" s="5" t="str">
        <f>IF(TRIM(J2452)="","",H2452)</f>
        <v/>
      </c>
      <c r="C2452" s="5" t="str">
        <f>LEFT(F2452,FIND(".",F2452,6))</f>
        <v>Xmp.dwc.</v>
      </c>
      <c r="D2452" s="5" t="str">
        <f>VLOOKUP(C2452,PrefixUebersetzung,2,FALSE)</f>
        <v>Xmp.dwc.</v>
      </c>
      <c r="E2452" s="5" t="str">
        <f>MID(F2452,FIND(".",F2452,6)+1,99)</f>
        <v>earliestPeriodOrLowestSystem</v>
      </c>
      <c r="F2452" s="2" t="s">
        <v>7251</v>
      </c>
      <c r="G2452" s="5" t="s">
        <v>9678</v>
      </c>
      <c r="H2452" s="3" t="s">
        <v>7252</v>
      </c>
      <c r="I2452" s="7"/>
      <c r="K2452" s="26"/>
      <c r="N2452" s="6"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xml:space="preserve">Suffix not translated Description not translated </v>
      </c>
      <c r="O2452" s="6" t="s">
        <v>8574</v>
      </c>
      <c r="P2452" s="6" t="s">
        <v>8574</v>
      </c>
    </row>
    <row r="2453" spans="1:16" ht="60" x14ac:dyDescent="0.25">
      <c r="A2453" s="5" t="str">
        <f>IF(TRIM(I2453)="","",E2453)</f>
        <v>endDayOfYear</v>
      </c>
      <c r="B2453" s="5" t="str">
        <f>IF(TRIM(J2453)="","",H2453)</f>
        <v>The latest ordinal day of the year on which the Event occurred (1 for January 1, 365 for December 31, except in a leap year, in which case it is 366).</v>
      </c>
      <c r="C2453" s="5" t="str">
        <f>LEFT(F2453,FIND(".",F2453,6))</f>
        <v>Xmp.dwc.</v>
      </c>
      <c r="D2453" s="5" t="str">
        <f>VLOOKUP(C2453,PrefixUebersetzung,2,FALSE)</f>
        <v>Xmp.dwc.</v>
      </c>
      <c r="E2453" s="5" t="str">
        <f>MID(F2453,FIND(".",F2453,6)+1,99)</f>
        <v>endDayOfYear</v>
      </c>
      <c r="F2453" s="2" t="s">
        <v>7253</v>
      </c>
      <c r="G2453" s="5" t="s">
        <v>9678</v>
      </c>
      <c r="H2453" s="3" t="s">
        <v>7254</v>
      </c>
      <c r="I2453" s="7" t="s">
        <v>8979</v>
      </c>
      <c r="J2453" s="14" t="s">
        <v>9597</v>
      </c>
      <c r="K2453" s="26"/>
      <c r="N2453" s="6"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c>
      <c r="O2453" s="6" t="s">
        <v>8574</v>
      </c>
      <c r="P2453" s="6" t="s">
        <v>8574</v>
      </c>
    </row>
    <row r="2454" spans="1:16" ht="60" x14ac:dyDescent="0.25">
      <c r="A2454" s="5" t="str">
        <f>IF(TRIM(I2454)="","",E2454)</f>
        <v/>
      </c>
      <c r="B2454" s="5" t="str">
        <f>IF(TRIM(J2454)="","",H2454)</f>
        <v/>
      </c>
      <c r="C2454" s="5" t="str">
        <f>LEFT(F2454,FIND(".",F2454,6))</f>
        <v>Xmp.dwc.</v>
      </c>
      <c r="D2454" s="5" t="str">
        <f>VLOOKUP(C2454,PrefixUebersetzung,2,FALSE)</f>
        <v>Xmp.dwc.</v>
      </c>
      <c r="E2454" s="5" t="str">
        <f>MID(F2454,FIND(".",F2454,6)+1,99)</f>
        <v>establishmentMeans</v>
      </c>
      <c r="F2454" s="2" t="s">
        <v>7255</v>
      </c>
      <c r="G2454" s="5" t="s">
        <v>9678</v>
      </c>
      <c r="H2454" s="3" t="s">
        <v>7256</v>
      </c>
      <c r="I2454" s="7"/>
      <c r="K2454" s="26"/>
      <c r="N2454" s="6"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xml:space="preserve">Suffix not translated Description not translated </v>
      </c>
      <c r="O2454" s="6" t="s">
        <v>8574</v>
      </c>
      <c r="P2454" s="6" t="s">
        <v>8574</v>
      </c>
    </row>
    <row r="2455" spans="1:16" x14ac:dyDescent="0.25">
      <c r="A2455" s="5" t="str">
        <f>IF(TRIM(I2455)="","",E2455)</f>
        <v>Event</v>
      </c>
      <c r="B2455" s="5" t="str">
        <f>IF(TRIM(J2455)="","",H2455)</f>
        <v>*Main structure* containing event based information.</v>
      </c>
      <c r="C2455" s="5" t="str">
        <f>LEFT(F2455,FIND(".",F2455,6))</f>
        <v>Xmp.dwc.</v>
      </c>
      <c r="D2455" s="5" t="str">
        <f>VLOOKUP(C2455,PrefixUebersetzung,2,FALSE)</f>
        <v>Xmp.dwc.</v>
      </c>
      <c r="E2455" s="5" t="str">
        <f>MID(F2455,FIND(".",F2455,6)+1,99)</f>
        <v>Event</v>
      </c>
      <c r="F2455" s="2" t="s">
        <v>7257</v>
      </c>
      <c r="G2455" s="5" t="s">
        <v>9678</v>
      </c>
      <c r="H2455" s="3" t="s">
        <v>7258</v>
      </c>
      <c r="I2455" s="7" t="s">
        <v>4539</v>
      </c>
      <c r="J2455" s="14" t="s">
        <v>8977</v>
      </c>
      <c r="K2455" s="26"/>
      <c r="L2455" s="6" t="str">
        <f>IFERROR(VLOOKUP(E2455,A:I,9, FALSE),"")</f>
        <v>Ereignis</v>
      </c>
      <c r="N2455" s="6"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c r="O2455" s="6" t="s">
        <v>8574</v>
      </c>
      <c r="P2455" s="6" t="s">
        <v>8574</v>
      </c>
    </row>
    <row r="2456" spans="1:16" ht="105" x14ac:dyDescent="0.25">
      <c r="A2456" s="5" t="str">
        <f>IF(TRIM(I2456)="","",E2456)</f>
        <v>eventDate</v>
      </c>
      <c r="B2456" s="5" t="str">
        <f>IF(TRIM(J2456)="","",H2456)</f>
        <v>The date-time or interval during which an Event occurred. For occurrences, this is the date-time when the event was recorded. Not suitable for a time in a geological context. Recommended best practice is to use an encoding scheme, such as ISO 8601:2004(E).</v>
      </c>
      <c r="C2456" s="5" t="str">
        <f>LEFT(F2456,FIND(".",F2456,6))</f>
        <v>Xmp.dwc.</v>
      </c>
      <c r="D2456" s="5" t="str">
        <f>VLOOKUP(C2456,PrefixUebersetzung,2,FALSE)</f>
        <v>Xmp.dwc.</v>
      </c>
      <c r="E2456" s="5" t="str">
        <f>MID(F2456,FIND(".",F2456,6)+1,99)</f>
        <v>eventDate</v>
      </c>
      <c r="F2456" s="2" t="s">
        <v>7259</v>
      </c>
      <c r="G2456" s="5" t="s">
        <v>9678</v>
      </c>
      <c r="H2456" s="3" t="s">
        <v>7260</v>
      </c>
      <c r="I2456" s="7" t="s">
        <v>7756</v>
      </c>
      <c r="J2456" s="14" t="s">
        <v>7908</v>
      </c>
      <c r="K2456" s="26"/>
      <c r="N2456" s="6"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c r="O2456" s="6" t="s">
        <v>8574</v>
      </c>
      <c r="P2456" s="6" t="s">
        <v>8574</v>
      </c>
    </row>
    <row r="2457" spans="1:16" ht="75" x14ac:dyDescent="0.25">
      <c r="A2457" s="5" t="str">
        <f>IF(TRIM(I2457)="","",E2457)</f>
        <v>eventID</v>
      </c>
      <c r="B2457" s="5" t="str">
        <f>IF(TRIM(J2457)="","",H2457)</f>
        <v>An identifier for the set of information associated with an Event (something that occurs at a place and time). May be a global unique identifier or an identifier specific to the data set.</v>
      </c>
      <c r="C2457" s="5" t="str">
        <f>LEFT(F2457,FIND(".",F2457,6))</f>
        <v>Xmp.dwc.</v>
      </c>
      <c r="D2457" s="5" t="str">
        <f>VLOOKUP(C2457,PrefixUebersetzung,2,FALSE)</f>
        <v>Xmp.dwc.</v>
      </c>
      <c r="E2457" s="5" t="str">
        <f>MID(F2457,FIND(".",F2457,6)+1,99)</f>
        <v>eventID</v>
      </c>
      <c r="F2457" s="2" t="s">
        <v>7261</v>
      </c>
      <c r="G2457" s="5" t="s">
        <v>9678</v>
      </c>
      <c r="H2457" s="3" t="s">
        <v>7262</v>
      </c>
      <c r="I2457" s="7" t="s">
        <v>7757</v>
      </c>
      <c r="J2457" s="14" t="s">
        <v>8922</v>
      </c>
      <c r="K2457" s="26"/>
      <c r="N2457" s="6"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c r="O2457" s="6" t="s">
        <v>8574</v>
      </c>
      <c r="P2457" s="6" t="s">
        <v>8574</v>
      </c>
    </row>
    <row r="2458" spans="1:16" x14ac:dyDescent="0.25">
      <c r="A2458" s="5" t="str">
        <f>IF(TRIM(I2458)="","",E2458)</f>
        <v>eventRemarks</v>
      </c>
      <c r="B2458" s="5" t="str">
        <f>IF(TRIM(J2458)="","",H2458)</f>
        <v>Comments or notes about the Event.</v>
      </c>
      <c r="C2458" s="5" t="str">
        <f>LEFT(F2458,FIND(".",F2458,6))</f>
        <v>Xmp.dwc.</v>
      </c>
      <c r="D2458" s="5" t="str">
        <f>VLOOKUP(C2458,PrefixUebersetzung,2,FALSE)</f>
        <v>Xmp.dwc.</v>
      </c>
      <c r="E2458" s="5" t="str">
        <f>MID(F2458,FIND(".",F2458,6)+1,99)</f>
        <v>eventRemarks</v>
      </c>
      <c r="F2458" s="2" t="s">
        <v>7263</v>
      </c>
      <c r="G2458" s="5" t="s">
        <v>9678</v>
      </c>
      <c r="H2458" s="3" t="s">
        <v>7264</v>
      </c>
      <c r="I2458" s="7" t="s">
        <v>7758</v>
      </c>
      <c r="J2458" s="14" t="s">
        <v>7723</v>
      </c>
      <c r="K2458" s="26"/>
      <c r="N2458" s="6"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c r="O2458" s="6" t="s">
        <v>8574</v>
      </c>
      <c r="P2458" s="6" t="s">
        <v>8574</v>
      </c>
    </row>
    <row r="2459" spans="1:16" ht="60" x14ac:dyDescent="0.25">
      <c r="A2459" s="5" t="str">
        <f>IF(TRIM(I2459)="","",E2459)</f>
        <v>eventTime</v>
      </c>
      <c r="B2459" s="5" t="str">
        <f>IF(TRIM(J2459)="","",H2459)</f>
        <v>The time or interval during which an Event occurred. Recommended best practice is to use an encoding scheme, such as ISO 8601:2004(E).</v>
      </c>
      <c r="C2459" s="5" t="str">
        <f>LEFT(F2459,FIND(".",F2459,6))</f>
        <v>Xmp.dwc.</v>
      </c>
      <c r="D2459" s="5" t="str">
        <f>VLOOKUP(C2459,PrefixUebersetzung,2,FALSE)</f>
        <v>Xmp.dwc.</v>
      </c>
      <c r="E2459" s="5" t="str">
        <f>MID(F2459,FIND(".",F2459,6)+1,99)</f>
        <v>eventTime</v>
      </c>
      <c r="F2459" s="2" t="s">
        <v>7265</v>
      </c>
      <c r="G2459" s="5" t="s">
        <v>9678</v>
      </c>
      <c r="H2459" s="3" t="s">
        <v>7266</v>
      </c>
      <c r="I2459" s="7" t="s">
        <v>7759</v>
      </c>
      <c r="J2459" s="14" t="s">
        <v>8923</v>
      </c>
      <c r="K2459" s="26"/>
      <c r="N2459" s="6"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c r="O2459" s="6" t="s">
        <v>8574</v>
      </c>
      <c r="P2459" s="6" t="s">
        <v>8574</v>
      </c>
    </row>
    <row r="2460" spans="1:16" ht="30" x14ac:dyDescent="0.25">
      <c r="A2460" s="5" t="str">
        <f>IF(TRIM(I2460)="","",E2460)</f>
        <v>family</v>
      </c>
      <c r="B2460" s="5" t="str">
        <f>IF(TRIM(J2460)="","",H2460)</f>
        <v>The full scientific name of the family in which the taxon is classified.</v>
      </c>
      <c r="C2460" s="5" t="str">
        <f>LEFT(F2460,FIND(".",F2460,6))</f>
        <v>Xmp.dwc.</v>
      </c>
      <c r="D2460" s="5" t="str">
        <f>VLOOKUP(C2460,PrefixUebersetzung,2,FALSE)</f>
        <v>Xmp.dwc.</v>
      </c>
      <c r="E2460" s="5" t="str">
        <f>MID(F2460,FIND(".",F2460,6)+1,99)</f>
        <v>family</v>
      </c>
      <c r="F2460" s="2" t="s">
        <v>7267</v>
      </c>
      <c r="G2460" s="5" t="s">
        <v>9678</v>
      </c>
      <c r="H2460" s="3" t="s">
        <v>7268</v>
      </c>
      <c r="I2460" s="7" t="s">
        <v>7760</v>
      </c>
      <c r="J2460" s="14" t="s">
        <v>8924</v>
      </c>
      <c r="K2460" s="26"/>
      <c r="N2460" s="6"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c r="O2460" s="6" t="s">
        <v>8574</v>
      </c>
      <c r="P2460" s="6" t="s">
        <v>8574</v>
      </c>
    </row>
    <row r="2461" spans="1:16" ht="60" x14ac:dyDescent="0.25">
      <c r="A2461" s="5" t="str">
        <f>IF(TRIM(I2461)="","",E2461)</f>
        <v>fieldNotes</v>
      </c>
      <c r="B2461" s="5" t="str">
        <f>IF(TRIM(J2461)="","",H2461)</f>
        <v>One of (a) an indicator of the existence of, (b) a reference to (publication, URI), or (c) the text of notes taken in the field about the Event.</v>
      </c>
      <c r="C2461" s="5" t="str">
        <f>LEFT(F2461,FIND(".",F2461,6))</f>
        <v>Xmp.dwc.</v>
      </c>
      <c r="D2461" s="5" t="str">
        <f>VLOOKUP(C2461,PrefixUebersetzung,2,FALSE)</f>
        <v>Xmp.dwc.</v>
      </c>
      <c r="E2461" s="5" t="str">
        <f>MID(F2461,FIND(".",F2461,6)+1,99)</f>
        <v>fieldNotes</v>
      </c>
      <c r="F2461" s="2" t="s">
        <v>7269</v>
      </c>
      <c r="G2461" s="5" t="s">
        <v>9678</v>
      </c>
      <c r="H2461" s="3" t="s">
        <v>7270</v>
      </c>
      <c r="I2461" s="7" t="s">
        <v>7761</v>
      </c>
      <c r="J2461" s="14" t="s">
        <v>8925</v>
      </c>
      <c r="K2461" s="26"/>
      <c r="N2461" s="6"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c r="O2461" s="6" t="s">
        <v>8574</v>
      </c>
      <c r="P2461" s="6" t="s">
        <v>8574</v>
      </c>
    </row>
    <row r="2462" spans="1:16" ht="45" x14ac:dyDescent="0.25">
      <c r="A2462" s="5" t="str">
        <f>IF(TRIM(I2462)="","",E2462)</f>
        <v>fieldNumber</v>
      </c>
      <c r="B2462" s="5" t="str">
        <f>IF(TRIM(J2462)="","",H2462)</f>
        <v>An identifier given to the event in the field. Often serves as a link between field notes and the Event.</v>
      </c>
      <c r="C2462" s="5" t="str">
        <f>LEFT(F2462,FIND(".",F2462,6))</f>
        <v>Xmp.dwc.</v>
      </c>
      <c r="D2462" s="5" t="str">
        <f>VLOOKUP(C2462,PrefixUebersetzung,2,FALSE)</f>
        <v>Xmp.dwc.</v>
      </c>
      <c r="E2462" s="5" t="str">
        <f>MID(F2462,FIND(".",F2462,6)+1,99)</f>
        <v>fieldNumber</v>
      </c>
      <c r="F2462" s="2" t="s">
        <v>7271</v>
      </c>
      <c r="G2462" s="5" t="s">
        <v>9678</v>
      </c>
      <c r="H2462" s="3" t="s">
        <v>7272</v>
      </c>
      <c r="I2462" s="7" t="s">
        <v>7762</v>
      </c>
      <c r="J2462" s="14" t="s">
        <v>8926</v>
      </c>
      <c r="K2462" s="26"/>
      <c r="N2462" s="6"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c r="O2462" s="6" t="s">
        <v>8574</v>
      </c>
      <c r="P2462" s="6" t="s">
        <v>8574</v>
      </c>
    </row>
    <row r="2463" spans="1:16" ht="180" x14ac:dyDescent="0.25">
      <c r="A2463" s="5" t="str">
        <f>IF(TRIM(I2463)="","",E2463)</f>
        <v/>
      </c>
      <c r="B2463" s="5" t="str">
        <f>IF(TRIM(J2463)="","",H2463)</f>
        <v/>
      </c>
      <c r="C2463" s="5" t="str">
        <f>LEFT(F2463,FIND(".",F2463,6))</f>
        <v>Xmp.dwc.</v>
      </c>
      <c r="D2463" s="5" t="str">
        <f>VLOOKUP(C2463,PrefixUebersetzung,2,FALSE)</f>
        <v>Xmp.dwc.</v>
      </c>
      <c r="E2463" s="5" t="str">
        <f>MID(F2463,FIND(".",F2463,6)+1,99)</f>
        <v>footprintSpatialFit</v>
      </c>
      <c r="F2463" s="2" t="s">
        <v>7273</v>
      </c>
      <c r="G2463" s="5" t="s">
        <v>9678</v>
      </c>
      <c r="H2463" s="3" t="s">
        <v>7274</v>
      </c>
      <c r="I2463" s="7"/>
      <c r="J2463" s="32"/>
      <c r="K2463" s="26"/>
      <c r="N2463" s="6"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xml:space="preserve">Suffix not translated Description not translated </v>
      </c>
      <c r="O2463" s="6" t="s">
        <v>8574</v>
      </c>
      <c r="P2463" s="6" t="s">
        <v>8574</v>
      </c>
    </row>
    <row r="2464" spans="1:16" ht="90" x14ac:dyDescent="0.25">
      <c r="A2464" s="5" t="str">
        <f>IF(TRIM(I2464)="","",E2464)</f>
        <v/>
      </c>
      <c r="B2464" s="5" t="str">
        <f>IF(TRIM(J2464)="","",H2464)</f>
        <v/>
      </c>
      <c r="C2464" s="5" t="str">
        <f>LEFT(F2464,FIND(".",F2464,6))</f>
        <v>Xmp.dwc.</v>
      </c>
      <c r="D2464" s="5" t="str">
        <f>VLOOKUP(C2464,PrefixUebersetzung,2,FALSE)</f>
        <v>Xmp.dwc.</v>
      </c>
      <c r="E2464" s="5" t="str">
        <f>MID(F2464,FIND(".",F2464,6)+1,99)</f>
        <v>footprintSRS</v>
      </c>
      <c r="F2464" s="2" t="s">
        <v>7275</v>
      </c>
      <c r="G2464" s="5" t="s">
        <v>9678</v>
      </c>
      <c r="H2464" s="3" t="s">
        <v>7276</v>
      </c>
      <c r="I2464" s="7"/>
      <c r="K2464" s="26"/>
      <c r="N2464" s="6"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c r="O2464" s="6" t="s">
        <v>8574</v>
      </c>
      <c r="P2464" s="6" t="s">
        <v>8574</v>
      </c>
    </row>
    <row r="2465" spans="1:16" ht="75" x14ac:dyDescent="0.25">
      <c r="A2465" s="5" t="str">
        <f>IF(TRIM(I2465)="","",E2465)</f>
        <v/>
      </c>
      <c r="B2465" s="5" t="str">
        <f>IF(TRIM(J2465)="","",H2465)</f>
        <v/>
      </c>
      <c r="C2465" s="5" t="str">
        <f>LEFT(F2465,FIND(".",F2465,6))</f>
        <v>Xmp.dwc.</v>
      </c>
      <c r="D2465" s="5" t="str">
        <f>VLOOKUP(C2465,PrefixUebersetzung,2,FALSE)</f>
        <v>Xmp.dwc.</v>
      </c>
      <c r="E2465" s="5" t="str">
        <f>MID(F2465,FIND(".",F2465,6)+1,99)</f>
        <v>footprintWKT</v>
      </c>
      <c r="F2465" s="2" t="s">
        <v>7277</v>
      </c>
      <c r="G2465" s="5" t="s">
        <v>9678</v>
      </c>
      <c r="H2465" s="3" t="s">
        <v>7278</v>
      </c>
      <c r="I2465" s="7"/>
      <c r="K2465" s="26"/>
      <c r="N2465" s="6"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Suffix not translated Description not translated </v>
      </c>
      <c r="O2465" s="6" t="s">
        <v>8574</v>
      </c>
      <c r="P2465" s="6" t="s">
        <v>8574</v>
      </c>
    </row>
    <row r="2466" spans="1:16" ht="45" x14ac:dyDescent="0.25">
      <c r="A2466" s="5" t="str">
        <f>IF(TRIM(I2466)="","",E2466)</f>
        <v>formation</v>
      </c>
      <c r="B2466" s="5" t="str">
        <f>IF(TRIM(J2466)="","",H2466)</f>
        <v>The full name of the lithostratigraphic formation from which the cataloged item was collected.</v>
      </c>
      <c r="C2466" s="5" t="str">
        <f>LEFT(F2466,FIND(".",F2466,6))</f>
        <v>Xmp.dwc.</v>
      </c>
      <c r="D2466" s="5" t="str">
        <f>VLOOKUP(C2466,PrefixUebersetzung,2,FALSE)</f>
        <v>Xmp.dwc.</v>
      </c>
      <c r="E2466" s="5" t="str">
        <f>MID(F2466,FIND(".",F2466,6)+1,99)</f>
        <v>formation</v>
      </c>
      <c r="F2466" s="2" t="s">
        <v>7279</v>
      </c>
      <c r="G2466" s="5" t="s">
        <v>9678</v>
      </c>
      <c r="H2466" s="3" t="s">
        <v>7280</v>
      </c>
      <c r="I2466" s="7" t="s">
        <v>7847</v>
      </c>
      <c r="J2466" s="14" t="s">
        <v>8927</v>
      </c>
      <c r="K2466" s="26"/>
      <c r="N2466" s="6"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c r="O2466" s="6" t="s">
        <v>8574</v>
      </c>
      <c r="P2466" s="6" t="s">
        <v>8574</v>
      </c>
    </row>
    <row r="2467" spans="1:16" ht="30" x14ac:dyDescent="0.25">
      <c r="A2467" s="5" t="str">
        <f>IF(TRIM(I2467)="","",E2467)</f>
        <v/>
      </c>
      <c r="B2467" s="5" t="str">
        <f>IF(TRIM(J2467)="","",H2467)</f>
        <v/>
      </c>
      <c r="C2467" s="5" t="str">
        <f>LEFT(F2467,FIND(".",F2467,6))</f>
        <v>Xmp.dwc.</v>
      </c>
      <c r="D2467" s="5" t="str">
        <f>VLOOKUP(C2467,PrefixUebersetzung,2,FALSE)</f>
        <v>Xmp.dwc.</v>
      </c>
      <c r="E2467" s="5" t="str">
        <f>MID(F2467,FIND(".",F2467,6)+1,99)</f>
        <v>FossilSpecimen</v>
      </c>
      <c r="F2467" s="2" t="s">
        <v>7281</v>
      </c>
      <c r="G2467" s="5" t="s">
        <v>9678</v>
      </c>
      <c r="H2467" s="3" t="s">
        <v>7282</v>
      </c>
      <c r="I2467" s="7"/>
      <c r="K2467" s="26"/>
      <c r="N2467" s="6"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xml:space="preserve">Suffix not translated Description not translated </v>
      </c>
      <c r="O2467" s="6" t="s">
        <v>8574</v>
      </c>
      <c r="P2467" s="6" t="s">
        <v>8574</v>
      </c>
    </row>
    <row r="2468" spans="1:16" ht="30" x14ac:dyDescent="0.25">
      <c r="A2468" s="5" t="str">
        <f>IF(TRIM(I2468)="","",E2468)</f>
        <v>genus</v>
      </c>
      <c r="B2468" s="5" t="str">
        <f>IF(TRIM(J2468)="","",H2468)</f>
        <v>The full scientific name of the genus in which the taxon is classified.</v>
      </c>
      <c r="C2468" s="5" t="str">
        <f>LEFT(F2468,FIND(".",F2468,6))</f>
        <v>Xmp.dwc.</v>
      </c>
      <c r="D2468" s="5" t="str">
        <f>VLOOKUP(C2468,PrefixUebersetzung,2,FALSE)</f>
        <v>Xmp.dwc.</v>
      </c>
      <c r="E2468" s="5" t="str">
        <f>MID(F2468,FIND(".",F2468,6)+1,99)</f>
        <v>genus</v>
      </c>
      <c r="F2468" s="2" t="s">
        <v>7283</v>
      </c>
      <c r="G2468" s="5" t="s">
        <v>9678</v>
      </c>
      <c r="H2468" s="3" t="s">
        <v>7284</v>
      </c>
      <c r="I2468" s="7" t="s">
        <v>7848</v>
      </c>
      <c r="J2468" s="14" t="s">
        <v>8928</v>
      </c>
      <c r="K2468" s="26"/>
      <c r="N2468" s="6"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c r="O2468" s="6" t="s">
        <v>8574</v>
      </c>
      <c r="P2468" s="6" t="s">
        <v>8574</v>
      </c>
    </row>
    <row r="2469" spans="1:16" ht="150" x14ac:dyDescent="0.25">
      <c r="A2469" s="5" t="str">
        <f>IF(TRIM(I2469)="","",E2469)</f>
        <v>geodeticDatum</v>
      </c>
      <c r="B2469" s="5" t="str">
        <f>IF(TRIM(J2469)="","",H2469)</f>
        <v/>
      </c>
      <c r="C2469" s="5" t="str">
        <f>LEFT(F2469,FIND(".",F2469,6))</f>
        <v>Xmp.dwc.</v>
      </c>
      <c r="D2469" s="5" t="str">
        <f>VLOOKUP(C2469,PrefixUebersetzung,2,FALSE)</f>
        <v>Xmp.dwc.</v>
      </c>
      <c r="E2469" s="5" t="str">
        <f>MID(F2469,FIND(".",F2469,6)+1,99)</f>
        <v>geodeticDatum</v>
      </c>
      <c r="F2469" s="2" t="s">
        <v>7285</v>
      </c>
      <c r="G2469" s="5" t="s">
        <v>9678</v>
      </c>
      <c r="H2469" s="3" t="s">
        <v>7286</v>
      </c>
      <c r="I2469" s="7" t="s">
        <v>7849</v>
      </c>
      <c r="K2469" s="26"/>
      <c r="N2469" s="6"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xml:space="preserve">Description not translated </v>
      </c>
      <c r="O2469" s="6" t="s">
        <v>8574</v>
      </c>
      <c r="P2469" s="6" t="s">
        <v>8574</v>
      </c>
    </row>
    <row r="2470" spans="1:16" ht="30" x14ac:dyDescent="0.25">
      <c r="A2470" s="5" t="str">
        <f>IF(TRIM(I2470)="","",E2470)</f>
        <v>GeologicalContext</v>
      </c>
      <c r="B2470" s="5" t="str">
        <f>IF(TRIM(J2470)="","",H2470)</f>
        <v/>
      </c>
      <c r="C2470" s="5" t="str">
        <f>LEFT(F2470,FIND(".",F2470,6))</f>
        <v>Xmp.dwc.</v>
      </c>
      <c r="D2470" s="5" t="str">
        <f>VLOOKUP(C2470,PrefixUebersetzung,2,FALSE)</f>
        <v>Xmp.dwc.</v>
      </c>
      <c r="E2470" s="5" t="str">
        <f>MID(F2470,FIND(".",F2470,6)+1,99)</f>
        <v>GeologicalContext</v>
      </c>
      <c r="F2470" s="2" t="s">
        <v>7287</v>
      </c>
      <c r="G2470" s="5" t="s">
        <v>9678</v>
      </c>
      <c r="H2470" s="3" t="s">
        <v>7288</v>
      </c>
      <c r="I2470" s="7" t="s">
        <v>7850</v>
      </c>
      <c r="K2470" s="26"/>
      <c r="N2470" s="6"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xml:space="preserve">Description not translated </v>
      </c>
      <c r="O2470" s="6" t="s">
        <v>8574</v>
      </c>
      <c r="P2470" s="6" t="s">
        <v>8574</v>
      </c>
    </row>
    <row r="2471" spans="1:16" ht="60" x14ac:dyDescent="0.25">
      <c r="A2471" s="5" t="str">
        <f>IF(TRIM(I2471)="","",E2471)</f>
        <v>geologicalContextID</v>
      </c>
      <c r="B2471" s="5" t="str">
        <f>IF(TRIM(J2471)="","",H2471)</f>
        <v/>
      </c>
      <c r="C2471" s="5" t="str">
        <f>LEFT(F2471,FIND(".",F2471,6))</f>
        <v>Xmp.dwc.</v>
      </c>
      <c r="D2471" s="5" t="str">
        <f>VLOOKUP(C2471,PrefixUebersetzung,2,FALSE)</f>
        <v>Xmp.dwc.</v>
      </c>
      <c r="E2471" s="5" t="str">
        <f>MID(F2471,FIND(".",F2471,6)+1,99)</f>
        <v>geologicalContextID</v>
      </c>
      <c r="F2471" s="2" t="s">
        <v>7289</v>
      </c>
      <c r="G2471" s="5" t="s">
        <v>9678</v>
      </c>
      <c r="H2471" s="3" t="s">
        <v>7290</v>
      </c>
      <c r="I2471" s="7" t="s">
        <v>7851</v>
      </c>
      <c r="K2471" s="26"/>
      <c r="N2471" s="6"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xml:space="preserve">Description not translated </v>
      </c>
      <c r="O2471" s="6" t="s">
        <v>8574</v>
      </c>
      <c r="P2471" s="6" t="s">
        <v>8574</v>
      </c>
    </row>
    <row r="2472" spans="1:16" ht="60" x14ac:dyDescent="0.25">
      <c r="A2472" s="5" t="str">
        <f>IF(TRIM(I2472)="","",E2472)</f>
        <v>georeferencedBy</v>
      </c>
      <c r="B2472" s="5" t="str">
        <f>IF(TRIM(J2472)="","",H2472)</f>
        <v>A list (concatenated and separated) of names of people, groups, or organizations who determined the georeference (spatial representation) for the Location.</v>
      </c>
      <c r="C2472" s="5" t="str">
        <f>LEFT(F2472,FIND(".",F2472,6))</f>
        <v>Xmp.dwc.</v>
      </c>
      <c r="D2472" s="5" t="str">
        <f>VLOOKUP(C2472,PrefixUebersetzung,2,FALSE)</f>
        <v>Xmp.dwc.</v>
      </c>
      <c r="E2472" s="5" t="str">
        <f>MID(F2472,FIND(".",F2472,6)+1,99)</f>
        <v>georeferencedBy</v>
      </c>
      <c r="F2472" s="2" t="s">
        <v>7291</v>
      </c>
      <c r="G2472" s="5" t="s">
        <v>9679</v>
      </c>
      <c r="H2472" s="3" t="s">
        <v>7292</v>
      </c>
      <c r="I2472" s="7" t="s">
        <v>7852</v>
      </c>
      <c r="J2472" s="14" t="s">
        <v>8929</v>
      </c>
      <c r="K2472" s="26"/>
      <c r="N2472" s="6"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c>
      <c r="O2472" s="6" t="s">
        <v>8574</v>
      </c>
      <c r="P2472" s="6" t="s">
        <v>8574</v>
      </c>
    </row>
    <row r="2473" spans="1:16" ht="45" x14ac:dyDescent="0.25">
      <c r="A2473" s="5" t="str">
        <f>IF(TRIM(I2473)="","",E2473)</f>
        <v>georeferencedDate</v>
      </c>
      <c r="B2473" s="5" t="str">
        <f>IF(TRIM(J2473)="","",H2473)</f>
        <v>The date on which the Location was georeferenced. Recommended best practice is to use an encoding scheme, such as ISO 8601:2004(E).</v>
      </c>
      <c r="C2473" s="5" t="str">
        <f>LEFT(F2473,FIND(".",F2473,6))</f>
        <v>Xmp.dwc.</v>
      </c>
      <c r="D2473" s="5" t="str">
        <f>VLOOKUP(C2473,PrefixUebersetzung,2,FALSE)</f>
        <v>Xmp.dwc.</v>
      </c>
      <c r="E2473" s="5" t="str">
        <f>MID(F2473,FIND(".",F2473,6)+1,99)</f>
        <v>georeferencedDate</v>
      </c>
      <c r="F2473" s="2" t="s">
        <v>7293</v>
      </c>
      <c r="G2473" s="5" t="s">
        <v>9678</v>
      </c>
      <c r="H2473" s="3" t="s">
        <v>7294</v>
      </c>
      <c r="I2473" s="7" t="s">
        <v>7853</v>
      </c>
      <c r="J2473" s="14" t="s">
        <v>8930</v>
      </c>
      <c r="K2473" s="26"/>
      <c r="N2473" s="6"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c>
      <c r="O2473" s="6" t="s">
        <v>8574</v>
      </c>
      <c r="P2473" s="6" t="s">
        <v>8574</v>
      </c>
    </row>
    <row r="2474" spans="1:16" ht="45" x14ac:dyDescent="0.25">
      <c r="A2474" s="5" t="str">
        <f>IF(TRIM(I2474)="","",E2474)</f>
        <v>georeferenceProtocol</v>
      </c>
      <c r="B2474" s="5" t="str">
        <f>IF(TRIM(J2474)="","",H2474)</f>
        <v/>
      </c>
      <c r="C2474" s="5" t="str">
        <f>LEFT(F2474,FIND(".",F2474,6))</f>
        <v>Xmp.dwc.</v>
      </c>
      <c r="D2474" s="5" t="str">
        <f>VLOOKUP(C2474,PrefixUebersetzung,2,FALSE)</f>
        <v>Xmp.dwc.</v>
      </c>
      <c r="E2474" s="5" t="str">
        <f>MID(F2474,FIND(".",F2474,6)+1,99)</f>
        <v>georeferenceProtocol</v>
      </c>
      <c r="F2474" s="2" t="s">
        <v>7295</v>
      </c>
      <c r="G2474" s="5" t="s">
        <v>9678</v>
      </c>
      <c r="H2474" s="3" t="s">
        <v>7296</v>
      </c>
      <c r="I2474" s="7" t="s">
        <v>7854</v>
      </c>
      <c r="K2474" s="26"/>
      <c r="N2474" s="6"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Description not translated </v>
      </c>
      <c r="O2474" s="6" t="s">
        <v>8574</v>
      </c>
      <c r="P2474" s="6" t="s">
        <v>8574</v>
      </c>
    </row>
    <row r="2475" spans="1:16" ht="60" x14ac:dyDescent="0.25">
      <c r="A2475" s="5" t="str">
        <f>IF(TRIM(I2475)="","",E2475)</f>
        <v>georeferenceRemarks</v>
      </c>
      <c r="B2475" s="5" t="str">
        <f>IF(TRIM(J2475)="","",H2475)</f>
        <v/>
      </c>
      <c r="C2475" s="5" t="str">
        <f>LEFT(F2475,FIND(".",F2475,6))</f>
        <v>Xmp.dwc.</v>
      </c>
      <c r="D2475" s="5" t="str">
        <f>VLOOKUP(C2475,PrefixUebersetzung,2,FALSE)</f>
        <v>Xmp.dwc.</v>
      </c>
      <c r="E2475" s="5" t="str">
        <f>MID(F2475,FIND(".",F2475,6)+1,99)</f>
        <v>georeferenceRemarks</v>
      </c>
      <c r="F2475" s="2" t="s">
        <v>7297</v>
      </c>
      <c r="G2475" s="5" t="s">
        <v>9678</v>
      </c>
      <c r="H2475" s="3" t="s">
        <v>7298</v>
      </c>
      <c r="I2475" s="7" t="s">
        <v>7855</v>
      </c>
      <c r="K2475" s="26"/>
      <c r="N2475" s="6"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xml:space="preserve">Description not translated </v>
      </c>
      <c r="O2475" s="6" t="s">
        <v>8574</v>
      </c>
      <c r="P2475" s="6" t="s">
        <v>8574</v>
      </c>
    </row>
    <row r="2476" spans="1:16" ht="60" x14ac:dyDescent="0.25">
      <c r="A2476" s="5" t="str">
        <f>IF(TRIM(I2476)="","",E2476)</f>
        <v>georeferenceSources</v>
      </c>
      <c r="B2476" s="5" t="str">
        <f>IF(TRIM(J2476)="","",H2476)</f>
        <v/>
      </c>
      <c r="C2476" s="5" t="str">
        <f>LEFT(F2476,FIND(".",F2476,6))</f>
        <v>Xmp.dwc.</v>
      </c>
      <c r="D2476" s="5" t="str">
        <f>VLOOKUP(C2476,PrefixUebersetzung,2,FALSE)</f>
        <v>Xmp.dwc.</v>
      </c>
      <c r="E2476" s="5" t="str">
        <f>MID(F2476,FIND(".",F2476,6)+1,99)</f>
        <v>georeferenceSources</v>
      </c>
      <c r="F2476" s="2" t="s">
        <v>7299</v>
      </c>
      <c r="G2476" s="5" t="s">
        <v>9679</v>
      </c>
      <c r="H2476" s="3" t="s">
        <v>7300</v>
      </c>
      <c r="I2476" s="7" t="s">
        <v>7856</v>
      </c>
      <c r="K2476" s="26"/>
      <c r="N2476" s="6"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Description not translated </v>
      </c>
      <c r="O2476" s="6" t="s">
        <v>8574</v>
      </c>
      <c r="P2476" s="6" t="s">
        <v>8574</v>
      </c>
    </row>
    <row r="2477" spans="1:16" ht="60" x14ac:dyDescent="0.25">
      <c r="A2477" s="5" t="str">
        <f>IF(TRIM(I2477)="","",E2477)</f>
        <v>georeferenceVerificationStatus</v>
      </c>
      <c r="B2477" s="5" t="str">
        <f>IF(TRIM(J2477)="","",H2477)</f>
        <v/>
      </c>
      <c r="C2477" s="5" t="str">
        <f>LEFT(F2477,FIND(".",F2477,6))</f>
        <v>Xmp.dwc.</v>
      </c>
      <c r="D2477" s="5" t="str">
        <f>VLOOKUP(C2477,PrefixUebersetzung,2,FALSE)</f>
        <v>Xmp.dwc.</v>
      </c>
      <c r="E2477" s="5" t="str">
        <f>MID(F2477,FIND(".",F2477,6)+1,99)</f>
        <v>georeferenceVerificationStatus</v>
      </c>
      <c r="F2477" s="2" t="s">
        <v>7301</v>
      </c>
      <c r="G2477" s="5" t="s">
        <v>9678</v>
      </c>
      <c r="H2477" s="3" t="s">
        <v>7302</v>
      </c>
      <c r="I2477" s="7" t="s">
        <v>7857</v>
      </c>
      <c r="K2477" s="26"/>
      <c r="N2477" s="6"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Description not translated </v>
      </c>
      <c r="O2477" s="6" t="s">
        <v>8574</v>
      </c>
      <c r="P2477" s="6" t="s">
        <v>8574</v>
      </c>
    </row>
    <row r="2478" spans="1:16" ht="45" x14ac:dyDescent="0.25">
      <c r="A2478" s="5" t="str">
        <f>IF(TRIM(I2478)="","",E2478)</f>
        <v>group</v>
      </c>
      <c r="B2478" s="5" t="str">
        <f>IF(TRIM(J2478)="","",H2478)</f>
        <v>The full name of the lithostratigraphic group from which the cataloged item was collected.</v>
      </c>
      <c r="C2478" s="5" t="str">
        <f>LEFT(F2478,FIND(".",F2478,6))</f>
        <v>Xmp.dwc.</v>
      </c>
      <c r="D2478" s="5" t="str">
        <f>VLOOKUP(C2478,PrefixUebersetzung,2,FALSE)</f>
        <v>Xmp.dwc.</v>
      </c>
      <c r="E2478" s="5" t="str">
        <f>MID(F2478,FIND(".",F2478,6)+1,99)</f>
        <v>group</v>
      </c>
      <c r="F2478" s="2" t="s">
        <v>7303</v>
      </c>
      <c r="G2478" s="5" t="s">
        <v>9678</v>
      </c>
      <c r="H2478" s="3" t="s">
        <v>7304</v>
      </c>
      <c r="I2478" s="7" t="s">
        <v>7829</v>
      </c>
      <c r="J2478" s="14" t="s">
        <v>8931</v>
      </c>
      <c r="K2478" s="26"/>
      <c r="N2478" s="6"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c r="O2478" s="6" t="s">
        <v>8574</v>
      </c>
      <c r="P2478" s="6" t="s">
        <v>8574</v>
      </c>
    </row>
    <row r="2479" spans="1:16" ht="30" x14ac:dyDescent="0.25">
      <c r="A2479" s="5" t="str">
        <f>IF(TRIM(I2479)="","",E2479)</f>
        <v>habitat</v>
      </c>
      <c r="B2479" s="5" t="str">
        <f>IF(TRIM(J2479)="","",H2479)</f>
        <v>A category or description of the habitat in which the Event occurred.</v>
      </c>
      <c r="C2479" s="5" t="str">
        <f>LEFT(F2479,FIND(".",F2479,6))</f>
        <v>Xmp.dwc.</v>
      </c>
      <c r="D2479" s="5" t="str">
        <f>VLOOKUP(C2479,PrefixUebersetzung,2,FALSE)</f>
        <v>Xmp.dwc.</v>
      </c>
      <c r="E2479" s="5" t="str">
        <f>MID(F2479,FIND(".",F2479,6)+1,99)</f>
        <v>habitat</v>
      </c>
      <c r="F2479" s="2" t="s">
        <v>7305</v>
      </c>
      <c r="G2479" s="5" t="s">
        <v>9678</v>
      </c>
      <c r="H2479" s="3" t="s">
        <v>7306</v>
      </c>
      <c r="I2479" s="7" t="s">
        <v>7830</v>
      </c>
      <c r="J2479" s="14" t="s">
        <v>7724</v>
      </c>
      <c r="K2479" s="26"/>
      <c r="N2479" s="6"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c>
      <c r="O2479" s="6" t="s">
        <v>8574</v>
      </c>
      <c r="P2479" s="6" t="s">
        <v>8574</v>
      </c>
    </row>
    <row r="2480" spans="1:16" ht="90" x14ac:dyDescent="0.25">
      <c r="A2480" s="5" t="str">
        <f>IF(TRIM(I2480)="","",E2480)</f>
        <v>higherClassification</v>
      </c>
      <c r="B2480" s="5" t="str">
        <f>IF(TRIM(J2480)="","",H2480)</f>
        <v/>
      </c>
      <c r="C2480" s="5" t="str">
        <f>LEFT(F2480,FIND(".",F2480,6))</f>
        <v>Xmp.dwc.</v>
      </c>
      <c r="D2480" s="5" t="str">
        <f>VLOOKUP(C2480,PrefixUebersetzung,2,FALSE)</f>
        <v>Xmp.dwc.</v>
      </c>
      <c r="E2480" s="5" t="str">
        <f>MID(F2480,FIND(".",F2480,6)+1,99)</f>
        <v>higherClassification</v>
      </c>
      <c r="F2480" s="2" t="s">
        <v>7307</v>
      </c>
      <c r="G2480" s="5" t="s">
        <v>9679</v>
      </c>
      <c r="H2480" s="3" t="s">
        <v>7308</v>
      </c>
      <c r="I2480" s="7" t="s">
        <v>7831</v>
      </c>
      <c r="K2480" s="26"/>
      <c r="N2480" s="6"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Description not translated </v>
      </c>
      <c r="O2480" s="6" t="s">
        <v>8574</v>
      </c>
      <c r="P2480" s="6" t="s">
        <v>8574</v>
      </c>
    </row>
    <row r="2481" spans="1:16" ht="45" x14ac:dyDescent="0.25">
      <c r="A2481" s="5" t="str">
        <f>IF(TRIM(I2481)="","",E2481)</f>
        <v>higherGeography</v>
      </c>
      <c r="B2481" s="5" t="str">
        <f>IF(TRIM(J2481)="","",H2481)</f>
        <v/>
      </c>
      <c r="C2481" s="5" t="str">
        <f>LEFT(F2481,FIND(".",F2481,6))</f>
        <v>Xmp.dwc.</v>
      </c>
      <c r="D2481" s="5" t="str">
        <f>VLOOKUP(C2481,PrefixUebersetzung,2,FALSE)</f>
        <v>Xmp.dwc.</v>
      </c>
      <c r="E2481" s="5" t="str">
        <f>MID(F2481,FIND(".",F2481,6)+1,99)</f>
        <v>higherGeography</v>
      </c>
      <c r="F2481" s="2" t="s">
        <v>7309</v>
      </c>
      <c r="G2481" s="5" t="s">
        <v>9679</v>
      </c>
      <c r="H2481" s="3" t="s">
        <v>7310</v>
      </c>
      <c r="I2481" s="7" t="s">
        <v>7832</v>
      </c>
      <c r="K2481" s="26"/>
      <c r="N2481" s="6"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xml:space="preserve">Description not translated </v>
      </c>
      <c r="O2481" s="6" t="s">
        <v>8574</v>
      </c>
      <c r="P2481" s="6" t="s">
        <v>8574</v>
      </c>
    </row>
    <row r="2482" spans="1:16" ht="75" x14ac:dyDescent="0.25">
      <c r="A2482" s="5" t="str">
        <f>IF(TRIM(I2482)="","",E2482)</f>
        <v>higherGeographyID</v>
      </c>
      <c r="B2482" s="5" t="str">
        <f>IF(TRIM(J2482)="","",H2482)</f>
        <v/>
      </c>
      <c r="C2482" s="5" t="str">
        <f>LEFT(F2482,FIND(".",F2482,6))</f>
        <v>Xmp.dwc.</v>
      </c>
      <c r="D2482" s="5" t="str">
        <f>VLOOKUP(C2482,PrefixUebersetzung,2,FALSE)</f>
        <v>Xmp.dwc.</v>
      </c>
      <c r="E2482" s="5" t="str">
        <f>MID(F2482,FIND(".",F2482,6)+1,99)</f>
        <v>higherGeographyID</v>
      </c>
      <c r="F2482" s="2" t="s">
        <v>7311</v>
      </c>
      <c r="G2482" s="5" t="s">
        <v>9678</v>
      </c>
      <c r="H2482" s="3" t="s">
        <v>7312</v>
      </c>
      <c r="I2482" s="7" t="s">
        <v>7833</v>
      </c>
      <c r="K2482" s="26"/>
      <c r="N2482" s="6"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Description not translated </v>
      </c>
      <c r="O2482" s="6" t="s">
        <v>8574</v>
      </c>
      <c r="P2482" s="6" t="s">
        <v>8574</v>
      </c>
    </row>
    <row r="2483" spans="1:16" ht="45" x14ac:dyDescent="0.25">
      <c r="A2483" s="5" t="str">
        <f>IF(TRIM(I2483)="","",E2483)</f>
        <v/>
      </c>
      <c r="B2483" s="5" t="str">
        <f>IF(TRIM(J2483)="","",H2483)</f>
        <v/>
      </c>
      <c r="C2483" s="5" t="str">
        <f>LEFT(F2483,FIND(".",F2483,6))</f>
        <v>Xmp.dwc.</v>
      </c>
      <c r="D2483" s="5" t="str">
        <f>VLOOKUP(C2483,PrefixUebersetzung,2,FALSE)</f>
        <v>Xmp.dwc.</v>
      </c>
      <c r="E2483" s="5" t="str">
        <f>MID(F2483,FIND(".",F2483,6)+1,99)</f>
        <v>highestBiostratigraphicZone</v>
      </c>
      <c r="F2483" s="2" t="s">
        <v>7313</v>
      </c>
      <c r="G2483" s="5" t="s">
        <v>9678</v>
      </c>
      <c r="H2483" s="3" t="s">
        <v>7314</v>
      </c>
      <c r="I2483" s="7"/>
      <c r="K2483" s="26"/>
      <c r="N2483" s="6"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xml:space="preserve">Suffix not translated Description not translated </v>
      </c>
      <c r="O2483" s="6" t="s">
        <v>8574</v>
      </c>
      <c r="P2483" s="6" t="s">
        <v>8574</v>
      </c>
    </row>
    <row r="2484" spans="1:16" ht="30" x14ac:dyDescent="0.25">
      <c r="A2484" s="5" t="str">
        <f>IF(TRIM(I2484)="","",E2484)</f>
        <v>HumanObservation</v>
      </c>
      <c r="B2484" s="5" t="str">
        <f>IF(TRIM(J2484)="","",H2484)</f>
        <v/>
      </c>
      <c r="C2484" s="5" t="str">
        <f>LEFT(F2484,FIND(".",F2484,6))</f>
        <v>Xmp.dwc.</v>
      </c>
      <c r="D2484" s="5" t="str">
        <f>VLOOKUP(C2484,PrefixUebersetzung,2,FALSE)</f>
        <v>Xmp.dwc.</v>
      </c>
      <c r="E2484" s="5" t="str">
        <f>MID(F2484,FIND(".",F2484,6)+1,99)</f>
        <v>HumanObservation</v>
      </c>
      <c r="F2484" s="2" t="s">
        <v>7315</v>
      </c>
      <c r="G2484" s="5" t="s">
        <v>9678</v>
      </c>
      <c r="H2484" s="3" t="s">
        <v>7316</v>
      </c>
      <c r="I2484" s="7" t="s">
        <v>7834</v>
      </c>
      <c r="K2484" s="26"/>
      <c r="N2484" s="6"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xml:space="preserve">Description not translated </v>
      </c>
      <c r="O2484" s="6" t="s">
        <v>8574</v>
      </c>
      <c r="P2484" s="6" t="s">
        <v>8574</v>
      </c>
    </row>
    <row r="2485" spans="1:16" ht="30" x14ac:dyDescent="0.25">
      <c r="A2485" s="5" t="str">
        <f>IF(TRIM(I2485)="","",E2485)</f>
        <v>Identification</v>
      </c>
      <c r="B2485" s="5" t="str">
        <f>IF(TRIM(J2485)="","",H2485)</f>
        <v/>
      </c>
      <c r="C2485" s="5" t="str">
        <f>LEFT(F2485,FIND(".",F2485,6))</f>
        <v>Xmp.dwc.</v>
      </c>
      <c r="D2485" s="5" t="str">
        <f>VLOOKUP(C2485,PrefixUebersetzung,2,FALSE)</f>
        <v>Xmp.dwc.</v>
      </c>
      <c r="E2485" s="5" t="str">
        <f>MID(F2485,FIND(".",F2485,6)+1,99)</f>
        <v>Identification</v>
      </c>
      <c r="F2485" s="2" t="s">
        <v>7317</v>
      </c>
      <c r="G2485" s="5" t="s">
        <v>9678</v>
      </c>
      <c r="H2485" s="3" t="s">
        <v>7318</v>
      </c>
      <c r="I2485" s="7" t="s">
        <v>7835</v>
      </c>
      <c r="K2485" s="26"/>
      <c r="N2485" s="6"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xml:space="preserve">Description not translated </v>
      </c>
      <c r="O2485" s="6" t="s">
        <v>8574</v>
      </c>
      <c r="P2485" s="6" t="s">
        <v>8574</v>
      </c>
    </row>
    <row r="2486" spans="1:16" ht="60" x14ac:dyDescent="0.25">
      <c r="A2486" s="5" t="str">
        <f>IF(TRIM(I2486)="","",E2486)</f>
        <v>identificationID</v>
      </c>
      <c r="B2486" s="5" t="str">
        <f>IF(TRIM(J2486)="","",H2486)</f>
        <v/>
      </c>
      <c r="C2486" s="5" t="str">
        <f>LEFT(F2486,FIND(".",F2486,6))</f>
        <v>Xmp.dwc.</v>
      </c>
      <c r="D2486" s="5" t="str">
        <f>VLOOKUP(C2486,PrefixUebersetzung,2,FALSE)</f>
        <v>Xmp.dwc.</v>
      </c>
      <c r="E2486" s="5" t="str">
        <f>MID(F2486,FIND(".",F2486,6)+1,99)</f>
        <v>identificationID</v>
      </c>
      <c r="F2486" s="2" t="s">
        <v>7319</v>
      </c>
      <c r="G2486" s="5" t="s">
        <v>9678</v>
      </c>
      <c r="H2486" s="3" t="s">
        <v>7320</v>
      </c>
      <c r="I2486" s="7" t="s">
        <v>7836</v>
      </c>
      <c r="K2486" s="26"/>
      <c r="N2486" s="6"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xml:space="preserve">Description not translated </v>
      </c>
      <c r="O2486" s="6" t="s">
        <v>8574</v>
      </c>
      <c r="P2486" s="6" t="s">
        <v>8574</v>
      </c>
    </row>
    <row r="2487" spans="1:16" ht="45" x14ac:dyDescent="0.25">
      <c r="A2487" s="5" t="str">
        <f>IF(TRIM(I2487)="","",E2487)</f>
        <v>identificationQualifier</v>
      </c>
      <c r="B2487" s="5" t="str">
        <f>IF(TRIM(J2487)="","",H2487)</f>
        <v/>
      </c>
      <c r="C2487" s="5" t="str">
        <f>LEFT(F2487,FIND(".",F2487,6))</f>
        <v>Xmp.dwc.</v>
      </c>
      <c r="D2487" s="5" t="str">
        <f>VLOOKUP(C2487,PrefixUebersetzung,2,FALSE)</f>
        <v>Xmp.dwc.</v>
      </c>
      <c r="E2487" s="5" t="str">
        <f>MID(F2487,FIND(".",F2487,6)+1,99)</f>
        <v>identificationQualifier</v>
      </c>
      <c r="F2487" s="2" t="s">
        <v>7321</v>
      </c>
      <c r="G2487" s="5" t="s">
        <v>9678</v>
      </c>
      <c r="H2487" s="3" t="s">
        <v>7322</v>
      </c>
      <c r="I2487" s="7" t="s">
        <v>7837</v>
      </c>
      <c r="K2487" s="26"/>
      <c r="N2487" s="6"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Description not translated </v>
      </c>
      <c r="O2487" s="6" t="s">
        <v>8574</v>
      </c>
      <c r="P2487" s="6" t="s">
        <v>8574</v>
      </c>
    </row>
    <row r="2488" spans="1:16" ht="45" x14ac:dyDescent="0.25">
      <c r="A2488" s="5" t="str">
        <f>IF(TRIM(I2488)="","",E2488)</f>
        <v>identificationReferences</v>
      </c>
      <c r="B2488" s="5" t="str">
        <f>IF(TRIM(J2488)="","",H2488)</f>
        <v/>
      </c>
      <c r="C2488" s="5" t="str">
        <f>LEFT(F2488,FIND(".",F2488,6))</f>
        <v>Xmp.dwc.</v>
      </c>
      <c r="D2488" s="5" t="str">
        <f>VLOOKUP(C2488,PrefixUebersetzung,2,FALSE)</f>
        <v>Xmp.dwc.</v>
      </c>
      <c r="E2488" s="5" t="str">
        <f>MID(F2488,FIND(".",F2488,6)+1,99)</f>
        <v>identificationReferences</v>
      </c>
      <c r="F2488" s="2" t="s">
        <v>7323</v>
      </c>
      <c r="G2488" s="5" t="s">
        <v>9679</v>
      </c>
      <c r="H2488" s="3" t="s">
        <v>7324</v>
      </c>
      <c r="I2488" s="7" t="s">
        <v>7838</v>
      </c>
      <c r="K2488" s="26"/>
      <c r="N2488" s="6"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Description not translated </v>
      </c>
      <c r="O2488" s="6" t="s">
        <v>8574</v>
      </c>
      <c r="P2488" s="6" t="s">
        <v>8574</v>
      </c>
    </row>
    <row r="2489" spans="1:16" x14ac:dyDescent="0.25">
      <c r="A2489" s="5" t="str">
        <f>IF(TRIM(I2489)="","",E2489)</f>
        <v>identificationRemarks</v>
      </c>
      <c r="B2489" s="5" t="str">
        <f>IF(TRIM(J2489)="","",H2489)</f>
        <v>Comments or notes about the Identification.</v>
      </c>
      <c r="C2489" s="5" t="str">
        <f>LEFT(F2489,FIND(".",F2489,6))</f>
        <v>Xmp.dwc.</v>
      </c>
      <c r="D2489" s="5" t="str">
        <f>VLOOKUP(C2489,PrefixUebersetzung,2,FALSE)</f>
        <v>Xmp.dwc.</v>
      </c>
      <c r="E2489" s="5" t="str">
        <f>MID(F2489,FIND(".",F2489,6)+1,99)</f>
        <v>identificationRemarks</v>
      </c>
      <c r="F2489" s="2" t="s">
        <v>7325</v>
      </c>
      <c r="G2489" s="5" t="s">
        <v>9678</v>
      </c>
      <c r="H2489" s="3" t="s">
        <v>7326</v>
      </c>
      <c r="I2489" s="7" t="s">
        <v>7839</v>
      </c>
      <c r="J2489" s="14" t="s">
        <v>7725</v>
      </c>
      <c r="K2489" s="26"/>
      <c r="N2489" s="6"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c r="O2489" s="6" t="s">
        <v>8574</v>
      </c>
      <c r="P2489" s="6" t="s">
        <v>8574</v>
      </c>
    </row>
    <row r="2490" spans="1:16" ht="75" x14ac:dyDescent="0.25">
      <c r="A2490" s="5" t="str">
        <f>IF(TRIM(I2490)="","",E2490)</f>
        <v>identificationVerificationStatus</v>
      </c>
      <c r="B2490" s="5" t="str">
        <f>IF(TRIM(J2490)="","",H2490)</f>
        <v/>
      </c>
      <c r="C2490" s="5" t="str">
        <f>LEFT(F2490,FIND(".",F2490,6))</f>
        <v>Xmp.dwc.</v>
      </c>
      <c r="D2490" s="5" t="str">
        <f>VLOOKUP(C2490,PrefixUebersetzung,2,FALSE)</f>
        <v>Xmp.dwc.</v>
      </c>
      <c r="E2490" s="5" t="str">
        <f>MID(F2490,FIND(".",F2490,6)+1,99)</f>
        <v>identificationVerificationStatus</v>
      </c>
      <c r="F2490" s="2" t="s">
        <v>7327</v>
      </c>
      <c r="G2490" s="5" t="s">
        <v>9678</v>
      </c>
      <c r="H2490" s="3" t="s">
        <v>7328</v>
      </c>
      <c r="I2490" s="7" t="s">
        <v>7840</v>
      </c>
      <c r="K2490" s="26"/>
      <c r="N2490" s="6"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Description not translated </v>
      </c>
      <c r="O2490" s="6" t="s">
        <v>8574</v>
      </c>
      <c r="P2490" s="6" t="s">
        <v>8574</v>
      </c>
    </row>
    <row r="2491" spans="1:16" ht="45" x14ac:dyDescent="0.25">
      <c r="A2491" s="5" t="str">
        <f>IF(TRIM(I2491)="","",E2491)</f>
        <v>identifiedBy</v>
      </c>
      <c r="B2491" s="5" t="str">
        <f>IF(TRIM(J2491)="","",H2491)</f>
        <v>A list (concatenated and separated) of names of people, groups, or organizations who assigned the Taxon to the subject.</v>
      </c>
      <c r="C2491" s="5" t="str">
        <f>LEFT(F2491,FIND(".",F2491,6))</f>
        <v>Xmp.dwc.</v>
      </c>
      <c r="D2491" s="5" t="str">
        <f>VLOOKUP(C2491,PrefixUebersetzung,2,FALSE)</f>
        <v>Xmp.dwc.</v>
      </c>
      <c r="E2491" s="5" t="str">
        <f>MID(F2491,FIND(".",F2491,6)+1,99)</f>
        <v>identifiedBy</v>
      </c>
      <c r="F2491" s="2" t="s">
        <v>7329</v>
      </c>
      <c r="G2491" s="5" t="s">
        <v>9679</v>
      </c>
      <c r="H2491" s="3" t="s">
        <v>7330</v>
      </c>
      <c r="I2491" s="7" t="s">
        <v>7775</v>
      </c>
      <c r="J2491" s="14" t="s">
        <v>8932</v>
      </c>
      <c r="K2491" s="26"/>
      <c r="N2491" s="6"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c r="O2491" s="6" t="s">
        <v>8574</v>
      </c>
      <c r="P2491" s="6" t="s">
        <v>8574</v>
      </c>
    </row>
    <row r="2492" spans="1:16" ht="30" x14ac:dyDescent="0.25">
      <c r="A2492" s="5" t="str">
        <f>IF(TRIM(I2492)="","",E2492)</f>
        <v>individualCount</v>
      </c>
      <c r="B2492" s="5" t="str">
        <f>IF(TRIM(J2492)="","",H2492)</f>
        <v/>
      </c>
      <c r="C2492" s="5" t="str">
        <f>LEFT(F2492,FIND(".",F2492,6))</f>
        <v>Xmp.dwc.</v>
      </c>
      <c r="D2492" s="5" t="str">
        <f>VLOOKUP(C2492,PrefixUebersetzung,2,FALSE)</f>
        <v>Xmp.dwc.</v>
      </c>
      <c r="E2492" s="5" t="str">
        <f>MID(F2492,FIND(".",F2492,6)+1,99)</f>
        <v>individualCount</v>
      </c>
      <c r="F2492" s="2" t="s">
        <v>7331</v>
      </c>
      <c r="G2492" s="5" t="s">
        <v>9678</v>
      </c>
      <c r="H2492" s="3" t="s">
        <v>7332</v>
      </c>
      <c r="I2492" s="7" t="s">
        <v>7776</v>
      </c>
      <c r="K2492" s="26"/>
      <c r="N2492" s="6"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Description not translated </v>
      </c>
      <c r="O2492" s="6" t="s">
        <v>8574</v>
      </c>
      <c r="P2492" s="6" t="s">
        <v>8574</v>
      </c>
    </row>
    <row r="2493" spans="1:16" ht="90" x14ac:dyDescent="0.25">
      <c r="A2493" s="5" t="str">
        <f>IF(TRIM(I2493)="","",E2493)</f>
        <v>individualID</v>
      </c>
      <c r="B2493" s="5" t="str">
        <f>IF(TRIM(J2493)="","",H2493)</f>
        <v/>
      </c>
      <c r="C2493" s="5" t="str">
        <f>LEFT(F2493,FIND(".",F2493,6))</f>
        <v>Xmp.dwc.</v>
      </c>
      <c r="D2493" s="5" t="str">
        <f>VLOOKUP(C2493,PrefixUebersetzung,2,FALSE)</f>
        <v>Xmp.dwc.</v>
      </c>
      <c r="E2493" s="5" t="str">
        <f>MID(F2493,FIND(".",F2493,6)+1,99)</f>
        <v>individualID</v>
      </c>
      <c r="F2493" s="2" t="s">
        <v>7333</v>
      </c>
      <c r="G2493" s="5" t="s">
        <v>9678</v>
      </c>
      <c r="H2493" s="3" t="s">
        <v>9643</v>
      </c>
      <c r="I2493" s="7" t="s">
        <v>7777</v>
      </c>
      <c r="K2493" s="26"/>
      <c r="N2493" s="6"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Description not translated </v>
      </c>
      <c r="O2493" s="6" t="s">
        <v>8574</v>
      </c>
      <c r="P2493" s="6" t="s">
        <v>8574</v>
      </c>
    </row>
    <row r="2494" spans="1:16" ht="30" x14ac:dyDescent="0.25">
      <c r="A2494" s="5" t="str">
        <f>IF(TRIM(I2494)="","",E2494)</f>
        <v>informationWithheld</v>
      </c>
      <c r="B2494" s="5" t="str">
        <f>IF(TRIM(J2494)="","",H2494)</f>
        <v>Additional information that exists, but that has not been shared in the given record.</v>
      </c>
      <c r="C2494" s="5" t="str">
        <f>LEFT(F2494,FIND(".",F2494,6))</f>
        <v>Xmp.dwc.</v>
      </c>
      <c r="D2494" s="5" t="str">
        <f>VLOOKUP(C2494,PrefixUebersetzung,2,FALSE)</f>
        <v>Xmp.dwc.</v>
      </c>
      <c r="E2494" s="5" t="str">
        <f>MID(F2494,FIND(".",F2494,6)+1,99)</f>
        <v>informationWithheld</v>
      </c>
      <c r="F2494" s="2" t="s">
        <v>7334</v>
      </c>
      <c r="G2494" s="5" t="s">
        <v>9678</v>
      </c>
      <c r="H2494" s="3" t="s">
        <v>7335</v>
      </c>
      <c r="I2494" s="7" t="s">
        <v>7841</v>
      </c>
      <c r="J2494" s="14" t="s">
        <v>8933</v>
      </c>
      <c r="K2494" s="26"/>
      <c r="N2494" s="6"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c>
      <c r="O2494" s="6" t="s">
        <v>8574</v>
      </c>
      <c r="P2494" s="6" t="s">
        <v>8574</v>
      </c>
    </row>
    <row r="2495" spans="1:16" ht="45" x14ac:dyDescent="0.25">
      <c r="A2495" s="5" t="str">
        <f>IF(TRIM(I2495)="","",E2495)</f>
        <v/>
      </c>
      <c r="B2495" s="5" t="str">
        <f>IF(TRIM(J2495)="","",H2495)</f>
        <v/>
      </c>
      <c r="C2495" s="5" t="str">
        <f>LEFT(F2495,FIND(".",F2495,6))</f>
        <v>Xmp.dwc.</v>
      </c>
      <c r="D2495" s="5" t="str">
        <f>VLOOKUP(C2495,PrefixUebersetzung,2,FALSE)</f>
        <v>Xmp.dwc.</v>
      </c>
      <c r="E2495" s="5" t="str">
        <f>MID(F2495,FIND(".",F2495,6)+1,99)</f>
        <v>infraspecificEpithet</v>
      </c>
      <c r="F2495" s="2" t="s">
        <v>7336</v>
      </c>
      <c r="G2495" s="5" t="s">
        <v>9678</v>
      </c>
      <c r="H2495" s="3" t="s">
        <v>7337</v>
      </c>
      <c r="I2495" s="7"/>
      <c r="K2495" s="26"/>
      <c r="N2495" s="6"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Description not translated </v>
      </c>
      <c r="O2495" s="6" t="s">
        <v>8574</v>
      </c>
      <c r="P2495" s="6" t="s">
        <v>8574</v>
      </c>
    </row>
    <row r="2496" spans="1:16" ht="45" x14ac:dyDescent="0.25">
      <c r="A2496" s="5" t="str">
        <f>IF(TRIM(I2496)="","",E2496)</f>
        <v/>
      </c>
      <c r="B2496" s="5" t="str">
        <f>IF(TRIM(J2496)="","",H2496)</f>
        <v/>
      </c>
      <c r="C2496" s="5" t="str">
        <f>LEFT(F2496,FIND(".",F2496,6))</f>
        <v>Xmp.dwc.</v>
      </c>
      <c r="D2496" s="5" t="str">
        <f>VLOOKUP(C2496,PrefixUebersetzung,2,FALSE)</f>
        <v>Xmp.dwc.</v>
      </c>
      <c r="E2496" s="5" t="str">
        <f>MID(F2496,FIND(".",F2496,6)+1,99)</f>
        <v>institutionCode</v>
      </c>
      <c r="F2496" s="2" t="s">
        <v>7338</v>
      </c>
      <c r="G2496" s="5" t="s">
        <v>9678</v>
      </c>
      <c r="H2496" s="3" t="s">
        <v>7339</v>
      </c>
      <c r="I2496" s="7"/>
      <c r="K2496" s="26"/>
      <c r="N2496" s="6"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Description not translated </v>
      </c>
      <c r="O2496" s="6" t="s">
        <v>8574</v>
      </c>
      <c r="P2496" s="6" t="s">
        <v>8574</v>
      </c>
    </row>
    <row r="2497" spans="1:16" ht="30" x14ac:dyDescent="0.25">
      <c r="A2497" s="5" t="str">
        <f>IF(TRIM(I2497)="","",E2497)</f>
        <v/>
      </c>
      <c r="B2497" s="5" t="str">
        <f>IF(TRIM(J2497)="","",H2497)</f>
        <v/>
      </c>
      <c r="C2497" s="5" t="str">
        <f>LEFT(F2497,FIND(".",F2497,6))</f>
        <v>Xmp.dwc.</v>
      </c>
      <c r="D2497" s="5" t="str">
        <f>VLOOKUP(C2497,PrefixUebersetzung,2,FALSE)</f>
        <v>Xmp.dwc.</v>
      </c>
      <c r="E2497" s="5" t="str">
        <f>MID(F2497,FIND(".",F2497,6)+1,99)</f>
        <v>institutionID</v>
      </c>
      <c r="F2497" s="2" t="s">
        <v>7340</v>
      </c>
      <c r="G2497" s="5" t="s">
        <v>9678</v>
      </c>
      <c r="H2497" s="3" t="s">
        <v>7341</v>
      </c>
      <c r="I2497" s="7"/>
      <c r="K2497" s="26"/>
      <c r="N2497" s="6"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c r="O2497" s="6" t="s">
        <v>8574</v>
      </c>
      <c r="P2497" s="6" t="s">
        <v>8574</v>
      </c>
    </row>
    <row r="2498" spans="1:16" ht="60" x14ac:dyDescent="0.25">
      <c r="A2498" s="5" t="str">
        <f>IF(TRIM(I2498)="","",E2498)</f>
        <v>island</v>
      </c>
      <c r="B2498" s="5" t="str">
        <f>IF(TRIM(J2498)="","",H2498)</f>
        <v>The name of the island on or near which the Location occurs. Recommended best practice is to use a controlled vocabulary such as the Getty Thesaurus of Geographic Names.</v>
      </c>
      <c r="C2498" s="5" t="str">
        <f>LEFT(F2498,FIND(".",F2498,6))</f>
        <v>Xmp.dwc.</v>
      </c>
      <c r="D2498" s="5" t="str">
        <f>VLOOKUP(C2498,PrefixUebersetzung,2,FALSE)</f>
        <v>Xmp.dwc.</v>
      </c>
      <c r="E2498" s="5" t="str">
        <f>MID(F2498,FIND(".",F2498,6)+1,99)</f>
        <v>island</v>
      </c>
      <c r="F2498" s="2" t="s">
        <v>7342</v>
      </c>
      <c r="G2498" s="5" t="s">
        <v>9678</v>
      </c>
      <c r="H2498" s="3" t="s">
        <v>7343</v>
      </c>
      <c r="I2498" s="7" t="s">
        <v>7842</v>
      </c>
      <c r="J2498" s="14" t="s">
        <v>8934</v>
      </c>
      <c r="K2498" s="26"/>
      <c r="N2498" s="6"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c>
      <c r="O2498" s="6" t="s">
        <v>8574</v>
      </c>
      <c r="P2498" s="6" t="s">
        <v>8574</v>
      </c>
    </row>
    <row r="2499" spans="1:16" ht="60" x14ac:dyDescent="0.25">
      <c r="A2499" s="5" t="str">
        <f>IF(TRIM(I2499)="","",E2499)</f>
        <v>islandGroup</v>
      </c>
      <c r="B2499" s="5" t="str">
        <f>IF(TRIM(J2499)="","",H2499)</f>
        <v>The name of the island group in which the Location occurs. Recommended best practice is to use a controlled vocabulary such as the Getty Thesaurus of Geographic Names.</v>
      </c>
      <c r="C2499" s="5" t="str">
        <f>LEFT(F2499,FIND(".",F2499,6))</f>
        <v>Xmp.dwc.</v>
      </c>
      <c r="D2499" s="5" t="str">
        <f>VLOOKUP(C2499,PrefixUebersetzung,2,FALSE)</f>
        <v>Xmp.dwc.</v>
      </c>
      <c r="E2499" s="5" t="str">
        <f>MID(F2499,FIND(".",F2499,6)+1,99)</f>
        <v>islandGroup</v>
      </c>
      <c r="F2499" s="2" t="s">
        <v>7344</v>
      </c>
      <c r="G2499" s="5" t="s">
        <v>9678</v>
      </c>
      <c r="H2499" s="3" t="s">
        <v>7345</v>
      </c>
      <c r="I2499" s="7" t="s">
        <v>7843</v>
      </c>
      <c r="J2499" s="14" t="s">
        <v>8935</v>
      </c>
      <c r="K2499" s="26"/>
      <c r="N2499" s="6"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c r="O2499" s="6" t="s">
        <v>8574</v>
      </c>
      <c r="P2499" s="6" t="s">
        <v>8574</v>
      </c>
    </row>
    <row r="2500" spans="1:16" ht="30" x14ac:dyDescent="0.25">
      <c r="A2500" s="5" t="str">
        <f>IF(TRIM(I2500)="","",E2500)</f>
        <v>kingdom</v>
      </c>
      <c r="B2500" s="5" t="str">
        <f>IF(TRIM(J2500)="","",H2500)</f>
        <v>The full scientific name of the kingdom in which the taxon is classified.</v>
      </c>
      <c r="C2500" s="5" t="str">
        <f>LEFT(F2500,FIND(".",F2500,6))</f>
        <v>Xmp.dwc.</v>
      </c>
      <c r="D2500" s="5" t="str">
        <f>VLOOKUP(C2500,PrefixUebersetzung,2,FALSE)</f>
        <v>Xmp.dwc.</v>
      </c>
      <c r="E2500" s="5" t="str">
        <f>MID(F2500,FIND(".",F2500,6)+1,99)</f>
        <v>kingdom</v>
      </c>
      <c r="F2500" s="2" t="s">
        <v>7346</v>
      </c>
      <c r="G2500" s="5" t="s">
        <v>9678</v>
      </c>
      <c r="H2500" s="3" t="s">
        <v>7347</v>
      </c>
      <c r="I2500" s="7" t="s">
        <v>8936</v>
      </c>
      <c r="J2500" s="14" t="s">
        <v>7726</v>
      </c>
      <c r="K2500" s="26"/>
      <c r="N2500" s="6"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c>
      <c r="O2500" s="6" t="s">
        <v>8574</v>
      </c>
      <c r="P2500" s="6" t="s">
        <v>8574</v>
      </c>
    </row>
    <row r="2501" spans="1:16" ht="60" x14ac:dyDescent="0.25">
      <c r="A2501" s="5" t="str">
        <f>IF(TRIM(I2501)="","",E2501)</f>
        <v/>
      </c>
      <c r="B2501" s="5" t="str">
        <f>IF(TRIM(J2501)="","",H2501)</f>
        <v/>
      </c>
      <c r="C2501" s="5" t="str">
        <f>LEFT(F2501,FIND(".",F2501,6))</f>
        <v>Xmp.dwc.</v>
      </c>
      <c r="D2501" s="5" t="str">
        <f>VLOOKUP(C2501,PrefixUebersetzung,2,FALSE)</f>
        <v>Xmp.dwc.</v>
      </c>
      <c r="E2501" s="5" t="str">
        <f>MID(F2501,FIND(".",F2501,6)+1,99)</f>
        <v>latestAgeOrHighestStage</v>
      </c>
      <c r="F2501" s="2" t="s">
        <v>7348</v>
      </c>
      <c r="G2501" s="5" t="s">
        <v>9678</v>
      </c>
      <c r="H2501" s="3" t="s">
        <v>7349</v>
      </c>
      <c r="I2501" s="7"/>
      <c r="K2501" s="26"/>
      <c r="N2501" s="6"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c r="O2501" s="6" t="s">
        <v>8574</v>
      </c>
      <c r="P2501" s="6" t="s">
        <v>8574</v>
      </c>
    </row>
    <row r="2502" spans="1:16" ht="105" x14ac:dyDescent="0.25">
      <c r="A2502" s="5" t="str">
        <f>IF(TRIM(I2502)="","",E2502)</f>
        <v>latestDate</v>
      </c>
      <c r="B2502" s="5" t="str">
        <f>IF(TRIM(J2502)="","",H2502)</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2502" s="5" t="str">
        <f>LEFT(F2502,FIND(".",F2502,6))</f>
        <v>Xmp.dwc.</v>
      </c>
      <c r="D2502" s="5" t="str">
        <f>VLOOKUP(C2502,PrefixUebersetzung,2,FALSE)</f>
        <v>Xmp.dwc.</v>
      </c>
      <c r="E2502" s="5" t="str">
        <f>MID(F2502,FIND(".",F2502,6)+1,99)</f>
        <v>latestDate</v>
      </c>
      <c r="F2502" s="2" t="s">
        <v>7350</v>
      </c>
      <c r="G2502" s="5" t="s">
        <v>9678</v>
      </c>
      <c r="H2502" s="3" t="s">
        <v>9644</v>
      </c>
      <c r="I2502" s="7" t="s">
        <v>7858</v>
      </c>
      <c r="J2502" s="14" t="s">
        <v>8937</v>
      </c>
      <c r="K2502" s="26"/>
      <c r="N2502" s="6"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c r="O2502" s="6" t="s">
        <v>8574</v>
      </c>
      <c r="P2502" s="6" t="s">
        <v>8574</v>
      </c>
    </row>
    <row r="2503" spans="1:16" ht="75" x14ac:dyDescent="0.25">
      <c r="A2503" s="5" t="str">
        <f>IF(TRIM(I2503)="","",E2503)</f>
        <v/>
      </c>
      <c r="B2503" s="5" t="str">
        <f>IF(TRIM(J2503)="","",H2503)</f>
        <v/>
      </c>
      <c r="C2503" s="5" t="str">
        <f>LEFT(F2503,FIND(".",F2503,6))</f>
        <v>Xmp.dwc.</v>
      </c>
      <c r="D2503" s="5" t="str">
        <f>VLOOKUP(C2503,PrefixUebersetzung,2,FALSE)</f>
        <v>Xmp.dwc.</v>
      </c>
      <c r="E2503" s="5" t="str">
        <f>MID(F2503,FIND(".",F2503,6)+1,99)</f>
        <v>latestEonOrHighestEonothem</v>
      </c>
      <c r="F2503" s="2" t="s">
        <v>7351</v>
      </c>
      <c r="G2503" s="5" t="s">
        <v>9678</v>
      </c>
      <c r="H2503" s="3" t="s">
        <v>7352</v>
      </c>
      <c r="I2503" s="7"/>
      <c r="K2503" s="26"/>
      <c r="N2503" s="6"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c r="O2503" s="6" t="s">
        <v>8574</v>
      </c>
      <c r="P2503" s="6" t="s">
        <v>8574</v>
      </c>
    </row>
    <row r="2504" spans="1:16" ht="60" x14ac:dyDescent="0.25">
      <c r="A2504" s="5" t="str">
        <f>IF(TRIM(I2504)="","",E2504)</f>
        <v/>
      </c>
      <c r="B2504" s="5" t="str">
        <f>IF(TRIM(J2504)="","",H2504)</f>
        <v/>
      </c>
      <c r="C2504" s="5" t="str">
        <f>LEFT(F2504,FIND(".",F2504,6))</f>
        <v>Xmp.dwc.</v>
      </c>
      <c r="D2504" s="5" t="str">
        <f>VLOOKUP(C2504,PrefixUebersetzung,2,FALSE)</f>
        <v>Xmp.dwc.</v>
      </c>
      <c r="E2504" s="5" t="str">
        <f>MID(F2504,FIND(".",F2504,6)+1,99)</f>
        <v>latestEpochOrHighestSeries</v>
      </c>
      <c r="F2504" s="2" t="s">
        <v>7353</v>
      </c>
      <c r="G2504" s="5" t="s">
        <v>9678</v>
      </c>
      <c r="H2504" s="3" t="s">
        <v>7354</v>
      </c>
      <c r="I2504" s="7"/>
      <c r="K2504" s="26"/>
      <c r="N2504" s="6"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c r="O2504" s="6" t="s">
        <v>8574</v>
      </c>
      <c r="P2504" s="6" t="s">
        <v>8574</v>
      </c>
    </row>
    <row r="2505" spans="1:16" ht="60" x14ac:dyDescent="0.25">
      <c r="A2505" s="5" t="str">
        <f>IF(TRIM(I2505)="","",E2505)</f>
        <v/>
      </c>
      <c r="B2505" s="5" t="str">
        <f>IF(TRIM(J2505)="","",H2505)</f>
        <v/>
      </c>
      <c r="C2505" s="5" t="str">
        <f>LEFT(F2505,FIND(".",F2505,6))</f>
        <v>Xmp.dwc.</v>
      </c>
      <c r="D2505" s="5" t="str">
        <f>VLOOKUP(C2505,PrefixUebersetzung,2,FALSE)</f>
        <v>Xmp.dwc.</v>
      </c>
      <c r="E2505" s="5" t="str">
        <f>MID(F2505,FIND(".",F2505,6)+1,99)</f>
        <v>latestEraOrHighestErathem</v>
      </c>
      <c r="F2505" s="2" t="s">
        <v>7355</v>
      </c>
      <c r="G2505" s="5" t="s">
        <v>9678</v>
      </c>
      <c r="H2505" s="3" t="s">
        <v>7356</v>
      </c>
      <c r="I2505" s="7"/>
      <c r="K2505" s="26"/>
      <c r="N2505" s="6"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Description not translated </v>
      </c>
      <c r="O2505" s="6" t="s">
        <v>8574</v>
      </c>
      <c r="P2505" s="6" t="s">
        <v>8574</v>
      </c>
    </row>
    <row r="2506" spans="1:16" ht="60" x14ac:dyDescent="0.25">
      <c r="A2506" s="5" t="str">
        <f>IF(TRIM(I2506)="","",E2506)</f>
        <v/>
      </c>
      <c r="B2506" s="5" t="str">
        <f>IF(TRIM(J2506)="","",H2506)</f>
        <v/>
      </c>
      <c r="C2506" s="5" t="str">
        <f>LEFT(F2506,FIND(".",F2506,6))</f>
        <v>Xmp.dwc.</v>
      </c>
      <c r="D2506" s="5" t="str">
        <f>VLOOKUP(C2506,PrefixUebersetzung,2,FALSE)</f>
        <v>Xmp.dwc.</v>
      </c>
      <c r="E2506" s="5" t="str">
        <f>MID(F2506,FIND(".",F2506,6)+1,99)</f>
        <v>latestPeriodOrHighestSystem</v>
      </c>
      <c r="F2506" s="2" t="s">
        <v>7357</v>
      </c>
      <c r="G2506" s="5" t="s">
        <v>9678</v>
      </c>
      <c r="H2506" s="3" t="s">
        <v>7358</v>
      </c>
      <c r="I2506" s="7"/>
      <c r="K2506" s="26"/>
      <c r="N2506" s="6"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c r="O2506" s="6" t="s">
        <v>8574</v>
      </c>
      <c r="P2506" s="6" t="s">
        <v>8574</v>
      </c>
    </row>
    <row r="2507" spans="1:16" ht="60" x14ac:dyDescent="0.25">
      <c r="A2507" s="5" t="str">
        <f>IF(TRIM(I2507)="","",E2507)</f>
        <v>lifeStage</v>
      </c>
      <c r="B2507" s="5" t="str">
        <f>IF(TRIM(J2507)="","",H2507)</f>
        <v>The age class or life stage of the biological individual(s) at the time the Occurrence was recorded. Recommended best practice is to use a controlled vocabulary.</v>
      </c>
      <c r="C2507" s="5" t="str">
        <f>LEFT(F2507,FIND(".",F2507,6))</f>
        <v>Xmp.dwc.</v>
      </c>
      <c r="D2507" s="5" t="str">
        <f>VLOOKUP(C2507,PrefixUebersetzung,2,FALSE)</f>
        <v>Xmp.dwc.</v>
      </c>
      <c r="E2507" s="5" t="str">
        <f>MID(F2507,FIND(".",F2507,6)+1,99)</f>
        <v>lifeStage</v>
      </c>
      <c r="F2507" s="2" t="s">
        <v>7359</v>
      </c>
      <c r="G2507" s="5" t="s">
        <v>9678</v>
      </c>
      <c r="H2507" s="3" t="s">
        <v>7360</v>
      </c>
      <c r="I2507" s="7" t="s">
        <v>7859</v>
      </c>
      <c r="J2507" s="14" t="s">
        <v>8938</v>
      </c>
      <c r="K2507" s="26"/>
      <c r="N2507" s="6"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c r="O2507" s="6" t="s">
        <v>8574</v>
      </c>
      <c r="P2507" s="6" t="s">
        <v>8574</v>
      </c>
    </row>
    <row r="2508" spans="1:16" ht="30" x14ac:dyDescent="0.25">
      <c r="A2508" s="5" t="str">
        <f>IF(TRIM(I2508)="","",E2508)</f>
        <v/>
      </c>
      <c r="B2508" s="5" t="str">
        <f>IF(TRIM(J2508)="","",H2508)</f>
        <v/>
      </c>
      <c r="C2508" s="5" t="str">
        <f>LEFT(F2508,FIND(".",F2508,6))</f>
        <v>Xmp.dwc.</v>
      </c>
      <c r="D2508" s="5" t="str">
        <f>VLOOKUP(C2508,PrefixUebersetzung,2,FALSE)</f>
        <v>Xmp.dwc.</v>
      </c>
      <c r="E2508" s="5" t="str">
        <f>MID(F2508,FIND(".",F2508,6)+1,99)</f>
        <v>lithostratigraphicTerms</v>
      </c>
      <c r="F2508" s="2" t="s">
        <v>7361</v>
      </c>
      <c r="G2508" s="5" t="s">
        <v>9678</v>
      </c>
      <c r="H2508" s="3" t="s">
        <v>7362</v>
      </c>
      <c r="I2508" s="7"/>
      <c r="K2508" s="26"/>
      <c r="N2508" s="6"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xml:space="preserve">Suffix not translated Description not translated </v>
      </c>
      <c r="O2508" s="6" t="s">
        <v>8574</v>
      </c>
      <c r="P2508" s="6" t="s">
        <v>8574</v>
      </c>
    </row>
    <row r="2509" spans="1:16" ht="30" x14ac:dyDescent="0.25">
      <c r="A2509" s="5" t="str">
        <f>IF(TRIM(I2509)="","",E2509)</f>
        <v/>
      </c>
      <c r="B2509" s="5" t="str">
        <f>IF(TRIM(J2509)="","",H2509)</f>
        <v/>
      </c>
      <c r="C2509" s="5" t="str">
        <f>LEFT(F2509,FIND(".",F2509,6))</f>
        <v>Xmp.dwc.</v>
      </c>
      <c r="D2509" s="5" t="str">
        <f>VLOOKUP(C2509,PrefixUebersetzung,2,FALSE)</f>
        <v>Xmp.dwc.</v>
      </c>
      <c r="E2509" s="5" t="str">
        <f>MID(F2509,FIND(".",F2509,6)+1,99)</f>
        <v>LivingSpecimen</v>
      </c>
      <c r="F2509" s="2" t="s">
        <v>7363</v>
      </c>
      <c r="G2509" s="5" t="s">
        <v>9678</v>
      </c>
      <c r="H2509" s="3" t="s">
        <v>7364</v>
      </c>
      <c r="I2509" s="7"/>
      <c r="K2509" s="26"/>
      <c r="N2509" s="6"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c r="O2509" s="6" t="s">
        <v>8574</v>
      </c>
      <c r="P2509" s="6" t="s">
        <v>8574</v>
      </c>
    </row>
    <row r="2510" spans="1:16" ht="135" x14ac:dyDescent="0.25">
      <c r="A2510" s="5" t="str">
        <f>IF(TRIM(I2510)="","",E2510)</f>
        <v>locality</v>
      </c>
      <c r="B2510" s="5" t="str">
        <f>IF(TRIM(J2510)="","",H2510)</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2510" s="5" t="str">
        <f>LEFT(F2510,FIND(".",F2510,6))</f>
        <v>Xmp.dwc.</v>
      </c>
      <c r="D2510" s="5" t="str">
        <f>VLOOKUP(C2510,PrefixUebersetzung,2,FALSE)</f>
        <v>Xmp.dwc.</v>
      </c>
      <c r="E2510" s="5" t="str">
        <f>MID(F2510,FIND(".",F2510,6)+1,99)</f>
        <v>locality</v>
      </c>
      <c r="F2510" s="2" t="s">
        <v>7365</v>
      </c>
      <c r="G2510" s="5" t="s">
        <v>9678</v>
      </c>
      <c r="H2510" s="3" t="s">
        <v>7366</v>
      </c>
      <c r="I2510" s="7" t="s">
        <v>7715</v>
      </c>
      <c r="J2510" s="14" t="s">
        <v>8773</v>
      </c>
      <c r="K2510" s="26"/>
      <c r="N2510" s="6"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c r="O2510" s="6" t="s">
        <v>8574</v>
      </c>
      <c r="P2510" s="6" t="s">
        <v>8574</v>
      </c>
    </row>
    <row r="2511" spans="1:16" ht="60" x14ac:dyDescent="0.25">
      <c r="A2511" s="5" t="str">
        <f>IF(TRIM(I2511)="","",E2511)</f>
        <v>locationAccordingTo</v>
      </c>
      <c r="B2511" s="5" t="str">
        <f>IF(TRIM(J2511)="","",H2511)</f>
        <v>Information about the source of this Location information. Could be a publication (gazetteer), institution, or team of individuals.</v>
      </c>
      <c r="C2511" s="5" t="str">
        <f>LEFT(F2511,FIND(".",F2511,6))</f>
        <v>Xmp.dwc.</v>
      </c>
      <c r="D2511" s="5" t="str">
        <f>VLOOKUP(C2511,PrefixUebersetzung,2,FALSE)</f>
        <v>Xmp.dwc.</v>
      </c>
      <c r="E2511" s="5" t="str">
        <f>MID(F2511,FIND(".",F2511,6)+1,99)</f>
        <v>locationAccordingTo</v>
      </c>
      <c r="F2511" s="2" t="s">
        <v>7367</v>
      </c>
      <c r="G2511" s="5" t="s">
        <v>9678</v>
      </c>
      <c r="H2511" s="3" t="s">
        <v>7368</v>
      </c>
      <c r="I2511" s="7" t="s">
        <v>7712</v>
      </c>
      <c r="J2511" s="14" t="s">
        <v>8939</v>
      </c>
      <c r="K2511" s="26"/>
      <c r="N2511" s="6"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c>
      <c r="O2511" s="6" t="s">
        <v>8574</v>
      </c>
      <c r="P2511" s="6" t="s">
        <v>8574</v>
      </c>
    </row>
    <row r="2512" spans="1:16" ht="60" x14ac:dyDescent="0.25">
      <c r="A2512" s="5" t="str">
        <f>IF(TRIM(I2512)="","",E2512)</f>
        <v>locationID</v>
      </c>
      <c r="B2512" s="5" t="str">
        <f>IF(TRIM(J2512)="","",H2512)</f>
        <v>An identifier for the set of location information (data associated with Location). May be a global unique identifier or an identifier specific to the data set.</v>
      </c>
      <c r="C2512" s="5" t="str">
        <f>LEFT(F2512,FIND(".",F2512,6))</f>
        <v>Xmp.dwc.</v>
      </c>
      <c r="D2512" s="5" t="str">
        <f>VLOOKUP(C2512,PrefixUebersetzung,2,FALSE)</f>
        <v>Xmp.dwc.</v>
      </c>
      <c r="E2512" s="5" t="str">
        <f>MID(F2512,FIND(".",F2512,6)+1,99)</f>
        <v>locationID</v>
      </c>
      <c r="F2512" s="2" t="s">
        <v>7369</v>
      </c>
      <c r="G2512" s="5" t="s">
        <v>9678</v>
      </c>
      <c r="H2512" s="3" t="s">
        <v>7370</v>
      </c>
      <c r="I2512" s="7" t="s">
        <v>7713</v>
      </c>
      <c r="J2512" s="14" t="s">
        <v>8940</v>
      </c>
      <c r="K2512" s="26"/>
      <c r="N2512" s="6"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c>
      <c r="O2512" s="6" t="s">
        <v>8574</v>
      </c>
      <c r="P2512" s="6" t="s">
        <v>8574</v>
      </c>
    </row>
    <row r="2513" spans="1:16" x14ac:dyDescent="0.25">
      <c r="A2513" s="5" t="str">
        <f>IF(TRIM(I2513)="","",E2513)</f>
        <v>locationRemarks</v>
      </c>
      <c r="B2513" s="5" t="str">
        <f>IF(TRIM(J2513)="","",H2513)</f>
        <v>Comments or notes about the Location.</v>
      </c>
      <c r="C2513" s="5" t="str">
        <f>LEFT(F2513,FIND(".",F2513,6))</f>
        <v>Xmp.dwc.</v>
      </c>
      <c r="D2513" s="5" t="str">
        <f>VLOOKUP(C2513,PrefixUebersetzung,2,FALSE)</f>
        <v>Xmp.dwc.</v>
      </c>
      <c r="E2513" s="5" t="str">
        <f>MID(F2513,FIND(".",F2513,6)+1,99)</f>
        <v>locationRemarks</v>
      </c>
      <c r="F2513" s="2" t="s">
        <v>7371</v>
      </c>
      <c r="G2513" s="5" t="s">
        <v>9678</v>
      </c>
      <c r="H2513" s="3" t="s">
        <v>7372</v>
      </c>
      <c r="I2513" s="7" t="s">
        <v>7714</v>
      </c>
      <c r="J2513" s="14" t="s">
        <v>8774</v>
      </c>
      <c r="K2513" s="26"/>
      <c r="N2513" s="6"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c r="O2513" s="6" t="s">
        <v>8574</v>
      </c>
      <c r="P2513" s="6" t="s">
        <v>8574</v>
      </c>
    </row>
    <row r="2514" spans="1:16" ht="45" x14ac:dyDescent="0.25">
      <c r="A2514" s="5" t="str">
        <f>IF(TRIM(I2514)="","",E2514)</f>
        <v/>
      </c>
      <c r="B2514" s="5" t="str">
        <f>IF(TRIM(J2514)="","",H2514)</f>
        <v/>
      </c>
      <c r="C2514" s="5" t="str">
        <f>LEFT(F2514,FIND(".",F2514,6))</f>
        <v>Xmp.dwc.</v>
      </c>
      <c r="D2514" s="5" t="str">
        <f>VLOOKUP(C2514,PrefixUebersetzung,2,FALSE)</f>
        <v>Xmp.dwc.</v>
      </c>
      <c r="E2514" s="5" t="str">
        <f>MID(F2514,FIND(".",F2514,6)+1,99)</f>
        <v>lowestBiostratigraphicZone</v>
      </c>
      <c r="F2514" s="2" t="s">
        <v>7373</v>
      </c>
      <c r="G2514" s="5" t="s">
        <v>9678</v>
      </c>
      <c r="H2514" s="3" t="s">
        <v>7374</v>
      </c>
      <c r="I2514" s="7"/>
      <c r="K2514" s="26"/>
      <c r="N2514" s="6"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Suffix not translated Description not translated </v>
      </c>
      <c r="O2514" s="6" t="s">
        <v>8574</v>
      </c>
      <c r="P2514" s="6" t="s">
        <v>8574</v>
      </c>
    </row>
    <row r="2515" spans="1:16" ht="30" x14ac:dyDescent="0.25">
      <c r="A2515" s="5" t="str">
        <f>IF(TRIM(I2515)="","",E2515)</f>
        <v/>
      </c>
      <c r="B2515" s="5" t="str">
        <f>IF(TRIM(J2515)="","",H2515)</f>
        <v/>
      </c>
      <c r="C2515" s="5" t="str">
        <f>LEFT(F2515,FIND(".",F2515,6))</f>
        <v>Xmp.dwc.</v>
      </c>
      <c r="D2515" s="5" t="str">
        <f>VLOOKUP(C2515,PrefixUebersetzung,2,FALSE)</f>
        <v>Xmp.dwc.</v>
      </c>
      <c r="E2515" s="5" t="str">
        <f>MID(F2515,FIND(".",F2515,6)+1,99)</f>
        <v>MachineObservation</v>
      </c>
      <c r="F2515" s="2" t="s">
        <v>7375</v>
      </c>
      <c r="G2515" s="5" t="s">
        <v>9678</v>
      </c>
      <c r="H2515" s="3" t="s">
        <v>7376</v>
      </c>
      <c r="I2515" s="7"/>
      <c r="K2515" s="26"/>
      <c r="N2515" s="6"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xml:space="preserve">Suffix not translated Description not translated </v>
      </c>
      <c r="O2515" s="6" t="s">
        <v>8574</v>
      </c>
      <c r="P2515" s="6" t="s">
        <v>8574</v>
      </c>
    </row>
    <row r="2516" spans="1:16" ht="30" x14ac:dyDescent="0.25">
      <c r="A2516" s="5" t="str">
        <f>IF(TRIM(I2516)="","",E2516)</f>
        <v>MaterialSample</v>
      </c>
      <c r="B2516" s="5" t="str">
        <f>IF(TRIM(J2516)="","",H2516)</f>
        <v/>
      </c>
      <c r="C2516" s="5" t="str">
        <f>LEFT(F2516,FIND(".",F2516,6))</f>
        <v>Xmp.dwc.</v>
      </c>
      <c r="D2516" s="5" t="str">
        <f>VLOOKUP(C2516,PrefixUebersetzung,2,FALSE)</f>
        <v>Xmp.dwc.</v>
      </c>
      <c r="E2516" s="5" t="str">
        <f>MID(F2516,FIND(".",F2516,6)+1,99)</f>
        <v>MaterialSample</v>
      </c>
      <c r="F2516" s="2" t="s">
        <v>7377</v>
      </c>
      <c r="G2516" s="5" t="s">
        <v>9678</v>
      </c>
      <c r="H2516" s="3" t="s">
        <v>7378</v>
      </c>
      <c r="I2516" s="7" t="s">
        <v>7800</v>
      </c>
      <c r="K2516" s="26"/>
      <c r="N2516" s="6"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xml:space="preserve">Description not translated </v>
      </c>
      <c r="O2516" s="6" t="s">
        <v>8574</v>
      </c>
      <c r="P2516" s="6" t="s">
        <v>8574</v>
      </c>
    </row>
    <row r="2517" spans="1:16" ht="90" x14ac:dyDescent="0.25">
      <c r="A2517" s="5" t="str">
        <f>IF(TRIM(I2517)="","",E2517)</f>
        <v>materialSampleID</v>
      </c>
      <c r="B2517" s="5" t="str">
        <f>IF(TRIM(J2517)="","",H2517)</f>
        <v/>
      </c>
      <c r="C2517" s="5" t="str">
        <f>LEFT(F2517,FIND(".",F2517,6))</f>
        <v>Xmp.dwc.</v>
      </c>
      <c r="D2517" s="5" t="str">
        <f>VLOOKUP(C2517,PrefixUebersetzung,2,FALSE)</f>
        <v>Xmp.dwc.</v>
      </c>
      <c r="E2517" s="5" t="str">
        <f>MID(F2517,FIND(".",F2517,6)+1,99)</f>
        <v>materialSampleID</v>
      </c>
      <c r="F2517" s="2" t="s">
        <v>7379</v>
      </c>
      <c r="G2517" s="5" t="s">
        <v>9678</v>
      </c>
      <c r="H2517" s="3" t="s">
        <v>7380</v>
      </c>
      <c r="I2517" s="7" t="s">
        <v>7801</v>
      </c>
      <c r="K2517" s="26"/>
      <c r="N2517" s="6"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xml:space="preserve">Description not translated </v>
      </c>
      <c r="O2517" s="6" t="s">
        <v>8574</v>
      </c>
      <c r="P2517" s="6" t="s">
        <v>8574</v>
      </c>
    </row>
    <row r="2518" spans="1:16" ht="30" x14ac:dyDescent="0.25">
      <c r="A2518" s="5" t="str">
        <f>IF(TRIM(I2518)="","",E2518)</f>
        <v>maximumDepthInMeters</v>
      </c>
      <c r="B2518" s="5" t="str">
        <f>IF(TRIM(J2518)="","",H2518)</f>
        <v>The greater depth of a range of depth below the local surface, in meters.</v>
      </c>
      <c r="C2518" s="5" t="str">
        <f>LEFT(F2518,FIND(".",F2518,6))</f>
        <v>Xmp.dwc.</v>
      </c>
      <c r="D2518" s="5" t="str">
        <f>VLOOKUP(C2518,PrefixUebersetzung,2,FALSE)</f>
        <v>Xmp.dwc.</v>
      </c>
      <c r="E2518" s="5" t="str">
        <f>MID(F2518,FIND(".",F2518,6)+1,99)</f>
        <v>maximumDepthInMeters</v>
      </c>
      <c r="F2518" s="2" t="s">
        <v>7381</v>
      </c>
      <c r="G2518" s="5" t="s">
        <v>9678</v>
      </c>
      <c r="H2518" s="3" t="s">
        <v>7382</v>
      </c>
      <c r="I2518" s="7" t="s">
        <v>7802</v>
      </c>
      <c r="J2518" s="14" t="s">
        <v>8777</v>
      </c>
      <c r="K2518" s="26"/>
      <c r="N2518" s="6"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c r="O2518" s="6" t="s">
        <v>8574</v>
      </c>
      <c r="P2518" s="6" t="s">
        <v>8574</v>
      </c>
    </row>
    <row r="2519" spans="1:16" ht="105" x14ac:dyDescent="0.25">
      <c r="A2519" s="5" t="str">
        <f>IF(TRIM(I2519)="","",E2519)</f>
        <v>maximumDistanceAboveSurfaceInMeters</v>
      </c>
      <c r="B2519" s="5" t="str">
        <f>IF(TRIM(J2519)="","",H2519)</f>
        <v/>
      </c>
      <c r="C2519" s="5" t="str">
        <f>LEFT(F2519,FIND(".",F2519,6))</f>
        <v>Xmp.dwc.</v>
      </c>
      <c r="D2519" s="5" t="str">
        <f>VLOOKUP(C2519,PrefixUebersetzung,2,FALSE)</f>
        <v>Xmp.dwc.</v>
      </c>
      <c r="E2519" s="5" t="str">
        <f>MID(F2519,FIND(".",F2519,6)+1,99)</f>
        <v>maximumDistanceAboveSurfaceInMeters</v>
      </c>
      <c r="F2519" s="2" t="s">
        <v>7383</v>
      </c>
      <c r="G2519" s="5" t="s">
        <v>9678</v>
      </c>
      <c r="H2519" s="3" t="s">
        <v>7384</v>
      </c>
      <c r="I2519" s="7" t="s">
        <v>7803</v>
      </c>
      <c r="K2519" s="26"/>
      <c r="N2519" s="6"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Description not translated </v>
      </c>
      <c r="O2519" s="6" t="s">
        <v>8574</v>
      </c>
      <c r="P2519" s="6" t="s">
        <v>8574</v>
      </c>
    </row>
    <row r="2520" spans="1:16" ht="30" x14ac:dyDescent="0.25">
      <c r="A2520" s="5" t="str">
        <f>IF(TRIM(I2520)="","",E2520)</f>
        <v>maximumElevationInMeters</v>
      </c>
      <c r="B2520" s="5" t="str">
        <f>IF(TRIM(J2520)="","",H2520)</f>
        <v/>
      </c>
      <c r="C2520" s="5" t="str">
        <f>LEFT(F2520,FIND(".",F2520,6))</f>
        <v>Xmp.dwc.</v>
      </c>
      <c r="D2520" s="5" t="str">
        <f>VLOOKUP(C2520,PrefixUebersetzung,2,FALSE)</f>
        <v>Xmp.dwc.</v>
      </c>
      <c r="E2520" s="5" t="str">
        <f>MID(F2520,FIND(".",F2520,6)+1,99)</f>
        <v>maximumElevationInMeters</v>
      </c>
      <c r="F2520" s="2" t="s">
        <v>7385</v>
      </c>
      <c r="G2520" s="5" t="s">
        <v>9678</v>
      </c>
      <c r="H2520" s="3" t="s">
        <v>7386</v>
      </c>
      <c r="I2520" s="7" t="s">
        <v>7804</v>
      </c>
      <c r="K2520" s="26"/>
      <c r="N2520" s="6"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xml:space="preserve">Description not translated </v>
      </c>
      <c r="O2520" s="6" t="s">
        <v>8574</v>
      </c>
      <c r="P2520" s="6" t="s">
        <v>8574</v>
      </c>
    </row>
    <row r="2521" spans="1:16" ht="30" x14ac:dyDescent="0.25">
      <c r="A2521" s="5" t="str">
        <f>IF(TRIM(I2521)="","",E2521)</f>
        <v>measurementAccuracy</v>
      </c>
      <c r="B2521" s="5" t="str">
        <f>IF(TRIM(J2521)="","",H2521)</f>
        <v/>
      </c>
      <c r="C2521" s="5" t="str">
        <f>LEFT(F2521,FIND(".",F2521,6))</f>
        <v>Xmp.dwc.</v>
      </c>
      <c r="D2521" s="5" t="str">
        <f>VLOOKUP(C2521,PrefixUebersetzung,2,FALSE)</f>
        <v>Xmp.dwc.</v>
      </c>
      <c r="E2521" s="5" t="str">
        <f>MID(F2521,FIND(".",F2521,6)+1,99)</f>
        <v>measurementAccuracy</v>
      </c>
      <c r="F2521" s="2" t="s">
        <v>7387</v>
      </c>
      <c r="G2521" s="5" t="s">
        <v>9678</v>
      </c>
      <c r="H2521" s="3" t="s">
        <v>7388</v>
      </c>
      <c r="I2521" s="7" t="s">
        <v>7805</v>
      </c>
      <c r="K2521" s="26"/>
      <c r="N2521" s="6"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Description not translated </v>
      </c>
      <c r="O2521" s="6" t="s">
        <v>8574</v>
      </c>
      <c r="P2521" s="6" t="s">
        <v>8574</v>
      </c>
    </row>
    <row r="2522" spans="1:16" ht="45" x14ac:dyDescent="0.25">
      <c r="A2522" s="5" t="str">
        <f>IF(TRIM(I2522)="","",E2522)</f>
        <v>measurementDeterminedBy</v>
      </c>
      <c r="B2522" s="5" t="str">
        <f>IF(TRIM(J2522)="","",H2522)</f>
        <v/>
      </c>
      <c r="C2522" s="5" t="str">
        <f>LEFT(F2522,FIND(".",F2522,6))</f>
        <v>Xmp.dwc.</v>
      </c>
      <c r="D2522" s="5" t="str">
        <f>VLOOKUP(C2522,PrefixUebersetzung,2,FALSE)</f>
        <v>Xmp.dwc.</v>
      </c>
      <c r="E2522" s="5" t="str">
        <f>MID(F2522,FIND(".",F2522,6)+1,99)</f>
        <v>measurementDeterminedBy</v>
      </c>
      <c r="F2522" s="2" t="s">
        <v>7389</v>
      </c>
      <c r="G2522" s="5" t="s">
        <v>9679</v>
      </c>
      <c r="H2522" s="3" t="s">
        <v>7390</v>
      </c>
      <c r="I2522" s="7" t="s">
        <v>7806</v>
      </c>
      <c r="K2522" s="26"/>
      <c r="N2522" s="6"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Description not translated </v>
      </c>
      <c r="O2522" s="6" t="s">
        <v>8574</v>
      </c>
      <c r="P2522" s="6" t="s">
        <v>8574</v>
      </c>
    </row>
    <row r="2523" spans="1:16" ht="45" x14ac:dyDescent="0.25">
      <c r="A2523" s="5" t="str">
        <f>IF(TRIM(I2523)="","",E2523)</f>
        <v>measurementDeterminedDate</v>
      </c>
      <c r="B2523" s="5" t="str">
        <f>IF(TRIM(J2523)="","",H2523)</f>
        <v/>
      </c>
      <c r="C2523" s="5" t="str">
        <f>LEFT(F2523,FIND(".",F2523,6))</f>
        <v>Xmp.dwc.</v>
      </c>
      <c r="D2523" s="5" t="str">
        <f>VLOOKUP(C2523,PrefixUebersetzung,2,FALSE)</f>
        <v>Xmp.dwc.</v>
      </c>
      <c r="E2523" s="5" t="str">
        <f>MID(F2523,FIND(".",F2523,6)+1,99)</f>
        <v>measurementDeterminedDate</v>
      </c>
      <c r="F2523" s="2" t="s">
        <v>7391</v>
      </c>
      <c r="G2523" s="5" t="s">
        <v>9678</v>
      </c>
      <c r="H2523" s="3" t="s">
        <v>7392</v>
      </c>
      <c r="I2523" s="7" t="s">
        <v>7807</v>
      </c>
      <c r="K2523" s="26"/>
      <c r="N2523" s="6"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Description not translated </v>
      </c>
      <c r="O2523" s="6" t="s">
        <v>8574</v>
      </c>
      <c r="P2523" s="6" t="s">
        <v>8574</v>
      </c>
    </row>
    <row r="2524" spans="1:16" ht="60" x14ac:dyDescent="0.25">
      <c r="A2524" s="5" t="str">
        <f>IF(TRIM(I2524)="","",E2524)</f>
        <v>measurementID</v>
      </c>
      <c r="B2524" s="5" t="str">
        <f>IF(TRIM(J2524)="","",H2524)</f>
        <v/>
      </c>
      <c r="C2524" s="5" t="str">
        <f>LEFT(F2524,FIND(".",F2524,6))</f>
        <v>Xmp.dwc.</v>
      </c>
      <c r="D2524" s="5" t="str">
        <f>VLOOKUP(C2524,PrefixUebersetzung,2,FALSE)</f>
        <v>Xmp.dwc.</v>
      </c>
      <c r="E2524" s="5" t="str">
        <f>MID(F2524,FIND(".",F2524,6)+1,99)</f>
        <v>measurementID</v>
      </c>
      <c r="F2524" s="2" t="s">
        <v>7393</v>
      </c>
      <c r="G2524" s="5" t="s">
        <v>9678</v>
      </c>
      <c r="H2524" s="3" t="s">
        <v>7394</v>
      </c>
      <c r="I2524" s="7" t="s">
        <v>7808</v>
      </c>
      <c r="K2524" s="26"/>
      <c r="N2524" s="6"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Description not translated </v>
      </c>
      <c r="O2524" s="6" t="s">
        <v>8574</v>
      </c>
      <c r="P2524" s="6" t="s">
        <v>8574</v>
      </c>
    </row>
    <row r="2525" spans="1:16" ht="45" x14ac:dyDescent="0.25">
      <c r="A2525" s="5" t="str">
        <f>IF(TRIM(I2525)="","",E2525)</f>
        <v>measurementMethod</v>
      </c>
      <c r="B2525" s="5" t="str">
        <f>IF(TRIM(J2525)="","",H2525)</f>
        <v/>
      </c>
      <c r="C2525" s="5" t="str">
        <f>LEFT(F2525,FIND(".",F2525,6))</f>
        <v>Xmp.dwc.</v>
      </c>
      <c r="D2525" s="5" t="str">
        <f>VLOOKUP(C2525,PrefixUebersetzung,2,FALSE)</f>
        <v>Xmp.dwc.</v>
      </c>
      <c r="E2525" s="5" t="str">
        <f>MID(F2525,FIND(".",F2525,6)+1,99)</f>
        <v>measurementMethod</v>
      </c>
      <c r="F2525" s="2" t="s">
        <v>7395</v>
      </c>
      <c r="G2525" s="5" t="s">
        <v>9678</v>
      </c>
      <c r="H2525" s="3" t="s">
        <v>7396</v>
      </c>
      <c r="I2525" s="7" t="s">
        <v>3920</v>
      </c>
      <c r="K2525" s="26"/>
      <c r="N2525" s="6"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xml:space="preserve">Description not translated </v>
      </c>
      <c r="O2525" s="6" t="s">
        <v>8574</v>
      </c>
      <c r="P2525" s="6" t="s">
        <v>8574</v>
      </c>
    </row>
    <row r="2526" spans="1:16" ht="30" x14ac:dyDescent="0.25">
      <c r="A2526" s="5" t="str">
        <f>IF(TRIM(I2526)="","",E2526)</f>
        <v>MeasurementOrFact</v>
      </c>
      <c r="B2526" s="5" t="str">
        <f>IF(TRIM(J2526)="","",H2526)</f>
        <v/>
      </c>
      <c r="C2526" s="5" t="str">
        <f>LEFT(F2526,FIND(".",F2526,6))</f>
        <v>Xmp.dwc.</v>
      </c>
      <c r="D2526" s="5" t="str">
        <f>VLOOKUP(C2526,PrefixUebersetzung,2,FALSE)</f>
        <v>Xmp.dwc.</v>
      </c>
      <c r="E2526" s="5" t="str">
        <f>MID(F2526,FIND(".",F2526,6)+1,99)</f>
        <v>MeasurementOrFact</v>
      </c>
      <c r="F2526" s="2" t="s">
        <v>7397</v>
      </c>
      <c r="G2526" s="5" t="s">
        <v>9678</v>
      </c>
      <c r="H2526" s="3" t="s">
        <v>7398</v>
      </c>
      <c r="I2526" s="7" t="s">
        <v>7809</v>
      </c>
      <c r="K2526" s="26"/>
      <c r="N2526" s="6"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Description not translated </v>
      </c>
      <c r="O2526" s="6" t="s">
        <v>8574</v>
      </c>
      <c r="P2526" s="6" t="s">
        <v>8574</v>
      </c>
    </row>
    <row r="2527" spans="1:16" ht="30" x14ac:dyDescent="0.25">
      <c r="A2527" s="5" t="str">
        <f>IF(TRIM(I2527)="","",E2527)</f>
        <v>measurementRemarks</v>
      </c>
      <c r="B2527" s="5" t="str">
        <f>IF(TRIM(J2527)="","",H2527)</f>
        <v>Comments or notes accompanying the MeasurementOrFact.</v>
      </c>
      <c r="C2527" s="5" t="str">
        <f>LEFT(F2527,FIND(".",F2527,6))</f>
        <v>Xmp.dwc.</v>
      </c>
      <c r="D2527" s="5" t="str">
        <f>VLOOKUP(C2527,PrefixUebersetzung,2,FALSE)</f>
        <v>Xmp.dwc.</v>
      </c>
      <c r="E2527" s="5" t="str">
        <f>MID(F2527,FIND(".",F2527,6)+1,99)</f>
        <v>measurementRemarks</v>
      </c>
      <c r="F2527" s="2" t="s">
        <v>7399</v>
      </c>
      <c r="G2527" s="5" t="s">
        <v>9678</v>
      </c>
      <c r="H2527" s="3" t="s">
        <v>7400</v>
      </c>
      <c r="I2527" s="7" t="s">
        <v>7810</v>
      </c>
      <c r="J2527" s="14" t="s">
        <v>8775</v>
      </c>
      <c r="K2527" s="26"/>
      <c r="N2527" s="6"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c r="O2527" s="6" t="s">
        <v>8574</v>
      </c>
      <c r="P2527" s="6" t="s">
        <v>8574</v>
      </c>
    </row>
    <row r="2528" spans="1:16" ht="45" x14ac:dyDescent="0.25">
      <c r="A2528" s="5" t="str">
        <f>IF(TRIM(I2528)="","",E2528)</f>
        <v>measurementType</v>
      </c>
      <c r="B2528" s="5" t="str">
        <f>IF(TRIM(J2528)="","",H2528)</f>
        <v/>
      </c>
      <c r="C2528" s="5" t="str">
        <f>LEFT(F2528,FIND(".",F2528,6))</f>
        <v>Xmp.dwc.</v>
      </c>
      <c r="D2528" s="5" t="str">
        <f>VLOOKUP(C2528,PrefixUebersetzung,2,FALSE)</f>
        <v>Xmp.dwc.</v>
      </c>
      <c r="E2528" s="5" t="str">
        <f>MID(F2528,FIND(".",F2528,6)+1,99)</f>
        <v>measurementType</v>
      </c>
      <c r="F2528" s="2" t="s">
        <v>7401</v>
      </c>
      <c r="G2528" s="5" t="s">
        <v>9678</v>
      </c>
      <c r="H2528" s="3" t="s">
        <v>7402</v>
      </c>
      <c r="I2528" s="7" t="s">
        <v>7811</v>
      </c>
      <c r="K2528" s="26"/>
      <c r="N2528" s="6"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Description not translated </v>
      </c>
      <c r="O2528" s="6" t="s">
        <v>8574</v>
      </c>
      <c r="P2528" s="6" t="s">
        <v>8574</v>
      </c>
    </row>
    <row r="2529" spans="1:17" ht="45" x14ac:dyDescent="0.25">
      <c r="A2529" s="5" t="str">
        <f>IF(TRIM(I2529)="","",E2529)</f>
        <v>measurementUnit</v>
      </c>
      <c r="B2529" s="5" t="str">
        <f>IF(TRIM(J2529)="","",H2529)</f>
        <v>The units associated with the measurementValue. Recommended best practice is to use the International System of Units (SI).</v>
      </c>
      <c r="C2529" s="5" t="str">
        <f>LEFT(F2529,FIND(".",F2529,6))</f>
        <v>Xmp.dwc.</v>
      </c>
      <c r="D2529" s="5" t="str">
        <f>VLOOKUP(C2529,PrefixUebersetzung,2,FALSE)</f>
        <v>Xmp.dwc.</v>
      </c>
      <c r="E2529" s="5" t="str">
        <f>MID(F2529,FIND(".",F2529,6)+1,99)</f>
        <v>measurementUnit</v>
      </c>
      <c r="F2529" s="2" t="s">
        <v>7403</v>
      </c>
      <c r="G2529" s="5" t="s">
        <v>9678</v>
      </c>
      <c r="H2529" s="3" t="s">
        <v>7404</v>
      </c>
      <c r="I2529" s="7" t="s">
        <v>7812</v>
      </c>
      <c r="J2529" s="14" t="s">
        <v>8941</v>
      </c>
      <c r="K2529" s="26"/>
      <c r="N2529" s="6"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c>
      <c r="O2529" s="6" t="s">
        <v>8574</v>
      </c>
      <c r="P2529" s="6" t="s">
        <v>8574</v>
      </c>
    </row>
    <row r="2530" spans="1:17" ht="30" x14ac:dyDescent="0.25">
      <c r="A2530" s="5" t="str">
        <f>IF(TRIM(I2530)="","",E2530)</f>
        <v>measurementValue</v>
      </c>
      <c r="B2530" s="5" t="str">
        <f>IF(TRIM(J2530)="","",H2530)</f>
        <v>The value of the measurement, fact, characteristic, or assertion.</v>
      </c>
      <c r="C2530" s="5" t="str">
        <f>LEFT(F2530,FIND(".",F2530,6))</f>
        <v>Xmp.dwc.</v>
      </c>
      <c r="D2530" s="5" t="str">
        <f>VLOOKUP(C2530,PrefixUebersetzung,2,FALSE)</f>
        <v>Xmp.dwc.</v>
      </c>
      <c r="E2530" s="5" t="str">
        <f>MID(F2530,FIND(".",F2530,6)+1,99)</f>
        <v>measurementValue</v>
      </c>
      <c r="F2530" s="2" t="s">
        <v>7405</v>
      </c>
      <c r="G2530" s="5" t="s">
        <v>9678</v>
      </c>
      <c r="H2530" s="3" t="s">
        <v>7406</v>
      </c>
      <c r="I2530" s="7" t="s">
        <v>7813</v>
      </c>
      <c r="J2530" s="14" t="s">
        <v>8942</v>
      </c>
      <c r="K2530" s="26"/>
      <c r="N2530" s="6"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c>
      <c r="O2530" s="6" t="s">
        <v>8574</v>
      </c>
      <c r="P2530" s="6" t="s">
        <v>8574</v>
      </c>
    </row>
    <row r="2531" spans="1:17" ht="30" x14ac:dyDescent="0.25">
      <c r="A2531" s="5" t="str">
        <f>IF(TRIM(I2531)="","",E2531)</f>
        <v>member</v>
      </c>
      <c r="B2531" s="5" t="str">
        <f>IF(TRIM(J2531)="","",H2531)</f>
        <v/>
      </c>
      <c r="C2531" s="5" t="str">
        <f>LEFT(F2531,FIND(".",F2531,6))</f>
        <v>Xmp.dwc.</v>
      </c>
      <c r="D2531" s="5" t="str">
        <f>VLOOKUP(C2531,PrefixUebersetzung,2,FALSE)</f>
        <v>Xmp.dwc.</v>
      </c>
      <c r="E2531" s="5" t="str">
        <f>MID(F2531,FIND(".",F2531,6)+1,99)</f>
        <v>member</v>
      </c>
      <c r="F2531" s="2" t="s">
        <v>7407</v>
      </c>
      <c r="G2531" s="5" t="s">
        <v>9678</v>
      </c>
      <c r="H2531" s="3" t="s">
        <v>7408</v>
      </c>
      <c r="I2531" s="7" t="s">
        <v>7814</v>
      </c>
      <c r="K2531" s="26"/>
      <c r="N2531" s="6"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Description not translated </v>
      </c>
      <c r="O2531" s="6" t="s">
        <v>8574</v>
      </c>
      <c r="P2531" s="6" t="s">
        <v>8574</v>
      </c>
    </row>
    <row r="2532" spans="1:17" ht="30" x14ac:dyDescent="0.25">
      <c r="A2532" s="5" t="str">
        <f>IF(TRIM(I2532)="","",E2532)</f>
        <v>minimumDepthInMeters</v>
      </c>
      <c r="B2532" s="5" t="str">
        <f>IF(TRIM(J2532)="","",H2532)</f>
        <v>The lesser depth of a range of depth below the local surface, in meters.</v>
      </c>
      <c r="C2532" s="5" t="str">
        <f>LEFT(F2532,FIND(".",F2532,6))</f>
        <v>Xmp.dwc.</v>
      </c>
      <c r="D2532" s="5" t="str">
        <f>VLOOKUP(C2532,PrefixUebersetzung,2,FALSE)</f>
        <v>Xmp.dwc.</v>
      </c>
      <c r="E2532" s="5" t="str">
        <f>MID(F2532,FIND(".",F2532,6)+1,99)</f>
        <v>minimumDepthInMeters</v>
      </c>
      <c r="F2532" s="2" t="s">
        <v>7409</v>
      </c>
      <c r="G2532" s="5" t="s">
        <v>9678</v>
      </c>
      <c r="H2532" s="3" t="s">
        <v>7410</v>
      </c>
      <c r="I2532" s="7" t="s">
        <v>7815</v>
      </c>
      <c r="J2532" s="14" t="s">
        <v>8776</v>
      </c>
      <c r="K2532" s="26"/>
      <c r="N2532" s="6"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c>
      <c r="O2532" s="6" t="s">
        <v>8574</v>
      </c>
      <c r="P2532" s="6" t="s">
        <v>8574</v>
      </c>
    </row>
    <row r="2533" spans="1:17" ht="105" x14ac:dyDescent="0.25">
      <c r="A2533" s="5" t="str">
        <f>IF(TRIM(I2533)="","",E2533)</f>
        <v>minimumDistanceAboveSurfaceInMeters</v>
      </c>
      <c r="B2533" s="5" t="str">
        <f>IF(TRIM(J2533)="","",H2533)</f>
        <v/>
      </c>
      <c r="C2533" s="5" t="str">
        <f>LEFT(F2533,FIND(".",F2533,6))</f>
        <v>Xmp.dwc.</v>
      </c>
      <c r="D2533" s="5" t="str">
        <f>VLOOKUP(C2533,PrefixUebersetzung,2,FALSE)</f>
        <v>Xmp.dwc.</v>
      </c>
      <c r="E2533" s="5" t="str">
        <f>MID(F2533,FIND(".",F2533,6)+1,99)</f>
        <v>minimumDistanceAboveSurfaceInMeters</v>
      </c>
      <c r="F2533" s="2" t="s">
        <v>7411</v>
      </c>
      <c r="G2533" s="5" t="s">
        <v>9678</v>
      </c>
      <c r="H2533" s="3" t="s">
        <v>7412</v>
      </c>
      <c r="I2533" s="7" t="s">
        <v>7816</v>
      </c>
      <c r="K2533" s="26"/>
      <c r="N2533" s="6"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Description not translated </v>
      </c>
      <c r="O2533" s="6" t="s">
        <v>8574</v>
      </c>
      <c r="P2533" s="6" t="s">
        <v>8574</v>
      </c>
    </row>
    <row r="2534" spans="1:17" ht="30" x14ac:dyDescent="0.25">
      <c r="A2534" s="5" t="str">
        <f>IF(TRIM(I2534)="","",E2534)</f>
        <v>minimumElevationInMeters</v>
      </c>
      <c r="B2534" s="5" t="str">
        <f>IF(TRIM(J2534)="","",H2534)</f>
        <v/>
      </c>
      <c r="C2534" s="5" t="str">
        <f>LEFT(F2534,FIND(".",F2534,6))</f>
        <v>Xmp.dwc.</v>
      </c>
      <c r="D2534" s="5" t="str">
        <f>VLOOKUP(C2534,PrefixUebersetzung,2,FALSE)</f>
        <v>Xmp.dwc.</v>
      </c>
      <c r="E2534" s="5" t="str">
        <f>MID(F2534,FIND(".",F2534,6)+1,99)</f>
        <v>minimumElevationInMeters</v>
      </c>
      <c r="F2534" s="2" t="s">
        <v>7413</v>
      </c>
      <c r="G2534" s="5" t="s">
        <v>9678</v>
      </c>
      <c r="H2534" s="3" t="s">
        <v>7414</v>
      </c>
      <c r="I2534" s="7" t="s">
        <v>7817</v>
      </c>
      <c r="K2534" s="26"/>
      <c r="N2534" s="6"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Description not translated </v>
      </c>
      <c r="O2534" s="6" t="s">
        <v>8574</v>
      </c>
      <c r="P2534" s="6" t="s">
        <v>8574</v>
      </c>
    </row>
    <row r="2535" spans="1:17" ht="30" x14ac:dyDescent="0.25">
      <c r="A2535" s="5" t="str">
        <f>IF(TRIM(I2535)="","",E2535)</f>
        <v>month</v>
      </c>
      <c r="B2535" s="5" t="str">
        <f>IF(TRIM(J2535)="","",H2535)</f>
        <v>The ordinal month in which the Event occurred.</v>
      </c>
      <c r="C2535" s="5" t="str">
        <f>LEFT(F2535,FIND(".",F2535,6))</f>
        <v>Xmp.dwc.</v>
      </c>
      <c r="D2535" s="5" t="str">
        <f>VLOOKUP(C2535,PrefixUebersetzung,2,FALSE)</f>
        <v>Xmp.dwc.</v>
      </c>
      <c r="E2535" s="5" t="str">
        <f>MID(F2535,FIND(".",F2535,6)+1,99)</f>
        <v>month</v>
      </c>
      <c r="F2535" s="2" t="s">
        <v>7415</v>
      </c>
      <c r="G2535" s="5" t="s">
        <v>9678</v>
      </c>
      <c r="H2535" s="3" t="s">
        <v>7416</v>
      </c>
      <c r="I2535" s="7" t="s">
        <v>7763</v>
      </c>
      <c r="J2535" s="14" t="s">
        <v>8978</v>
      </c>
      <c r="K2535" s="26"/>
      <c r="N2535" s="6"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c r="O2535" s="6" t="s">
        <v>8574</v>
      </c>
      <c r="P2535" s="6" t="s">
        <v>8574</v>
      </c>
      <c r="Q2535" s="6" t="s">
        <v>4178</v>
      </c>
    </row>
    <row r="2536" spans="1:17" ht="75" x14ac:dyDescent="0.25">
      <c r="A2536" s="5" t="str">
        <f>IF(TRIM(I2536)="","",E2536)</f>
        <v>municipality</v>
      </c>
      <c r="B2536" s="5" t="str">
        <f>IF(TRIM(J2536)="","",H2536)</f>
        <v>The full, unabbreviated name of the next smaller administrative region than county (city, municipality, etc.) in which the Location occurs. Do not use this term for a nearby named place that does not contain the actual location.</v>
      </c>
      <c r="C2536" s="5" t="str">
        <f>LEFT(F2536,FIND(".",F2536,6))</f>
        <v>Xmp.dwc.</v>
      </c>
      <c r="D2536" s="5" t="str">
        <f>VLOOKUP(C2536,PrefixUebersetzung,2,FALSE)</f>
        <v>Xmp.dwc.</v>
      </c>
      <c r="E2536" s="5" t="str">
        <f>MID(F2536,FIND(".",F2536,6)+1,99)</f>
        <v>municipality</v>
      </c>
      <c r="F2536" s="2" t="s">
        <v>7417</v>
      </c>
      <c r="G2536" s="5" t="s">
        <v>9678</v>
      </c>
      <c r="H2536" s="3" t="s">
        <v>7418</v>
      </c>
      <c r="I2536" s="7" t="s">
        <v>7818</v>
      </c>
      <c r="J2536" s="30" t="s">
        <v>8943</v>
      </c>
      <c r="K2536" s="26"/>
      <c r="N2536" s="6"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c r="O2536" s="6" t="s">
        <v>8574</v>
      </c>
      <c r="P2536" s="6" t="s">
        <v>8574</v>
      </c>
    </row>
    <row r="2537" spans="1:17" ht="105" x14ac:dyDescent="0.25">
      <c r="A2537" s="5" t="str">
        <f>IF(TRIM(I2537)="","",E2537)</f>
        <v>nameAccordingTo</v>
      </c>
      <c r="B2537" s="5" t="str">
        <f>IF(TRIM(J2537)="","",H2537)</f>
        <v/>
      </c>
      <c r="C2537" s="5" t="str">
        <f>LEFT(F2537,FIND(".",F2537,6))</f>
        <v>Xmp.dwc.</v>
      </c>
      <c r="D2537" s="5" t="str">
        <f>VLOOKUP(C2537,PrefixUebersetzung,2,FALSE)</f>
        <v>Xmp.dwc.</v>
      </c>
      <c r="E2537" s="5" t="str">
        <f>MID(F2537,FIND(".",F2537,6)+1,99)</f>
        <v>nameAccordingTo</v>
      </c>
      <c r="F2537" s="2" t="s">
        <v>7419</v>
      </c>
      <c r="G2537" s="5" t="s">
        <v>9678</v>
      </c>
      <c r="H2537" s="3" t="s">
        <v>7420</v>
      </c>
      <c r="I2537" s="7" t="s">
        <v>7764</v>
      </c>
      <c r="J2537" s="30"/>
      <c r="K2537" s="26"/>
      <c r="N2537" s="6"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xml:space="preserve">Description not translated </v>
      </c>
      <c r="O2537" s="6" t="s">
        <v>8574</v>
      </c>
      <c r="P2537" s="6" t="s">
        <v>8574</v>
      </c>
    </row>
    <row r="2538" spans="1:17" ht="45" x14ac:dyDescent="0.25">
      <c r="A2538" s="5" t="str">
        <f>IF(TRIM(I2538)="","",E2538)</f>
        <v>nameAccordingToID</v>
      </c>
      <c r="B2538" s="5" t="str">
        <f>IF(TRIM(J2538)="","",H2538)</f>
        <v>An identifier for the source in which the specific taxon concept circumscription is defined or implied. See nameAccordingTo.</v>
      </c>
      <c r="C2538" s="5" t="str">
        <f>LEFT(F2538,FIND(".",F2538,6))</f>
        <v>Xmp.dwc.</v>
      </c>
      <c r="D2538" s="5" t="str">
        <f>VLOOKUP(C2538,PrefixUebersetzung,2,FALSE)</f>
        <v>Xmp.dwc.</v>
      </c>
      <c r="E2538" s="5" t="str">
        <f>MID(F2538,FIND(".",F2538,6)+1,99)</f>
        <v>nameAccordingToID</v>
      </c>
      <c r="F2538" s="2" t="s">
        <v>7421</v>
      </c>
      <c r="G2538" s="5" t="s">
        <v>9678</v>
      </c>
      <c r="H2538" s="3" t="s">
        <v>7422</v>
      </c>
      <c r="I2538" s="7" t="s">
        <v>7765</v>
      </c>
      <c r="J2538" s="30" t="s">
        <v>7909</v>
      </c>
      <c r="K2538" s="26"/>
      <c r="N2538" s="6"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c r="O2538" s="6" t="s">
        <v>8574</v>
      </c>
      <c r="P2538" s="6" t="s">
        <v>8574</v>
      </c>
    </row>
    <row r="2539" spans="1:17" ht="45" x14ac:dyDescent="0.25">
      <c r="A2539" s="5" t="str">
        <f>IF(TRIM(I2539)="","",E2539)</f>
        <v>namePublishedIn</v>
      </c>
      <c r="B2539" s="5" t="str">
        <f>IF(TRIM(J2539)="","",H2539)</f>
        <v/>
      </c>
      <c r="C2539" s="5" t="str">
        <f>LEFT(F2539,FIND(".",F2539,6))</f>
        <v>Xmp.dwc.</v>
      </c>
      <c r="D2539" s="5" t="str">
        <f>VLOOKUP(C2539,PrefixUebersetzung,2,FALSE)</f>
        <v>Xmp.dwc.</v>
      </c>
      <c r="E2539" s="5" t="str">
        <f>MID(F2539,FIND(".",F2539,6)+1,99)</f>
        <v>namePublishedIn</v>
      </c>
      <c r="F2539" s="2" t="s">
        <v>7423</v>
      </c>
      <c r="G2539" s="5" t="s">
        <v>9678</v>
      </c>
      <c r="H2539" s="3" t="s">
        <v>7424</v>
      </c>
      <c r="I2539" s="7" t="s">
        <v>7766</v>
      </c>
      <c r="J2539" s="30"/>
      <c r="K2539" s="26"/>
      <c r="N2539" s="6"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Description not translated </v>
      </c>
      <c r="O2539" s="6" t="s">
        <v>8574</v>
      </c>
      <c r="P2539" s="6" t="s">
        <v>8574</v>
      </c>
    </row>
    <row r="2540" spans="1:17" ht="45" x14ac:dyDescent="0.25">
      <c r="A2540" s="5" t="str">
        <f>IF(TRIM(I2540)="","",E2540)</f>
        <v>namePublishedInID</v>
      </c>
      <c r="B2540" s="5" t="str">
        <f>IF(TRIM(J2540)="","",H2540)</f>
        <v/>
      </c>
      <c r="C2540" s="5" t="str">
        <f>LEFT(F2540,FIND(".",F2540,6))</f>
        <v>Xmp.dwc.</v>
      </c>
      <c r="D2540" s="5" t="str">
        <f>VLOOKUP(C2540,PrefixUebersetzung,2,FALSE)</f>
        <v>Xmp.dwc.</v>
      </c>
      <c r="E2540" s="5" t="str">
        <f>MID(F2540,FIND(".",F2540,6)+1,99)</f>
        <v>namePublishedInID</v>
      </c>
      <c r="F2540" s="2" t="s">
        <v>7425</v>
      </c>
      <c r="G2540" s="5" t="s">
        <v>9678</v>
      </c>
      <c r="H2540" s="3" t="s">
        <v>7426</v>
      </c>
      <c r="I2540" s="7" t="s">
        <v>7768</v>
      </c>
      <c r="K2540" s="26"/>
      <c r="N2540" s="6"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xml:space="preserve">Description not translated </v>
      </c>
      <c r="O2540" s="6" t="s">
        <v>8574</v>
      </c>
      <c r="P2540" s="6" t="s">
        <v>8574</v>
      </c>
    </row>
    <row r="2541" spans="1:17" ht="30" x14ac:dyDescent="0.25">
      <c r="A2541" s="5" t="str">
        <f>IF(TRIM(I2541)="","",E2541)</f>
        <v>namePublishedInYear</v>
      </c>
      <c r="B2541" s="5" t="str">
        <f>IF(TRIM(J2541)="","",H2541)</f>
        <v>The four-digit year in which the scientificName was published.</v>
      </c>
      <c r="C2541" s="5" t="str">
        <f>LEFT(F2541,FIND(".",F2541,6))</f>
        <v>Xmp.dwc.</v>
      </c>
      <c r="D2541" s="5" t="str">
        <f>VLOOKUP(C2541,PrefixUebersetzung,2,FALSE)</f>
        <v>Xmp.dwc.</v>
      </c>
      <c r="E2541" s="5" t="str">
        <f>MID(F2541,FIND(".",F2541,6)+1,99)</f>
        <v>namePublishedInYear</v>
      </c>
      <c r="F2541" s="2" t="s">
        <v>7427</v>
      </c>
      <c r="G2541" s="5" t="s">
        <v>9678</v>
      </c>
      <c r="H2541" s="3" t="s">
        <v>7428</v>
      </c>
      <c r="I2541" s="7" t="s">
        <v>7767</v>
      </c>
      <c r="J2541" s="14" t="s">
        <v>9573</v>
      </c>
      <c r="K2541" s="26"/>
      <c r="N2541" s="6"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c r="O2541" s="6" t="s">
        <v>8574</v>
      </c>
      <c r="P2541" s="6" t="s">
        <v>8574</v>
      </c>
    </row>
    <row r="2542" spans="1:17" ht="60" x14ac:dyDescent="0.25">
      <c r="A2542" s="5" t="str">
        <f>IF(TRIM(I2542)="","",E2542)</f>
        <v>nomenclaturalCode</v>
      </c>
      <c r="B2542" s="5" t="str">
        <f>IF(TRIM(J2542)="","",H2542)</f>
        <v/>
      </c>
      <c r="C2542" s="5" t="str">
        <f>LEFT(F2542,FIND(".",F2542,6))</f>
        <v>Xmp.dwc.</v>
      </c>
      <c r="D2542" s="5" t="str">
        <f>VLOOKUP(C2542,PrefixUebersetzung,2,FALSE)</f>
        <v>Xmp.dwc.</v>
      </c>
      <c r="E2542" s="5" t="str">
        <f>MID(F2542,FIND(".",F2542,6)+1,99)</f>
        <v>nomenclaturalCode</v>
      </c>
      <c r="F2542" s="2" t="s">
        <v>7429</v>
      </c>
      <c r="G2542" s="5" t="s">
        <v>9678</v>
      </c>
      <c r="H2542" s="3" t="s">
        <v>7430</v>
      </c>
      <c r="I2542" s="7" t="s">
        <v>7819</v>
      </c>
      <c r="K2542" s="26"/>
      <c r="N2542" s="6"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xml:space="preserve">Description not translated </v>
      </c>
      <c r="O2542" s="6" t="s">
        <v>8574</v>
      </c>
      <c r="P2542" s="6" t="s">
        <v>8574</v>
      </c>
    </row>
    <row r="2543" spans="1:17" ht="75" x14ac:dyDescent="0.25">
      <c r="A2543" s="5" t="str">
        <f>IF(TRIM(I2543)="","",E2543)</f>
        <v>nomenclaturalStatus</v>
      </c>
      <c r="B2543" s="5" t="str">
        <f>IF(TRIM(J2543)="","",H2543)</f>
        <v/>
      </c>
      <c r="C2543" s="5" t="str">
        <f>LEFT(F2543,FIND(".",F2543,6))</f>
        <v>Xmp.dwc.</v>
      </c>
      <c r="D2543" s="5" t="str">
        <f>VLOOKUP(C2543,PrefixUebersetzung,2,FALSE)</f>
        <v>Xmp.dwc.</v>
      </c>
      <c r="E2543" s="5" t="str">
        <f>MID(F2543,FIND(".",F2543,6)+1,99)</f>
        <v>nomenclaturalStatus</v>
      </c>
      <c r="F2543" s="2" t="s">
        <v>7431</v>
      </c>
      <c r="G2543" s="5" t="s">
        <v>9678</v>
      </c>
      <c r="H2543" s="3" t="s">
        <v>7432</v>
      </c>
      <c r="I2543" s="7" t="s">
        <v>7820</v>
      </c>
      <c r="K2543" s="26"/>
      <c r="N2543" s="6"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Description not translated </v>
      </c>
      <c r="O2543" s="6" t="s">
        <v>8574</v>
      </c>
      <c r="P2543" s="6" t="s">
        <v>8574</v>
      </c>
    </row>
    <row r="2544" spans="1:17" ht="30" x14ac:dyDescent="0.25">
      <c r="A2544" s="5" t="str">
        <f>IF(TRIM(I2544)="","",E2544)</f>
        <v>Occurrence</v>
      </c>
      <c r="B2544" s="5" t="str">
        <f>IF(TRIM(J2544)="","",H2544)</f>
        <v/>
      </c>
      <c r="C2544" s="5" t="str">
        <f>LEFT(F2544,FIND(".",F2544,6))</f>
        <v>Xmp.dwc.</v>
      </c>
      <c r="D2544" s="5" t="str">
        <f>VLOOKUP(C2544,PrefixUebersetzung,2,FALSE)</f>
        <v>Xmp.dwc.</v>
      </c>
      <c r="E2544" s="5" t="str">
        <f>MID(F2544,FIND(".",F2544,6)+1,99)</f>
        <v>Occurrence</v>
      </c>
      <c r="F2544" s="2" t="s">
        <v>7433</v>
      </c>
      <c r="G2544" s="5" t="s">
        <v>9678</v>
      </c>
      <c r="H2544" s="3" t="s">
        <v>7434</v>
      </c>
      <c r="I2544" s="7" t="s">
        <v>7821</v>
      </c>
      <c r="K2544" s="26"/>
      <c r="N2544" s="6"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xml:space="preserve">Description not translated </v>
      </c>
      <c r="O2544" s="6" t="s">
        <v>8574</v>
      </c>
      <c r="P2544" s="6" t="s">
        <v>8574</v>
      </c>
    </row>
    <row r="2545" spans="1:16" x14ac:dyDescent="0.25">
      <c r="A2545" s="5" t="str">
        <f>IF(TRIM(I2545)="","",E2545)</f>
        <v>occurrenceDetails</v>
      </c>
      <c r="B2545" s="5" t="str">
        <f>IF(TRIM(J2545)="","",H2545)</f>
        <v>Deprecated. Details about the Occurrence.</v>
      </c>
      <c r="C2545" s="5" t="str">
        <f>LEFT(F2545,FIND(".",F2545,6))</f>
        <v>Xmp.dwc.</v>
      </c>
      <c r="D2545" s="5" t="str">
        <f>VLOOKUP(C2545,PrefixUebersetzung,2,FALSE)</f>
        <v>Xmp.dwc.</v>
      </c>
      <c r="E2545" s="5" t="str">
        <f>MID(F2545,FIND(".",F2545,6)+1,99)</f>
        <v>occurrenceDetails</v>
      </c>
      <c r="F2545" s="2" t="s">
        <v>7435</v>
      </c>
      <c r="G2545" s="5" t="s">
        <v>9678</v>
      </c>
      <c r="H2545" s="3" t="s">
        <v>9645</v>
      </c>
      <c r="I2545" s="7" t="s">
        <v>7822</v>
      </c>
      <c r="J2545" s="14" t="s">
        <v>8778</v>
      </c>
      <c r="K2545" s="26"/>
      <c r="N2545" s="6"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c r="O2545" s="6" t="s">
        <v>8574</v>
      </c>
      <c r="P2545" s="6" t="s">
        <v>8574</v>
      </c>
    </row>
    <row r="2546" spans="1:16" ht="90" x14ac:dyDescent="0.25">
      <c r="A2546" s="5" t="str">
        <f>IF(TRIM(I2546)="","",E2546)</f>
        <v>occurrenceID</v>
      </c>
      <c r="B2546" s="5" t="str">
        <f>IF(TRIM(J2546)="","",H2546)</f>
        <v/>
      </c>
      <c r="C2546" s="5" t="str">
        <f>LEFT(F2546,FIND(".",F2546,6))</f>
        <v>Xmp.dwc.</v>
      </c>
      <c r="D2546" s="5" t="str">
        <f>VLOOKUP(C2546,PrefixUebersetzung,2,FALSE)</f>
        <v>Xmp.dwc.</v>
      </c>
      <c r="E2546" s="5" t="str">
        <f>MID(F2546,FIND(".",F2546,6)+1,99)</f>
        <v>occurrenceID</v>
      </c>
      <c r="F2546" s="2" t="s">
        <v>7436</v>
      </c>
      <c r="G2546" s="5" t="s">
        <v>9678</v>
      </c>
      <c r="H2546" s="3" t="s">
        <v>7437</v>
      </c>
      <c r="I2546" s="7" t="s">
        <v>7823</v>
      </c>
      <c r="K2546" s="26"/>
      <c r="N2546" s="6"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xml:space="preserve">Description not translated </v>
      </c>
      <c r="O2546" s="6" t="s">
        <v>8574</v>
      </c>
      <c r="P2546" s="6" t="s">
        <v>8574</v>
      </c>
    </row>
    <row r="2547" spans="1:16" x14ac:dyDescent="0.25">
      <c r="A2547" s="5" t="str">
        <f>IF(TRIM(I2547)="","",E2547)</f>
        <v>occurrenceRemarks</v>
      </c>
      <c r="B2547" s="5" t="str">
        <f>IF(TRIM(J2547)="","",H2547)</f>
        <v>Comments or notes about the Occurrence.</v>
      </c>
      <c r="C2547" s="5" t="str">
        <f>LEFT(F2547,FIND(".",F2547,6))</f>
        <v>Xmp.dwc.</v>
      </c>
      <c r="D2547" s="5" t="str">
        <f>VLOOKUP(C2547,PrefixUebersetzung,2,FALSE)</f>
        <v>Xmp.dwc.</v>
      </c>
      <c r="E2547" s="5" t="str">
        <f>MID(F2547,FIND(".",F2547,6)+1,99)</f>
        <v>occurrenceRemarks</v>
      </c>
      <c r="F2547" s="2" t="s">
        <v>7438</v>
      </c>
      <c r="G2547" s="5" t="s">
        <v>9678</v>
      </c>
      <c r="H2547" s="3" t="s">
        <v>7439</v>
      </c>
      <c r="I2547" s="7" t="s">
        <v>7824</v>
      </c>
      <c r="J2547" s="14" t="s">
        <v>7727</v>
      </c>
      <c r="K2547" s="26"/>
      <c r="N2547" s="6"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c r="O2547" s="6" t="s">
        <v>8574</v>
      </c>
      <c r="P2547" s="6" t="s">
        <v>8574</v>
      </c>
    </row>
    <row r="2548" spans="1:16" ht="45" x14ac:dyDescent="0.25">
      <c r="A2548" s="5" t="str">
        <f>IF(TRIM(I2548)="","",E2548)</f>
        <v>occurrenceStatus</v>
      </c>
      <c r="B2548" s="5" t="str">
        <f>IF(TRIM(J2548)="","",H2548)</f>
        <v/>
      </c>
      <c r="C2548" s="5" t="str">
        <f>LEFT(F2548,FIND(".",F2548,6))</f>
        <v>Xmp.dwc.</v>
      </c>
      <c r="D2548" s="5" t="str">
        <f>VLOOKUP(C2548,PrefixUebersetzung,2,FALSE)</f>
        <v>Xmp.dwc.</v>
      </c>
      <c r="E2548" s="5" t="str">
        <f>MID(F2548,FIND(".",F2548,6)+1,99)</f>
        <v>occurrenceStatus</v>
      </c>
      <c r="F2548" s="2" t="s">
        <v>7440</v>
      </c>
      <c r="G2548" s="5" t="s">
        <v>9678</v>
      </c>
      <c r="H2548" s="3" t="s">
        <v>7441</v>
      </c>
      <c r="I2548" s="7" t="s">
        <v>7825</v>
      </c>
      <c r="K2548" s="26"/>
      <c r="N2548" s="6"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xml:space="preserve">Description not translated </v>
      </c>
      <c r="O2548" s="6" t="s">
        <v>8574</v>
      </c>
      <c r="P2548" s="6" t="s">
        <v>8574</v>
      </c>
    </row>
    <row r="2549" spans="1:16" ht="30" x14ac:dyDescent="0.25">
      <c r="A2549" s="5" t="str">
        <f>IF(TRIM(I2549)="","",E2549)</f>
        <v>order</v>
      </c>
      <c r="B2549" s="5" t="str">
        <f>IF(TRIM(J2549)="","",H2549)</f>
        <v/>
      </c>
      <c r="C2549" s="5" t="str">
        <f>LEFT(F2549,FIND(".",F2549,6))</f>
        <v>Xmp.dwc.</v>
      </c>
      <c r="D2549" s="5" t="str">
        <f>VLOOKUP(C2549,PrefixUebersetzung,2,FALSE)</f>
        <v>Xmp.dwc.</v>
      </c>
      <c r="E2549" s="5" t="str">
        <f>MID(F2549,FIND(".",F2549,6)+1,99)</f>
        <v>order</v>
      </c>
      <c r="F2549" s="2" t="s">
        <v>7442</v>
      </c>
      <c r="G2549" s="5" t="s">
        <v>9678</v>
      </c>
      <c r="H2549" s="3" t="s">
        <v>7443</v>
      </c>
      <c r="I2549" s="7" t="s">
        <v>7826</v>
      </c>
      <c r="K2549" s="26"/>
      <c r="N2549" s="6"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xml:space="preserve">Description not translated </v>
      </c>
      <c r="O2549" s="6" t="s">
        <v>8574</v>
      </c>
      <c r="P2549" s="6" t="s">
        <v>8574</v>
      </c>
    </row>
    <row r="2550" spans="1:16" ht="30" x14ac:dyDescent="0.25">
      <c r="A2550" s="5" t="str">
        <f>IF(TRIM(I2550)="","",E2550)</f>
        <v>Organism</v>
      </c>
      <c r="B2550" s="5" t="str">
        <f>IF(TRIM(J2550)="","",H2550)</f>
        <v/>
      </c>
      <c r="C2550" s="5" t="str">
        <f>LEFT(F2550,FIND(".",F2550,6))</f>
        <v>Xmp.dwc.</v>
      </c>
      <c r="D2550" s="5" t="str">
        <f>VLOOKUP(C2550,PrefixUebersetzung,2,FALSE)</f>
        <v>Xmp.dwc.</v>
      </c>
      <c r="E2550" s="5" t="str">
        <f>MID(F2550,FIND(".",F2550,6)+1,99)</f>
        <v>Organism</v>
      </c>
      <c r="F2550" s="2" t="s">
        <v>7444</v>
      </c>
      <c r="G2550" s="5" t="s">
        <v>9678</v>
      </c>
      <c r="H2550" s="3" t="s">
        <v>7445</v>
      </c>
      <c r="I2550" s="7" t="s">
        <v>7769</v>
      </c>
      <c r="K2550" s="26"/>
      <c r="N2550" s="6"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xml:space="preserve">Description not translated </v>
      </c>
      <c r="O2550" s="6" t="s">
        <v>8574</v>
      </c>
      <c r="P2550" s="6" t="s">
        <v>8574</v>
      </c>
    </row>
    <row r="2551" spans="1:16" ht="60" x14ac:dyDescent="0.25">
      <c r="A2551" s="5" t="str">
        <f>IF(TRIM(I2551)="","",E2551)</f>
        <v>organismID</v>
      </c>
      <c r="B2551" s="5" t="str">
        <f>IF(TRIM(J2551)="","",H2551)</f>
        <v/>
      </c>
      <c r="C2551" s="5" t="str">
        <f>LEFT(F2551,FIND(".",F2551,6))</f>
        <v>Xmp.dwc.</v>
      </c>
      <c r="D2551" s="5" t="str">
        <f>VLOOKUP(C2551,PrefixUebersetzung,2,FALSE)</f>
        <v>Xmp.dwc.</v>
      </c>
      <c r="E2551" s="5" t="str">
        <f>MID(F2551,FIND(".",F2551,6)+1,99)</f>
        <v>organismID</v>
      </c>
      <c r="F2551" s="2" t="s">
        <v>7446</v>
      </c>
      <c r="G2551" s="5" t="s">
        <v>9678</v>
      </c>
      <c r="H2551" s="3" t="s">
        <v>7447</v>
      </c>
      <c r="I2551" s="7" t="s">
        <v>7770</v>
      </c>
      <c r="K2551" s="26"/>
      <c r="N2551" s="6"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Description not translated </v>
      </c>
      <c r="O2551" s="6" t="s">
        <v>8574</v>
      </c>
      <c r="P2551" s="6" t="s">
        <v>8574</v>
      </c>
    </row>
    <row r="2552" spans="1:16" ht="30" x14ac:dyDescent="0.25">
      <c r="A2552" s="5" t="str">
        <f>IF(TRIM(I2552)="","",E2552)</f>
        <v>organismName</v>
      </c>
      <c r="B2552" s="5" t="str">
        <f>IF(TRIM(J2552)="","",H2552)</f>
        <v/>
      </c>
      <c r="C2552" s="5" t="str">
        <f>LEFT(F2552,FIND(".",F2552,6))</f>
        <v>Xmp.dwc.</v>
      </c>
      <c r="D2552" s="5" t="str">
        <f>VLOOKUP(C2552,PrefixUebersetzung,2,FALSE)</f>
        <v>Xmp.dwc.</v>
      </c>
      <c r="E2552" s="5" t="str">
        <f>MID(F2552,FIND(".",F2552,6)+1,99)</f>
        <v>organismName</v>
      </c>
      <c r="F2552" s="2" t="s">
        <v>7448</v>
      </c>
      <c r="G2552" s="5" t="s">
        <v>9678</v>
      </c>
      <c r="H2552" s="3" t="s">
        <v>7449</v>
      </c>
      <c r="I2552" s="7" t="s">
        <v>7771</v>
      </c>
      <c r="K2552" s="26"/>
      <c r="N2552" s="6"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Description not translated </v>
      </c>
      <c r="O2552" s="6" t="s">
        <v>8574</v>
      </c>
      <c r="P2552" s="6" t="s">
        <v>8574</v>
      </c>
    </row>
    <row r="2553" spans="1:16" ht="30" x14ac:dyDescent="0.25">
      <c r="A2553" s="5" t="str">
        <f>IF(TRIM(I2553)="","",E2553)</f>
        <v>organismQuantity</v>
      </c>
      <c r="B2553" s="5" t="str">
        <f>IF(TRIM(J2553)="","",H2553)</f>
        <v/>
      </c>
      <c r="C2553" s="5" t="str">
        <f>LEFT(F2553,FIND(".",F2553,6))</f>
        <v>Xmp.dwc.</v>
      </c>
      <c r="D2553" s="5" t="str">
        <f>VLOOKUP(C2553,PrefixUebersetzung,2,FALSE)</f>
        <v>Xmp.dwc.</v>
      </c>
      <c r="E2553" s="5" t="str">
        <f>MID(F2553,FIND(".",F2553,6)+1,99)</f>
        <v>organismQuantity</v>
      </c>
      <c r="F2553" s="2" t="s">
        <v>7450</v>
      </c>
      <c r="G2553" s="5" t="s">
        <v>9678</v>
      </c>
      <c r="H2553" s="3" t="s">
        <v>7451</v>
      </c>
      <c r="I2553" s="7" t="s">
        <v>7772</v>
      </c>
      <c r="K2553" s="26"/>
      <c r="N2553" s="6"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xml:space="preserve">Description not translated </v>
      </c>
      <c r="O2553" s="6" t="s">
        <v>8574</v>
      </c>
      <c r="P2553" s="6" t="s">
        <v>8574</v>
      </c>
    </row>
    <row r="2554" spans="1:16" ht="30" x14ac:dyDescent="0.25">
      <c r="A2554" s="5" t="str">
        <f>IF(TRIM(I2554)="","",E2554)</f>
        <v>organismQuantityType</v>
      </c>
      <c r="B2554" s="5" t="str">
        <f>IF(TRIM(J2554)="","",H2554)</f>
        <v/>
      </c>
      <c r="C2554" s="5" t="str">
        <f>LEFT(F2554,FIND(".",F2554,6))</f>
        <v>Xmp.dwc.</v>
      </c>
      <c r="D2554" s="5" t="str">
        <f>VLOOKUP(C2554,PrefixUebersetzung,2,FALSE)</f>
        <v>Xmp.dwc.</v>
      </c>
      <c r="E2554" s="5" t="str">
        <f>MID(F2554,FIND(".",F2554,6)+1,99)</f>
        <v>organismQuantityType</v>
      </c>
      <c r="F2554" s="2" t="s">
        <v>7452</v>
      </c>
      <c r="G2554" s="5" t="s">
        <v>9678</v>
      </c>
      <c r="H2554" s="3" t="s">
        <v>7453</v>
      </c>
      <c r="I2554" s="7" t="s">
        <v>7773</v>
      </c>
      <c r="K2554" s="26"/>
      <c r="N2554" s="6"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xml:space="preserve">Description not translated </v>
      </c>
      <c r="O2554" s="6" t="s">
        <v>8574</v>
      </c>
      <c r="P2554" s="6" t="s">
        <v>8574</v>
      </c>
    </row>
    <row r="2555" spans="1:16" x14ac:dyDescent="0.25">
      <c r="A2555" s="5" t="str">
        <f>IF(TRIM(I2555)="","",E2555)</f>
        <v>organismRemarks</v>
      </c>
      <c r="B2555" s="5" t="str">
        <f>IF(TRIM(J2555)="","",H2555)</f>
        <v/>
      </c>
      <c r="C2555" s="5" t="str">
        <f>LEFT(F2555,FIND(".",F2555,6))</f>
        <v>Xmp.dwc.</v>
      </c>
      <c r="D2555" s="5" t="str">
        <f>VLOOKUP(C2555,PrefixUebersetzung,2,FALSE)</f>
        <v>Xmp.dwc.</v>
      </c>
      <c r="E2555" s="5" t="str">
        <f>MID(F2555,FIND(".",F2555,6)+1,99)</f>
        <v>organismRemarks</v>
      </c>
      <c r="F2555" s="2" t="s">
        <v>7454</v>
      </c>
      <c r="G2555" s="5" t="s">
        <v>9678</v>
      </c>
      <c r="H2555" s="3" t="s">
        <v>7455</v>
      </c>
      <c r="I2555" s="7" t="s">
        <v>7774</v>
      </c>
      <c r="K2555" s="26"/>
      <c r="N2555" s="6"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Description not translated </v>
      </c>
      <c r="O2555" s="6" t="s">
        <v>8574</v>
      </c>
      <c r="P2555" s="6" t="s">
        <v>8574</v>
      </c>
    </row>
    <row r="2556" spans="1:16" ht="75" x14ac:dyDescent="0.25">
      <c r="A2556" s="5" t="str">
        <f>IF(TRIM(I2556)="","",E2556)</f>
        <v/>
      </c>
      <c r="B2556" s="5" t="str">
        <f>IF(TRIM(J2556)="","",H2556)</f>
        <v/>
      </c>
      <c r="C2556" s="5" t="str">
        <f>LEFT(F2556,FIND(".",F2556,6))</f>
        <v>Xmp.dwc.</v>
      </c>
      <c r="D2556" s="5" t="str">
        <f>VLOOKUP(C2556,PrefixUebersetzung,2,FALSE)</f>
        <v>Xmp.dwc.</v>
      </c>
      <c r="E2556" s="5" t="str">
        <f>MID(F2556,FIND(".",F2556,6)+1,99)</f>
        <v>organismScope</v>
      </c>
      <c r="F2556" s="2" t="s">
        <v>7456</v>
      </c>
      <c r="G2556" s="5" t="s">
        <v>9678</v>
      </c>
      <c r="H2556" s="3" t="s">
        <v>7457</v>
      </c>
      <c r="I2556" s="7"/>
      <c r="K2556" s="26"/>
      <c r="N2556" s="6"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c r="O2556" s="6" t="s">
        <v>8574</v>
      </c>
      <c r="P2556" s="6" t="s">
        <v>8574</v>
      </c>
    </row>
    <row r="2557" spans="1:16" ht="90" x14ac:dyDescent="0.25">
      <c r="A2557" s="5" t="str">
        <f>IF(TRIM(I2557)="","",E2557)</f>
        <v/>
      </c>
      <c r="B2557" s="5" t="str">
        <f>IF(TRIM(J2557)="","",H2557)</f>
        <v/>
      </c>
      <c r="C2557" s="5" t="str">
        <f>LEFT(F2557,FIND(".",F2557,6))</f>
        <v>Xmp.dwc.</v>
      </c>
      <c r="D2557" s="5" t="str">
        <f>VLOOKUP(C2557,PrefixUebersetzung,2,FALSE)</f>
        <v>Xmp.dwc.</v>
      </c>
      <c r="E2557" s="5" t="str">
        <f>MID(F2557,FIND(".",F2557,6)+1,99)</f>
        <v>originalNameUsage</v>
      </c>
      <c r="F2557" s="2" t="s">
        <v>7458</v>
      </c>
      <c r="G2557" s="5" t="s">
        <v>9678</v>
      </c>
      <c r="H2557" s="3" t="s">
        <v>7459</v>
      </c>
      <c r="I2557" s="7"/>
      <c r="K2557" s="26"/>
      <c r="N2557" s="6"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c r="O2557" s="6" t="s">
        <v>8574</v>
      </c>
      <c r="P2557" s="6" t="s">
        <v>8574</v>
      </c>
    </row>
    <row r="2558" spans="1:16" ht="75" x14ac:dyDescent="0.25">
      <c r="A2558" s="5" t="str">
        <f>IF(TRIM(I2558)="","",E2558)</f>
        <v/>
      </c>
      <c r="B2558" s="5" t="str">
        <f>IF(TRIM(J2558)="","",H2558)</f>
        <v/>
      </c>
      <c r="C2558" s="5" t="str">
        <f>LEFT(F2558,FIND(".",F2558,6))</f>
        <v>Xmp.dwc.</v>
      </c>
      <c r="D2558" s="5" t="str">
        <f>VLOOKUP(C2558,PrefixUebersetzung,2,FALSE)</f>
        <v>Xmp.dwc.</v>
      </c>
      <c r="E2558" s="5" t="str">
        <f>MID(F2558,FIND(".",F2558,6)+1,99)</f>
        <v>originalNameUsageID</v>
      </c>
      <c r="F2558" s="2" t="s">
        <v>7460</v>
      </c>
      <c r="G2558" s="5" t="s">
        <v>9678</v>
      </c>
      <c r="H2558" s="3" t="s">
        <v>7461</v>
      </c>
      <c r="I2558" s="7"/>
      <c r="K2558" s="26"/>
      <c r="N2558" s="6"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c r="O2558" s="6" t="s">
        <v>8574</v>
      </c>
      <c r="P2558" s="6" t="s">
        <v>8574</v>
      </c>
    </row>
    <row r="2559" spans="1:16" ht="75" x14ac:dyDescent="0.25">
      <c r="A2559" s="5" t="str">
        <f>IF(TRIM(I2559)="","",E2559)</f>
        <v>otherCatalogNumbers</v>
      </c>
      <c r="B2559" s="5" t="str">
        <f>IF(TRIM(J2559)="","",H2559)</f>
        <v/>
      </c>
      <c r="C2559" s="5" t="str">
        <f>LEFT(F2559,FIND(".",F2559,6))</f>
        <v>Xmp.dwc.</v>
      </c>
      <c r="D2559" s="5" t="str">
        <f>VLOOKUP(C2559,PrefixUebersetzung,2,FALSE)</f>
        <v>Xmp.dwc.</v>
      </c>
      <c r="E2559" s="5" t="str">
        <f>MID(F2559,FIND(".",F2559,6)+1,99)</f>
        <v>otherCatalogNumbers</v>
      </c>
      <c r="F2559" s="2" t="s">
        <v>7462</v>
      </c>
      <c r="G2559" s="5" t="s">
        <v>9679</v>
      </c>
      <c r="H2559" s="3" t="s">
        <v>7463</v>
      </c>
      <c r="I2559" s="7" t="s">
        <v>7860</v>
      </c>
      <c r="K2559" s="26"/>
      <c r="N2559" s="6"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xml:space="preserve">Description not translated </v>
      </c>
      <c r="O2559" s="6" t="s">
        <v>8574</v>
      </c>
      <c r="P2559" s="6" t="s">
        <v>8574</v>
      </c>
    </row>
    <row r="2560" spans="1:16" ht="45" x14ac:dyDescent="0.25">
      <c r="A2560" s="5" t="str">
        <f>IF(TRIM(I2560)="","",E2560)</f>
        <v/>
      </c>
      <c r="B2560" s="5" t="str">
        <f>IF(TRIM(J2560)="","",H2560)</f>
        <v/>
      </c>
      <c r="C2560" s="5" t="str">
        <f>LEFT(F2560,FIND(".",F2560,6))</f>
        <v>Xmp.dwc.</v>
      </c>
      <c r="D2560" s="5" t="str">
        <f>VLOOKUP(C2560,PrefixUebersetzung,2,FALSE)</f>
        <v>Xmp.dwc.</v>
      </c>
      <c r="E2560" s="5" t="str">
        <f>MID(F2560,FIND(".",F2560,6)+1,99)</f>
        <v>ownerInstitutionCode</v>
      </c>
      <c r="F2560" s="2" t="s">
        <v>7464</v>
      </c>
      <c r="G2560" s="5" t="s">
        <v>9678</v>
      </c>
      <c r="H2560" s="3" t="s">
        <v>7465</v>
      </c>
      <c r="I2560" s="7"/>
      <c r="K2560" s="26"/>
      <c r="N2560" s="6"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xml:space="preserve">Suffix not translated Description not translated </v>
      </c>
      <c r="O2560" s="6" t="s">
        <v>8574</v>
      </c>
      <c r="P2560" s="6" t="s">
        <v>8574</v>
      </c>
    </row>
    <row r="2561" spans="1:16" ht="30" x14ac:dyDescent="0.25">
      <c r="A2561" s="5" t="str">
        <f>IF(TRIM(I2561)="","",E2561)</f>
        <v>parentEventID</v>
      </c>
      <c r="B2561" s="5" t="str">
        <f>IF(TRIM(J2561)="","",H2561)</f>
        <v/>
      </c>
      <c r="C2561" s="5" t="str">
        <f>LEFT(F2561,FIND(".",F2561,6))</f>
        <v>Xmp.dwc.</v>
      </c>
      <c r="D2561" s="5" t="str">
        <f>VLOOKUP(C2561,PrefixUebersetzung,2,FALSE)</f>
        <v>Xmp.dwc.</v>
      </c>
      <c r="E2561" s="5" t="str">
        <f>MID(F2561,FIND(".",F2561,6)+1,99)</f>
        <v>parentEventID</v>
      </c>
      <c r="F2561" s="2" t="s">
        <v>7466</v>
      </c>
      <c r="G2561" s="5" t="s">
        <v>9678</v>
      </c>
      <c r="H2561" s="3" t="s">
        <v>7467</v>
      </c>
      <c r="I2561" s="7" t="s">
        <v>7844</v>
      </c>
      <c r="K2561" s="26"/>
      <c r="N2561" s="6"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xml:space="preserve">Description not translated </v>
      </c>
      <c r="O2561" s="6" t="s">
        <v>8574</v>
      </c>
      <c r="P2561" s="6" t="s">
        <v>8574</v>
      </c>
    </row>
    <row r="2562" spans="1:16" ht="60" x14ac:dyDescent="0.25">
      <c r="A2562" s="5" t="str">
        <f>IF(TRIM(I2562)="","",E2562)</f>
        <v>parentNameUsage</v>
      </c>
      <c r="B2562" s="5" t="str">
        <f>IF(TRIM(J2562)="","",H2562)</f>
        <v/>
      </c>
      <c r="C2562" s="5" t="str">
        <f>LEFT(F2562,FIND(".",F2562,6))</f>
        <v>Xmp.dwc.</v>
      </c>
      <c r="D2562" s="5" t="str">
        <f>VLOOKUP(C2562,PrefixUebersetzung,2,FALSE)</f>
        <v>Xmp.dwc.</v>
      </c>
      <c r="E2562" s="5" t="str">
        <f>MID(F2562,FIND(".",F2562,6)+1,99)</f>
        <v>parentNameUsage</v>
      </c>
      <c r="F2562" s="2" t="s">
        <v>7468</v>
      </c>
      <c r="G2562" s="5" t="s">
        <v>9678</v>
      </c>
      <c r="H2562" s="3" t="s">
        <v>7469</v>
      </c>
      <c r="I2562" s="7" t="s">
        <v>7827</v>
      </c>
      <c r="K2562" s="26"/>
      <c r="N2562" s="6"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xml:space="preserve">Description not translated </v>
      </c>
      <c r="O2562" s="6" t="s">
        <v>8574</v>
      </c>
      <c r="P2562" s="6" t="s">
        <v>8574</v>
      </c>
    </row>
    <row r="2563" spans="1:16" ht="75" x14ac:dyDescent="0.25">
      <c r="A2563" s="5" t="str">
        <f>IF(TRIM(I2563)="","",E2563)</f>
        <v>parentNameUsageID</v>
      </c>
      <c r="B2563" s="5" t="str">
        <f>IF(TRIM(J2563)="","",H2563)</f>
        <v/>
      </c>
      <c r="C2563" s="5" t="str">
        <f>LEFT(F2563,FIND(".",F2563,6))</f>
        <v>Xmp.dwc.</v>
      </c>
      <c r="D2563" s="5" t="str">
        <f>VLOOKUP(C2563,PrefixUebersetzung,2,FALSE)</f>
        <v>Xmp.dwc.</v>
      </c>
      <c r="E2563" s="5" t="str">
        <f>MID(F2563,FIND(".",F2563,6)+1,99)</f>
        <v>parentNameUsageID</v>
      </c>
      <c r="F2563" s="2" t="s">
        <v>7470</v>
      </c>
      <c r="G2563" s="5" t="s">
        <v>9678</v>
      </c>
      <c r="H2563" s="3" t="s">
        <v>7471</v>
      </c>
      <c r="I2563" s="7" t="s">
        <v>7828</v>
      </c>
      <c r="K2563" s="26"/>
      <c r="N2563" s="6"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xml:space="preserve">Description not translated </v>
      </c>
      <c r="O2563" s="6" t="s">
        <v>8574</v>
      </c>
      <c r="P2563" s="6" t="s">
        <v>8574</v>
      </c>
    </row>
    <row r="2564" spans="1:16" ht="45" x14ac:dyDescent="0.25">
      <c r="A2564" s="5" t="str">
        <f>IF(TRIM(I2564)="","",E2564)</f>
        <v>phylum</v>
      </c>
      <c r="B2564" s="5" t="str">
        <f>IF(TRIM(J2564)="","",H2564)</f>
        <v>The full scientific name of the phylum or division in which the taxon is classified.</v>
      </c>
      <c r="C2564" s="5" t="str">
        <f>LEFT(F2564,FIND(".",F2564,6))</f>
        <v>Xmp.dwc.</v>
      </c>
      <c r="D2564" s="5" t="str">
        <f>VLOOKUP(C2564,PrefixUebersetzung,2,FALSE)</f>
        <v>Xmp.dwc.</v>
      </c>
      <c r="E2564" s="5" t="str">
        <f>MID(F2564,FIND(".",F2564,6)+1,99)</f>
        <v>phylum</v>
      </c>
      <c r="F2564" s="2" t="s">
        <v>7472</v>
      </c>
      <c r="G2564" s="5" t="s">
        <v>9678</v>
      </c>
      <c r="H2564" s="3" t="s">
        <v>7473</v>
      </c>
      <c r="I2564" s="7" t="s">
        <v>7861</v>
      </c>
      <c r="J2564" s="14" t="s">
        <v>8944</v>
      </c>
      <c r="K2564" s="26"/>
      <c r="N2564" s="6"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O2564" s="6" t="s">
        <v>8574</v>
      </c>
      <c r="P2564" s="6" t="s">
        <v>8574</v>
      </c>
    </row>
    <row r="2565" spans="1:16" ht="225" x14ac:dyDescent="0.25">
      <c r="A2565" s="5" t="str">
        <f>IF(TRIM(I2565)="","",E2565)</f>
        <v/>
      </c>
      <c r="B2565" s="5" t="str">
        <f>IF(TRIM(J2565)="","",H2565)</f>
        <v/>
      </c>
      <c r="C2565" s="5" t="str">
        <f>LEFT(F2565,FIND(".",F2565,6))</f>
        <v>Xmp.dwc.</v>
      </c>
      <c r="D2565" s="5" t="str">
        <f>VLOOKUP(C2565,PrefixUebersetzung,2,FALSE)</f>
        <v>Xmp.dwc.</v>
      </c>
      <c r="E2565" s="5" t="str">
        <f>MID(F2565,FIND(".",F2565,6)+1,99)</f>
        <v>pointRadiusSpatialFit</v>
      </c>
      <c r="F2565" s="2" t="s">
        <v>7474</v>
      </c>
      <c r="G2565" s="5" t="s">
        <v>9678</v>
      </c>
      <c r="H2565" s="3" t="s">
        <v>7475</v>
      </c>
      <c r="I2565" s="7"/>
      <c r="K2565" s="26"/>
      <c r="N2565" s="6"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xml:space="preserve">Suffix not translated Description not translated </v>
      </c>
      <c r="O2565" s="6" t="s">
        <v>8574</v>
      </c>
      <c r="P2565" s="6" t="s">
        <v>8574</v>
      </c>
    </row>
    <row r="2566" spans="1:16" ht="30" x14ac:dyDescent="0.25">
      <c r="A2566" s="5" t="str">
        <f>IF(TRIM(I2566)="","",E2566)</f>
        <v>preparations</v>
      </c>
      <c r="B2566" s="5" t="str">
        <f>IF(TRIM(J2566)="","",H2566)</f>
        <v/>
      </c>
      <c r="C2566" s="5" t="str">
        <f>LEFT(F2566,FIND(".",F2566,6))</f>
        <v>Xmp.dwc.</v>
      </c>
      <c r="D2566" s="5" t="str">
        <f>VLOOKUP(C2566,PrefixUebersetzung,2,FALSE)</f>
        <v>Xmp.dwc.</v>
      </c>
      <c r="E2566" s="5" t="str">
        <f>MID(F2566,FIND(".",F2566,6)+1,99)</f>
        <v>preparations</v>
      </c>
      <c r="F2566" s="2" t="s">
        <v>7476</v>
      </c>
      <c r="G2566" s="5" t="s">
        <v>9679</v>
      </c>
      <c r="H2566" s="3" t="s">
        <v>7477</v>
      </c>
      <c r="I2566" s="7" t="s">
        <v>7862</v>
      </c>
      <c r="K2566" s="26"/>
      <c r="N2566" s="6"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Description not translated </v>
      </c>
      <c r="O2566" s="6" t="s">
        <v>8574</v>
      </c>
      <c r="P2566" s="6" t="s">
        <v>8574</v>
      </c>
    </row>
    <row r="2567" spans="1:16" ht="45" x14ac:dyDescent="0.25">
      <c r="A2567" s="5" t="str">
        <f>IF(TRIM(I2567)="","",E2567)</f>
        <v/>
      </c>
      <c r="B2567" s="5" t="str">
        <f>IF(TRIM(J2567)="","",H2567)</f>
        <v/>
      </c>
      <c r="C2567" s="5" t="str">
        <f>LEFT(F2567,FIND(".",F2567,6))</f>
        <v>Xmp.dwc.</v>
      </c>
      <c r="D2567" s="5" t="str">
        <f>VLOOKUP(C2567,PrefixUebersetzung,2,FALSE)</f>
        <v>Xmp.dwc.</v>
      </c>
      <c r="E2567" s="5" t="str">
        <f>MID(F2567,FIND(".",F2567,6)+1,99)</f>
        <v>PreservedSpecimen</v>
      </c>
      <c r="F2567" s="2" t="s">
        <v>7478</v>
      </c>
      <c r="G2567" s="5" t="s">
        <v>9678</v>
      </c>
      <c r="H2567" s="3" t="s">
        <v>7479</v>
      </c>
      <c r="I2567" s="7"/>
      <c r="K2567" s="26"/>
      <c r="N2567" s="6"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6" t="s">
        <v>8574</v>
      </c>
      <c r="P2567" s="6" t="s">
        <v>8574</v>
      </c>
    </row>
    <row r="2568" spans="1:16" ht="30" x14ac:dyDescent="0.25">
      <c r="A2568" s="5" t="str">
        <f>IF(TRIM(I2568)="","",E2568)</f>
        <v>previousIdentifications</v>
      </c>
      <c r="B2568" s="5" t="str">
        <f>IF(TRIM(J2568)="","",H2568)</f>
        <v/>
      </c>
      <c r="C2568" s="5" t="str">
        <f>LEFT(F2568,FIND(".",F2568,6))</f>
        <v>Xmp.dwc.</v>
      </c>
      <c r="D2568" s="5" t="str">
        <f>VLOOKUP(C2568,PrefixUebersetzung,2,FALSE)</f>
        <v>Xmp.dwc.</v>
      </c>
      <c r="E2568" s="5" t="str">
        <f>MID(F2568,FIND(".",F2568,6)+1,99)</f>
        <v>previousIdentifications</v>
      </c>
      <c r="F2568" s="2" t="s">
        <v>7480</v>
      </c>
      <c r="G2568" s="5" t="s">
        <v>9679</v>
      </c>
      <c r="H2568" s="3" t="s">
        <v>9646</v>
      </c>
      <c r="I2568" s="7" t="s">
        <v>7863</v>
      </c>
      <c r="K2568" s="26"/>
      <c r="N2568" s="6"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Description not translated </v>
      </c>
      <c r="O2568" s="6" t="s">
        <v>8574</v>
      </c>
      <c r="P2568" s="6" t="s">
        <v>8574</v>
      </c>
    </row>
    <row r="2569" spans="1:16" x14ac:dyDescent="0.25">
      <c r="A2569" s="5" t="str">
        <f>IF(TRIM(I2569)="","",E2569)</f>
        <v>Record</v>
      </c>
      <c r="B2569" s="5" t="str">
        <f>IF(TRIM(J2569)="","",H2569)</f>
        <v/>
      </c>
      <c r="C2569" s="5" t="str">
        <f>LEFT(F2569,FIND(".",F2569,6))</f>
        <v>Xmp.dwc.</v>
      </c>
      <c r="D2569" s="5" t="str">
        <f>VLOOKUP(C2569,PrefixUebersetzung,2,FALSE)</f>
        <v>Xmp.dwc.</v>
      </c>
      <c r="E2569" s="5" t="str">
        <f>MID(F2569,FIND(".",F2569,6)+1,99)</f>
        <v>Record</v>
      </c>
      <c r="F2569" s="2" t="s">
        <v>7481</v>
      </c>
      <c r="G2569" s="5" t="s">
        <v>9678</v>
      </c>
      <c r="H2569" s="3" t="s">
        <v>7482</v>
      </c>
      <c r="I2569" s="7" t="s">
        <v>7864</v>
      </c>
      <c r="K2569" s="26"/>
      <c r="N2569" s="6"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Description not translated </v>
      </c>
      <c r="O2569" s="6" t="s">
        <v>8574</v>
      </c>
      <c r="P2569" s="6" t="s">
        <v>8574</v>
      </c>
    </row>
    <row r="2570" spans="1:16" ht="90" x14ac:dyDescent="0.25">
      <c r="A2570" s="5" t="str">
        <f>IF(TRIM(I2570)="","",E2570)</f>
        <v>recordedBy</v>
      </c>
      <c r="B2570" s="5" t="str">
        <f>IF(TRIM(J2570)="","",H2570)</f>
        <v/>
      </c>
      <c r="C2570" s="5" t="str">
        <f>LEFT(F2570,FIND(".",F2570,6))</f>
        <v>Xmp.dwc.</v>
      </c>
      <c r="D2570" s="5" t="str">
        <f>VLOOKUP(C2570,PrefixUebersetzung,2,FALSE)</f>
        <v>Xmp.dwc.</v>
      </c>
      <c r="E2570" s="5" t="str">
        <f>MID(F2570,FIND(".",F2570,6)+1,99)</f>
        <v>recordedBy</v>
      </c>
      <c r="F2570" s="2" t="s">
        <v>7483</v>
      </c>
      <c r="G2570" s="5" t="s">
        <v>9679</v>
      </c>
      <c r="H2570" s="3" t="s">
        <v>7484</v>
      </c>
      <c r="I2570" s="7" t="s">
        <v>7865</v>
      </c>
      <c r="K2570" s="26"/>
      <c r="N2570" s="6"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xml:space="preserve">Description not translated </v>
      </c>
      <c r="O2570" s="6" t="s">
        <v>8574</v>
      </c>
      <c r="P2570" s="6" t="s">
        <v>8574</v>
      </c>
    </row>
    <row r="2571" spans="1:16" ht="60" x14ac:dyDescent="0.25">
      <c r="A2571" s="5" t="str">
        <f>IF(TRIM(I2571)="","",E2571)</f>
        <v>recordNumber</v>
      </c>
      <c r="B2571" s="5" t="str">
        <f>IF(TRIM(J2571)="","",H2571)</f>
        <v/>
      </c>
      <c r="C2571" s="5" t="str">
        <f>LEFT(F2571,FIND(".",F2571,6))</f>
        <v>Xmp.dwc.</v>
      </c>
      <c r="D2571" s="5" t="str">
        <f>VLOOKUP(C2571,PrefixUebersetzung,2,FALSE)</f>
        <v>Xmp.dwc.</v>
      </c>
      <c r="E2571" s="5" t="str">
        <f>MID(F2571,FIND(".",F2571,6)+1,99)</f>
        <v>recordNumber</v>
      </c>
      <c r="F2571" s="2" t="s">
        <v>7485</v>
      </c>
      <c r="G2571" s="5" t="s">
        <v>9678</v>
      </c>
      <c r="H2571" s="3" t="s">
        <v>7486</v>
      </c>
      <c r="I2571" s="7" t="s">
        <v>7866</v>
      </c>
      <c r="K2571" s="26"/>
      <c r="N2571" s="6"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Description not translated </v>
      </c>
      <c r="O2571" s="6" t="s">
        <v>8574</v>
      </c>
      <c r="P2571" s="6" t="s">
        <v>8574</v>
      </c>
    </row>
    <row r="2572" spans="1:16" ht="30" x14ac:dyDescent="0.25">
      <c r="A2572" s="5" t="str">
        <f>IF(TRIM(I2572)="","",E2572)</f>
        <v>relatedResourceID</v>
      </c>
      <c r="B2572" s="5" t="str">
        <f>IF(TRIM(J2572)="","",H2572)</f>
        <v/>
      </c>
      <c r="C2572" s="5" t="str">
        <f>LEFT(F2572,FIND(".",F2572,6))</f>
        <v>Xmp.dwc.</v>
      </c>
      <c r="D2572" s="5" t="str">
        <f>VLOOKUP(C2572,PrefixUebersetzung,2,FALSE)</f>
        <v>Xmp.dwc.</v>
      </c>
      <c r="E2572" s="5" t="str">
        <f>MID(F2572,FIND(".",F2572,6)+1,99)</f>
        <v>relatedResourceID</v>
      </c>
      <c r="F2572" s="2" t="s">
        <v>7487</v>
      </c>
      <c r="G2572" s="5" t="s">
        <v>9678</v>
      </c>
      <c r="H2572" s="3" t="s">
        <v>7488</v>
      </c>
      <c r="I2572" s="7" t="s">
        <v>7867</v>
      </c>
      <c r="K2572" s="26"/>
      <c r="N2572" s="6"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xml:space="preserve">Description not translated </v>
      </c>
      <c r="O2572" s="6" t="s">
        <v>8574</v>
      </c>
      <c r="P2572" s="6" t="s">
        <v>8574</v>
      </c>
    </row>
    <row r="2573" spans="1:16" ht="45" x14ac:dyDescent="0.25">
      <c r="A2573" s="5" t="str">
        <f>IF(TRIM(I2573)="","",E2573)</f>
        <v>relationshipAccordingTo</v>
      </c>
      <c r="B2573" s="5" t="str">
        <f>IF(TRIM(J2573)="","",H2573)</f>
        <v/>
      </c>
      <c r="C2573" s="5" t="str">
        <f>LEFT(F2573,FIND(".",F2573,6))</f>
        <v>Xmp.dwc.</v>
      </c>
      <c r="D2573" s="5" t="str">
        <f>VLOOKUP(C2573,PrefixUebersetzung,2,FALSE)</f>
        <v>Xmp.dwc.</v>
      </c>
      <c r="E2573" s="5" t="str">
        <f>MID(F2573,FIND(".",F2573,6)+1,99)</f>
        <v>relationshipAccordingTo</v>
      </c>
      <c r="F2573" s="2" t="s">
        <v>7489</v>
      </c>
      <c r="G2573" s="5" t="s">
        <v>9678</v>
      </c>
      <c r="H2573" s="3" t="s">
        <v>7490</v>
      </c>
      <c r="I2573" s="7" t="s">
        <v>7868</v>
      </c>
      <c r="K2573" s="26"/>
      <c r="N2573" s="6"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xml:space="preserve">Description not translated </v>
      </c>
      <c r="O2573" s="6" t="s">
        <v>8574</v>
      </c>
      <c r="P2573" s="6" t="s">
        <v>8574</v>
      </c>
    </row>
    <row r="2574" spans="1:16" ht="60" x14ac:dyDescent="0.25">
      <c r="A2574" s="5" t="str">
        <f>IF(TRIM(I2574)="","",E2574)</f>
        <v>relationshipEstablishedDate</v>
      </c>
      <c r="B2574" s="5" t="str">
        <f>IF(TRIM(J2574)="","",H2574)</f>
        <v/>
      </c>
      <c r="C2574" s="5" t="str">
        <f>LEFT(F2574,FIND(".",F2574,6))</f>
        <v>Xmp.dwc.</v>
      </c>
      <c r="D2574" s="5" t="str">
        <f>VLOOKUP(C2574,PrefixUebersetzung,2,FALSE)</f>
        <v>Xmp.dwc.</v>
      </c>
      <c r="E2574" s="5" t="str">
        <f>MID(F2574,FIND(".",F2574,6)+1,99)</f>
        <v>relationshipEstablishedDate</v>
      </c>
      <c r="F2574" s="2" t="s">
        <v>7491</v>
      </c>
      <c r="G2574" s="5" t="s">
        <v>9678</v>
      </c>
      <c r="H2574" s="3" t="s">
        <v>7492</v>
      </c>
      <c r="I2574" s="7" t="s">
        <v>7869</v>
      </c>
      <c r="K2574" s="26"/>
      <c r="N2574" s="6"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xml:space="preserve">Description not translated </v>
      </c>
      <c r="O2574" s="6" t="s">
        <v>8574</v>
      </c>
      <c r="P2574" s="6" t="s">
        <v>8574</v>
      </c>
    </row>
    <row r="2575" spans="1:16" ht="60" x14ac:dyDescent="0.25">
      <c r="A2575" s="5" t="str">
        <f>IF(TRIM(I2575)="","",E2575)</f>
        <v>relationshipOfResource</v>
      </c>
      <c r="B2575" s="5" t="str">
        <f>IF(TRIM(J2575)="","",H2575)</f>
        <v/>
      </c>
      <c r="C2575" s="5" t="str">
        <f>LEFT(F2575,FIND(".",F2575,6))</f>
        <v>Xmp.dwc.</v>
      </c>
      <c r="D2575" s="5" t="str">
        <f>VLOOKUP(C2575,PrefixUebersetzung,2,FALSE)</f>
        <v>Xmp.dwc.</v>
      </c>
      <c r="E2575" s="5" t="str">
        <f>MID(F2575,FIND(".",F2575,6)+1,99)</f>
        <v>relationshipOfResource</v>
      </c>
      <c r="F2575" s="2" t="s">
        <v>7493</v>
      </c>
      <c r="G2575" s="5" t="s">
        <v>9678</v>
      </c>
      <c r="H2575" s="3" t="s">
        <v>7494</v>
      </c>
      <c r="I2575" s="7" t="s">
        <v>7870</v>
      </c>
      <c r="K2575" s="26"/>
      <c r="N2575" s="6"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xml:space="preserve">Description not translated </v>
      </c>
      <c r="O2575" s="6" t="s">
        <v>8574</v>
      </c>
      <c r="P2575" s="6" t="s">
        <v>8574</v>
      </c>
    </row>
    <row r="2576" spans="1:16" ht="30" x14ac:dyDescent="0.25">
      <c r="A2576" s="5" t="str">
        <f>IF(TRIM(I2576)="","",E2576)</f>
        <v>relationshipRemarks</v>
      </c>
      <c r="B2576" s="5" t="str">
        <f>IF(TRIM(J2576)="","",H2576)</f>
        <v>Comments or notes about the relationship between the two resources.</v>
      </c>
      <c r="C2576" s="5" t="str">
        <f>LEFT(F2576,FIND(".",F2576,6))</f>
        <v>Xmp.dwc.</v>
      </c>
      <c r="D2576" s="5" t="str">
        <f>VLOOKUP(C2576,PrefixUebersetzung,2,FALSE)</f>
        <v>Xmp.dwc.</v>
      </c>
      <c r="E2576" s="5" t="str">
        <f>MID(F2576,FIND(".",F2576,6)+1,99)</f>
        <v>relationshipRemarks</v>
      </c>
      <c r="F2576" s="2" t="s">
        <v>7495</v>
      </c>
      <c r="G2576" s="5" t="s">
        <v>9678</v>
      </c>
      <c r="H2576" s="3" t="s">
        <v>7496</v>
      </c>
      <c r="I2576" s="7" t="s">
        <v>7871</v>
      </c>
      <c r="J2576" s="14" t="s">
        <v>7728</v>
      </c>
      <c r="K2576" s="26"/>
      <c r="N2576" s="6"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6" t="s">
        <v>8574</v>
      </c>
      <c r="P2576" s="6" t="s">
        <v>8574</v>
      </c>
    </row>
    <row r="2577" spans="1:16" ht="60" x14ac:dyDescent="0.25">
      <c r="A2577" s="5" t="str">
        <f>IF(TRIM(I2577)="","",E2577)</f>
        <v>reproductiveCondition</v>
      </c>
      <c r="B2577" s="5" t="str">
        <f>IF(TRIM(J2577)="","",H2577)</f>
        <v/>
      </c>
      <c r="C2577" s="5" t="str">
        <f>LEFT(F2577,FIND(".",F2577,6))</f>
        <v>Xmp.dwc.</v>
      </c>
      <c r="D2577" s="5" t="str">
        <f>VLOOKUP(C2577,PrefixUebersetzung,2,FALSE)</f>
        <v>Xmp.dwc.</v>
      </c>
      <c r="E2577" s="5" t="str">
        <f>MID(F2577,FIND(".",F2577,6)+1,99)</f>
        <v>reproductiveCondition</v>
      </c>
      <c r="F2577" s="2" t="s">
        <v>7497</v>
      </c>
      <c r="G2577" s="5" t="s">
        <v>9678</v>
      </c>
      <c r="H2577" s="3" t="s">
        <v>7498</v>
      </c>
      <c r="I2577" s="7" t="s">
        <v>7872</v>
      </c>
      <c r="K2577" s="26"/>
      <c r="N2577" s="6"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xml:space="preserve">Description not translated </v>
      </c>
      <c r="O2577" s="6" t="s">
        <v>8574</v>
      </c>
      <c r="P2577" s="6" t="s">
        <v>8574</v>
      </c>
    </row>
    <row r="2578" spans="1:16" ht="30" x14ac:dyDescent="0.25">
      <c r="A2578" s="5" t="str">
        <f>IF(TRIM(I2578)="","",E2578)</f>
        <v>resourceID</v>
      </c>
      <c r="B2578" s="5" t="str">
        <f>IF(TRIM(J2578)="","",H2578)</f>
        <v>An identifier for the resource that is the subject of the relationship.</v>
      </c>
      <c r="C2578" s="5" t="str">
        <f>LEFT(F2578,FIND(".",F2578,6))</f>
        <v>Xmp.dwc.</v>
      </c>
      <c r="D2578" s="5" t="str">
        <f>VLOOKUP(C2578,PrefixUebersetzung,2,FALSE)</f>
        <v>Xmp.dwc.</v>
      </c>
      <c r="E2578" s="5" t="str">
        <f>MID(F2578,FIND(".",F2578,6)+1,99)</f>
        <v>resourceID</v>
      </c>
      <c r="F2578" s="2" t="s">
        <v>7499</v>
      </c>
      <c r="G2578" s="5" t="s">
        <v>9678</v>
      </c>
      <c r="H2578" s="3" t="s">
        <v>7500</v>
      </c>
      <c r="I2578" s="7" t="s">
        <v>7873</v>
      </c>
      <c r="J2578" s="14" t="s">
        <v>8945</v>
      </c>
      <c r="K2578" s="26"/>
      <c r="N2578" s="6"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6" t="s">
        <v>8574</v>
      </c>
      <c r="P2578" s="6" t="s">
        <v>8574</v>
      </c>
    </row>
    <row r="2579" spans="1:16" ht="30" x14ac:dyDescent="0.25">
      <c r="A2579" s="5" t="str">
        <f>IF(TRIM(I2579)="","",E2579)</f>
        <v>ResourceRelationship</v>
      </c>
      <c r="B2579" s="5" t="str">
        <f>IF(TRIM(J2579)="","",H2579)</f>
        <v/>
      </c>
      <c r="C2579" s="5" t="str">
        <f>LEFT(F2579,FIND(".",F2579,6))</f>
        <v>Xmp.dwc.</v>
      </c>
      <c r="D2579" s="5" t="str">
        <f>VLOOKUP(C2579,PrefixUebersetzung,2,FALSE)</f>
        <v>Xmp.dwc.</v>
      </c>
      <c r="E2579" s="5" t="str">
        <f>MID(F2579,FIND(".",F2579,6)+1,99)</f>
        <v>ResourceRelationship</v>
      </c>
      <c r="F2579" s="2" t="s">
        <v>7501</v>
      </c>
      <c r="G2579" s="5" t="s">
        <v>9678</v>
      </c>
      <c r="H2579" s="3" t="s">
        <v>7502</v>
      </c>
      <c r="I2579" s="7" t="s">
        <v>7874</v>
      </c>
      <c r="K2579" s="26"/>
      <c r="N2579" s="6"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xml:space="preserve">Description not translated </v>
      </c>
      <c r="O2579" s="6" t="s">
        <v>8574</v>
      </c>
      <c r="P2579" s="6" t="s">
        <v>8574</v>
      </c>
    </row>
    <row r="2580" spans="1:16" ht="45" x14ac:dyDescent="0.25">
      <c r="A2580" s="5" t="str">
        <f>IF(TRIM(I2580)="","",E2580)</f>
        <v>resourceRelationshipID</v>
      </c>
      <c r="B2580" s="5" t="str">
        <f>IF(TRIM(J2580)="","",H2580)</f>
        <v/>
      </c>
      <c r="C2580" s="5" t="str">
        <f>LEFT(F2580,FIND(".",F2580,6))</f>
        <v>Xmp.dwc.</v>
      </c>
      <c r="D2580" s="5" t="str">
        <f>VLOOKUP(C2580,PrefixUebersetzung,2,FALSE)</f>
        <v>Xmp.dwc.</v>
      </c>
      <c r="E2580" s="5" t="str">
        <f>MID(F2580,FIND(".",F2580,6)+1,99)</f>
        <v>resourceRelationshipID</v>
      </c>
      <c r="F2580" s="2" t="s">
        <v>7503</v>
      </c>
      <c r="G2580" s="5" t="s">
        <v>9678</v>
      </c>
      <c r="H2580" s="3" t="s">
        <v>7504</v>
      </c>
      <c r="I2580" s="7" t="s">
        <v>7875</v>
      </c>
      <c r="K2580" s="26"/>
      <c r="N2580" s="6"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xml:space="preserve">Description not translated </v>
      </c>
      <c r="O2580" s="6" t="s">
        <v>8574</v>
      </c>
      <c r="P2580" s="6" t="s">
        <v>8574</v>
      </c>
    </row>
    <row r="2581" spans="1:16" ht="45" x14ac:dyDescent="0.25">
      <c r="A2581" s="5" t="str">
        <f>IF(TRIM(I2581)="","",E2581)</f>
        <v>sampleSizeUnit</v>
      </c>
      <c r="B2581" s="5" t="str">
        <f>IF(TRIM(J2581)="","",H2581)</f>
        <v>The unit of measurement of the size (time duration, length, area, or volume) of a sample in a sampling event.</v>
      </c>
      <c r="C2581" s="5" t="str">
        <f>LEFT(F2581,FIND(".",F2581,6))</f>
        <v>Xmp.dwc.</v>
      </c>
      <c r="D2581" s="5" t="str">
        <f>VLOOKUP(C2581,PrefixUebersetzung,2,FALSE)</f>
        <v>Xmp.dwc.</v>
      </c>
      <c r="E2581" s="5" t="str">
        <f>MID(F2581,FIND(".",F2581,6)+1,99)</f>
        <v>sampleSizeUnit</v>
      </c>
      <c r="F2581" s="2" t="s">
        <v>7505</v>
      </c>
      <c r="G2581" s="5" t="s">
        <v>9678</v>
      </c>
      <c r="H2581" s="3" t="s">
        <v>7506</v>
      </c>
      <c r="I2581" s="7" t="s">
        <v>7876</v>
      </c>
      <c r="J2581" s="14" t="s">
        <v>8946</v>
      </c>
      <c r="K2581" s="26"/>
      <c r="N2581" s="6"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c r="O2581" s="6" t="s">
        <v>8574</v>
      </c>
      <c r="P2581" s="6" t="s">
        <v>8574</v>
      </c>
    </row>
    <row r="2582" spans="1:16" ht="45" x14ac:dyDescent="0.25">
      <c r="A2582" s="5" t="str">
        <f>IF(TRIM(I2582)="","",E2582)</f>
        <v>sampleSizeValue</v>
      </c>
      <c r="B2582" s="5" t="str">
        <f>IF(TRIM(J2582)="","",H2582)</f>
        <v>A numeric value for a measurement of the size (time duration, length, area, or volume) of a sample in a sampling event.</v>
      </c>
      <c r="C2582" s="5" t="str">
        <f>LEFT(F2582,FIND(".",F2582,6))</f>
        <v>Xmp.dwc.</v>
      </c>
      <c r="D2582" s="5" t="str">
        <f>VLOOKUP(C2582,PrefixUebersetzung,2,FALSE)</f>
        <v>Xmp.dwc.</v>
      </c>
      <c r="E2582" s="5" t="str">
        <f>MID(F2582,FIND(".",F2582,6)+1,99)</f>
        <v>sampleSizeValue</v>
      </c>
      <c r="F2582" s="2" t="s">
        <v>7507</v>
      </c>
      <c r="G2582" s="5" t="s">
        <v>9678</v>
      </c>
      <c r="H2582" s="3" t="s">
        <v>7508</v>
      </c>
      <c r="I2582" s="7" t="s">
        <v>7877</v>
      </c>
      <c r="J2582" s="14" t="s">
        <v>8947</v>
      </c>
      <c r="K2582" s="26"/>
      <c r="N2582" s="6"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O2582" s="6" t="s">
        <v>8574</v>
      </c>
      <c r="P2582" s="6" t="s">
        <v>8574</v>
      </c>
    </row>
    <row r="2583" spans="1:16" x14ac:dyDescent="0.25">
      <c r="A2583" s="5" t="str">
        <f>IF(TRIM(I2583)="","",E2583)</f>
        <v>samplingEffort</v>
      </c>
      <c r="B2583" s="5" t="str">
        <f>IF(TRIM(J2583)="","",H2583)</f>
        <v/>
      </c>
      <c r="C2583" s="5" t="str">
        <f>LEFT(F2583,FIND(".",F2583,6))</f>
        <v>Xmp.dwc.</v>
      </c>
      <c r="D2583" s="5" t="str">
        <f>VLOOKUP(C2583,PrefixUebersetzung,2,FALSE)</f>
        <v>Xmp.dwc.</v>
      </c>
      <c r="E2583" s="5" t="str">
        <f>MID(F2583,FIND(".",F2583,6)+1,99)</f>
        <v>samplingEffort</v>
      </c>
      <c r="F2583" s="2" t="s">
        <v>7509</v>
      </c>
      <c r="G2583" s="5" t="s">
        <v>9678</v>
      </c>
      <c r="H2583" s="3" t="s">
        <v>7510</v>
      </c>
      <c r="I2583" s="7" t="s">
        <v>7878</v>
      </c>
      <c r="K2583" s="26"/>
      <c r="N2583" s="6"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xml:space="preserve">Description not translated </v>
      </c>
      <c r="O2583" s="6" t="s">
        <v>8574</v>
      </c>
      <c r="P2583" s="6" t="s">
        <v>8574</v>
      </c>
    </row>
    <row r="2584" spans="1:16" ht="45" x14ac:dyDescent="0.25">
      <c r="A2584" s="5" t="str">
        <f>IF(TRIM(I2584)="","",E2584)</f>
        <v>samplingProtocol</v>
      </c>
      <c r="B2584" s="5" t="str">
        <f>IF(TRIM(J2584)="","",H2584)</f>
        <v>The name of, reference to, or description of the method or protocol used during an Event.</v>
      </c>
      <c r="C2584" s="5" t="str">
        <f>LEFT(F2584,FIND(".",F2584,6))</f>
        <v>Xmp.dwc.</v>
      </c>
      <c r="D2584" s="5" t="str">
        <f>VLOOKUP(C2584,PrefixUebersetzung,2,FALSE)</f>
        <v>Xmp.dwc.</v>
      </c>
      <c r="E2584" s="5" t="str">
        <f>MID(F2584,FIND(".",F2584,6)+1,99)</f>
        <v>samplingProtocol</v>
      </c>
      <c r="F2584" s="2" t="s">
        <v>7511</v>
      </c>
      <c r="G2584" s="5" t="s">
        <v>9678</v>
      </c>
      <c r="H2584" s="3" t="s">
        <v>7512</v>
      </c>
      <c r="I2584" s="7" t="s">
        <v>7879</v>
      </c>
      <c r="J2584" s="14" t="s">
        <v>8948</v>
      </c>
      <c r="K2584" s="26"/>
      <c r="N2584" s="6"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c>
      <c r="O2584" s="6" t="s">
        <v>8574</v>
      </c>
      <c r="P2584" s="6" t="s">
        <v>8574</v>
      </c>
    </row>
    <row r="2585" spans="1:16" ht="105" x14ac:dyDescent="0.25">
      <c r="A2585" s="5" t="str">
        <f>IF(TRIM(I2585)="","",E2585)</f>
        <v>scientificName</v>
      </c>
      <c r="B2585" s="5" t="str">
        <f>IF(TRIM(J2585)="","",H2585)</f>
        <v/>
      </c>
      <c r="C2585" s="5" t="str">
        <f>LEFT(F2585,FIND(".",F2585,6))</f>
        <v>Xmp.dwc.</v>
      </c>
      <c r="D2585" s="5" t="str">
        <f>VLOOKUP(C2585,PrefixUebersetzung,2,FALSE)</f>
        <v>Xmp.dwc.</v>
      </c>
      <c r="E2585" s="5" t="str">
        <f>MID(F2585,FIND(".",F2585,6)+1,99)</f>
        <v>scientificName</v>
      </c>
      <c r="F2585" s="2" t="s">
        <v>7513</v>
      </c>
      <c r="G2585" s="5" t="s">
        <v>9678</v>
      </c>
      <c r="H2585" s="3" t="s">
        <v>7514</v>
      </c>
      <c r="I2585" s="7" t="s">
        <v>7880</v>
      </c>
      <c r="K2585" s="26"/>
      <c r="N2585" s="6"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xml:space="preserve">Description not translated </v>
      </c>
      <c r="O2585" s="6" t="s">
        <v>8574</v>
      </c>
      <c r="P2585" s="6" t="s">
        <v>8574</v>
      </c>
    </row>
    <row r="2586" spans="1:16" ht="45" x14ac:dyDescent="0.25">
      <c r="A2586" s="5" t="str">
        <f>IF(TRIM(I2586)="","",E2586)</f>
        <v>scientificNameAuthorship</v>
      </c>
      <c r="B2586" s="5" t="str">
        <f>IF(TRIM(J2586)="","",H2586)</f>
        <v/>
      </c>
      <c r="C2586" s="5" t="str">
        <f>LEFT(F2586,FIND(".",F2586,6))</f>
        <v>Xmp.dwc.</v>
      </c>
      <c r="D2586" s="5" t="str">
        <f>VLOOKUP(C2586,PrefixUebersetzung,2,FALSE)</f>
        <v>Xmp.dwc.</v>
      </c>
      <c r="E2586" s="5" t="str">
        <f>MID(F2586,FIND(".",F2586,6)+1,99)</f>
        <v>scientificNameAuthorship</v>
      </c>
      <c r="F2586" s="2" t="s">
        <v>7515</v>
      </c>
      <c r="G2586" s="5" t="s">
        <v>9678</v>
      </c>
      <c r="H2586" s="3" t="s">
        <v>7516</v>
      </c>
      <c r="I2586" s="7" t="s">
        <v>7881</v>
      </c>
      <c r="K2586" s="26"/>
      <c r="N2586" s="6"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xml:space="preserve">Description not translated </v>
      </c>
      <c r="O2586" s="6" t="s">
        <v>8574</v>
      </c>
      <c r="P2586" s="6" t="s">
        <v>8574</v>
      </c>
    </row>
    <row r="2587" spans="1:16" ht="30" x14ac:dyDescent="0.25">
      <c r="A2587" s="5" t="str">
        <f>IF(TRIM(I2587)="","",E2587)</f>
        <v>scientificNameID</v>
      </c>
      <c r="B2587" s="5" t="str">
        <f>IF(TRIM(J2587)="","",H2587)</f>
        <v/>
      </c>
      <c r="C2587" s="5" t="str">
        <f>LEFT(F2587,FIND(".",F2587,6))</f>
        <v>Xmp.dwc.</v>
      </c>
      <c r="D2587" s="5" t="str">
        <f>VLOOKUP(C2587,PrefixUebersetzung,2,FALSE)</f>
        <v>Xmp.dwc.</v>
      </c>
      <c r="E2587" s="5" t="str">
        <f>MID(F2587,FIND(".",F2587,6)+1,99)</f>
        <v>scientificNameID</v>
      </c>
      <c r="F2587" s="2" t="s">
        <v>7517</v>
      </c>
      <c r="G2587" s="5" t="s">
        <v>9678</v>
      </c>
      <c r="H2587" s="3" t="s">
        <v>7518</v>
      </c>
      <c r="I2587" s="7" t="s">
        <v>7882</v>
      </c>
      <c r="K2587" s="26"/>
      <c r="N2587" s="6"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Description not translated </v>
      </c>
      <c r="O2587" s="6" t="s">
        <v>8574</v>
      </c>
      <c r="P2587" s="6" t="s">
        <v>8574</v>
      </c>
    </row>
    <row r="2588" spans="1:16" ht="45" x14ac:dyDescent="0.25">
      <c r="A2588" s="5" t="str">
        <f>IF(TRIM(I2588)="","",E2588)</f>
        <v>sex</v>
      </c>
      <c r="B2588" s="5" t="str">
        <f>IF(TRIM(J2588)="","",H2588)</f>
        <v/>
      </c>
      <c r="C2588" s="5" t="str">
        <f>LEFT(F2588,FIND(".",F2588,6))</f>
        <v>Xmp.dwc.</v>
      </c>
      <c r="D2588" s="5" t="str">
        <f>VLOOKUP(C2588,PrefixUebersetzung,2,FALSE)</f>
        <v>Xmp.dwc.</v>
      </c>
      <c r="E2588" s="5" t="str">
        <f>MID(F2588,FIND(".",F2588,6)+1,99)</f>
        <v>sex</v>
      </c>
      <c r="F2588" s="2" t="s">
        <v>7519</v>
      </c>
      <c r="G2588" s="5" t="s">
        <v>9678</v>
      </c>
      <c r="H2588" s="3" t="s">
        <v>7520</v>
      </c>
      <c r="I2588" s="7" t="s">
        <v>7778</v>
      </c>
      <c r="K2588" s="26"/>
      <c r="N2588" s="6"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xml:space="preserve">Description not translated </v>
      </c>
      <c r="O2588" s="6" t="s">
        <v>8574</v>
      </c>
      <c r="P2588" s="6" t="s">
        <v>8574</v>
      </c>
    </row>
    <row r="2589" spans="1:16" ht="30" x14ac:dyDescent="0.25">
      <c r="A2589" s="5" t="str">
        <f>IF(TRIM(I2589)="","",E2589)</f>
        <v/>
      </c>
      <c r="B2589" s="5" t="str">
        <f>IF(TRIM(J2589)="","",H2589)</f>
        <v/>
      </c>
      <c r="C2589" s="5" t="str">
        <f>LEFT(F2589,FIND(".",F2589,6))</f>
        <v>Xmp.dwc.</v>
      </c>
      <c r="D2589" s="5" t="str">
        <f>VLOOKUP(C2589,PrefixUebersetzung,2,FALSE)</f>
        <v>Xmp.dwc.</v>
      </c>
      <c r="E2589" s="5" t="str">
        <f>MID(F2589,FIND(".",F2589,6)+1,99)</f>
        <v>specificEpithet</v>
      </c>
      <c r="F2589" s="2" t="s">
        <v>7521</v>
      </c>
      <c r="G2589" s="5" t="s">
        <v>9678</v>
      </c>
      <c r="H2589" s="3" t="s">
        <v>7522</v>
      </c>
      <c r="I2589" s="7"/>
      <c r="K2589" s="26"/>
      <c r="N2589" s="6"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O2589" s="6" t="s">
        <v>8574</v>
      </c>
      <c r="P2589" s="6" t="s">
        <v>8574</v>
      </c>
    </row>
    <row r="2590" spans="1:16" ht="60" x14ac:dyDescent="0.25">
      <c r="A2590" s="5" t="str">
        <f>IF(TRIM(I2590)="","",E2590)</f>
        <v>startDayOfYear</v>
      </c>
      <c r="B2590" s="5" t="str">
        <f>IF(TRIM(J2590)="","",H2590)</f>
        <v>The earliest ordinal day of the year on which the Event occurred (1 for January 1, 365 for December 31, except in a leap year, in which case it is 366).</v>
      </c>
      <c r="C2590" s="5" t="str">
        <f>LEFT(F2590,FIND(".",F2590,6))</f>
        <v>Xmp.dwc.</v>
      </c>
      <c r="D2590" s="5" t="str">
        <f>VLOOKUP(C2590,PrefixUebersetzung,2,FALSE)</f>
        <v>Xmp.dwc.</v>
      </c>
      <c r="E2590" s="5" t="str">
        <f>MID(F2590,FIND(".",F2590,6)+1,99)</f>
        <v>startDayOfYear</v>
      </c>
      <c r="F2590" s="25" t="s">
        <v>7523</v>
      </c>
      <c r="G2590" s="5" t="s">
        <v>9678</v>
      </c>
      <c r="H2590" s="3" t="s">
        <v>7524</v>
      </c>
      <c r="I2590" s="7" t="s">
        <v>8980</v>
      </c>
      <c r="J2590" s="14" t="s">
        <v>9604</v>
      </c>
      <c r="K2590" s="26"/>
      <c r="N2590" s="6"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O2590" s="6" t="s">
        <v>8574</v>
      </c>
      <c r="P2590" s="6" t="s">
        <v>8574</v>
      </c>
    </row>
    <row r="2591" spans="1:16" ht="45" x14ac:dyDescent="0.25">
      <c r="A2591" s="5" t="str">
        <f>IF(TRIM(I2591)="","",E2591)</f>
        <v>stateProvince</v>
      </c>
      <c r="B2591" s="5" t="str">
        <f>IF(TRIM(J2591)="","",H2591)</f>
        <v>The name of the next smaller administrative region than country (state, province, canton, department, region, etc.) in which the Location occurs.</v>
      </c>
      <c r="C2591" s="5" t="str">
        <f>LEFT(F2591,FIND(".",F2591,6))</f>
        <v>Xmp.dwc.</v>
      </c>
      <c r="D2591" s="5" t="str">
        <f>VLOOKUP(C2591,PrefixUebersetzung,2,FALSE)</f>
        <v>Xmp.dwc.</v>
      </c>
      <c r="E2591" s="5" t="str">
        <f>MID(F2591,FIND(".",F2591,6)+1,99)</f>
        <v>stateProvince</v>
      </c>
      <c r="F2591" s="2" t="s">
        <v>7525</v>
      </c>
      <c r="G2591" s="5" t="s">
        <v>9678</v>
      </c>
      <c r="H2591" s="3" t="s">
        <v>7526</v>
      </c>
      <c r="I2591" s="7" t="s">
        <v>7779</v>
      </c>
      <c r="J2591" s="14" t="s">
        <v>8779</v>
      </c>
      <c r="K2591" s="26"/>
      <c r="N2591" s="6"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6" t="s">
        <v>8574</v>
      </c>
      <c r="P2591" s="6" t="s">
        <v>8574</v>
      </c>
    </row>
    <row r="2592" spans="1:16" ht="60" x14ac:dyDescent="0.25">
      <c r="A2592" s="5" t="str">
        <f>IF(TRIM(I2592)="","",E2592)</f>
        <v>subgenus</v>
      </c>
      <c r="B2592" s="5" t="str">
        <f>IF(TRIM(J2592)="","",H2592)</f>
        <v>The full scientific name of the subgenus in which the taxon is classified. Values should include the genus to avoid homonym confusion.</v>
      </c>
      <c r="C2592" s="5" t="str">
        <f>LEFT(F2592,FIND(".",F2592,6))</f>
        <v>Xmp.dwc.</v>
      </c>
      <c r="D2592" s="5" t="str">
        <f>VLOOKUP(C2592,PrefixUebersetzung,2,FALSE)</f>
        <v>Xmp.dwc.</v>
      </c>
      <c r="E2592" s="5" t="str">
        <f>MID(F2592,FIND(".",F2592,6)+1,99)</f>
        <v>subgenus</v>
      </c>
      <c r="F2592" s="2" t="s">
        <v>7527</v>
      </c>
      <c r="G2592" s="5" t="s">
        <v>9678</v>
      </c>
      <c r="H2592" s="3" t="s">
        <v>7528</v>
      </c>
      <c r="I2592" s="7" t="s">
        <v>7780</v>
      </c>
      <c r="J2592" s="14" t="s">
        <v>8949</v>
      </c>
      <c r="K2592" s="26"/>
      <c r="N2592" s="6"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c r="O2592" s="6" t="s">
        <v>8574</v>
      </c>
      <c r="P2592" s="6" t="s">
        <v>8574</v>
      </c>
    </row>
    <row r="2593" spans="1:17" ht="30" x14ac:dyDescent="0.25">
      <c r="A2593" s="5" t="str">
        <f>IF(TRIM(I2593)="","",E2593)</f>
        <v>Taxon</v>
      </c>
      <c r="B2593" s="5" t="str">
        <f>IF(TRIM(J2593)="","",H2593)</f>
        <v/>
      </c>
      <c r="C2593" s="5" t="str">
        <f>LEFT(F2593,FIND(".",F2593,6))</f>
        <v>Xmp.dwc.</v>
      </c>
      <c r="D2593" s="5" t="str">
        <f>VLOOKUP(C2593,PrefixUebersetzung,2,FALSE)</f>
        <v>Xmp.dwc.</v>
      </c>
      <c r="E2593" s="5" t="str">
        <f>MID(F2593,FIND(".",F2593,6)+1,99)</f>
        <v>Taxon</v>
      </c>
      <c r="F2593" s="2" t="s">
        <v>7529</v>
      </c>
      <c r="G2593" s="5" t="s">
        <v>9678</v>
      </c>
      <c r="H2593" s="3" t="s">
        <v>7530</v>
      </c>
      <c r="I2593" s="7" t="s">
        <v>7781</v>
      </c>
      <c r="K2593" s="26"/>
      <c r="N2593" s="6"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xml:space="preserve">Description not translated </v>
      </c>
      <c r="O2593" s="6" t="s">
        <v>8574</v>
      </c>
      <c r="P2593" s="6" t="s">
        <v>8574</v>
      </c>
    </row>
    <row r="2594" spans="1:17" ht="45" x14ac:dyDescent="0.25">
      <c r="A2594" s="5" t="str">
        <f>IF(TRIM(I2594)="","",E2594)</f>
        <v>taxonConceptID</v>
      </c>
      <c r="B2594" s="5" t="str">
        <f>IF(TRIM(J2594)="","",H2594)</f>
        <v/>
      </c>
      <c r="C2594" s="5" t="str">
        <f>LEFT(F2594,FIND(".",F2594,6))</f>
        <v>Xmp.dwc.</v>
      </c>
      <c r="D2594" s="5" t="str">
        <f>VLOOKUP(C2594,PrefixUebersetzung,2,FALSE)</f>
        <v>Xmp.dwc.</v>
      </c>
      <c r="E2594" s="5" t="str">
        <f>MID(F2594,FIND(".",F2594,6)+1,99)</f>
        <v>taxonConceptID</v>
      </c>
      <c r="F2594" s="2" t="s">
        <v>7531</v>
      </c>
      <c r="G2594" s="5" t="s">
        <v>9678</v>
      </c>
      <c r="H2594" s="3" t="s">
        <v>7532</v>
      </c>
      <c r="I2594" s="7" t="s">
        <v>7782</v>
      </c>
      <c r="K2594" s="26"/>
      <c r="N2594" s="6"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xml:space="preserve">Description not translated </v>
      </c>
      <c r="O2594" s="6" t="s">
        <v>8574</v>
      </c>
      <c r="P2594" s="6" t="s">
        <v>8574</v>
      </c>
    </row>
    <row r="2595" spans="1:17" ht="60" x14ac:dyDescent="0.25">
      <c r="A2595" s="5" t="str">
        <f>IF(TRIM(I2595)="","",E2595)</f>
        <v>taxonID</v>
      </c>
      <c r="B2595" s="5" t="str">
        <f>IF(TRIM(J2595)="","",H2595)</f>
        <v>An identifier for the set of taxon information (data associated with the Taxon class). May be a global unique identifier or an identifier specific to the data set.</v>
      </c>
      <c r="C2595" s="5" t="str">
        <f>LEFT(F2595,FIND(".",F2595,6))</f>
        <v>Xmp.dwc.</v>
      </c>
      <c r="D2595" s="5" t="str">
        <f>VLOOKUP(C2595,PrefixUebersetzung,2,FALSE)</f>
        <v>Xmp.dwc.</v>
      </c>
      <c r="E2595" s="5" t="str">
        <f>MID(F2595,FIND(".",F2595,6)+1,99)</f>
        <v>taxonID</v>
      </c>
      <c r="F2595" s="2" t="s">
        <v>7533</v>
      </c>
      <c r="G2595" s="5" t="s">
        <v>9678</v>
      </c>
      <c r="H2595" s="3" t="s">
        <v>7534</v>
      </c>
      <c r="I2595" s="7" t="s">
        <v>7783</v>
      </c>
      <c r="J2595" s="14" t="s">
        <v>8950</v>
      </c>
      <c r="K2595" s="26"/>
      <c r="N2595" s="6"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c r="O2595" s="6" t="s">
        <v>8574</v>
      </c>
      <c r="P2595" s="6" t="s">
        <v>8574</v>
      </c>
    </row>
    <row r="2596" spans="1:17" ht="120" x14ac:dyDescent="0.25">
      <c r="A2596" s="5" t="str">
        <f>IF(TRIM(I2596)="","",E2596)</f>
        <v>taxonomicStatus</v>
      </c>
      <c r="B2596" s="5" t="str">
        <f>IF(TRIM(J2596)="","",H2596)</f>
        <v/>
      </c>
      <c r="C2596" s="5" t="str">
        <f>LEFT(F2596,FIND(".",F2596,6))</f>
        <v>Xmp.dwc.</v>
      </c>
      <c r="D2596" s="5" t="str">
        <f>VLOOKUP(C2596,PrefixUebersetzung,2,FALSE)</f>
        <v>Xmp.dwc.</v>
      </c>
      <c r="E2596" s="5" t="str">
        <f>MID(F2596,FIND(".",F2596,6)+1,99)</f>
        <v>taxonomicStatus</v>
      </c>
      <c r="F2596" s="2" t="s">
        <v>7535</v>
      </c>
      <c r="G2596" s="5" t="s">
        <v>9678</v>
      </c>
      <c r="H2596" s="3" t="s">
        <v>7536</v>
      </c>
      <c r="I2596" s="7" t="s">
        <v>7784</v>
      </c>
      <c r="K2596" s="26"/>
      <c r="N2596" s="6"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xml:space="preserve">Description not translated </v>
      </c>
      <c r="O2596" s="6" t="s">
        <v>8574</v>
      </c>
      <c r="P2596" s="6" t="s">
        <v>8574</v>
      </c>
    </row>
    <row r="2597" spans="1:17" ht="45" x14ac:dyDescent="0.25">
      <c r="A2597" s="5" t="str">
        <f>IF(TRIM(I2597)="","",E2597)</f>
        <v>taxonRank</v>
      </c>
      <c r="B2597" s="5" t="str">
        <f>IF(TRIM(J2597)="","",H2597)</f>
        <v/>
      </c>
      <c r="C2597" s="5" t="str">
        <f>LEFT(F2597,FIND(".",F2597,6))</f>
        <v>Xmp.dwc.</v>
      </c>
      <c r="D2597" s="5" t="str">
        <f>VLOOKUP(C2597,PrefixUebersetzung,2,FALSE)</f>
        <v>Xmp.dwc.</v>
      </c>
      <c r="E2597" s="5" t="str">
        <f>MID(F2597,FIND(".",F2597,6)+1,99)</f>
        <v>taxonRank</v>
      </c>
      <c r="F2597" s="2" t="s">
        <v>7537</v>
      </c>
      <c r="G2597" s="5" t="s">
        <v>9678</v>
      </c>
      <c r="H2597" s="3" t="s">
        <v>7538</v>
      </c>
      <c r="I2597" s="7" t="s">
        <v>7785</v>
      </c>
      <c r="K2597" s="26"/>
      <c r="N2597" s="6"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Description not translated </v>
      </c>
      <c r="O2597" s="6" t="s">
        <v>8574</v>
      </c>
      <c r="P2597" s="6" t="s">
        <v>8574</v>
      </c>
    </row>
    <row r="2598" spans="1:17" ht="30" x14ac:dyDescent="0.25">
      <c r="A2598" s="5" t="str">
        <f>IF(TRIM(I2598)="","",E2598)</f>
        <v>taxonRemarks</v>
      </c>
      <c r="B2598" s="5" t="str">
        <f>IF(TRIM(J2598)="","",H2598)</f>
        <v>Comments or notes about the taxon or name.</v>
      </c>
      <c r="C2598" s="5" t="str">
        <f>LEFT(F2598,FIND(".",F2598,6))</f>
        <v>Xmp.dwc.</v>
      </c>
      <c r="D2598" s="5" t="str">
        <f>VLOOKUP(C2598,PrefixUebersetzung,2,FALSE)</f>
        <v>Xmp.dwc.</v>
      </c>
      <c r="E2598" s="5" t="str">
        <f>MID(F2598,FIND(".",F2598,6)+1,99)</f>
        <v>taxonRemarks</v>
      </c>
      <c r="F2598" s="2" t="s">
        <v>7539</v>
      </c>
      <c r="G2598" s="5" t="s">
        <v>9678</v>
      </c>
      <c r="H2598" s="3" t="s">
        <v>7540</v>
      </c>
      <c r="I2598" s="7" t="s">
        <v>7786</v>
      </c>
      <c r="J2598" s="14" t="s">
        <v>8951</v>
      </c>
      <c r="K2598" s="26"/>
      <c r="N2598" s="6"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c r="O2598" s="6" t="s">
        <v>8574</v>
      </c>
      <c r="P2598" s="6" t="s">
        <v>8574</v>
      </c>
    </row>
    <row r="2599" spans="1:17" ht="45" x14ac:dyDescent="0.25">
      <c r="A2599" s="5" t="str">
        <f>IF(TRIM(I2599)="","",E2599)</f>
        <v>typeStatus</v>
      </c>
      <c r="B2599" s="5" t="str">
        <f>IF(TRIM(J2599)="","",H2599)</f>
        <v/>
      </c>
      <c r="C2599" s="5" t="str">
        <f>LEFT(F2599,FIND(".",F2599,6))</f>
        <v>Xmp.dwc.</v>
      </c>
      <c r="D2599" s="5" t="str">
        <f>VLOOKUP(C2599,PrefixUebersetzung,2,FALSE)</f>
        <v>Xmp.dwc.</v>
      </c>
      <c r="E2599" s="5" t="str">
        <f>MID(F2599,FIND(".",F2599,6)+1,99)</f>
        <v>typeStatus</v>
      </c>
      <c r="F2599" s="2" t="s">
        <v>7541</v>
      </c>
      <c r="G2599" s="5" t="s">
        <v>9679</v>
      </c>
      <c r="H2599" s="3" t="s">
        <v>7542</v>
      </c>
      <c r="I2599" s="7" t="s">
        <v>7787</v>
      </c>
      <c r="K2599" s="26"/>
      <c r="N2599" s="6"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xml:space="preserve">Description not translated </v>
      </c>
      <c r="O2599" s="6" t="s">
        <v>8574</v>
      </c>
      <c r="P2599" s="6" t="s">
        <v>8574</v>
      </c>
    </row>
    <row r="2600" spans="1:17" ht="90" x14ac:dyDescent="0.25">
      <c r="A2600" s="5" t="str">
        <f>IF(TRIM(I2600)="","",E2600)</f>
        <v>verbatimCoordinates</v>
      </c>
      <c r="B2600" s="5" t="str">
        <f>IF(TRIM(J2600)="","",H2600)</f>
        <v/>
      </c>
      <c r="C2600" s="5" t="str">
        <f>LEFT(F2600,FIND(".",F2600,6))</f>
        <v>Xmp.dwc.</v>
      </c>
      <c r="D2600" s="5" t="str">
        <f>VLOOKUP(C2600,PrefixUebersetzung,2,FALSE)</f>
        <v>Xmp.dwc.</v>
      </c>
      <c r="E2600" s="5" t="str">
        <f>MID(F2600,FIND(".",F2600,6)+1,99)</f>
        <v>verbatimCoordinates</v>
      </c>
      <c r="F2600" s="2" t="s">
        <v>7543</v>
      </c>
      <c r="G2600" s="5" t="s">
        <v>9678</v>
      </c>
      <c r="H2600" s="3" t="s">
        <v>7544</v>
      </c>
      <c r="I2600" s="7" t="s">
        <v>7788</v>
      </c>
      <c r="K2600" s="26"/>
      <c r="N2600" s="6"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xml:space="preserve">Description not translated </v>
      </c>
      <c r="O2600" s="6" t="s">
        <v>8574</v>
      </c>
      <c r="P2600" s="6" t="s">
        <v>8574</v>
      </c>
    </row>
    <row r="2601" spans="1:17" ht="60" x14ac:dyDescent="0.25">
      <c r="A2601" s="5" t="str">
        <f>IF(TRIM(I2601)="","",E2601)</f>
        <v>verbatimCoordinateSystem</v>
      </c>
      <c r="B2601" s="5" t="str">
        <f>IF(TRIM(J2601)="","",H2601)</f>
        <v/>
      </c>
      <c r="C2601" s="5" t="str">
        <f>LEFT(F2601,FIND(".",F2601,6))</f>
        <v>Xmp.dwc.</v>
      </c>
      <c r="D2601" s="5" t="str">
        <f>VLOOKUP(C2601,PrefixUebersetzung,2,FALSE)</f>
        <v>Xmp.dwc.</v>
      </c>
      <c r="E2601" s="5" t="str">
        <f>MID(F2601,FIND(".",F2601,6)+1,99)</f>
        <v>verbatimCoordinateSystem</v>
      </c>
      <c r="F2601" s="2" t="s">
        <v>7545</v>
      </c>
      <c r="G2601" s="5" t="s">
        <v>9678</v>
      </c>
      <c r="H2601" s="3" t="s">
        <v>7546</v>
      </c>
      <c r="I2601" s="7" t="s">
        <v>7789</v>
      </c>
      <c r="K2601" s="26"/>
      <c r="N2601" s="6"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xml:space="preserve">Description not translated </v>
      </c>
      <c r="O2601" s="6" t="s">
        <v>8574</v>
      </c>
      <c r="P2601" s="6" t="s">
        <v>8574</v>
      </c>
    </row>
    <row r="2602" spans="1:17" ht="30" x14ac:dyDescent="0.25">
      <c r="A2602" s="5" t="str">
        <f>IF(TRIM(I2602)="","",E2602)</f>
        <v>verbatimDepth</v>
      </c>
      <c r="B2602" s="5" t="str">
        <f>IF(TRIM(J2602)="","",H2602)</f>
        <v>The original description of the depth below the local surface.</v>
      </c>
      <c r="C2602" s="5" t="str">
        <f>LEFT(F2602,FIND(".",F2602,6))</f>
        <v>Xmp.dwc.</v>
      </c>
      <c r="D2602" s="5" t="str">
        <f>VLOOKUP(C2602,PrefixUebersetzung,2,FALSE)</f>
        <v>Xmp.dwc.</v>
      </c>
      <c r="E2602" s="5" t="str">
        <f>MID(F2602,FIND(".",F2602,6)+1,99)</f>
        <v>verbatimDepth</v>
      </c>
      <c r="F2602" s="2" t="s">
        <v>7547</v>
      </c>
      <c r="G2602" s="5" t="s">
        <v>9678</v>
      </c>
      <c r="H2602" s="3" t="s">
        <v>7548</v>
      </c>
      <c r="I2602" s="7" t="s">
        <v>7790</v>
      </c>
      <c r="J2602" s="14" t="s">
        <v>8780</v>
      </c>
      <c r="K2602" s="26"/>
      <c r="N2602" s="6"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c r="O2602" s="6" t="s">
        <v>8574</v>
      </c>
      <c r="P2602" s="6" t="s">
        <v>8574</v>
      </c>
    </row>
    <row r="2603" spans="1:17" ht="30" x14ac:dyDescent="0.25">
      <c r="A2603" s="5" t="str">
        <f>IF(TRIM(I2603)="","",E2603)</f>
        <v>verbatimElevation</v>
      </c>
      <c r="B2603" s="5" t="str">
        <f>IF(TRIM(J2603)="","",H2603)</f>
        <v>The original description of the elevation (altitude, usually above sea level) of the Location.</v>
      </c>
      <c r="C2603" s="5" t="str">
        <f>LEFT(F2603,FIND(".",F2603,6))</f>
        <v>Xmp.dwc.</v>
      </c>
      <c r="D2603" s="5" t="str">
        <f>VLOOKUP(C2603,PrefixUebersetzung,2,FALSE)</f>
        <v>Xmp.dwc.</v>
      </c>
      <c r="E2603" s="5" t="str">
        <f>MID(F2603,FIND(".",F2603,6)+1,99)</f>
        <v>verbatimElevation</v>
      </c>
      <c r="F2603" s="2" t="s">
        <v>7549</v>
      </c>
      <c r="G2603" s="5" t="s">
        <v>9678</v>
      </c>
      <c r="H2603" s="3" t="s">
        <v>7550</v>
      </c>
      <c r="I2603" s="7" t="s">
        <v>7791</v>
      </c>
      <c r="J2603" s="14" t="s">
        <v>8781</v>
      </c>
      <c r="K2603" s="26"/>
      <c r="N2603" s="6"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c r="O2603" s="6" t="s">
        <v>8574</v>
      </c>
      <c r="P2603" s="6" t="s">
        <v>8574</v>
      </c>
    </row>
    <row r="2604" spans="1:17" ht="30" x14ac:dyDescent="0.25">
      <c r="A2604" s="5" t="str">
        <f>IF(TRIM(I2604)="","",E2604)</f>
        <v>verbatimEventDate</v>
      </c>
      <c r="B2604" s="5" t="str">
        <f>IF(TRIM(J2604)="","",H2604)</f>
        <v>The verbatim original representation of the date and time information for an Event.</v>
      </c>
      <c r="C2604" s="5" t="str">
        <f>LEFT(F2604,FIND(".",F2604,6))</f>
        <v>Xmp.dwc.</v>
      </c>
      <c r="D2604" s="5" t="str">
        <f>VLOOKUP(C2604,PrefixUebersetzung,2,FALSE)</f>
        <v>Xmp.dwc.</v>
      </c>
      <c r="E2604" s="5" t="str">
        <f>MID(F2604,FIND(".",F2604,6)+1,99)</f>
        <v>verbatimEventDate</v>
      </c>
      <c r="F2604" s="2" t="s">
        <v>7551</v>
      </c>
      <c r="G2604" s="5" t="s">
        <v>9678</v>
      </c>
      <c r="H2604" s="3" t="s">
        <v>7552</v>
      </c>
      <c r="I2604" s="7" t="s">
        <v>7792</v>
      </c>
      <c r="J2604" s="14" t="s">
        <v>8782</v>
      </c>
      <c r="K2604" s="26"/>
      <c r="N2604" s="6"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c>
      <c r="O2604" s="6" t="s">
        <v>8574</v>
      </c>
      <c r="P2604" s="6" t="s">
        <v>8574</v>
      </c>
    </row>
    <row r="2605" spans="1:17" ht="75" x14ac:dyDescent="0.25">
      <c r="A2605" s="5" t="str">
        <f>IF(TRIM(I2605)="","",E2605)</f>
        <v>verbatimLatitude</v>
      </c>
      <c r="B2605" s="5" t="str">
        <f>IF(TRIM(J2605)="","",H2605)</f>
        <v/>
      </c>
      <c r="C2605" s="5" t="str">
        <f>LEFT(F2605,FIND(".",F2605,6))</f>
        <v>Xmp.dwc.</v>
      </c>
      <c r="D2605" s="5" t="str">
        <f>VLOOKUP(C2605,PrefixUebersetzung,2,FALSE)</f>
        <v>Xmp.dwc.</v>
      </c>
      <c r="E2605" s="5" t="str">
        <f>MID(F2605,FIND(".",F2605,6)+1,99)</f>
        <v>verbatimLatitude</v>
      </c>
      <c r="F2605" s="2" t="s">
        <v>7553</v>
      </c>
      <c r="G2605" s="5" t="s">
        <v>9678</v>
      </c>
      <c r="H2605" s="3" t="s">
        <v>7554</v>
      </c>
      <c r="I2605" s="7" t="s">
        <v>7794</v>
      </c>
      <c r="K2605" s="26"/>
      <c r="N2605" s="6"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Description not translated </v>
      </c>
      <c r="O2605" s="6" t="s">
        <v>8574</v>
      </c>
      <c r="P2605" s="6" t="s">
        <v>8574</v>
      </c>
    </row>
    <row r="2606" spans="1:17" ht="30" x14ac:dyDescent="0.25">
      <c r="A2606" s="5" t="str">
        <f>IF(TRIM(I2606)="","",E2606)</f>
        <v>verbatimLocality</v>
      </c>
      <c r="B2606" s="5" t="str">
        <f>IF(TRIM(J2606)="","",H2606)</f>
        <v>The original textual description of the place.</v>
      </c>
      <c r="C2606" s="5" t="str">
        <f>LEFT(F2606,FIND(".",F2606,6))</f>
        <v>Xmp.dwc.</v>
      </c>
      <c r="D2606" s="5" t="str">
        <f>VLOOKUP(C2606,PrefixUebersetzung,2,FALSE)</f>
        <v>Xmp.dwc.</v>
      </c>
      <c r="E2606" s="5" t="str">
        <f>MID(F2606,FIND(".",F2606,6)+1,99)</f>
        <v>verbatimLocality</v>
      </c>
      <c r="F2606" s="2" t="s">
        <v>7555</v>
      </c>
      <c r="G2606" s="5" t="s">
        <v>9678</v>
      </c>
      <c r="H2606" s="3" t="s">
        <v>7556</v>
      </c>
      <c r="I2606" s="7" t="s">
        <v>7795</v>
      </c>
      <c r="J2606" s="14" t="s">
        <v>7729</v>
      </c>
      <c r="K2606" s="26"/>
      <c r="N2606" s="6"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c>
      <c r="O2606" s="6" t="s">
        <v>8574</v>
      </c>
      <c r="P2606" s="6" t="s">
        <v>8574</v>
      </c>
      <c r="Q2606" s="6" t="s">
        <v>9094</v>
      </c>
    </row>
    <row r="2607" spans="1:17" ht="75" x14ac:dyDescent="0.25">
      <c r="A2607" s="5" t="str">
        <f>IF(TRIM(I2607)="","",E2607)</f>
        <v>verbatimLongitude</v>
      </c>
      <c r="B2607" s="5" t="str">
        <f>IF(TRIM(J2607)="","",H2607)</f>
        <v/>
      </c>
      <c r="C2607" s="5" t="str">
        <f>LEFT(F2607,FIND(".",F2607,6))</f>
        <v>Xmp.dwc.</v>
      </c>
      <c r="D2607" s="5" t="str">
        <f>VLOOKUP(C2607,PrefixUebersetzung,2,FALSE)</f>
        <v>Xmp.dwc.</v>
      </c>
      <c r="E2607" s="5" t="str">
        <f>MID(F2607,FIND(".",F2607,6)+1,99)</f>
        <v>verbatimLongitude</v>
      </c>
      <c r="F2607" s="2" t="s">
        <v>7557</v>
      </c>
      <c r="G2607" s="5" t="s">
        <v>9678</v>
      </c>
      <c r="H2607" s="3" t="s">
        <v>7558</v>
      </c>
      <c r="I2607" s="7" t="s">
        <v>7793</v>
      </c>
      <c r="K2607" s="26"/>
      <c r="N2607" s="6"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Description not translated </v>
      </c>
      <c r="O2607" s="6" t="s">
        <v>8574</v>
      </c>
      <c r="P2607" s="6" t="s">
        <v>8574</v>
      </c>
    </row>
    <row r="2608" spans="1:17" ht="165" x14ac:dyDescent="0.25">
      <c r="A2608" s="5" t="str">
        <f>IF(TRIM(I2608)="","",E2608)</f>
        <v>verbatimSRS</v>
      </c>
      <c r="B2608" s="5" t="str">
        <f>IF(TRIM(J2608)="","",H2608)</f>
        <v/>
      </c>
      <c r="C2608" s="5" t="str">
        <f>LEFT(F2608,FIND(".",F2608,6))</f>
        <v>Xmp.dwc.</v>
      </c>
      <c r="D2608" s="5" t="str">
        <f>VLOOKUP(C2608,PrefixUebersetzung,2,FALSE)</f>
        <v>Xmp.dwc.</v>
      </c>
      <c r="E2608" s="5" t="str">
        <f>MID(F2608,FIND(".",F2608,6)+1,99)</f>
        <v>verbatimSRS</v>
      </c>
      <c r="F2608" s="2" t="s">
        <v>7559</v>
      </c>
      <c r="G2608" s="5" t="s">
        <v>9678</v>
      </c>
      <c r="H2608" s="3" t="s">
        <v>7560</v>
      </c>
      <c r="I2608" s="7" t="s">
        <v>7796</v>
      </c>
      <c r="K2608" s="26"/>
      <c r="N2608" s="6"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xml:space="preserve">Description not translated </v>
      </c>
      <c r="O2608" s="6" t="s">
        <v>8574</v>
      </c>
      <c r="P2608" s="6" t="s">
        <v>8574</v>
      </c>
    </row>
    <row r="2609" spans="1:17" ht="30" x14ac:dyDescent="0.25">
      <c r="A2609" s="5" t="str">
        <f>IF(TRIM(I2609)="","",E2609)</f>
        <v>verbatimTaxonRank</v>
      </c>
      <c r="B2609" s="5" t="str">
        <f>IF(TRIM(J2609)="","",H2609)</f>
        <v/>
      </c>
      <c r="C2609" s="5" t="str">
        <f>LEFT(F2609,FIND(".",F2609,6))</f>
        <v>Xmp.dwc.</v>
      </c>
      <c r="D2609" s="5" t="str">
        <f>VLOOKUP(C2609,PrefixUebersetzung,2,FALSE)</f>
        <v>Xmp.dwc.</v>
      </c>
      <c r="E2609" s="5" t="str">
        <f>MID(F2609,FIND(".",F2609,6)+1,99)</f>
        <v>verbatimTaxonRank</v>
      </c>
      <c r="F2609" s="2" t="s">
        <v>7561</v>
      </c>
      <c r="G2609" s="5" t="s">
        <v>9678</v>
      </c>
      <c r="H2609" s="3" t="s">
        <v>7562</v>
      </c>
      <c r="I2609" s="7" t="s">
        <v>7797</v>
      </c>
      <c r="K2609" s="26"/>
      <c r="N2609" s="6"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Description not translated </v>
      </c>
      <c r="O2609" s="6" t="s">
        <v>8574</v>
      </c>
      <c r="P2609" s="6" t="s">
        <v>8574</v>
      </c>
    </row>
    <row r="2610" spans="1:17" x14ac:dyDescent="0.25">
      <c r="A2610" s="5" t="str">
        <f>IF(TRIM(I2610)="","",E2610)</f>
        <v>vernacularName</v>
      </c>
      <c r="B2610" s="5" t="str">
        <f>IF(TRIM(J2610)="","",H2610)</f>
        <v>A common or vernacular name.</v>
      </c>
      <c r="C2610" s="5" t="str">
        <f>LEFT(F2610,FIND(".",F2610,6))</f>
        <v>Xmp.dwc.</v>
      </c>
      <c r="D2610" s="5" t="str">
        <f>VLOOKUP(C2610,PrefixUebersetzung,2,FALSE)</f>
        <v>Xmp.dwc.</v>
      </c>
      <c r="E2610" s="5" t="str">
        <f>MID(F2610,FIND(".",F2610,6)+1,99)</f>
        <v>vernacularName</v>
      </c>
      <c r="F2610" s="2" t="s">
        <v>7563</v>
      </c>
      <c r="G2610" s="5" t="s">
        <v>9681</v>
      </c>
      <c r="H2610" s="3" t="s">
        <v>7564</v>
      </c>
      <c r="I2610" s="7" t="s">
        <v>7907</v>
      </c>
      <c r="J2610" s="14" t="s">
        <v>8772</v>
      </c>
      <c r="K2610" s="26"/>
      <c r="N2610" s="6"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c r="O2610" s="6" t="s">
        <v>8574</v>
      </c>
      <c r="P2610" s="6" t="s">
        <v>8574</v>
      </c>
    </row>
    <row r="2611" spans="1:17" ht="60" x14ac:dyDescent="0.25">
      <c r="A2611" s="5" t="str">
        <f>IF(TRIM(I2611)="","",E2611)</f>
        <v/>
      </c>
      <c r="B2611" s="5" t="str">
        <f>IF(TRIM(J2611)="","",H2611)</f>
        <v/>
      </c>
      <c r="C2611" s="5" t="str">
        <f>LEFT(F2611,FIND(".",F2611,6))</f>
        <v>Xmp.dwc.</v>
      </c>
      <c r="D2611" s="5" t="str">
        <f>VLOOKUP(C2611,PrefixUebersetzung,2,FALSE)</f>
        <v>Xmp.dwc.</v>
      </c>
      <c r="E2611" s="5" t="str">
        <f>MID(F2611,FIND(".",F2611,6)+1,99)</f>
        <v>waterBody</v>
      </c>
      <c r="F2611" s="2" t="s">
        <v>7565</v>
      </c>
      <c r="G2611" s="5" t="s">
        <v>9678</v>
      </c>
      <c r="H2611" s="3" t="s">
        <v>7566</v>
      </c>
      <c r="I2611" s="7"/>
      <c r="K2611" s="26"/>
      <c r="N2611" s="6"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xml:space="preserve">Suffix not translated Description not translated </v>
      </c>
      <c r="O2611" s="6" t="s">
        <v>8574</v>
      </c>
      <c r="P2611" s="6" t="s">
        <v>8574</v>
      </c>
    </row>
    <row r="2612" spans="1:17" ht="30" x14ac:dyDescent="0.25">
      <c r="A2612" s="5" t="str">
        <f>IF(TRIM(I2612)="","",E2612)</f>
        <v>year</v>
      </c>
      <c r="B2612" s="5" t="str">
        <f>IF(TRIM(J2612)="","",H2612)</f>
        <v>The four-digit year in which the Event occurred, according to the Common Era Calendar.</v>
      </c>
      <c r="C2612" s="5" t="str">
        <f>LEFT(F2612,FIND(".",F2612,6))</f>
        <v>Xmp.dwc.</v>
      </c>
      <c r="D2612" s="5" t="str">
        <f>VLOOKUP(C2612,PrefixUebersetzung,2,FALSE)</f>
        <v>Xmp.dwc.</v>
      </c>
      <c r="E2612" s="5" t="str">
        <f>MID(F2612,FIND(".",F2612,6)+1,99)</f>
        <v>year</v>
      </c>
      <c r="F2612" s="2" t="s">
        <v>7567</v>
      </c>
      <c r="G2612" s="5" t="s">
        <v>9678</v>
      </c>
      <c r="H2612" s="3" t="s">
        <v>7568</v>
      </c>
      <c r="I2612" s="7" t="s">
        <v>8783</v>
      </c>
      <c r="J2612" s="14" t="s">
        <v>8952</v>
      </c>
      <c r="K2612" s="26"/>
      <c r="L2612" s="6" t="str">
        <f>IFERROR(VLOOKUP(E2612,A:I,9, FALSE),"")</f>
        <v>Jahr</v>
      </c>
      <c r="N2612" s="6"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c r="O2612" s="6" t="s">
        <v>8574</v>
      </c>
      <c r="P2612" s="6" t="s">
        <v>8574</v>
      </c>
    </row>
    <row r="2613" spans="1:17" ht="30" x14ac:dyDescent="0.25">
      <c r="A2613" s="5" t="str">
        <f>IF(TRIM(I2613)="","",E2613)</f>
        <v/>
      </c>
      <c r="B2613" s="5" t="str">
        <f>IF(TRIM(J2613)="","",H2613)</f>
        <v>EXIF tag 37378, 0x9202. Lens aperture, unit is APEX.</v>
      </c>
      <c r="C2613" s="5" t="str">
        <f>LEFT(F2613,FIND(".",F2613,6))</f>
        <v>Xmp.exif.</v>
      </c>
      <c r="D2613" s="5" t="str">
        <f>VLOOKUP(C2613,PrefixUebersetzung,2,FALSE)</f>
        <v>Xmp.exif.</v>
      </c>
      <c r="E2613" s="5" t="str">
        <f>MID(F2613,FIND(".",F2613,6)+1,99)</f>
        <v>ApertureValue</v>
      </c>
      <c r="F2613" s="5" t="s">
        <v>1710</v>
      </c>
      <c r="G2613" s="5" t="s">
        <v>9678</v>
      </c>
      <c r="H2613" s="6" t="s">
        <v>3357</v>
      </c>
      <c r="I2613" s="7"/>
      <c r="J2613" s="14" t="s">
        <v>5351</v>
      </c>
      <c r="K2613" s="26"/>
      <c r="L2613" s="6" t="str">
        <f>IFERROR(VLOOKUP(E2613,A:I,9, FALSE),"")</f>
        <v>Blende</v>
      </c>
      <c r="N2613" s="6"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c r="P2613" s="6" t="s">
        <v>8574</v>
      </c>
      <c r="Q2613" s="6" t="s">
        <v>9264</v>
      </c>
    </row>
    <row r="2614" spans="1:17" ht="30" x14ac:dyDescent="0.25">
      <c r="A2614" s="5" t="str">
        <f>IF(TRIM(I2614)="","",E2614)</f>
        <v/>
      </c>
      <c r="B2614" s="5" t="str">
        <f>IF(TRIM(J2614)="","",H2614)</f>
        <v>EXIF tag 37379, 0x9203. Brightness, unit is APEX.</v>
      </c>
      <c r="C2614" s="5" t="str">
        <f>LEFT(F2614,FIND(".",F2614,6))</f>
        <v>Xmp.exif.</v>
      </c>
      <c r="D2614" s="5" t="str">
        <f>VLOOKUP(C2614,PrefixUebersetzung,2,FALSE)</f>
        <v>Xmp.exif.</v>
      </c>
      <c r="E2614" s="5" t="str">
        <f>MID(F2614,FIND(".",F2614,6)+1,99)</f>
        <v>BrightnessValue</v>
      </c>
      <c r="F2614" s="5" t="s">
        <v>1711</v>
      </c>
      <c r="G2614" s="5" t="s">
        <v>9678</v>
      </c>
      <c r="H2614" s="6" t="s">
        <v>3358</v>
      </c>
      <c r="I2614" s="7"/>
      <c r="J2614" s="14" t="s">
        <v>4113</v>
      </c>
      <c r="K2614" s="26"/>
      <c r="L2614" s="6" t="str">
        <f>IFERROR(VLOOKUP(E2614,A:I,9, FALSE),"")</f>
        <v>Helligkeitswert</v>
      </c>
      <c r="N2614" s="6"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c r="P2614" s="6" t="s">
        <v>8574</v>
      </c>
      <c r="Q2614" s="6" t="s">
        <v>9265</v>
      </c>
    </row>
    <row r="2615" spans="1:17" ht="30" x14ac:dyDescent="0.25">
      <c r="A2615" s="5" t="str">
        <f>IF(TRIM(I2615)="","",E2615)</f>
        <v/>
      </c>
      <c r="B2615" s="5" t="str">
        <f>IF(TRIM(J2615)="","",H2615)</f>
        <v>EXIF tag 41730, 0xA302. Color filter array geometric pattern of the image sense.</v>
      </c>
      <c r="C2615" s="5" t="str">
        <f>LEFT(F2615,FIND(".",F2615,6))</f>
        <v>Xmp.exif.</v>
      </c>
      <c r="D2615" s="5" t="str">
        <f>VLOOKUP(C2615,PrefixUebersetzung,2,FALSE)</f>
        <v>Xmp.exif.</v>
      </c>
      <c r="E2615" s="5" t="str">
        <f>MID(F2615,FIND(".",F2615,6)+1,99)</f>
        <v>CFAPattern</v>
      </c>
      <c r="F2615" s="5" t="s">
        <v>1712</v>
      </c>
      <c r="G2615" s="5" t="s">
        <v>9678</v>
      </c>
      <c r="H2615" s="6" t="s">
        <v>3359</v>
      </c>
      <c r="I2615" s="7"/>
      <c r="J2615" s="14" t="s">
        <v>5352</v>
      </c>
      <c r="K2615" s="26"/>
      <c r="L2615" s="6" t="str">
        <f>IFERROR(VLOOKUP(E2615,A:I,9, FALSE),"")</f>
        <v>CFA Pattern</v>
      </c>
      <c r="N2615" s="6"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c r="P2615" s="6" t="s">
        <v>8574</v>
      </c>
    </row>
    <row r="2616" spans="1:17" ht="30" x14ac:dyDescent="0.25">
      <c r="A2616" s="5" t="str">
        <f>IF(TRIM(I2616)="","",E2616)</f>
        <v/>
      </c>
      <c r="B2616" s="5" t="str">
        <f>IF(TRIM(J2616)="","",H2616)</f>
        <v>EXIF tag 40961, 0xA001. Color space information</v>
      </c>
      <c r="C2616" s="5" t="str">
        <f>LEFT(F2616,FIND(".",F2616,6))</f>
        <v>Xmp.exif.</v>
      </c>
      <c r="D2616" s="5" t="str">
        <f>VLOOKUP(C2616,PrefixUebersetzung,2,FALSE)</f>
        <v>Xmp.exif.</v>
      </c>
      <c r="E2616" s="5" t="str">
        <f>MID(F2616,FIND(".",F2616,6)+1,99)</f>
        <v>ColorSpace</v>
      </c>
      <c r="F2616" s="5" t="s">
        <v>1713</v>
      </c>
      <c r="G2616" s="5" t="s">
        <v>9678</v>
      </c>
      <c r="H2616" s="6" t="s">
        <v>3360</v>
      </c>
      <c r="J2616" s="14" t="s">
        <v>4114</v>
      </c>
      <c r="K2616" s="26"/>
      <c r="L2616" s="6" t="str">
        <f>IFERROR(VLOOKUP(E2616,A:I,9, FALSE),"")</f>
        <v>Farbraum</v>
      </c>
      <c r="N2616" s="6"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c r="P2616" s="6" t="s">
        <v>8574</v>
      </c>
      <c r="Q2616" s="6" t="s">
        <v>9271</v>
      </c>
    </row>
    <row r="2617" spans="1:17" ht="45" x14ac:dyDescent="0.25">
      <c r="A2617" s="5" t="str">
        <f>IF(TRIM(I2617)="","",E2617)</f>
        <v/>
      </c>
      <c r="B2617" s="5" t="str">
        <f>IF(TRIM(J2617)="","",H2617)</f>
        <v>EXIF tag 37121, 0x9101. Configuration of components in data: 4 5 6 0 (if RGB compressed data), 1 2 3 0 (other cases).</v>
      </c>
      <c r="C2617" s="5" t="str">
        <f>LEFT(F2617,FIND(".",F2617,6))</f>
        <v>Xmp.exif.</v>
      </c>
      <c r="D2617" s="5" t="str">
        <f>VLOOKUP(C2617,PrefixUebersetzung,2,FALSE)</f>
        <v>Xmp.exif.</v>
      </c>
      <c r="E2617" s="5" t="str">
        <f>MID(F2617,FIND(".",F2617,6)+1,99)</f>
        <v>ComponentsConfiguration</v>
      </c>
      <c r="F2617" s="5" t="s">
        <v>1714</v>
      </c>
      <c r="G2617" s="5" t="s">
        <v>9680</v>
      </c>
      <c r="H2617" s="6" t="s">
        <v>3361</v>
      </c>
      <c r="I2617" s="7"/>
      <c r="J2617" s="14" t="s">
        <v>4115</v>
      </c>
      <c r="K2617" s="26"/>
      <c r="L2617" s="6" t="str">
        <f>IFERROR(VLOOKUP(E2617,A:I,9, FALSE),"")</f>
        <v>Komponentenkonfiguration</v>
      </c>
      <c r="N2617" s="6"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c r="P2617" s="6" t="s">
        <v>8574</v>
      </c>
    </row>
    <row r="2618" spans="1:17" ht="45" x14ac:dyDescent="0.25">
      <c r="A2618" s="5" t="str">
        <f>IF(TRIM(I2618)="","",E2618)</f>
        <v/>
      </c>
      <c r="B2618" s="5" t="str">
        <f>IF(TRIM(J2618)="","",H2618)</f>
        <v>EXIF tag 37122, 0x9102. Compression mode used for a compressed image is indicated in unit bits per pixel.</v>
      </c>
      <c r="C2618" s="5" t="str">
        <f>LEFT(F2618,FIND(".",F2618,6))</f>
        <v>Xmp.exif.</v>
      </c>
      <c r="D2618" s="5" t="str">
        <f>VLOOKUP(C2618,PrefixUebersetzung,2,FALSE)</f>
        <v>Xmp.exif.</v>
      </c>
      <c r="E2618" s="5" t="str">
        <f>MID(F2618,FIND(".",F2618,6)+1,99)</f>
        <v>CompressedBitsPerPixel</v>
      </c>
      <c r="F2618" s="5" t="s">
        <v>1715</v>
      </c>
      <c r="G2618" s="5" t="s">
        <v>9678</v>
      </c>
      <c r="H2618" s="6" t="s">
        <v>3362</v>
      </c>
      <c r="I2618" s="7"/>
      <c r="J2618" s="14" t="s">
        <v>5353</v>
      </c>
      <c r="K2618" s="26"/>
      <c r="L2618" s="6" t="str">
        <f>IFERROR(VLOOKUP(E2618,A:I,9, FALSE),"")</f>
        <v>Komprimierte Bits je Pixel</v>
      </c>
      <c r="N2618" s="6"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c>
      <c r="P2618" s="6" t="s">
        <v>8574</v>
      </c>
    </row>
    <row r="2619" spans="1:17" ht="45" x14ac:dyDescent="0.25">
      <c r="A2619" s="5" t="str">
        <f>IF(TRIM(I2619)="","",E2619)</f>
        <v/>
      </c>
      <c r="B2619" s="5" t="str">
        <f>IF(TRIM(J2619)="","",H2619)</f>
        <v>EXIF tag 41992, 0xA408. Indicates the direction of contrast processing applied by the camera.</v>
      </c>
      <c r="C2619" s="5" t="str">
        <f>LEFT(F2619,FIND(".",F2619,6))</f>
        <v>Xmp.exif.</v>
      </c>
      <c r="D2619" s="5" t="str">
        <f>VLOOKUP(C2619,PrefixUebersetzung,2,FALSE)</f>
        <v>Xmp.exif.</v>
      </c>
      <c r="E2619" s="5" t="str">
        <f>MID(F2619,FIND(".",F2619,6)+1,99)</f>
        <v>Contrast</v>
      </c>
      <c r="F2619" s="5" t="s">
        <v>1716</v>
      </c>
      <c r="G2619" s="5" t="s">
        <v>9678</v>
      </c>
      <c r="H2619" s="6" t="s">
        <v>3363</v>
      </c>
      <c r="J2619" s="14" t="s">
        <v>5354</v>
      </c>
      <c r="K2619" s="26"/>
      <c r="L2619" s="6" t="str">
        <f>IFERROR(VLOOKUP(E2619,A:I,9, FALSE),"")</f>
        <v>Kontrast</v>
      </c>
      <c r="N2619" s="6"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c>
      <c r="P2619" s="6" t="s">
        <v>8574</v>
      </c>
    </row>
    <row r="2620" spans="1:17" ht="30" x14ac:dyDescent="0.25">
      <c r="A2620" s="5" t="str">
        <f>IF(TRIM(I2620)="","",E2620)</f>
        <v/>
      </c>
      <c r="B2620" s="5" t="str">
        <f>IF(TRIM(J2620)="","",H2620)</f>
        <v>EXIF tag 41985, 0xA401. Indicates the use of special processing on image data.</v>
      </c>
      <c r="C2620" s="5" t="str">
        <f>LEFT(F2620,FIND(".",F2620,6))</f>
        <v>Xmp.exif.</v>
      </c>
      <c r="D2620" s="5" t="str">
        <f>VLOOKUP(C2620,PrefixUebersetzung,2,FALSE)</f>
        <v>Xmp.exif.</v>
      </c>
      <c r="E2620" s="5" t="str">
        <f>MID(F2620,FIND(".",F2620,6)+1,99)</f>
        <v>CustomRendered</v>
      </c>
      <c r="F2620" s="5" t="s">
        <v>1717</v>
      </c>
      <c r="G2620" s="5" t="s">
        <v>9678</v>
      </c>
      <c r="H2620" s="6" t="s">
        <v>3364</v>
      </c>
      <c r="I2620" s="7"/>
      <c r="J2620" s="14" t="s">
        <v>5355</v>
      </c>
      <c r="K2620" s="26"/>
      <c r="L2620" s="6" t="str">
        <f>IFERROR(VLOOKUP(E2620,A:I,9, FALSE),"")</f>
        <v>Benutzer-gerendert</v>
      </c>
      <c r="N2620" s="6"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c r="P2620" s="6" t="s">
        <v>8574</v>
      </c>
    </row>
    <row r="2621" spans="1:17" ht="105" x14ac:dyDescent="0.25">
      <c r="A2621" s="5" t="str">
        <f>IF(TRIM(I2621)="","",E2621)</f>
        <v/>
      </c>
      <c r="B2621" s="5" t="str">
        <f>IF(TRIM(J2621)="","",H2621)</f>
        <v>EXIF tag 36868, 0x9004 (primary) and 37522, 0x9292 (subseconds). Date and time when image was stored as digital data, can be the same as DateTimeOriginal if originally stored in digital form. Stored in ISO 8601 format. Includes the EXIF SubSecTimeDigitized data.</v>
      </c>
      <c r="C2621" s="5" t="str">
        <f>LEFT(F2621,FIND(".",F2621,6))</f>
        <v>Xmp.exif.</v>
      </c>
      <c r="D2621" s="5" t="str">
        <f>VLOOKUP(C2621,PrefixUebersetzung,2,FALSE)</f>
        <v>Xmp.exif.</v>
      </c>
      <c r="E2621" s="5" t="str">
        <f>MID(F2621,FIND(".",F2621,6)+1,99)</f>
        <v>DateTimeDigitized</v>
      </c>
      <c r="F2621" s="5" t="s">
        <v>1718</v>
      </c>
      <c r="G2621" s="5" t="s">
        <v>9678</v>
      </c>
      <c r="H2621" s="6" t="s">
        <v>3365</v>
      </c>
      <c r="I2621" s="7"/>
      <c r="J2621" s="14" t="s">
        <v>9598</v>
      </c>
      <c r="K2621" s="26"/>
      <c r="L2621" s="6" t="str">
        <f>IFERROR(VLOOKUP(E2621,A:I,9, FALSE),"")</f>
        <v>Datum/Zeit Digitalisiert</v>
      </c>
      <c r="N2621" s="6"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c r="P2621" s="6" t="s">
        <v>8574</v>
      </c>
    </row>
    <row r="2622" spans="1:17" ht="60" x14ac:dyDescent="0.25">
      <c r="A2622" s="5" t="str">
        <f>IF(TRIM(I2622)="","",E2622)</f>
        <v/>
      </c>
      <c r="B2622" s="5" t="str">
        <f>IF(TRIM(J2622)="","",H2622)</f>
        <v>EXIF tags 36867, 0x9003 (primary) and 37521, 0x9291 (subseconds). Date and time when original image was generated, in ISO 8601 format. Includes the EXIF SubSecTimeOriginal data.</v>
      </c>
      <c r="C2622" s="5" t="str">
        <f>LEFT(F2622,FIND(".",F2622,6))</f>
        <v>Xmp.exif.</v>
      </c>
      <c r="D2622" s="5" t="str">
        <f>VLOOKUP(C2622,PrefixUebersetzung,2,FALSE)</f>
        <v>Xmp.exif.</v>
      </c>
      <c r="E2622" s="5" t="str">
        <f>MID(F2622,FIND(".",F2622,6)+1,99)</f>
        <v>DateTimeOriginal</v>
      </c>
      <c r="F2622" s="5" t="s">
        <v>1719</v>
      </c>
      <c r="G2622" s="5" t="s">
        <v>9678</v>
      </c>
      <c r="H2622" s="6" t="s">
        <v>3366</v>
      </c>
      <c r="I2622" s="7"/>
      <c r="J2622" s="14" t="s">
        <v>9603</v>
      </c>
      <c r="K2622" s="26"/>
      <c r="L2622" s="6" t="str">
        <f>IFERROR(VLOOKUP(E2622,A:I,9, FALSE),"")</f>
        <v>Datum/Zeit original</v>
      </c>
      <c r="N2622" s="6"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c r="P2622" s="6" t="s">
        <v>8574</v>
      </c>
    </row>
    <row r="2623" spans="1:17" ht="45" x14ac:dyDescent="0.25">
      <c r="A2623" s="5" t="str">
        <f>IF(TRIM(I2623)="","",E2623)</f>
        <v/>
      </c>
      <c r="B2623" s="5" t="str">
        <f>IF(TRIM(J2623)="","",H2623)</f>
        <v>EXIF tag 41995, 0xA40B. Indicates information on the picture-taking conditions of a particular camera model.</v>
      </c>
      <c r="C2623" s="5" t="str">
        <f>LEFT(F2623,FIND(".",F2623,6))</f>
        <v>Xmp.exif.</v>
      </c>
      <c r="D2623" s="5" t="str">
        <f>VLOOKUP(C2623,PrefixUebersetzung,2,FALSE)</f>
        <v>Xmp.exif.</v>
      </c>
      <c r="E2623" s="5" t="str">
        <f>MID(F2623,FIND(".",F2623,6)+1,99)</f>
        <v>DeviceSettingDescription</v>
      </c>
      <c r="F2623" s="5" t="s">
        <v>1720</v>
      </c>
      <c r="G2623" s="5" t="s">
        <v>9678</v>
      </c>
      <c r="H2623" s="6" t="s">
        <v>3367</v>
      </c>
      <c r="I2623" s="7"/>
      <c r="J2623" s="14" t="s">
        <v>5356</v>
      </c>
      <c r="K2623" s="26"/>
      <c r="L2623" s="6" t="str">
        <f>IFERROR(VLOOKUP(E2623,A:I,9, FALSE),"")</f>
        <v>Geräteeinstellungen Beschreibung</v>
      </c>
      <c r="N2623" s="6"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c r="P2623" s="6" t="s">
        <v>8574</v>
      </c>
    </row>
    <row r="2624" spans="1:17" ht="30" x14ac:dyDescent="0.25">
      <c r="A2624" s="5" t="str">
        <f>IF(TRIM(I2624)="","",E2624)</f>
        <v/>
      </c>
      <c r="B2624" s="5" t="str">
        <f>IF(TRIM(J2624)="","",H2624)</f>
        <v>EXIF tag 41988, 0xA404. Indicates the digital zoom ratio when the image was shot.</v>
      </c>
      <c r="C2624" s="5" t="str">
        <f>LEFT(F2624,FIND(".",F2624,6))</f>
        <v>Xmp.exif.</v>
      </c>
      <c r="D2624" s="5" t="str">
        <f>VLOOKUP(C2624,PrefixUebersetzung,2,FALSE)</f>
        <v>Xmp.exif.</v>
      </c>
      <c r="E2624" s="5" t="str">
        <f>MID(F2624,FIND(".",F2624,6)+1,99)</f>
        <v>DigitalZoomRatio</v>
      </c>
      <c r="F2624" s="5" t="s">
        <v>1721</v>
      </c>
      <c r="G2624" s="5" t="s">
        <v>9678</v>
      </c>
      <c r="H2624" s="6" t="s">
        <v>3368</v>
      </c>
      <c r="I2624" s="7"/>
      <c r="J2624" s="14" t="s">
        <v>5357</v>
      </c>
      <c r="K2624" s="26"/>
      <c r="L2624" s="6" t="str">
        <f>IFERROR(VLOOKUP(E2624,A:I,9, FALSE),"")</f>
        <v>Digital-Zoom-Faktor</v>
      </c>
      <c r="N2624" s="6"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c>
      <c r="P2624" s="6" t="s">
        <v>8574</v>
      </c>
    </row>
    <row r="2625" spans="1:17" ht="30" x14ac:dyDescent="0.25">
      <c r="A2625" s="5" t="str">
        <f>IF(TRIM(I2625)="","",E2625)</f>
        <v/>
      </c>
      <c r="B2625" s="5" t="str">
        <f>IF(TRIM(J2625)="","",H2625)</f>
        <v>EXIF tag 36864, 0x9000. EXIF version number.</v>
      </c>
      <c r="C2625" s="5" t="str">
        <f>LEFT(F2625,FIND(".",F2625,6))</f>
        <v>Xmp.exif.</v>
      </c>
      <c r="D2625" s="5" t="str">
        <f>VLOOKUP(C2625,PrefixUebersetzung,2,FALSE)</f>
        <v>Xmp.exif.</v>
      </c>
      <c r="E2625" s="5" t="str">
        <f>MID(F2625,FIND(".",F2625,6)+1,99)</f>
        <v>ExifVersion</v>
      </c>
      <c r="F2625" s="5" t="s">
        <v>1722</v>
      </c>
      <c r="G2625" s="5" t="s">
        <v>9678</v>
      </c>
      <c r="H2625" s="6" t="s">
        <v>3369</v>
      </c>
      <c r="I2625" s="7"/>
      <c r="J2625" s="14" t="s">
        <v>4116</v>
      </c>
      <c r="K2625" s="26"/>
      <c r="L2625" s="6" t="str">
        <f>IFERROR(VLOOKUP(E2625,A:I,9, FALSE),"")</f>
        <v>Exif-Version</v>
      </c>
      <c r="N2625" s="6"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c r="P2625" s="6" t="s">
        <v>8574</v>
      </c>
      <c r="Q2625" s="6" t="s">
        <v>9263</v>
      </c>
    </row>
    <row r="2626" spans="1:17" ht="30" x14ac:dyDescent="0.25">
      <c r="A2626" s="5" t="str">
        <f>IF(TRIM(I2626)="","",E2626)</f>
        <v/>
      </c>
      <c r="B2626" s="5" t="str">
        <f>IF(TRIM(J2626)="","",H2626)</f>
        <v>EXIF tag 37380, 0x9204. Exposure bias, unit is APEX.</v>
      </c>
      <c r="C2626" s="5" t="str">
        <f>LEFT(F2626,FIND(".",F2626,6))</f>
        <v>Xmp.exif.</v>
      </c>
      <c r="D2626" s="5" t="str">
        <f>VLOOKUP(C2626,PrefixUebersetzung,2,FALSE)</f>
        <v>Xmp.exif.</v>
      </c>
      <c r="E2626" s="5" t="str">
        <f>MID(F2626,FIND(".",F2626,6)+1,99)</f>
        <v>ExposureBiasValue</v>
      </c>
      <c r="F2626" s="5" t="s">
        <v>1723</v>
      </c>
      <c r="G2626" s="5" t="s">
        <v>9678</v>
      </c>
      <c r="H2626" s="6" t="s">
        <v>3370</v>
      </c>
      <c r="I2626" s="7"/>
      <c r="J2626" s="14" t="s">
        <v>5358</v>
      </c>
      <c r="K2626" s="26"/>
      <c r="L2626" s="6" t="str">
        <f>IFERROR(VLOOKUP(E2626,A:I,9, FALSE),"")</f>
        <v>Belichtungskorrektur</v>
      </c>
      <c r="N2626" s="6"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c r="P2626" s="6" t="s">
        <v>8574</v>
      </c>
      <c r="Q2626" s="6" t="s">
        <v>9266</v>
      </c>
    </row>
    <row r="2627" spans="1:17" ht="30" x14ac:dyDescent="0.25">
      <c r="A2627" s="5" t="str">
        <f>IF(TRIM(I2627)="","",E2627)</f>
        <v/>
      </c>
      <c r="B2627" s="5" t="str">
        <f>IF(TRIM(J2627)="","",H2627)</f>
        <v>EXIF tag 41493, 0xA215. Exposure index of input device.</v>
      </c>
      <c r="C2627" s="5" t="str">
        <f>LEFT(F2627,FIND(".",F2627,6))</f>
        <v>Xmp.exif.</v>
      </c>
      <c r="D2627" s="5" t="str">
        <f>VLOOKUP(C2627,PrefixUebersetzung,2,FALSE)</f>
        <v>Xmp.exif.</v>
      </c>
      <c r="E2627" s="5" t="str">
        <f>MID(F2627,FIND(".",F2627,6)+1,99)</f>
        <v>ExposureIndex</v>
      </c>
      <c r="F2627" s="5" t="s">
        <v>1724</v>
      </c>
      <c r="G2627" s="5" t="s">
        <v>9678</v>
      </c>
      <c r="H2627" s="6" t="s">
        <v>3371</v>
      </c>
      <c r="I2627" s="7"/>
      <c r="J2627" s="14" t="s">
        <v>5359</v>
      </c>
      <c r="K2627" s="26"/>
      <c r="L2627" s="6" t="str">
        <f>IFERROR(VLOOKUP(E2627,A:I,9, FALSE),"")</f>
        <v>Belichtungsindex</v>
      </c>
      <c r="N2627" s="6"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c r="P2627" s="6" t="s">
        <v>8574</v>
      </c>
    </row>
    <row r="2628" spans="1:17" ht="30" x14ac:dyDescent="0.25">
      <c r="A2628" s="5" t="str">
        <f>IF(TRIM(I2628)="","",E2628)</f>
        <v/>
      </c>
      <c r="B2628" s="5" t="str">
        <f>IF(TRIM(J2628)="","",H2628)</f>
        <v>EXIF tag 41986, 0xA402. Indicates the exposure mode set when the image was shot.</v>
      </c>
      <c r="C2628" s="5" t="str">
        <f>LEFT(F2628,FIND(".",F2628,6))</f>
        <v>Xmp.exif.</v>
      </c>
      <c r="D2628" s="5" t="str">
        <f>VLOOKUP(C2628,PrefixUebersetzung,2,FALSE)</f>
        <v>Xmp.exif.</v>
      </c>
      <c r="E2628" s="5" t="str">
        <f>MID(F2628,FIND(".",F2628,6)+1,99)</f>
        <v>ExposureMode</v>
      </c>
      <c r="F2628" s="5" t="s">
        <v>1725</v>
      </c>
      <c r="G2628" s="5" t="s">
        <v>9678</v>
      </c>
      <c r="H2628" s="6" t="s">
        <v>3372</v>
      </c>
      <c r="I2628" s="7"/>
      <c r="J2628" s="14" t="s">
        <v>5360</v>
      </c>
      <c r="K2628" s="26"/>
      <c r="L2628" s="6" t="str">
        <f>IFERROR(VLOOKUP(E2628,A:I,9, FALSE),"")</f>
        <v>Belichtungsmodus</v>
      </c>
      <c r="N2628" s="6"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c r="P2628" s="6" t="s">
        <v>8574</v>
      </c>
    </row>
    <row r="2629" spans="1:17" ht="30" x14ac:dyDescent="0.25">
      <c r="A2629" s="5" t="str">
        <f>IF(TRIM(I2629)="","",E2629)</f>
        <v/>
      </c>
      <c r="B2629" s="5" t="str">
        <f>IF(TRIM(J2629)="","",H2629)</f>
        <v>EXIF tag 34850, 0x8822. Class of program used for exposure.</v>
      </c>
      <c r="C2629" s="5" t="str">
        <f>LEFT(F2629,FIND(".",F2629,6))</f>
        <v>Xmp.exif.</v>
      </c>
      <c r="D2629" s="5" t="str">
        <f>VLOOKUP(C2629,PrefixUebersetzung,2,FALSE)</f>
        <v>Xmp.exif.</v>
      </c>
      <c r="E2629" s="5" t="str">
        <f>MID(F2629,FIND(".",F2629,6)+1,99)</f>
        <v>ExposureProgram</v>
      </c>
      <c r="F2629" s="5" t="s">
        <v>1726</v>
      </c>
      <c r="G2629" s="5" t="s">
        <v>9678</v>
      </c>
      <c r="H2629" s="6" t="s">
        <v>3373</v>
      </c>
      <c r="I2629" s="7"/>
      <c r="J2629" s="14" t="s">
        <v>5361</v>
      </c>
      <c r="K2629" s="26"/>
      <c r="L2629" s="6" t="str">
        <f>IFERROR(VLOOKUP(E2629,A:I,9, FALSE),"")</f>
        <v>Belichtungsprogramm</v>
      </c>
      <c r="N2629" s="6"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c r="P2629" s="6" t="s">
        <v>8574</v>
      </c>
    </row>
    <row r="2630" spans="1:17" ht="30" x14ac:dyDescent="0.25">
      <c r="A2630" s="5" t="str">
        <f>IF(TRIM(I2630)="","",E2630)</f>
        <v/>
      </c>
      <c r="B2630" s="5" t="str">
        <f>IF(TRIM(J2630)="","",H2630)</f>
        <v>EXIF tag 33434, 0x829A. Exposure time in seconds.</v>
      </c>
      <c r="C2630" s="5" t="str">
        <f>LEFT(F2630,FIND(".",F2630,6))</f>
        <v>Xmp.exif.</v>
      </c>
      <c r="D2630" s="5" t="str">
        <f>VLOOKUP(C2630,PrefixUebersetzung,2,FALSE)</f>
        <v>Xmp.exif.</v>
      </c>
      <c r="E2630" s="5" t="str">
        <f>MID(F2630,FIND(".",F2630,6)+1,99)</f>
        <v>ExposureTime</v>
      </c>
      <c r="F2630" s="5" t="s">
        <v>1727</v>
      </c>
      <c r="G2630" s="5" t="s">
        <v>9678</v>
      </c>
      <c r="H2630" s="6" t="s">
        <v>3374</v>
      </c>
      <c r="I2630" s="7"/>
      <c r="J2630" s="14" t="s">
        <v>4117</v>
      </c>
      <c r="K2630" s="26"/>
      <c r="L2630" s="6" t="str">
        <f>IFERROR(VLOOKUP(E2630,A:I,9, FALSE),"")</f>
        <v>Belichtungszeit</v>
      </c>
      <c r="N2630" s="6"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c>
      <c r="P2630" s="6" t="s">
        <v>8574</v>
      </c>
      <c r="Q2630" s="6" t="s">
        <v>9260</v>
      </c>
    </row>
    <row r="2631" spans="1:17" ht="30" x14ac:dyDescent="0.25">
      <c r="A2631" s="5" t="str">
        <f>IF(TRIM(I2631)="","",E2631)</f>
        <v/>
      </c>
      <c r="B2631" s="5" t="str">
        <f>IF(TRIM(J2631)="","",H2631)</f>
        <v>EXIF tag 41728, 0xA300. Indicates image source.</v>
      </c>
      <c r="C2631" s="5" t="str">
        <f>LEFT(F2631,FIND(".",F2631,6))</f>
        <v>Xmp.exif.</v>
      </c>
      <c r="D2631" s="5" t="str">
        <f>VLOOKUP(C2631,PrefixUebersetzung,2,FALSE)</f>
        <v>Xmp.exif.</v>
      </c>
      <c r="E2631" s="5" t="str">
        <f>MID(F2631,FIND(".",F2631,6)+1,99)</f>
        <v>FileSource</v>
      </c>
      <c r="F2631" s="5" t="s">
        <v>1728</v>
      </c>
      <c r="G2631" s="5" t="s">
        <v>9678</v>
      </c>
      <c r="H2631" s="6" t="s">
        <v>3375</v>
      </c>
      <c r="I2631" s="7"/>
      <c r="J2631" s="14" t="s">
        <v>5362</v>
      </c>
      <c r="K2631" s="26"/>
      <c r="L2631" s="6" t="str">
        <f>IFERROR(VLOOKUP(E2631,A:I,9, FALSE),"")</f>
        <v>Quelle der Datei</v>
      </c>
      <c r="N2631" s="6"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c>
      <c r="P2631" s="6" t="s">
        <v>8574</v>
      </c>
      <c r="Q2631" s="6" t="s">
        <v>9276</v>
      </c>
    </row>
    <row r="2632" spans="1:17" x14ac:dyDescent="0.25">
      <c r="A2632" s="5" t="str">
        <f>IF(TRIM(I2632)="","",E2632)</f>
        <v/>
      </c>
      <c r="B2632" s="5" t="str">
        <f>IF(TRIM(J2632)="","",H2632)</f>
        <v>EXIF tag 37385, 0x9209. Strobe light (flash) source data.</v>
      </c>
      <c r="C2632" s="5" t="str">
        <f>LEFT(F2632,FIND(".",F2632,6))</f>
        <v>Xmp.exif.</v>
      </c>
      <c r="D2632" s="5" t="str">
        <f>VLOOKUP(C2632,PrefixUebersetzung,2,FALSE)</f>
        <v>Xmp.exif.</v>
      </c>
      <c r="E2632" s="5" t="str">
        <f>MID(F2632,FIND(".",F2632,6)+1,99)</f>
        <v>Flash</v>
      </c>
      <c r="F2632" s="5" t="s">
        <v>1729</v>
      </c>
      <c r="G2632" s="5" t="s">
        <v>9678</v>
      </c>
      <c r="H2632" s="6" t="s">
        <v>3376</v>
      </c>
      <c r="I2632" s="7"/>
      <c r="J2632" s="14" t="s">
        <v>4118</v>
      </c>
      <c r="K2632" s="26"/>
      <c r="L2632" s="6" t="str">
        <f>IFERROR(VLOOKUP(E2632,A:I,9, FALSE),"")</f>
        <v>Blitz</v>
      </c>
      <c r="N2632" s="6"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c r="P2632" s="6" t="s">
        <v>8574</v>
      </c>
    </row>
    <row r="2633" spans="1:17" ht="30" x14ac:dyDescent="0.25">
      <c r="A2633" s="5" t="str">
        <f>IF(TRIM(I2633)="","",E2633)</f>
        <v/>
      </c>
      <c r="B2633" s="5" t="str">
        <f>IF(TRIM(J2633)="","",H2633)</f>
        <v>EXIF tag 41483, 0xA20B. Strobe energy during image capture.</v>
      </c>
      <c r="C2633" s="5" t="str">
        <f>LEFT(F2633,FIND(".",F2633,6))</f>
        <v>Xmp.exif.</v>
      </c>
      <c r="D2633" s="5" t="str">
        <f>VLOOKUP(C2633,PrefixUebersetzung,2,FALSE)</f>
        <v>Xmp.exif.</v>
      </c>
      <c r="E2633" s="5" t="str">
        <f>MID(F2633,FIND(".",F2633,6)+1,99)</f>
        <v>FlashEnergy</v>
      </c>
      <c r="F2633" s="5" t="s">
        <v>1730</v>
      </c>
      <c r="G2633" s="5" t="s">
        <v>9678</v>
      </c>
      <c r="H2633" s="6" t="s">
        <v>3377</v>
      </c>
      <c r="I2633" s="7"/>
      <c r="J2633" s="14" t="s">
        <v>5363</v>
      </c>
      <c r="K2633" s="26"/>
      <c r="L2633" s="6" t="str">
        <f>IFERROR(VLOOKUP(E2633,A:I,9, FALSE),"")</f>
        <v>Blitzenergie</v>
      </c>
      <c r="N2633" s="6"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c r="P2633" s="6" t="s">
        <v>8574</v>
      </c>
    </row>
    <row r="2634" spans="1:17" ht="30" x14ac:dyDescent="0.25">
      <c r="A2634" s="5" t="str">
        <f>IF(TRIM(I2634)="","",E2634)</f>
        <v/>
      </c>
      <c r="B2634" s="5" t="str">
        <f>IF(TRIM(J2634)="","",H2634)</f>
        <v>EXIF tag 40960, 0xA000. Version of FlashPix.</v>
      </c>
      <c r="C2634" s="5" t="str">
        <f>LEFT(F2634,FIND(".",F2634,6))</f>
        <v>Xmp.exif.</v>
      </c>
      <c r="D2634" s="5" t="str">
        <f>VLOOKUP(C2634,PrefixUebersetzung,2,FALSE)</f>
        <v>Xmp.exif.</v>
      </c>
      <c r="E2634" s="5" t="str">
        <f>MID(F2634,FIND(".",F2634,6)+1,99)</f>
        <v>FlashpixVersion</v>
      </c>
      <c r="F2634" s="5" t="s">
        <v>1731</v>
      </c>
      <c r="G2634" s="5" t="s">
        <v>9678</v>
      </c>
      <c r="H2634" s="6" t="s">
        <v>3378</v>
      </c>
      <c r="I2634" s="7"/>
      <c r="J2634" s="14" t="s">
        <v>4119</v>
      </c>
      <c r="K2634" s="26"/>
      <c r="L2634" s="6" t="str">
        <f>IFERROR(VLOOKUP(E2634,A:I,9, FALSE),"")</f>
        <v>Flashpix-Version</v>
      </c>
      <c r="N2634" s="6"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c r="P2634" s="6" t="s">
        <v>8574</v>
      </c>
      <c r="Q2634" s="6" t="s">
        <v>9270</v>
      </c>
    </row>
    <row r="2635" spans="1:17" x14ac:dyDescent="0.25">
      <c r="A2635" s="5" t="str">
        <f>IF(TRIM(I2635)="","",E2635)</f>
        <v/>
      </c>
      <c r="B2635" s="5" t="str">
        <f>IF(TRIM(J2635)="","",H2635)</f>
        <v>EXIF tag 33437, 0x829D. F number.</v>
      </c>
      <c r="C2635" s="5" t="str">
        <f>LEFT(F2635,FIND(".",F2635,6))</f>
        <v>Xmp.exif.</v>
      </c>
      <c r="D2635" s="5" t="str">
        <f>VLOOKUP(C2635,PrefixUebersetzung,2,FALSE)</f>
        <v>Xmp.exif.</v>
      </c>
      <c r="E2635" s="5" t="str">
        <f>MID(F2635,FIND(".",F2635,6)+1,99)</f>
        <v>FNumber</v>
      </c>
      <c r="F2635" s="5" t="s">
        <v>1732</v>
      </c>
      <c r="G2635" s="5" t="s">
        <v>9678</v>
      </c>
      <c r="H2635" s="6" t="s">
        <v>3379</v>
      </c>
      <c r="I2635" s="7"/>
      <c r="J2635" s="14" t="s">
        <v>5364</v>
      </c>
      <c r="K2635" s="26"/>
      <c r="L2635" s="6" t="str">
        <f>IFERROR(VLOOKUP(E2635,A:I,9, FALSE),"")</f>
        <v>Blendenzahl</v>
      </c>
      <c r="N2635" s="6"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c>
      <c r="P2635" s="6" t="s">
        <v>8574</v>
      </c>
      <c r="Q2635" s="6" t="s">
        <v>9261</v>
      </c>
    </row>
    <row r="2636" spans="1:17" ht="30" x14ac:dyDescent="0.25">
      <c r="A2636" s="5" t="str">
        <f>IF(TRIM(I2636)="","",E2636)</f>
        <v/>
      </c>
      <c r="B2636" s="5" t="str">
        <f>IF(TRIM(J2636)="","",H2636)</f>
        <v>EXIF tag 37386, 0x920A. Focal length of the lens, in millimeters.</v>
      </c>
      <c r="C2636" s="5" t="str">
        <f>LEFT(F2636,FIND(".",F2636,6))</f>
        <v>Xmp.exif.</v>
      </c>
      <c r="D2636" s="5" t="str">
        <f>VLOOKUP(C2636,PrefixUebersetzung,2,FALSE)</f>
        <v>Xmp.exif.</v>
      </c>
      <c r="E2636" s="5" t="str">
        <f>MID(F2636,FIND(".",F2636,6)+1,99)</f>
        <v>FocalLength</v>
      </c>
      <c r="F2636" s="5" t="s">
        <v>1733</v>
      </c>
      <c r="G2636" s="5" t="s">
        <v>9678</v>
      </c>
      <c r="H2636" s="6" t="s">
        <v>3380</v>
      </c>
      <c r="I2636" s="7"/>
      <c r="J2636" s="14" t="s">
        <v>5365</v>
      </c>
      <c r="K2636" s="26"/>
      <c r="L2636" s="6" t="str">
        <f>IFERROR(VLOOKUP(E2636,A:I,9, FALSE),"")</f>
        <v>Brennweite</v>
      </c>
      <c r="N2636" s="6"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c>
      <c r="P2636" s="6" t="s">
        <v>8574</v>
      </c>
      <c r="Q2636" s="6" t="s">
        <v>9268</v>
      </c>
    </row>
    <row r="2637" spans="1:17" ht="75" x14ac:dyDescent="0.25">
      <c r="A2637" s="5" t="str">
        <f>IF(TRIM(I2637)="","",E2637)</f>
        <v/>
      </c>
      <c r="B2637" s="5" t="str">
        <f>IF(TRIM(J2637)="","",H2637)</f>
        <v>EXIF tag 41989, 0xA405. Indicates the equivalent focal length assuming a 35mm film camera, in mm. A value of 0 means the focal length is unknown. Note that this tag differs from the FocalLength tag.</v>
      </c>
      <c r="C2637" s="5" t="str">
        <f>LEFT(F2637,FIND(".",F2637,6))</f>
        <v>Xmp.exif.</v>
      </c>
      <c r="D2637" s="5" t="str">
        <f>VLOOKUP(C2637,PrefixUebersetzung,2,FALSE)</f>
        <v>Xmp.exif.</v>
      </c>
      <c r="E2637" s="5" t="str">
        <f>MID(F2637,FIND(".",F2637,6)+1,99)</f>
        <v>FocalLengthIn35mmFilm</v>
      </c>
      <c r="F2637" s="5" t="s">
        <v>1734</v>
      </c>
      <c r="G2637" s="5" t="s">
        <v>9678</v>
      </c>
      <c r="H2637" s="6" t="s">
        <v>3381</v>
      </c>
      <c r="I2637" s="7"/>
      <c r="J2637" s="14" t="s">
        <v>6680</v>
      </c>
      <c r="K2637" s="26"/>
      <c r="L2637" s="6" t="str">
        <f>IFERROR(VLOOKUP(E2637,A:I,9, FALSE),"")</f>
        <v>Brennweite 35mm äquiv</v>
      </c>
      <c r="N2637" s="6"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c r="P2637" s="6" t="s">
        <v>8574</v>
      </c>
    </row>
    <row r="2638" spans="1:17" ht="30" x14ac:dyDescent="0.25">
      <c r="A2638" s="5" t="str">
        <f>IF(TRIM(I2638)="","",E2638)</f>
        <v/>
      </c>
      <c r="B2638" s="5" t="str">
        <f>IF(TRIM(J2638)="","",H2638)</f>
        <v>EXIF tag 41488, 0xA210. Unit used for FocalPlaneXResolution and FocalPlaneYResolution.</v>
      </c>
      <c r="C2638" s="5" t="str">
        <f>LEFT(F2638,FIND(".",F2638,6))</f>
        <v>Xmp.exif.</v>
      </c>
      <c r="D2638" s="5" t="str">
        <f>VLOOKUP(C2638,PrefixUebersetzung,2,FALSE)</f>
        <v>Xmp.exif.</v>
      </c>
      <c r="E2638" s="5" t="str">
        <f>MID(F2638,FIND(".",F2638,6)+1,99)</f>
        <v>FocalPlaneResolutionUnit</v>
      </c>
      <c r="F2638" s="5" t="s">
        <v>1735</v>
      </c>
      <c r="G2638" s="5" t="s">
        <v>9678</v>
      </c>
      <c r="H2638" s="6" t="s">
        <v>3382</v>
      </c>
      <c r="I2638" s="7"/>
      <c r="J2638" s="14" t="s">
        <v>5366</v>
      </c>
      <c r="K2638" s="26"/>
      <c r="L2638" s="6" t="str">
        <f>IFERROR(VLOOKUP(E2638,A:I,9, FALSE),"")</f>
        <v>Auflösung Brennebene Einheit</v>
      </c>
      <c r="N2638" s="6"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c>
      <c r="P2638" s="6" t="s">
        <v>8574</v>
      </c>
    </row>
    <row r="2639" spans="1:17" ht="30" x14ac:dyDescent="0.25">
      <c r="A2639" s="5" t="str">
        <f>IF(TRIM(I2639)="","",E2639)</f>
        <v/>
      </c>
      <c r="B2639" s="5" t="str">
        <f>IF(TRIM(J2639)="","",H2639)</f>
        <v>EXIF tag 41486, 0xA20E. Horizontal focal resolution, measured pixels per unit.</v>
      </c>
      <c r="C2639" s="5" t="str">
        <f>LEFT(F2639,FIND(".",F2639,6))</f>
        <v>Xmp.exif.</v>
      </c>
      <c r="D2639" s="5" t="str">
        <f>VLOOKUP(C2639,PrefixUebersetzung,2,FALSE)</f>
        <v>Xmp.exif.</v>
      </c>
      <c r="E2639" s="5" t="str">
        <f>MID(F2639,FIND(".",F2639,6)+1,99)</f>
        <v>FocalPlaneXResolution</v>
      </c>
      <c r="F2639" s="5" t="s">
        <v>1736</v>
      </c>
      <c r="G2639" s="5" t="s">
        <v>9678</v>
      </c>
      <c r="H2639" s="6" t="s">
        <v>3383</v>
      </c>
      <c r="I2639" s="7"/>
      <c r="J2639" s="14" t="s">
        <v>5367</v>
      </c>
      <c r="K2639" s="26"/>
      <c r="L2639" s="6" t="str">
        <f>IFERROR(VLOOKUP(E2639,A:I,9, FALSE),"")</f>
        <v>Auflösung Brennebene X</v>
      </c>
      <c r="N2639" s="6"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c r="P2639" s="6" t="s">
        <v>8574</v>
      </c>
    </row>
    <row r="2640" spans="1:17" ht="30" x14ac:dyDescent="0.25">
      <c r="A2640" s="5" t="str">
        <f>IF(TRIM(I2640)="","",E2640)</f>
        <v/>
      </c>
      <c r="B2640" s="5" t="str">
        <f>IF(TRIM(J2640)="","",H2640)</f>
        <v>EXIF tag 41487, 0xA20F. Vertical focal resolution, measured in pixels per unit.</v>
      </c>
      <c r="C2640" s="5" t="str">
        <f>LEFT(F2640,FIND(".",F2640,6))</f>
        <v>Xmp.exif.</v>
      </c>
      <c r="D2640" s="5" t="str">
        <f>VLOOKUP(C2640,PrefixUebersetzung,2,FALSE)</f>
        <v>Xmp.exif.</v>
      </c>
      <c r="E2640" s="5" t="str">
        <f>MID(F2640,FIND(".",F2640,6)+1,99)</f>
        <v>FocalPlaneYResolution</v>
      </c>
      <c r="F2640" s="5" t="s">
        <v>1737</v>
      </c>
      <c r="G2640" s="5" t="s">
        <v>9678</v>
      </c>
      <c r="H2640" s="6" t="s">
        <v>3384</v>
      </c>
      <c r="I2640" s="7"/>
      <c r="J2640" s="14" t="s">
        <v>5368</v>
      </c>
      <c r="K2640" s="26"/>
      <c r="L2640" s="6" t="str">
        <f>IFERROR(VLOOKUP(E2640,A:I,9, FALSE),"")</f>
        <v>Auflösung Brennebene Y</v>
      </c>
      <c r="N2640" s="6"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c>
      <c r="P2640" s="6" t="s">
        <v>8574</v>
      </c>
    </row>
    <row r="2641" spans="1:17" ht="30" x14ac:dyDescent="0.25">
      <c r="A2641" s="5" t="str">
        <f>IF(TRIM(I2641)="","",E2641)</f>
        <v/>
      </c>
      <c r="B2641" s="5" t="str">
        <f>IF(TRIM(J2641)="","",H2641)</f>
        <v/>
      </c>
      <c r="C2641" s="5" t="str">
        <f>LEFT(F2641,FIND(".",F2641,6))</f>
        <v>Xmp.exif.</v>
      </c>
      <c r="D2641" s="5" t="str">
        <f>VLOOKUP(C2641,PrefixUebersetzung,2,FALSE)</f>
        <v>Xmp.exif.</v>
      </c>
      <c r="E2641" s="5" t="str">
        <f>MID(F2641,FIND(".",F2641,6)+1,99)</f>
        <v>GainControl</v>
      </c>
      <c r="F2641" s="5" t="s">
        <v>1738</v>
      </c>
      <c r="G2641" s="5" t="s">
        <v>9678</v>
      </c>
      <c r="H2641" s="6" t="s">
        <v>3385</v>
      </c>
      <c r="I2641" s="7"/>
      <c r="K2641" s="26"/>
      <c r="L2641" s="6" t="str">
        <f>IFERROR(VLOOKUP(E2641,A:I,9, FALSE),"")</f>
        <v/>
      </c>
      <c r="N2641" s="6"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Suffix not translated Description not translated </v>
      </c>
      <c r="P2641" s="6" t="s">
        <v>8574</v>
      </c>
    </row>
    <row r="2642" spans="1:17" ht="30" x14ac:dyDescent="0.25">
      <c r="A2642" s="5" t="str">
        <f>IF(TRIM(I2642)="","",E2642)</f>
        <v/>
      </c>
      <c r="B2642" s="5" t="str">
        <f>IF(TRIM(J2642)="","",H2642)</f>
        <v>GPS tag 6, 0x06. Indicates altitude in meters.</v>
      </c>
      <c r="C2642" s="5" t="str">
        <f>LEFT(F2642,FIND(".",F2642,6))</f>
        <v>Xmp.exif.</v>
      </c>
      <c r="D2642" s="5" t="str">
        <f>VLOOKUP(C2642,PrefixUebersetzung,2,FALSE)</f>
        <v>Xmp.exif.</v>
      </c>
      <c r="E2642" s="5" t="str">
        <f>MID(F2642,FIND(".",F2642,6)+1,99)</f>
        <v>GPSAltitude</v>
      </c>
      <c r="F2642" s="5" t="s">
        <v>1739</v>
      </c>
      <c r="G2642" s="5" t="s">
        <v>9678</v>
      </c>
      <c r="H2642" s="6" t="s">
        <v>3386</v>
      </c>
      <c r="I2642" s="7"/>
      <c r="J2642" s="14" t="s">
        <v>4120</v>
      </c>
      <c r="K2642" s="26"/>
      <c r="L2642" s="6" t="str">
        <f>IFERROR(VLOOKUP(E2642,A:I,9, FALSE),"")</f>
        <v>GPS Höhe</v>
      </c>
      <c r="M2642" s="6" t="str">
        <f>IFERROR(VLOOKUP(H2642,B:J,9,FALSE),"")</f>
        <v>GPS tag 6, 0x06. Zeigt Höhe in Metern.</v>
      </c>
      <c r="N2642" s="6"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c>
      <c r="P2642" s="6" t="s">
        <v>8574</v>
      </c>
      <c r="Q2642" s="6" t="s">
        <v>9336</v>
      </c>
    </row>
    <row r="2643" spans="1:17" ht="45" x14ac:dyDescent="0.25">
      <c r="A2643" s="5" t="str">
        <f>IF(TRIM(I2643)="","",E2643)</f>
        <v/>
      </c>
      <c r="B2643" s="5" t="str">
        <f>IF(TRIM(J2643)="","",H2643)</f>
        <v>GPS tag 5, 0x05. Indicates whether the altitude is above or below sea level.</v>
      </c>
      <c r="C2643" s="5" t="str">
        <f>LEFT(F2643,FIND(".",F2643,6))</f>
        <v>Xmp.exif.</v>
      </c>
      <c r="D2643" s="5" t="str">
        <f>VLOOKUP(C2643,PrefixUebersetzung,2,FALSE)</f>
        <v>Xmp.exif.</v>
      </c>
      <c r="E2643" s="5" t="str">
        <f>MID(F2643,FIND(".",F2643,6)+1,99)</f>
        <v>GPSAltitudeRef</v>
      </c>
      <c r="F2643" s="5" t="s">
        <v>1740</v>
      </c>
      <c r="G2643" s="5" t="s">
        <v>9678</v>
      </c>
      <c r="H2643" s="6" t="s">
        <v>3387</v>
      </c>
      <c r="I2643" s="7"/>
      <c r="J2643" s="14" t="s">
        <v>5369</v>
      </c>
      <c r="K2643" s="26"/>
      <c r="L2643" s="6" t="str">
        <f>IFERROR(VLOOKUP(E2643,A:I,9, FALSE),"")</f>
        <v>GPS Höhenreferenz</v>
      </c>
      <c r="M2643" s="6" t="str">
        <f>IFERROR(VLOOKUP(H2643,B:J,9,FALSE),"")</f>
        <v>GPS-Tag 5, 0x05. Zeigt an, ob die Höhe über oder unter dem Meeresspiegel ist.</v>
      </c>
      <c r="N2643" s="6"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c r="P2643" s="6" t="s">
        <v>8574</v>
      </c>
    </row>
    <row r="2644" spans="1:17" ht="30" x14ac:dyDescent="0.25">
      <c r="A2644" s="5" t="str">
        <f>IF(TRIM(I2644)="","",E2644)</f>
        <v/>
      </c>
      <c r="B2644" s="5" t="str">
        <f>IF(TRIM(J2644)="","",H2644)</f>
        <v>GPS tag 28, 0x1C. A character string recording the name of the GPS area.</v>
      </c>
      <c r="C2644" s="5" t="str">
        <f>LEFT(F2644,FIND(".",F2644,6))</f>
        <v>Xmp.exif.</v>
      </c>
      <c r="D2644" s="5" t="str">
        <f>VLOOKUP(C2644,PrefixUebersetzung,2,FALSE)</f>
        <v>Xmp.exif.</v>
      </c>
      <c r="E2644" s="5" t="str">
        <f>MID(F2644,FIND(".",F2644,6)+1,99)</f>
        <v>GPSAreaInformation</v>
      </c>
      <c r="F2644" s="5" t="s">
        <v>1741</v>
      </c>
      <c r="G2644" s="5" t="s">
        <v>9678</v>
      </c>
      <c r="H2644" s="6" t="s">
        <v>3388</v>
      </c>
      <c r="I2644" s="7"/>
      <c r="J2644" s="14" t="s">
        <v>5370</v>
      </c>
      <c r="K2644" s="26"/>
      <c r="L2644" s="6" t="str">
        <f>IFERROR(VLOOKUP(E2644,A:I,9, FALSE),"")</f>
        <v>GPS Bereichsinformation</v>
      </c>
      <c r="N2644" s="6"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c r="P2644" s="6" t="s">
        <v>8574</v>
      </c>
    </row>
    <row r="2645" spans="1:17" ht="30" x14ac:dyDescent="0.25">
      <c r="A2645" s="5" t="str">
        <f>IF(TRIM(I2645)="","",E2645)</f>
        <v/>
      </c>
      <c r="B2645" s="5" t="str">
        <f>IF(TRIM(J2645)="","",H2645)</f>
        <v>GPS tag 24, 0x18. Destination bearing, values from 0 to 359.99.</v>
      </c>
      <c r="C2645" s="5" t="str">
        <f>LEFT(F2645,FIND(".",F2645,6))</f>
        <v>Xmp.exif.</v>
      </c>
      <c r="D2645" s="5" t="str">
        <f>VLOOKUP(C2645,PrefixUebersetzung,2,FALSE)</f>
        <v>Xmp.exif.</v>
      </c>
      <c r="E2645" s="5" t="str">
        <f>MID(F2645,FIND(".",F2645,6)+1,99)</f>
        <v>GPSDestBearing</v>
      </c>
      <c r="F2645" s="5" t="s">
        <v>1742</v>
      </c>
      <c r="G2645" s="5" t="s">
        <v>9678</v>
      </c>
      <c r="H2645" s="6" t="s">
        <v>3389</v>
      </c>
      <c r="I2645" s="7"/>
      <c r="J2645" s="14" t="s">
        <v>5371</v>
      </c>
      <c r="K2645" s="26"/>
      <c r="L2645" s="6" t="str">
        <f>IFERROR(VLOOKUP(E2645,A:I,9, FALSE),"")</f>
        <v>GPS Peilung</v>
      </c>
      <c r="N2645" s="6"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c r="P2645" s="6" t="s">
        <v>8574</v>
      </c>
    </row>
    <row r="2646" spans="1:17" ht="30" x14ac:dyDescent="0.25">
      <c r="A2646" s="5" t="str">
        <f>IF(TRIM(I2646)="","",E2646)</f>
        <v/>
      </c>
      <c r="B2646" s="5" t="str">
        <f>IF(TRIM(J2646)="","",H2646)</f>
        <v>GPS tag 23, 0x17. Reference for movement direction.</v>
      </c>
      <c r="C2646" s="5" t="str">
        <f>LEFT(F2646,FIND(".",F2646,6))</f>
        <v>Xmp.exif.</v>
      </c>
      <c r="D2646" s="5" t="str">
        <f>VLOOKUP(C2646,PrefixUebersetzung,2,FALSE)</f>
        <v>Xmp.exif.</v>
      </c>
      <c r="E2646" s="5" t="str">
        <f>MID(F2646,FIND(".",F2646,6)+1,99)</f>
        <v>GPSDestBearingRef</v>
      </c>
      <c r="F2646" s="5" t="s">
        <v>1743</v>
      </c>
      <c r="G2646" s="5" t="s">
        <v>9678</v>
      </c>
      <c r="H2646" s="6" t="s">
        <v>3390</v>
      </c>
      <c r="I2646" s="7"/>
      <c r="J2646" s="14" t="s">
        <v>4121</v>
      </c>
      <c r="K2646" s="26"/>
      <c r="L2646" s="6" t="str">
        <f>IFERROR(VLOOKUP(E2646,A:I,9, FALSE),"")</f>
        <v>GPS Peilung Referenz</v>
      </c>
      <c r="N2646" s="6"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c r="P2646" s="6" t="s">
        <v>8574</v>
      </c>
      <c r="Q2646" s="6" t="s">
        <v>9335</v>
      </c>
    </row>
    <row r="2647" spans="1:17" ht="30" x14ac:dyDescent="0.25">
      <c r="A2647" s="5" t="str">
        <f>IF(TRIM(I2647)="","",E2647)</f>
        <v/>
      </c>
      <c r="B2647" s="5" t="str">
        <f>IF(TRIM(J2647)="","",H2647)</f>
        <v>GPS tag 26, 0x1A. Distance to destination.</v>
      </c>
      <c r="C2647" s="5" t="str">
        <f>LEFT(F2647,FIND(".",F2647,6))</f>
        <v>Xmp.exif.</v>
      </c>
      <c r="D2647" s="5" t="str">
        <f>VLOOKUP(C2647,PrefixUebersetzung,2,FALSE)</f>
        <v>Xmp.exif.</v>
      </c>
      <c r="E2647" s="5" t="str">
        <f>MID(F2647,FIND(".",F2647,6)+1,99)</f>
        <v>GPSDestDistance</v>
      </c>
      <c r="F2647" s="5" t="s">
        <v>1744</v>
      </c>
      <c r="G2647" s="5" t="s">
        <v>9678</v>
      </c>
      <c r="H2647" s="6" t="s">
        <v>3391</v>
      </c>
      <c r="I2647" s="7"/>
      <c r="J2647" s="14" t="s">
        <v>4122</v>
      </c>
      <c r="K2647" s="26"/>
      <c r="L2647" s="6" t="str">
        <f>IFERROR(VLOOKUP(E2647,A:I,9, FALSE),"")</f>
        <v>GPS Zielentfernung</v>
      </c>
      <c r="N2647" s="6"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c>
      <c r="P2647" s="6" t="s">
        <v>8574</v>
      </c>
      <c r="Q2647" s="6" t="s">
        <v>9335</v>
      </c>
    </row>
    <row r="2648" spans="1:17" ht="30" x14ac:dyDescent="0.25">
      <c r="A2648" s="5" t="str">
        <f>IF(TRIM(I2648)="","",E2648)</f>
        <v/>
      </c>
      <c r="B2648" s="5" t="str">
        <f>IF(TRIM(J2648)="","",H2648)</f>
        <v>GPS tag 25, 0x19. Units used for speed measurement.</v>
      </c>
      <c r="C2648" s="5" t="str">
        <f>LEFT(F2648,FIND(".",F2648,6))</f>
        <v>Xmp.exif.</v>
      </c>
      <c r="D2648" s="5" t="str">
        <f>VLOOKUP(C2648,PrefixUebersetzung,2,FALSE)</f>
        <v>Xmp.exif.</v>
      </c>
      <c r="E2648" s="5" t="str">
        <f>MID(F2648,FIND(".",F2648,6)+1,99)</f>
        <v>GPSDestDistanceRef</v>
      </c>
      <c r="F2648" s="5" t="s">
        <v>1745</v>
      </c>
      <c r="G2648" s="5" t="s">
        <v>9678</v>
      </c>
      <c r="H2648" s="6" t="s">
        <v>3392</v>
      </c>
      <c r="I2648" s="7"/>
      <c r="J2648" s="14" t="s">
        <v>5372</v>
      </c>
      <c r="K2648" s="26"/>
      <c r="L2648" s="6" t="str">
        <f>IFERROR(VLOOKUP(E2648,A:I,9, FALSE),"")</f>
        <v>GPS Zielentfernung Referenz</v>
      </c>
      <c r="N2648" s="6"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c r="P2648" s="6" t="s">
        <v>8574</v>
      </c>
      <c r="Q2648" s="6" t="s">
        <v>9335</v>
      </c>
    </row>
    <row r="2649" spans="1:17" ht="30" x14ac:dyDescent="0.25">
      <c r="A2649" s="5" t="str">
        <f>IF(TRIM(I2649)="","",E2649)</f>
        <v/>
      </c>
      <c r="B2649" s="5" t="str">
        <f>IF(TRIM(J2649)="","",H2649)</f>
        <v>GPS tag 20, 0x14 (position) and 19, 0x13 (North/South). Indicates destination latitude.</v>
      </c>
      <c r="C2649" s="5" t="str">
        <f>LEFT(F2649,FIND(".",F2649,6))</f>
        <v>Xmp.exif.</v>
      </c>
      <c r="D2649" s="5" t="str">
        <f>VLOOKUP(C2649,PrefixUebersetzung,2,FALSE)</f>
        <v>Xmp.exif.</v>
      </c>
      <c r="E2649" s="5" t="str">
        <f>MID(F2649,FIND(".",F2649,6)+1,99)</f>
        <v>GPSDestLatitude</v>
      </c>
      <c r="F2649" s="5" t="s">
        <v>1746</v>
      </c>
      <c r="G2649" s="5" t="s">
        <v>9678</v>
      </c>
      <c r="H2649" s="6" t="s">
        <v>3393</v>
      </c>
      <c r="I2649" s="7"/>
      <c r="J2649" s="14" t="s">
        <v>5373</v>
      </c>
      <c r="K2649" s="26"/>
      <c r="L2649" s="6" t="str">
        <f>IFERROR(VLOOKUP(E2649,A:I,9, FALSE),"")</f>
        <v>GPS Ziel Breite</v>
      </c>
      <c r="N2649" s="6"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c r="P2649" s="6" t="s">
        <v>8574</v>
      </c>
    </row>
    <row r="2650" spans="1:17" ht="30" x14ac:dyDescent="0.25">
      <c r="A2650" s="5" t="str">
        <f>IF(TRIM(I2650)="","",E2650)</f>
        <v/>
      </c>
      <c r="B2650" s="5" t="str">
        <f>IF(TRIM(J2650)="","",H2650)</f>
        <v>GPS tag 22, 0x16 (position) and 21, 0x15 (East/West). Indicates destination longitude.</v>
      </c>
      <c r="C2650" s="5" t="str">
        <f>LEFT(F2650,FIND(".",F2650,6))</f>
        <v>Xmp.exif.</v>
      </c>
      <c r="D2650" s="5" t="str">
        <f>VLOOKUP(C2650,PrefixUebersetzung,2,FALSE)</f>
        <v>Xmp.exif.</v>
      </c>
      <c r="E2650" s="5" t="str">
        <f>MID(F2650,FIND(".",F2650,6)+1,99)</f>
        <v>GPSDestLongitude</v>
      </c>
      <c r="F2650" s="5" t="s">
        <v>1747</v>
      </c>
      <c r="G2650" s="5" t="s">
        <v>9678</v>
      </c>
      <c r="H2650" s="6" t="s">
        <v>3394</v>
      </c>
      <c r="I2650" s="7"/>
      <c r="J2650" s="14" t="s">
        <v>5374</v>
      </c>
      <c r="K2650" s="26"/>
      <c r="L2650" s="6" t="str">
        <f>IFERROR(VLOOKUP(E2650,A:I,9, FALSE),"")</f>
        <v>GPS Ziel Länge</v>
      </c>
      <c r="N2650" s="6"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c r="P2650" s="6" t="s">
        <v>8574</v>
      </c>
    </row>
    <row r="2651" spans="1:17" ht="30" x14ac:dyDescent="0.25">
      <c r="A2651" s="5" t="str">
        <f>IF(TRIM(I2651)="","",E2651)</f>
        <v/>
      </c>
      <c r="B2651" s="5" t="str">
        <f>IF(TRIM(J2651)="","",H2651)</f>
        <v>GPS tag 30, 0x1E. Indicates whether differential correction is applied to the GPS receiver.</v>
      </c>
      <c r="C2651" s="5" t="str">
        <f>LEFT(F2651,FIND(".",F2651,6))</f>
        <v>Xmp.exif.</v>
      </c>
      <c r="D2651" s="5" t="str">
        <f>VLOOKUP(C2651,PrefixUebersetzung,2,FALSE)</f>
        <v>Xmp.exif.</v>
      </c>
      <c r="E2651" s="5" t="str">
        <f>MID(F2651,FIND(".",F2651,6)+1,99)</f>
        <v>GPSDifferential</v>
      </c>
      <c r="F2651" s="5" t="s">
        <v>1748</v>
      </c>
      <c r="G2651" s="5" t="s">
        <v>9678</v>
      </c>
      <c r="H2651" s="6" t="s">
        <v>3395</v>
      </c>
      <c r="I2651" s="7"/>
      <c r="J2651" s="14" t="s">
        <v>5375</v>
      </c>
      <c r="K2651" s="26"/>
      <c r="L2651" s="6" t="str">
        <f>IFERROR(VLOOKUP(E2651,A:I,9, FALSE),"")</f>
        <v>GPS Differential</v>
      </c>
      <c r="N2651" s="6"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c>
      <c r="P2651" s="6" t="s">
        <v>8574</v>
      </c>
    </row>
    <row r="2652" spans="1:17" ht="30" x14ac:dyDescent="0.25">
      <c r="A2652" s="5" t="str">
        <f>IF(TRIM(I2652)="","",E2652)</f>
        <v/>
      </c>
      <c r="B2652" s="5" t="str">
        <f>IF(TRIM(J2652)="","",H2652)</f>
        <v>GPS tag 11, 0x0B. Degree of precision for GPS data.</v>
      </c>
      <c r="C2652" s="5" t="str">
        <f>LEFT(F2652,FIND(".",F2652,6))</f>
        <v>Xmp.exif.</v>
      </c>
      <c r="D2652" s="5" t="str">
        <f>VLOOKUP(C2652,PrefixUebersetzung,2,FALSE)</f>
        <v>Xmp.exif.</v>
      </c>
      <c r="E2652" s="5" t="str">
        <f>MID(F2652,FIND(".",F2652,6)+1,99)</f>
        <v>GPSDOP</v>
      </c>
      <c r="F2652" s="5" t="s">
        <v>1749</v>
      </c>
      <c r="G2652" s="5" t="s">
        <v>9678</v>
      </c>
      <c r="H2652" s="6" t="s">
        <v>3396</v>
      </c>
      <c r="I2652" s="7"/>
      <c r="J2652" s="14" t="s">
        <v>4123</v>
      </c>
      <c r="K2652" s="26"/>
      <c r="L2652" s="6" t="str">
        <f>IFERROR(VLOOKUP(E2652,A:I,9, FALSE),"")</f>
        <v>GPS Datengenauigkeit</v>
      </c>
      <c r="N2652" s="6"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c r="P2652" s="6" t="s">
        <v>8574</v>
      </c>
      <c r="Q2652" s="6" t="s">
        <v>9334</v>
      </c>
    </row>
    <row r="2653" spans="1:17" ht="30" x14ac:dyDescent="0.25">
      <c r="A2653" s="5" t="str">
        <f>IF(TRIM(I2653)="","",E2653)</f>
        <v/>
      </c>
      <c r="B2653" s="5" t="str">
        <f>IF(TRIM(J2653)="","",H2653)</f>
        <v>GPS tag 17, 0x11. Direction of image when captured, values range from 0 to 359.99.</v>
      </c>
      <c r="C2653" s="5" t="str">
        <f>LEFT(F2653,FIND(".",F2653,6))</f>
        <v>Xmp.exif.</v>
      </c>
      <c r="D2653" s="5" t="str">
        <f>VLOOKUP(C2653,PrefixUebersetzung,2,FALSE)</f>
        <v>Xmp.exif.</v>
      </c>
      <c r="E2653" s="5" t="str">
        <f>MID(F2653,FIND(".",F2653,6)+1,99)</f>
        <v>GPSImgDirection</v>
      </c>
      <c r="F2653" s="5" t="s">
        <v>1750</v>
      </c>
      <c r="G2653" s="5" t="s">
        <v>9678</v>
      </c>
      <c r="H2653" s="6" t="s">
        <v>3397</v>
      </c>
      <c r="I2653" s="7"/>
      <c r="J2653" s="14" t="s">
        <v>5376</v>
      </c>
      <c r="K2653" s="26"/>
      <c r="L2653" s="6" t="str">
        <f>IFERROR(VLOOKUP(E2653,A:I,9, FALSE),"")</f>
        <v>GPS Bildrichtung</v>
      </c>
      <c r="N2653" s="6"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c r="P2653" s="6" t="s">
        <v>8574</v>
      </c>
    </row>
    <row r="2654" spans="1:17" ht="30" x14ac:dyDescent="0.25">
      <c r="A2654" s="5" t="str">
        <f>IF(TRIM(I2654)="","",E2654)</f>
        <v/>
      </c>
      <c r="B2654" s="5" t="str">
        <f>IF(TRIM(J2654)="","",H2654)</f>
        <v>GPS tag 16, 0x10. Reference for image direction.</v>
      </c>
      <c r="C2654" s="5" t="str">
        <f>LEFT(F2654,FIND(".",F2654,6))</f>
        <v>Xmp.exif.</v>
      </c>
      <c r="D2654" s="5" t="str">
        <f>VLOOKUP(C2654,PrefixUebersetzung,2,FALSE)</f>
        <v>Xmp.exif.</v>
      </c>
      <c r="E2654" s="5" t="str">
        <f>MID(F2654,FIND(".",F2654,6)+1,99)</f>
        <v>GPSImgDirectionRef</v>
      </c>
      <c r="F2654" s="5" t="s">
        <v>1751</v>
      </c>
      <c r="G2654" s="5" t="s">
        <v>9678</v>
      </c>
      <c r="H2654" s="6" t="s">
        <v>3398</v>
      </c>
      <c r="I2654" s="7"/>
      <c r="J2654" s="14" t="s">
        <v>5377</v>
      </c>
      <c r="K2654" s="26"/>
      <c r="L2654" s="6" t="str">
        <f>IFERROR(VLOOKUP(E2654,A:I,9, FALSE),"")</f>
        <v>GPS Bildrichtung Referenz</v>
      </c>
      <c r="N2654" s="6"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c r="P2654" s="6" t="s">
        <v>8574</v>
      </c>
      <c r="Q2654" s="6" t="s">
        <v>9335</v>
      </c>
    </row>
    <row r="2655" spans="1:17" ht="30" x14ac:dyDescent="0.25">
      <c r="A2655" s="5" t="str">
        <f>IF(TRIM(I2655)="","",E2655)</f>
        <v/>
      </c>
      <c r="B2655" s="5" t="str">
        <f>IF(TRIM(J2655)="","",H2655)</f>
        <v>GPS tag 2, 0x02 (position) and 1, 0x01 (North/South). Indicates latitude.</v>
      </c>
      <c r="C2655" s="5" t="str">
        <f>LEFT(F2655,FIND(".",F2655,6))</f>
        <v>Xmp.exif.</v>
      </c>
      <c r="D2655" s="5" t="str">
        <f>VLOOKUP(C2655,PrefixUebersetzung,2,FALSE)</f>
        <v>Xmp.exif.</v>
      </c>
      <c r="E2655" s="5" t="str">
        <f>MID(F2655,FIND(".",F2655,6)+1,99)</f>
        <v>GPSLatitude</v>
      </c>
      <c r="F2655" s="5" t="s">
        <v>1752</v>
      </c>
      <c r="G2655" s="5" t="s">
        <v>9678</v>
      </c>
      <c r="H2655" s="6" t="s">
        <v>3399</v>
      </c>
      <c r="I2655" s="7"/>
      <c r="J2655" s="14" t="s">
        <v>4124</v>
      </c>
      <c r="K2655" s="26"/>
      <c r="L2655" s="6" t="str">
        <f>IFERROR(VLOOKUP(E2655,A:I,9, FALSE),"")</f>
        <v>GPS Breite</v>
      </c>
      <c r="N2655" s="6"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c r="P2655" s="6" t="s">
        <v>8574</v>
      </c>
    </row>
    <row r="2656" spans="1:17" ht="30" x14ac:dyDescent="0.25">
      <c r="A2656" s="5" t="str">
        <f>IF(TRIM(I2656)="","",E2656)</f>
        <v/>
      </c>
      <c r="B2656" s="5" t="str">
        <f>IF(TRIM(J2656)="","",H2656)</f>
        <v>GPS tag 4, 0x04 (position) and 3, 0x03 (East/West). Indicates longitude.</v>
      </c>
      <c r="C2656" s="5" t="str">
        <f>LEFT(F2656,FIND(".",F2656,6))</f>
        <v>Xmp.exif.</v>
      </c>
      <c r="D2656" s="5" t="str">
        <f>VLOOKUP(C2656,PrefixUebersetzung,2,FALSE)</f>
        <v>Xmp.exif.</v>
      </c>
      <c r="E2656" s="5" t="str">
        <f>MID(F2656,FIND(".",F2656,6)+1,99)</f>
        <v>GPSLongitude</v>
      </c>
      <c r="F2656" s="5" t="s">
        <v>1753</v>
      </c>
      <c r="G2656" s="5" t="s">
        <v>9678</v>
      </c>
      <c r="H2656" s="6" t="s">
        <v>3400</v>
      </c>
      <c r="I2656" s="7"/>
      <c r="J2656" s="14" t="s">
        <v>5378</v>
      </c>
      <c r="K2656" s="26"/>
      <c r="L2656" s="6" t="str">
        <f>IFERROR(VLOOKUP(E2656,A:I,9, FALSE),"")</f>
        <v>GPS Länge</v>
      </c>
      <c r="N2656" s="6"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c r="P2656" s="6" t="s">
        <v>8574</v>
      </c>
    </row>
    <row r="2657" spans="1:17" ht="30" x14ac:dyDescent="0.25">
      <c r="A2657" s="5" t="str">
        <f>IF(TRIM(I2657)="","",E2657)</f>
        <v/>
      </c>
      <c r="B2657" s="5" t="str">
        <f>IF(TRIM(J2657)="","",H2657)</f>
        <v>GPS tag 18, 0x12. Geodetic survey data.</v>
      </c>
      <c r="C2657" s="5" t="str">
        <f>LEFT(F2657,FIND(".",F2657,6))</f>
        <v>Xmp.exif.</v>
      </c>
      <c r="D2657" s="5" t="str">
        <f>VLOOKUP(C2657,PrefixUebersetzung,2,FALSE)</f>
        <v>Xmp.exif.</v>
      </c>
      <c r="E2657" s="5" t="str">
        <f>MID(F2657,FIND(".",F2657,6)+1,99)</f>
        <v>GPSMapDatum</v>
      </c>
      <c r="F2657" s="5" t="s">
        <v>1754</v>
      </c>
      <c r="G2657" s="5" t="s">
        <v>9678</v>
      </c>
      <c r="H2657" s="6" t="s">
        <v>3401</v>
      </c>
      <c r="I2657" s="7"/>
      <c r="J2657" s="14" t="s">
        <v>5379</v>
      </c>
      <c r="K2657" s="26"/>
      <c r="L2657" s="6" t="str">
        <f>IFERROR(VLOOKUP(E2657,A:I,9, FALSE),"")</f>
        <v>GPS Vermessungsdaten</v>
      </c>
      <c r="N2657" s="6"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c r="P2657" s="6" t="s">
        <v>8574</v>
      </c>
      <c r="Q2657" s="6" t="s">
        <v>9334</v>
      </c>
    </row>
    <row r="2658" spans="1:17" x14ac:dyDescent="0.25">
      <c r="A2658" s="5" t="str">
        <f>IF(TRIM(I2658)="","",E2658)</f>
        <v/>
      </c>
      <c r="B2658" s="5" t="str">
        <f>IF(TRIM(J2658)="","",H2658)</f>
        <v>GPS tag 10, 0x0A. GPS measurement mode, Text type.</v>
      </c>
      <c r="C2658" s="5" t="str">
        <f>LEFT(F2658,FIND(".",F2658,6))</f>
        <v>Xmp.exif.</v>
      </c>
      <c r="D2658" s="5" t="str">
        <f>VLOOKUP(C2658,PrefixUebersetzung,2,FALSE)</f>
        <v>Xmp.exif.</v>
      </c>
      <c r="E2658" s="5" t="str">
        <f>MID(F2658,FIND(".",F2658,6)+1,99)</f>
        <v>GPSMeasureMode</v>
      </c>
      <c r="F2658" s="5" t="s">
        <v>1755</v>
      </c>
      <c r="G2658" s="5" t="s">
        <v>9678</v>
      </c>
      <c r="H2658" s="6" t="s">
        <v>3402</v>
      </c>
      <c r="I2658" s="7"/>
      <c r="J2658" s="14" t="s">
        <v>5380</v>
      </c>
      <c r="K2658" s="26"/>
      <c r="L2658" s="6" t="str">
        <f>IFERROR(VLOOKUP(E2658,A:I,9, FALSE),"")</f>
        <v>GPS Messmethode</v>
      </c>
      <c r="N2658" s="6"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c r="P2658" s="6" t="s">
        <v>8574</v>
      </c>
    </row>
    <row r="2659" spans="1:17" ht="30" x14ac:dyDescent="0.25">
      <c r="A2659" s="5" t="str">
        <f>IF(TRIM(I2659)="","",E2659)</f>
        <v/>
      </c>
      <c r="B2659" s="5" t="str">
        <f>IF(TRIM(J2659)="","",H2659)</f>
        <v>GPS tag 27, 0x1B. A character string recording the name of the method used for location finding.</v>
      </c>
      <c r="C2659" s="5" t="str">
        <f>LEFT(F2659,FIND(".",F2659,6))</f>
        <v>Xmp.exif.</v>
      </c>
      <c r="D2659" s="5" t="str">
        <f>VLOOKUP(C2659,PrefixUebersetzung,2,FALSE)</f>
        <v>Xmp.exif.</v>
      </c>
      <c r="E2659" s="5" t="str">
        <f>MID(F2659,FIND(".",F2659,6)+1,99)</f>
        <v>GPSProcessingMethod</v>
      </c>
      <c r="F2659" s="5" t="s">
        <v>1756</v>
      </c>
      <c r="G2659" s="5" t="s">
        <v>9678</v>
      </c>
      <c r="H2659" s="6" t="s">
        <v>3403</v>
      </c>
      <c r="I2659" s="7"/>
      <c r="J2659" s="14" t="s">
        <v>5381</v>
      </c>
      <c r="K2659" s="26"/>
      <c r="L2659" s="6" t="str">
        <f>IFERROR(VLOOKUP(E2659,A:I,9, FALSE),"")</f>
        <v>GPS Ortungsmethode</v>
      </c>
      <c r="N2659" s="6"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c r="P2659" s="6" t="s">
        <v>8574</v>
      </c>
    </row>
    <row r="2660" spans="1:17" ht="30" x14ac:dyDescent="0.25">
      <c r="A2660" s="5" t="str">
        <f>IF(TRIM(I2660)="","",E2660)</f>
        <v/>
      </c>
      <c r="B2660" s="5" t="str">
        <f>IF(TRIM(J2660)="","",H2660)</f>
        <v>GPS tag 8, 0x08. Satellite information, format is unspecified.</v>
      </c>
      <c r="C2660" s="5" t="str">
        <f>LEFT(F2660,FIND(".",F2660,6))</f>
        <v>Xmp.exif.</v>
      </c>
      <c r="D2660" s="5" t="str">
        <f>VLOOKUP(C2660,PrefixUebersetzung,2,FALSE)</f>
        <v>Xmp.exif.</v>
      </c>
      <c r="E2660" s="5" t="str">
        <f>MID(F2660,FIND(".",F2660,6)+1,99)</f>
        <v>GPSSatellites</v>
      </c>
      <c r="F2660" s="5" t="s">
        <v>1757</v>
      </c>
      <c r="G2660" s="5" t="s">
        <v>9678</v>
      </c>
      <c r="H2660" s="6" t="s">
        <v>3404</v>
      </c>
      <c r="I2660" s="7"/>
      <c r="J2660" s="14" t="s">
        <v>5382</v>
      </c>
      <c r="K2660" s="26"/>
      <c r="L2660" s="6" t="str">
        <f>IFERROR(VLOOKUP(E2660,A:I,9, FALSE),"")</f>
        <v>GPS Satelliten</v>
      </c>
      <c r="N2660" s="6"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c>
      <c r="P2660" s="6" t="s">
        <v>8574</v>
      </c>
    </row>
    <row r="2661" spans="1:17" ht="30" x14ac:dyDescent="0.25">
      <c r="A2661" s="5" t="str">
        <f>IF(TRIM(I2661)="","",E2661)</f>
        <v/>
      </c>
      <c r="B2661" s="5" t="str">
        <f>IF(TRIM(J2661)="","",H2661)</f>
        <v>GPS tag 13, 0x0D. Speed of GPS receiver movement.</v>
      </c>
      <c r="C2661" s="5" t="str">
        <f>LEFT(F2661,FIND(".",F2661,6))</f>
        <v>Xmp.exif.</v>
      </c>
      <c r="D2661" s="5" t="str">
        <f>VLOOKUP(C2661,PrefixUebersetzung,2,FALSE)</f>
        <v>Xmp.exif.</v>
      </c>
      <c r="E2661" s="5" t="str">
        <f>MID(F2661,FIND(".",F2661,6)+1,99)</f>
        <v>GPSSpeed</v>
      </c>
      <c r="F2661" s="5" t="s">
        <v>1758</v>
      </c>
      <c r="G2661" s="5" t="s">
        <v>9678</v>
      </c>
      <c r="H2661" s="6" t="s">
        <v>3405</v>
      </c>
      <c r="I2661" s="7"/>
      <c r="J2661" s="14" t="s">
        <v>5383</v>
      </c>
      <c r="K2661" s="26"/>
      <c r="L2661" s="6" t="str">
        <f>IFERROR(VLOOKUP(E2661,A:I,9, FALSE),"")</f>
        <v>GPS Geschwindigkeit</v>
      </c>
      <c r="N2661" s="6"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c r="P2661" s="6" t="s">
        <v>8574</v>
      </c>
      <c r="Q2661" s="6" t="s">
        <v>9334</v>
      </c>
    </row>
    <row r="2662" spans="1:17" ht="30" x14ac:dyDescent="0.25">
      <c r="A2662" s="5" t="str">
        <f>IF(TRIM(I2662)="","",E2662)</f>
        <v/>
      </c>
      <c r="B2662" s="5" t="str">
        <f>IF(TRIM(J2662)="","",H2662)</f>
        <v>GPS tag 12, 0x0C. Units used to speed measurement.</v>
      </c>
      <c r="C2662" s="5" t="str">
        <f>LEFT(F2662,FIND(".",F2662,6))</f>
        <v>Xmp.exif.</v>
      </c>
      <c r="D2662" s="5" t="str">
        <f>VLOOKUP(C2662,PrefixUebersetzung,2,FALSE)</f>
        <v>Xmp.exif.</v>
      </c>
      <c r="E2662" s="5" t="str">
        <f>MID(F2662,FIND(".",F2662,6)+1,99)</f>
        <v>GPSSpeedRef</v>
      </c>
      <c r="F2662" s="5" t="s">
        <v>1759</v>
      </c>
      <c r="G2662" s="5" t="s">
        <v>9678</v>
      </c>
      <c r="H2662" s="6" t="s">
        <v>3406</v>
      </c>
      <c r="I2662" s="7"/>
      <c r="J2662" s="14" t="s">
        <v>5384</v>
      </c>
      <c r="K2662" s="26"/>
      <c r="L2662" s="6" t="str">
        <f>IFERROR(VLOOKUP(E2662,A:I,9, FALSE),"")</f>
        <v>GPS Geschwindigkeit Referenz</v>
      </c>
      <c r="N2662" s="6"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c r="P2662" s="6" t="s">
        <v>8574</v>
      </c>
      <c r="Q2662" s="6" t="s">
        <v>9335</v>
      </c>
    </row>
    <row r="2663" spans="1:17" ht="30" x14ac:dyDescent="0.25">
      <c r="A2663" s="5" t="str">
        <f>IF(TRIM(I2663)="","",E2663)</f>
        <v/>
      </c>
      <c r="B2663" s="5" t="str">
        <f>IF(TRIM(J2663)="","",H2663)</f>
        <v>GPS tag 9, 0x09. Status of GPS receiver at image creation time.</v>
      </c>
      <c r="C2663" s="5" t="str">
        <f>LEFT(F2663,FIND(".",F2663,6))</f>
        <v>Xmp.exif.</v>
      </c>
      <c r="D2663" s="5" t="str">
        <f>VLOOKUP(C2663,PrefixUebersetzung,2,FALSE)</f>
        <v>Xmp.exif.</v>
      </c>
      <c r="E2663" s="5" t="str">
        <f>MID(F2663,FIND(".",F2663,6)+1,99)</f>
        <v>GPSStatus</v>
      </c>
      <c r="F2663" s="5" t="s">
        <v>1760</v>
      </c>
      <c r="G2663" s="5" t="s">
        <v>9678</v>
      </c>
      <c r="H2663" s="6" t="s">
        <v>3407</v>
      </c>
      <c r="I2663" s="7"/>
      <c r="J2663" s="14" t="s">
        <v>5385</v>
      </c>
      <c r="K2663" s="26"/>
      <c r="L2663" s="6" t="str">
        <f>IFERROR(VLOOKUP(E2663,A:I,9, FALSE),"")</f>
        <v>GPS Status</v>
      </c>
      <c r="N2663" s="6"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c r="P2663" s="6" t="s">
        <v>8574</v>
      </c>
      <c r="Q2663" s="6" t="s">
        <v>9335</v>
      </c>
    </row>
    <row r="2664" spans="1:17" ht="150" x14ac:dyDescent="0.25">
      <c r="A2664" s="5" t="str">
        <f>IF(TRIM(I2664)="","",E2664)</f>
        <v/>
      </c>
      <c r="B2664" s="5" t="str">
        <f>IF(TRIM(J2664)="","",H2664)</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2664" s="5" t="str">
        <f>LEFT(F2664,FIND(".",F2664,6))</f>
        <v>Xmp.exif.</v>
      </c>
      <c r="D2664" s="5" t="str">
        <f>VLOOKUP(C2664,PrefixUebersetzung,2,FALSE)</f>
        <v>Xmp.exif.</v>
      </c>
      <c r="E2664" s="5" t="str">
        <f>MID(F2664,FIND(".",F2664,6)+1,99)</f>
        <v>GPSTimeStamp</v>
      </c>
      <c r="F2664" s="5" t="s">
        <v>1761</v>
      </c>
      <c r="G2664" s="5" t="s">
        <v>9678</v>
      </c>
      <c r="H2664" s="6" t="s">
        <v>3408</v>
      </c>
      <c r="I2664" s="7"/>
      <c r="J2664" s="14" t="s">
        <v>9599</v>
      </c>
      <c r="K2664" s="26"/>
      <c r="L2664" s="6" t="str">
        <f>IFERROR(VLOOKUP(E2664,A:I,9, FALSE),"")</f>
        <v>GPS Zeit</v>
      </c>
      <c r="N2664" s="6"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c r="P2664" s="6" t="s">
        <v>8574</v>
      </c>
    </row>
    <row r="2665" spans="1:17" ht="30" x14ac:dyDescent="0.25">
      <c r="A2665" s="5" t="str">
        <f>IF(TRIM(I2665)="","",E2665)</f>
        <v/>
      </c>
      <c r="B2665" s="5" t="str">
        <f>IF(TRIM(J2665)="","",H2665)</f>
        <v>GPS tag 15, 0x0F. Direction of GPS movement, values range from 0 to 359.99.</v>
      </c>
      <c r="C2665" s="5" t="str">
        <f>LEFT(F2665,FIND(".",F2665,6))</f>
        <v>Xmp.exif.</v>
      </c>
      <c r="D2665" s="5" t="str">
        <f>VLOOKUP(C2665,PrefixUebersetzung,2,FALSE)</f>
        <v>Xmp.exif.</v>
      </c>
      <c r="E2665" s="5" t="str">
        <f>MID(F2665,FIND(".",F2665,6)+1,99)</f>
        <v>GPSTrack</v>
      </c>
      <c r="F2665" s="5" t="s">
        <v>1762</v>
      </c>
      <c r="G2665" s="5" t="s">
        <v>9678</v>
      </c>
      <c r="H2665" s="6" t="s">
        <v>3409</v>
      </c>
      <c r="I2665" s="7"/>
      <c r="J2665" s="14" t="s">
        <v>5386</v>
      </c>
      <c r="K2665" s="26"/>
      <c r="L2665" s="6" t="str">
        <f>IFERROR(VLOOKUP(E2665,A:I,9, FALSE),"")</f>
        <v>GPS Richtung der Bewegung</v>
      </c>
      <c r="N2665" s="6"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c r="P2665" s="6" t="s">
        <v>8574</v>
      </c>
    </row>
    <row r="2666" spans="1:17" ht="30" x14ac:dyDescent="0.25">
      <c r="A2666" s="5" t="str">
        <f>IF(TRIM(I2666)="","",E2666)</f>
        <v/>
      </c>
      <c r="B2666" s="5" t="str">
        <f>IF(TRIM(J2666)="","",H2666)</f>
        <v>GPS tag 14, 0x0E. Reference for movement direction.</v>
      </c>
      <c r="C2666" s="5" t="str">
        <f>LEFT(F2666,FIND(".",F2666,6))</f>
        <v>Xmp.exif.</v>
      </c>
      <c r="D2666" s="5" t="str">
        <f>VLOOKUP(C2666,PrefixUebersetzung,2,FALSE)</f>
        <v>Xmp.exif.</v>
      </c>
      <c r="E2666" s="5" t="str">
        <f>MID(F2666,FIND(".",F2666,6)+1,99)</f>
        <v>GPSTrackRef</v>
      </c>
      <c r="F2666" s="5" t="s">
        <v>1763</v>
      </c>
      <c r="G2666" s="5" t="s">
        <v>9678</v>
      </c>
      <c r="H2666" s="6" t="s">
        <v>3410</v>
      </c>
      <c r="I2666" s="7"/>
      <c r="J2666" s="14" t="s">
        <v>4125</v>
      </c>
      <c r="K2666" s="26"/>
      <c r="L2666" s="6" t="str">
        <f>IFERROR(VLOOKUP(E2666,A:I,9, FALSE),"")</f>
        <v>GPS Richtung der Bewegung Referenz</v>
      </c>
      <c r="N2666" s="6"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c r="P2666" s="6" t="s">
        <v>8574</v>
      </c>
      <c r="Q2666" s="6" t="s">
        <v>9335</v>
      </c>
    </row>
    <row r="2667" spans="1:17" ht="45" x14ac:dyDescent="0.25">
      <c r="A2667" s="5" t="str">
        <f>IF(TRIM(I2667)="","",E2667)</f>
        <v/>
      </c>
      <c r="B2667" s="5" t="str">
        <f>IF(TRIM(J2667)="","",H2667)</f>
        <v>GPS tag 0, 0x00. A decimal encoding of each of the four EXIF bytes with period separators. The current value is "2.0.0.0".</v>
      </c>
      <c r="C2667" s="5" t="str">
        <f>LEFT(F2667,FIND(".",F2667,6))</f>
        <v>Xmp.exif.</v>
      </c>
      <c r="D2667" s="5" t="str">
        <f>VLOOKUP(C2667,PrefixUebersetzung,2,FALSE)</f>
        <v>Xmp.exif.</v>
      </c>
      <c r="E2667" s="5" t="str">
        <f>MID(F2667,FIND(".",F2667,6)+1,99)</f>
        <v>GPSVersionID</v>
      </c>
      <c r="F2667" s="5" t="s">
        <v>1764</v>
      </c>
      <c r="G2667" s="5" t="s">
        <v>9678</v>
      </c>
      <c r="H2667" s="6" t="s">
        <v>3411</v>
      </c>
      <c r="I2667" s="7"/>
      <c r="J2667" s="14" t="s">
        <v>9600</v>
      </c>
      <c r="K2667" s="26"/>
      <c r="L2667" s="6" t="str">
        <f>IFERROR(VLOOKUP(E2667,A:I,9, FALSE),"")</f>
        <v>GPS Version</v>
      </c>
      <c r="N2667" s="6"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c r="P2667" s="6" t="s">
        <v>8574</v>
      </c>
    </row>
    <row r="2668" spans="1:17" ht="75" x14ac:dyDescent="0.25">
      <c r="A2668" s="5" t="str">
        <f>IF(TRIM(I2668)="","",E2668)</f>
        <v/>
      </c>
      <c r="B2668" s="5" t="str">
        <f>IF(TRIM(J2668)="","",H2668)</f>
        <v>EXIF tag 42016, 0xA420. An identifier assigned uniquely to each image. It is recorded as a 32 character ASCII string, equivalent to hexadecimal notation and 128-bit fixed length.</v>
      </c>
      <c r="C2668" s="5" t="str">
        <f>LEFT(F2668,FIND(".",F2668,6))</f>
        <v>Xmp.exif.</v>
      </c>
      <c r="D2668" s="5" t="str">
        <f>VLOOKUP(C2668,PrefixUebersetzung,2,FALSE)</f>
        <v>Xmp.exif.</v>
      </c>
      <c r="E2668" s="5" t="str">
        <f>MID(F2668,FIND(".",F2668,6)+1,99)</f>
        <v>ImageUniqueID</v>
      </c>
      <c r="F2668" s="5" t="s">
        <v>1765</v>
      </c>
      <c r="G2668" s="5" t="s">
        <v>9678</v>
      </c>
      <c r="H2668" s="6" t="s">
        <v>3412</v>
      </c>
      <c r="I2668" s="7"/>
      <c r="J2668" s="14" t="s">
        <v>5387</v>
      </c>
      <c r="K2668" s="26"/>
      <c r="L2668" s="6" t="str">
        <f>IFERROR(VLOOKUP(E2668,A:I,9, FALSE),"")</f>
        <v>Bildnummer eindeutig</v>
      </c>
      <c r="N2668" s="6"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c r="P2668" s="6" t="s">
        <v>8574</v>
      </c>
    </row>
    <row r="2669" spans="1:17" ht="45" x14ac:dyDescent="0.25">
      <c r="A2669" s="5" t="str">
        <f>IF(TRIM(I2669)="","",E2669)</f>
        <v/>
      </c>
      <c r="B2669" s="5" t="str">
        <f>IF(TRIM(J2669)="","",H2669)</f>
        <v>EXIF tag 34855, 0x8827. ISO Speed and ISO Latitude of the input device as specified in ISO 12232.</v>
      </c>
      <c r="C2669" s="5" t="str">
        <f>LEFT(F2669,FIND(".",F2669,6))</f>
        <v>Xmp.exif.</v>
      </c>
      <c r="D2669" s="5" t="str">
        <f>VLOOKUP(C2669,PrefixUebersetzung,2,FALSE)</f>
        <v>Xmp.exif.</v>
      </c>
      <c r="E2669" s="5" t="str">
        <f>MID(F2669,FIND(".",F2669,6)+1,99)</f>
        <v>ISOSpeedRatings</v>
      </c>
      <c r="F2669" s="5" t="s">
        <v>1766</v>
      </c>
      <c r="G2669" s="5" t="s">
        <v>9680</v>
      </c>
      <c r="H2669" s="6" t="s">
        <v>3413</v>
      </c>
      <c r="I2669" s="7"/>
      <c r="J2669" s="14" t="s">
        <v>5388</v>
      </c>
      <c r="K2669" s="26"/>
      <c r="L2669" s="6" t="str">
        <f>IFERROR(VLOOKUP(E2669,A:I,9, FALSE),"")</f>
        <v>ISO-Empfindlichkeit/Bewertung</v>
      </c>
      <c r="N2669" s="6"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c r="P2669" s="6" t="s">
        <v>8574</v>
      </c>
    </row>
    <row r="2670" spans="1:17" x14ac:dyDescent="0.25">
      <c r="A2670" s="5" t="str">
        <f>IF(TRIM(I2670)="","",E2670)</f>
        <v/>
      </c>
      <c r="B2670" s="5" t="str">
        <f>IF(TRIM(J2670)="","",H2670)</f>
        <v>EXIF tag 37384, 0x9208. Light source.</v>
      </c>
      <c r="C2670" s="5" t="str">
        <f>LEFT(F2670,FIND(".",F2670,6))</f>
        <v>Xmp.exif.</v>
      </c>
      <c r="D2670" s="5" t="str">
        <f>VLOOKUP(C2670,PrefixUebersetzung,2,FALSE)</f>
        <v>Xmp.exif.</v>
      </c>
      <c r="E2670" s="5" t="str">
        <f>MID(F2670,FIND(".",F2670,6)+1,99)</f>
        <v>LightSource</v>
      </c>
      <c r="F2670" s="5" t="s">
        <v>1767</v>
      </c>
      <c r="G2670" s="5" t="s">
        <v>9678</v>
      </c>
      <c r="H2670" s="6" t="s">
        <v>3414</v>
      </c>
      <c r="I2670" s="7"/>
      <c r="J2670" s="14" t="s">
        <v>4126</v>
      </c>
      <c r="K2670" s="26"/>
      <c r="L2670" s="6" t="str">
        <f>IFERROR(VLOOKUP(E2670,A:I,9, FALSE),"")</f>
        <v>Lichtquelle</v>
      </c>
      <c r="N2670" s="6"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c r="P2670" s="6" t="s">
        <v>8574</v>
      </c>
      <c r="Q2670" s="6" t="s">
        <v>9261</v>
      </c>
    </row>
    <row r="2671" spans="1:17" ht="30" x14ac:dyDescent="0.25">
      <c r="A2671" s="5" t="str">
        <f>IF(TRIM(I2671)="","",E2671)</f>
        <v/>
      </c>
      <c r="B2671" s="5" t="str">
        <f>IF(TRIM(J2671)="","",H2671)</f>
        <v>EXIF tag 37381, 0x9205. Smallest F number of lens, in APEX.</v>
      </c>
      <c r="C2671" s="5" t="str">
        <f>LEFT(F2671,FIND(".",F2671,6))</f>
        <v>Xmp.exif.</v>
      </c>
      <c r="D2671" s="5" t="str">
        <f>VLOOKUP(C2671,PrefixUebersetzung,2,FALSE)</f>
        <v>Xmp.exif.</v>
      </c>
      <c r="E2671" s="5" t="str">
        <f>MID(F2671,FIND(".",F2671,6)+1,99)</f>
        <v>MaxApertureValue</v>
      </c>
      <c r="F2671" s="5" t="s">
        <v>1768</v>
      </c>
      <c r="G2671" s="5" t="s">
        <v>9678</v>
      </c>
      <c r="H2671" s="6" t="s">
        <v>3415</v>
      </c>
      <c r="I2671" s="7"/>
      <c r="J2671" s="14" t="s">
        <v>5667</v>
      </c>
      <c r="K2671" s="26"/>
      <c r="L2671" s="6" t="str">
        <f>IFERROR(VLOOKUP(E2671,A:I,9, FALSE),"")</f>
        <v>Blende größte</v>
      </c>
      <c r="N2671" s="6"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c r="P2671" s="6" t="s">
        <v>8574</v>
      </c>
      <c r="Q2671" s="6" t="s">
        <v>9267</v>
      </c>
    </row>
    <row r="2672" spans="1:17" ht="30" x14ac:dyDescent="0.25">
      <c r="A2672" s="5" t="str">
        <f>IF(TRIM(I2672)="","",E2672)</f>
        <v/>
      </c>
      <c r="B2672" s="5" t="str">
        <f>IF(TRIM(J2672)="","",H2672)</f>
        <v>EXIF tag 37383, 0x9207. Metering mode.</v>
      </c>
      <c r="C2672" s="5" t="str">
        <f>LEFT(F2672,FIND(".",F2672,6))</f>
        <v>Xmp.exif.</v>
      </c>
      <c r="D2672" s="5" t="str">
        <f>VLOOKUP(C2672,PrefixUebersetzung,2,FALSE)</f>
        <v>Xmp.exif.</v>
      </c>
      <c r="E2672" s="5" t="str">
        <f>MID(F2672,FIND(".",F2672,6)+1,99)</f>
        <v>MeteringMode</v>
      </c>
      <c r="F2672" s="5" t="s">
        <v>1769</v>
      </c>
      <c r="G2672" s="5" t="s">
        <v>9678</v>
      </c>
      <c r="H2672" s="6" t="s">
        <v>3416</v>
      </c>
      <c r="I2672" s="7"/>
      <c r="J2672" s="14" t="s">
        <v>4127</v>
      </c>
      <c r="K2672" s="26"/>
      <c r="L2672" s="6" t="str">
        <f>IFERROR(VLOOKUP(E2672,A:I,9, FALSE),"")</f>
        <v>Messmethode</v>
      </c>
      <c r="N2672" s="6"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c r="P2672" s="6" t="s">
        <v>8574</v>
      </c>
      <c r="Q2672" s="6" t="s">
        <v>9268</v>
      </c>
    </row>
    <row r="2673" spans="1:17" ht="30" x14ac:dyDescent="0.25">
      <c r="A2673" s="5" t="str">
        <f>IF(TRIM(I2673)="","",E2673)</f>
        <v/>
      </c>
      <c r="B2673" s="5" t="str">
        <f>IF(TRIM(J2673)="","",H2673)</f>
        <v>EXIF tag 34856, 0x8828. Opto-Electoric Conversion Function as specified in ISO 14524.</v>
      </c>
      <c r="C2673" s="5" t="str">
        <f>LEFT(F2673,FIND(".",F2673,6))</f>
        <v>Xmp.exif.</v>
      </c>
      <c r="D2673" s="5" t="str">
        <f>VLOOKUP(C2673,PrefixUebersetzung,2,FALSE)</f>
        <v>Xmp.exif.</v>
      </c>
      <c r="E2673" s="5" t="str">
        <f>MID(F2673,FIND(".",F2673,6)+1,99)</f>
        <v>OECF</v>
      </c>
      <c r="F2673" s="5" t="s">
        <v>1770</v>
      </c>
      <c r="G2673" s="5" t="s">
        <v>9678</v>
      </c>
      <c r="H2673" s="6" t="s">
        <v>3417</v>
      </c>
      <c r="I2673" s="7"/>
      <c r="J2673" s="14" t="s">
        <v>4128</v>
      </c>
      <c r="K2673" s="26"/>
      <c r="L2673" s="6" t="str">
        <f>IFERROR(VLOOKUP(E2673,A:I,9, FALSE),"")</f>
        <v>OECF</v>
      </c>
      <c r="N2673" s="6"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c r="P2673" s="6" t="s">
        <v>8574</v>
      </c>
    </row>
    <row r="2674" spans="1:17" ht="30" x14ac:dyDescent="0.25">
      <c r="A2674" s="5" t="str">
        <f>IF(TRIM(I2674)="","",E2674)</f>
        <v/>
      </c>
      <c r="B2674" s="5" t="str">
        <f>IF(TRIM(J2674)="","",H2674)</f>
        <v>EXIF tag 40962, 0xA002. Valid image width, in pixels.</v>
      </c>
      <c r="C2674" s="5" t="str">
        <f>LEFT(F2674,FIND(".",F2674,6))</f>
        <v>Xmp.exif.</v>
      </c>
      <c r="D2674" s="5" t="str">
        <f>VLOOKUP(C2674,PrefixUebersetzung,2,FALSE)</f>
        <v>Xmp.exif.</v>
      </c>
      <c r="E2674" s="5" t="str">
        <f>MID(F2674,FIND(".",F2674,6)+1,99)</f>
        <v>PixelXDimension</v>
      </c>
      <c r="F2674" s="5" t="s">
        <v>1771</v>
      </c>
      <c r="G2674" s="5" t="s">
        <v>9678</v>
      </c>
      <c r="H2674" s="6" t="s">
        <v>3418</v>
      </c>
      <c r="I2674" s="7"/>
      <c r="J2674" s="14" t="s">
        <v>4129</v>
      </c>
      <c r="K2674" s="26"/>
      <c r="L2674" s="6" t="str">
        <f>IFERROR(VLOOKUP(E2674,A:I,9, FALSE),"")</f>
        <v>Bildbreite in Pixel</v>
      </c>
      <c r="N2674" s="6"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c>
      <c r="P2674" s="6" t="s">
        <v>8574</v>
      </c>
      <c r="Q2674" s="6" t="s">
        <v>9272</v>
      </c>
    </row>
    <row r="2675" spans="1:17" ht="30" x14ac:dyDescent="0.25">
      <c r="A2675" s="5" t="str">
        <f>IF(TRIM(I2675)="","",E2675)</f>
        <v/>
      </c>
      <c r="B2675" s="5" t="str">
        <f>IF(TRIM(J2675)="","",H2675)</f>
        <v>EXIF tag 40963, 0xA003. Valid image height, in pixels.</v>
      </c>
      <c r="C2675" s="5" t="str">
        <f>LEFT(F2675,FIND(".",F2675,6))</f>
        <v>Xmp.exif.</v>
      </c>
      <c r="D2675" s="5" t="str">
        <f>VLOOKUP(C2675,PrefixUebersetzung,2,FALSE)</f>
        <v>Xmp.exif.</v>
      </c>
      <c r="E2675" s="5" t="str">
        <f>MID(F2675,FIND(".",F2675,6)+1,99)</f>
        <v>PixelYDimension</v>
      </c>
      <c r="F2675" s="5" t="s">
        <v>1772</v>
      </c>
      <c r="G2675" s="5" t="s">
        <v>9678</v>
      </c>
      <c r="H2675" s="6" t="s">
        <v>3419</v>
      </c>
      <c r="I2675" s="7"/>
      <c r="J2675" s="14" t="s">
        <v>4130</v>
      </c>
      <c r="K2675" s="26"/>
      <c r="L2675" s="6" t="str">
        <f>IFERROR(VLOOKUP(E2675,A:I,9, FALSE),"")</f>
        <v>Bildhöhe in Pixel</v>
      </c>
      <c r="N2675" s="6"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c>
      <c r="P2675" s="6" t="s">
        <v>8574</v>
      </c>
      <c r="Q2675" s="6" t="s">
        <v>9273</v>
      </c>
    </row>
    <row r="2676" spans="1:17" ht="30" x14ac:dyDescent="0.25">
      <c r="A2676" s="5" t="str">
        <f>IF(TRIM(I2676)="","",E2676)</f>
        <v/>
      </c>
      <c r="B2676" s="5" t="str">
        <f>IF(TRIM(J2676)="","",H2676)</f>
        <v>EXIF tag 40964, 0xA004. An "8.3" file name for the related sound file.</v>
      </c>
      <c r="C2676" s="5" t="str">
        <f>LEFT(F2676,FIND(".",F2676,6))</f>
        <v>Xmp.exif.</v>
      </c>
      <c r="D2676" s="5" t="str">
        <f>VLOOKUP(C2676,PrefixUebersetzung,2,FALSE)</f>
        <v>Xmp.exif.</v>
      </c>
      <c r="E2676" s="5" t="str">
        <f>MID(F2676,FIND(".",F2676,6)+1,99)</f>
        <v>RelatedSoundFile</v>
      </c>
      <c r="F2676" s="5" t="s">
        <v>1773</v>
      </c>
      <c r="G2676" s="5" t="s">
        <v>9678</v>
      </c>
      <c r="H2676" s="6" t="s">
        <v>3420</v>
      </c>
      <c r="I2676" s="7"/>
      <c r="J2676" s="14" t="s">
        <v>5389</v>
      </c>
      <c r="K2676" s="26"/>
      <c r="L2676" s="6" t="str">
        <f>IFERROR(VLOOKUP(E2676,A:I,9, FALSE),"")</f>
        <v>Audio Datei</v>
      </c>
      <c r="N2676" s="6"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c>
      <c r="P2676" s="6" t="s">
        <v>8574</v>
      </c>
    </row>
    <row r="2677" spans="1:17" ht="30" x14ac:dyDescent="0.25">
      <c r="A2677" s="5" t="str">
        <f>IF(TRIM(I2677)="","",E2677)</f>
        <v/>
      </c>
      <c r="B2677" s="5" t="str">
        <f>IF(TRIM(J2677)="","",H2677)</f>
        <v>EXIF tag 41993, 0xA409. Indicates the direction of saturation processing applied by the camera.</v>
      </c>
      <c r="C2677" s="5" t="str">
        <f>LEFT(F2677,FIND(".",F2677,6))</f>
        <v>Xmp.exif.</v>
      </c>
      <c r="D2677" s="5" t="str">
        <f>VLOOKUP(C2677,PrefixUebersetzung,2,FALSE)</f>
        <v>Xmp.exif.</v>
      </c>
      <c r="E2677" s="5" t="str">
        <f>MID(F2677,FIND(".",F2677,6)+1,99)</f>
        <v>Saturation</v>
      </c>
      <c r="F2677" s="5" t="s">
        <v>1774</v>
      </c>
      <c r="G2677" s="5" t="s">
        <v>9678</v>
      </c>
      <c r="H2677" s="6" t="s">
        <v>3421</v>
      </c>
      <c r="I2677" s="7"/>
      <c r="J2677" s="14" t="s">
        <v>6681</v>
      </c>
      <c r="K2677" s="26"/>
      <c r="L2677" s="6" t="str">
        <f>IFERROR(VLOOKUP(E2677,A:I,9, FALSE),"")</f>
        <v>Sättigung</v>
      </c>
      <c r="N2677" s="6"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c r="P2677" s="6" t="s">
        <v>8574</v>
      </c>
    </row>
    <row r="2678" spans="1:17" ht="30" x14ac:dyDescent="0.25">
      <c r="A2678" s="5" t="str">
        <f>IF(TRIM(I2678)="","",E2678)</f>
        <v/>
      </c>
      <c r="B2678" s="5" t="str">
        <f>IF(TRIM(J2678)="","",H2678)</f>
        <v>EXIF tag 41990, 0xA406. Indicates the type of scene that was shot.</v>
      </c>
      <c r="C2678" s="5" t="str">
        <f>LEFT(F2678,FIND(".",F2678,6))</f>
        <v>Xmp.exif.</v>
      </c>
      <c r="D2678" s="5" t="str">
        <f>VLOOKUP(C2678,PrefixUebersetzung,2,FALSE)</f>
        <v>Xmp.exif.</v>
      </c>
      <c r="E2678" s="5" t="str">
        <f>MID(F2678,FIND(".",F2678,6)+1,99)</f>
        <v>SceneCaptureType</v>
      </c>
      <c r="F2678" s="5" t="s">
        <v>1775</v>
      </c>
      <c r="G2678" s="5" t="s">
        <v>9678</v>
      </c>
      <c r="H2678" s="6" t="s">
        <v>3422</v>
      </c>
      <c r="I2678" s="7"/>
      <c r="J2678" s="14" t="s">
        <v>5390</v>
      </c>
      <c r="K2678" s="26"/>
      <c r="L2678" s="6" t="str">
        <f>IFERROR(VLOOKUP(E2678,A:I,9, FALSE),"")</f>
        <v>Typ Aufnahmeszene</v>
      </c>
      <c r="N2678" s="6"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c>
      <c r="P2678" s="6" t="s">
        <v>8574</v>
      </c>
    </row>
    <row r="2679" spans="1:17" ht="30" x14ac:dyDescent="0.25">
      <c r="A2679" s="5" t="str">
        <f>IF(TRIM(I2679)="","",E2679)</f>
        <v/>
      </c>
      <c r="B2679" s="5" t="str">
        <f>IF(TRIM(J2679)="","",H2679)</f>
        <v>EXIF tag 41729, 0xA301. Indicates the type of scene.</v>
      </c>
      <c r="C2679" s="5" t="str">
        <f>LEFT(F2679,FIND(".",F2679,6))</f>
        <v>Xmp.exif.</v>
      </c>
      <c r="D2679" s="5" t="str">
        <f>VLOOKUP(C2679,PrefixUebersetzung,2,FALSE)</f>
        <v>Xmp.exif.</v>
      </c>
      <c r="E2679" s="5" t="str">
        <f>MID(F2679,FIND(".",F2679,6)+1,99)</f>
        <v>SceneType</v>
      </c>
      <c r="F2679" s="5" t="s">
        <v>1776</v>
      </c>
      <c r="G2679" s="5" t="s">
        <v>9678</v>
      </c>
      <c r="H2679" s="6" t="s">
        <v>3423</v>
      </c>
      <c r="I2679" s="7"/>
      <c r="J2679" s="14" t="s">
        <v>5391</v>
      </c>
      <c r="K2679" s="26"/>
      <c r="L2679" s="6" t="str">
        <f>IFERROR(VLOOKUP(E2679,A:I,9, FALSE),"")</f>
        <v>Typ Szene</v>
      </c>
      <c r="N2679" s="6"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c>
      <c r="P2679" s="6" t="s">
        <v>8574</v>
      </c>
      <c r="Q2679" s="6" t="s">
        <v>9276</v>
      </c>
    </row>
    <row r="2680" spans="1:17" ht="30" x14ac:dyDescent="0.25">
      <c r="A2680" s="5" t="str">
        <f>IF(TRIM(I2680)="","",E2680)</f>
        <v/>
      </c>
      <c r="B2680" s="5" t="str">
        <f>IF(TRIM(J2680)="","",H2680)</f>
        <v>EXIF tag 41495, 0xA217. Image sensor type on input device.</v>
      </c>
      <c r="C2680" s="5" t="str">
        <f>LEFT(F2680,FIND(".",F2680,6))</f>
        <v>Xmp.exif.</v>
      </c>
      <c r="D2680" s="5" t="str">
        <f>VLOOKUP(C2680,PrefixUebersetzung,2,FALSE)</f>
        <v>Xmp.exif.</v>
      </c>
      <c r="E2680" s="5" t="str">
        <f>MID(F2680,FIND(".",F2680,6)+1,99)</f>
        <v>SensingMethod</v>
      </c>
      <c r="F2680" s="5" t="s">
        <v>1777</v>
      </c>
      <c r="G2680" s="5" t="s">
        <v>9678</v>
      </c>
      <c r="H2680" s="6" t="s">
        <v>3424</v>
      </c>
      <c r="I2680" s="7"/>
      <c r="J2680" s="14" t="s">
        <v>4131</v>
      </c>
      <c r="K2680" s="26"/>
      <c r="L2680" s="6" t="str">
        <f>IFERROR(VLOOKUP(E2680,A:I,9, FALSE),"")</f>
        <v>Bildsensor Typ</v>
      </c>
      <c r="N2680" s="6"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P2680" s="6" t="s">
        <v>8574</v>
      </c>
    </row>
    <row r="2681" spans="1:17" ht="30" x14ac:dyDescent="0.25">
      <c r="A2681" s="5" t="str">
        <f>IF(TRIM(I2681)="","",E2681)</f>
        <v/>
      </c>
      <c r="B2681" s="5" t="str">
        <f>IF(TRIM(J2681)="","",H2681)</f>
        <v>EXIF tag 41994, 0xA40A. Indicates the direction of sharpness processing applied by the camera.</v>
      </c>
      <c r="C2681" s="5" t="str">
        <f>LEFT(F2681,FIND(".",F2681,6))</f>
        <v>Xmp.exif.</v>
      </c>
      <c r="D2681" s="5" t="str">
        <f>VLOOKUP(C2681,PrefixUebersetzung,2,FALSE)</f>
        <v>Xmp.exif.</v>
      </c>
      <c r="E2681" s="5" t="str">
        <f>MID(F2681,FIND(".",F2681,6)+1,99)</f>
        <v>Sharpness</v>
      </c>
      <c r="F2681" s="5" t="s">
        <v>1778</v>
      </c>
      <c r="G2681" s="5" t="s">
        <v>9678</v>
      </c>
      <c r="H2681" s="6" t="s">
        <v>3425</v>
      </c>
      <c r="I2681" s="7"/>
      <c r="J2681" s="14" t="s">
        <v>6682</v>
      </c>
      <c r="K2681" s="26"/>
      <c r="L2681" s="6" t="str">
        <f>IFERROR(VLOOKUP(E2681,A:I,9, FALSE),"")</f>
        <v>Schärfe</v>
      </c>
      <c r="N2681" s="6"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c>
      <c r="P2681" s="6" t="s">
        <v>8574</v>
      </c>
    </row>
    <row r="2682" spans="1:17" ht="30" x14ac:dyDescent="0.25">
      <c r="A2682" s="5" t="str">
        <f>IF(TRIM(I2682)="","",E2682)</f>
        <v/>
      </c>
      <c r="B2682" s="5" t="str">
        <f>IF(TRIM(J2682)="","",H2682)</f>
        <v>EXIF tag 37377, 0x9201. Shutter speed, unit is APEX. See Annex C of the EXIF specification.</v>
      </c>
      <c r="C2682" s="5" t="str">
        <f>LEFT(F2682,FIND(".",F2682,6))</f>
        <v>Xmp.exif.</v>
      </c>
      <c r="D2682" s="5" t="str">
        <f>VLOOKUP(C2682,PrefixUebersetzung,2,FALSE)</f>
        <v>Xmp.exif.</v>
      </c>
      <c r="E2682" s="5" t="str">
        <f>MID(F2682,FIND(".",F2682,6)+1,99)</f>
        <v>ShutterSpeedValue</v>
      </c>
      <c r="F2682" s="5" t="s">
        <v>1779</v>
      </c>
      <c r="G2682" s="5" t="s">
        <v>9678</v>
      </c>
      <c r="H2682" s="6" t="s">
        <v>3426</v>
      </c>
      <c r="I2682" s="7"/>
      <c r="J2682" s="14" t="s">
        <v>5392</v>
      </c>
      <c r="K2682" s="26"/>
      <c r="L2682" s="6" t="str">
        <f>IFERROR(VLOOKUP(E2682,A:I,9, FALSE),"")</f>
        <v>Verschlusszeit</v>
      </c>
      <c r="N2682" s="6"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6" t="s">
        <v>8574</v>
      </c>
    </row>
    <row r="2683" spans="1:17" ht="30" x14ac:dyDescent="0.25">
      <c r="A2683" s="5" t="str">
        <f>IF(TRIM(I2683)="","",E2683)</f>
        <v/>
      </c>
      <c r="B2683" s="5" t="str">
        <f>IF(TRIM(J2683)="","",H2683)</f>
        <v/>
      </c>
      <c r="C2683" s="5" t="str">
        <f>LEFT(F2683,FIND(".",F2683,6))</f>
        <v>Xmp.exif.</v>
      </c>
      <c r="D2683" s="5" t="str">
        <f>VLOOKUP(C2683,PrefixUebersetzung,2,FALSE)</f>
        <v>Xmp.exif.</v>
      </c>
      <c r="E2683" s="5" t="str">
        <f>MID(F2683,FIND(".",F2683,6)+1,99)</f>
        <v>SpatialFrequencyResponse</v>
      </c>
      <c r="F2683" s="5" t="s">
        <v>1780</v>
      </c>
      <c r="G2683" s="5" t="s">
        <v>9678</v>
      </c>
      <c r="H2683" s="6" t="s">
        <v>3427</v>
      </c>
      <c r="I2683" s="7"/>
      <c r="K2683" s="26"/>
      <c r="L2683" s="6" t="str">
        <f>IFERROR(VLOOKUP(E2683,A:I,9, FALSE),"")</f>
        <v/>
      </c>
      <c r="N2683" s="6"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xml:space="preserve">Suffix not translated Description not translated </v>
      </c>
      <c r="P2683" s="6" t="s">
        <v>8574</v>
      </c>
    </row>
    <row r="2684" spans="1:17" ht="30" x14ac:dyDescent="0.25">
      <c r="A2684" s="5" t="str">
        <f>IF(TRIM(I2684)="","",E2684)</f>
        <v/>
      </c>
      <c r="B2684" s="5" t="str">
        <f>IF(TRIM(J2684)="","",H2684)</f>
        <v>EXIF tag 34852, 0x8824. Spectral sensitivity of each channel.</v>
      </c>
      <c r="C2684" s="5" t="str">
        <f>LEFT(F2684,FIND(".",F2684,6))</f>
        <v>Xmp.exif.</v>
      </c>
      <c r="D2684" s="5" t="str">
        <f>VLOOKUP(C2684,PrefixUebersetzung,2,FALSE)</f>
        <v>Xmp.exif.</v>
      </c>
      <c r="E2684" s="5" t="str">
        <f>MID(F2684,FIND(".",F2684,6)+1,99)</f>
        <v>SpectralSensitivity</v>
      </c>
      <c r="F2684" s="5" t="s">
        <v>1781</v>
      </c>
      <c r="G2684" s="5" t="s">
        <v>9678</v>
      </c>
      <c r="H2684" s="6" t="s">
        <v>3428</v>
      </c>
      <c r="I2684" s="7"/>
      <c r="J2684" s="14" t="s">
        <v>5393</v>
      </c>
      <c r="K2684" s="26"/>
      <c r="L2684" s="6" t="str">
        <f>IFERROR(VLOOKUP(E2684,A:I,9, FALSE),"")</f>
        <v>Spektrale Empfindlichkeit</v>
      </c>
      <c r="N2684" s="6"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c>
      <c r="P2684" s="6" t="s">
        <v>8574</v>
      </c>
      <c r="Q2684" s="6" t="s">
        <v>9262</v>
      </c>
    </row>
    <row r="2685" spans="1:17" ht="30" x14ac:dyDescent="0.25">
      <c r="A2685" s="5" t="str">
        <f>IF(TRIM(I2685)="","",E2685)</f>
        <v/>
      </c>
      <c r="B2685" s="5" t="str">
        <f>IF(TRIM(J2685)="","",H2685)</f>
        <v>EXIF tag 37396, 0x9214. The location and area of the main subject in the overall scene.</v>
      </c>
      <c r="C2685" s="5" t="str">
        <f>LEFT(F2685,FIND(".",F2685,6))</f>
        <v>Xmp.exif.</v>
      </c>
      <c r="D2685" s="5" t="str">
        <f>VLOOKUP(C2685,PrefixUebersetzung,2,FALSE)</f>
        <v>Xmp.exif.</v>
      </c>
      <c r="E2685" s="5" t="str">
        <f>MID(F2685,FIND(".",F2685,6)+1,99)</f>
        <v>SubjectArea</v>
      </c>
      <c r="F2685" s="5" t="s">
        <v>1782</v>
      </c>
      <c r="G2685" s="5" t="s">
        <v>9680</v>
      </c>
      <c r="H2685" s="6" t="s">
        <v>3429</v>
      </c>
      <c r="I2685" s="7"/>
      <c r="J2685" s="14" t="s">
        <v>4132</v>
      </c>
      <c r="K2685" s="26"/>
      <c r="L2685" s="6" t="str">
        <f>IFERROR(VLOOKUP(E2685,A:I,9, FALSE),"")</f>
        <v>Motivumgebung</v>
      </c>
      <c r="N2685" s="6"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c>
      <c r="P2685" s="6" t="s">
        <v>8574</v>
      </c>
    </row>
    <row r="2686" spans="1:17" ht="30" x14ac:dyDescent="0.25">
      <c r="A2686" s="5" t="str">
        <f>IF(TRIM(I2686)="","",E2686)</f>
        <v/>
      </c>
      <c r="B2686" s="5" t="str">
        <f>IF(TRIM(J2686)="","",H2686)</f>
        <v>EXIF tag 37382, 0x9206. Distance to subject, in meters.</v>
      </c>
      <c r="C2686" s="5" t="str">
        <f>LEFT(F2686,FIND(".",F2686,6))</f>
        <v>Xmp.exif.</v>
      </c>
      <c r="D2686" s="5" t="str">
        <f>VLOOKUP(C2686,PrefixUebersetzung,2,FALSE)</f>
        <v>Xmp.exif.</v>
      </c>
      <c r="E2686" s="5" t="str">
        <f>MID(F2686,FIND(".",F2686,6)+1,99)</f>
        <v>SubjectDistance</v>
      </c>
      <c r="F2686" s="5" t="s">
        <v>1783</v>
      </c>
      <c r="G2686" s="5" t="s">
        <v>9678</v>
      </c>
      <c r="H2686" s="6" t="s">
        <v>3430</v>
      </c>
      <c r="I2686" s="7"/>
      <c r="J2686" s="14" t="s">
        <v>5394</v>
      </c>
      <c r="K2686" s="26"/>
      <c r="L2686" s="6" t="str">
        <f>IFERROR(VLOOKUP(E2686,A:I,9, FALSE),"")</f>
        <v>Motivabstand</v>
      </c>
      <c r="N2686" s="6"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c>
      <c r="P2686" s="6" t="s">
        <v>8574</v>
      </c>
      <c r="Q2686" s="6" t="s">
        <v>9268</v>
      </c>
    </row>
    <row r="2687" spans="1:17" ht="30" x14ac:dyDescent="0.25">
      <c r="A2687" s="5" t="str">
        <f>IF(TRIM(I2687)="","",E2687)</f>
        <v/>
      </c>
      <c r="B2687" s="5" t="str">
        <f>IF(TRIM(J2687)="","",H2687)</f>
        <v>EXIF tag 41996, 0xA40C. Indicates the distance to the subject.</v>
      </c>
      <c r="C2687" s="5" t="str">
        <f>LEFT(F2687,FIND(".",F2687,6))</f>
        <v>Xmp.exif.</v>
      </c>
      <c r="D2687" s="5" t="str">
        <f>VLOOKUP(C2687,PrefixUebersetzung,2,FALSE)</f>
        <v>Xmp.exif.</v>
      </c>
      <c r="E2687" s="5" t="str">
        <f>MID(F2687,FIND(".",F2687,6)+1,99)</f>
        <v>SubjectDistanceRange</v>
      </c>
      <c r="F2687" s="5" t="s">
        <v>1784</v>
      </c>
      <c r="G2687" s="5" t="s">
        <v>9678</v>
      </c>
      <c r="H2687" s="6" t="s">
        <v>3431</v>
      </c>
      <c r="I2687" s="7"/>
      <c r="J2687" s="14" t="s">
        <v>4133</v>
      </c>
      <c r="K2687" s="26"/>
      <c r="L2687" s="6" t="str">
        <f>IFERROR(VLOOKUP(E2687,A:I,9, FALSE),"")</f>
        <v>Motivabstandbereich</v>
      </c>
      <c r="N2687" s="6"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c>
      <c r="P2687" s="6" t="s">
        <v>8574</v>
      </c>
      <c r="Q2687" s="6" t="s">
        <v>9276</v>
      </c>
    </row>
    <row r="2688" spans="1:17" ht="60" x14ac:dyDescent="0.25">
      <c r="A2688" s="5" t="str">
        <f>IF(TRIM(I2688)="","",E2688)</f>
        <v/>
      </c>
      <c r="B2688" s="5" t="str">
        <f>IF(TRIM(J2688)="","",H2688)</f>
        <v>EXIF tag 41492, 0xA214. Location of the main subject of the scene. The first value is the horizontal pixel and the second value is the vertical pixel at which the main subject appears.</v>
      </c>
      <c r="C2688" s="5" t="str">
        <f>LEFT(F2688,FIND(".",F2688,6))</f>
        <v>Xmp.exif.</v>
      </c>
      <c r="D2688" s="5" t="str">
        <f>VLOOKUP(C2688,PrefixUebersetzung,2,FALSE)</f>
        <v>Xmp.exif.</v>
      </c>
      <c r="E2688" s="5" t="str">
        <f>MID(F2688,FIND(".",F2688,6)+1,99)</f>
        <v>SubjectLocation</v>
      </c>
      <c r="F2688" s="5" t="s">
        <v>1785</v>
      </c>
      <c r="G2688" s="5" t="s">
        <v>9680</v>
      </c>
      <c r="H2688" s="6" t="s">
        <v>3432</v>
      </c>
      <c r="I2688" s="7"/>
      <c r="J2688" s="14" t="s">
        <v>5395</v>
      </c>
      <c r="K2688" s="26"/>
      <c r="L2688" s="6" t="str">
        <f>IFERROR(VLOOKUP(E2688,A:I,9, FALSE),"")</f>
        <v>Motivort</v>
      </c>
      <c r="N2688" s="6"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c>
      <c r="P2688" s="6" t="s">
        <v>8574</v>
      </c>
    </row>
    <row r="2689" spans="1:17" ht="30" x14ac:dyDescent="0.25">
      <c r="A2689" s="5" t="str">
        <f>IF(TRIM(I2689)="","",E2689)</f>
        <v/>
      </c>
      <c r="B2689" s="5" t="str">
        <f>IF(TRIM(J2689)="","",H2689)</f>
        <v>EXIF tag 37510, 0x9286. Comments from user.</v>
      </c>
      <c r="C2689" s="5" t="str">
        <f>LEFT(F2689,FIND(".",F2689,6))</f>
        <v>Xmp.exif.</v>
      </c>
      <c r="D2689" s="5" t="str">
        <f>VLOOKUP(C2689,PrefixUebersetzung,2,FALSE)</f>
        <v>Xmp.exif.</v>
      </c>
      <c r="E2689" s="5" t="str">
        <f>MID(F2689,FIND(".",F2689,6)+1,99)</f>
        <v>UserComment</v>
      </c>
      <c r="F2689" s="5" t="s">
        <v>1786</v>
      </c>
      <c r="G2689" s="5" t="s">
        <v>9681</v>
      </c>
      <c r="H2689" s="6" t="s">
        <v>3433</v>
      </c>
      <c r="I2689" s="7"/>
      <c r="J2689" s="14" t="s">
        <v>5396</v>
      </c>
      <c r="K2689" s="26"/>
      <c r="L2689" s="6" t="str">
        <f>IFERROR(VLOOKUP(E2689,A:I,9, FALSE),"")</f>
        <v>Benutzerkommentar</v>
      </c>
      <c r="N2689" s="6"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c>
      <c r="P2689" s="6" t="s">
        <v>8574</v>
      </c>
      <c r="Q2689" s="6" t="s">
        <v>9269</v>
      </c>
    </row>
    <row r="2690" spans="1:17" ht="30" x14ac:dyDescent="0.25">
      <c r="A2690" s="5" t="str">
        <f>IF(TRIM(I2690)="","",E2690)</f>
        <v/>
      </c>
      <c r="B2690" s="5" t="str">
        <f>IF(TRIM(J2690)="","",H2690)</f>
        <v>EXIF tag 41987, 0xA403. Indicates the white balance mode set when the image was shot.</v>
      </c>
      <c r="C2690" s="5" t="str">
        <f>LEFT(F2690,FIND(".",F2690,6))</f>
        <v>Xmp.exif.</v>
      </c>
      <c r="D2690" s="5" t="str">
        <f>VLOOKUP(C2690,PrefixUebersetzung,2,FALSE)</f>
        <v>Xmp.exif.</v>
      </c>
      <c r="E2690" s="5" t="str">
        <f>MID(F2690,FIND(".",F2690,6)+1,99)</f>
        <v>WhiteBalance</v>
      </c>
      <c r="F2690" s="5" t="s">
        <v>1787</v>
      </c>
      <c r="G2690" s="5" t="s">
        <v>9678</v>
      </c>
      <c r="H2690" s="6" t="s">
        <v>3434</v>
      </c>
      <c r="I2690" s="7"/>
      <c r="J2690" s="14" t="s">
        <v>5397</v>
      </c>
      <c r="K2690" s="26"/>
      <c r="L2690" s="6" t="str">
        <f>IFERROR(VLOOKUP(E2690,A:I,9, FALSE),"")</f>
        <v>Weißabgleich</v>
      </c>
      <c r="N2690" s="6"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P2690" s="6" t="s">
        <v>8574</v>
      </c>
    </row>
    <row r="2691" spans="1:17" ht="45" x14ac:dyDescent="0.25">
      <c r="A2691" s="5" t="str">
        <f>IF(TRIM(I2691)="","",E2691)</f>
        <v/>
      </c>
      <c r="B2691" s="5" t="str">
        <f>IF(TRIM(J2691)="","",H2691)</f>
        <v>EXIF tag 42033, 0xA431. The serial number of the camera or camera body used to take the photograph.</v>
      </c>
      <c r="C2691" s="5" t="str">
        <f>LEFT(F2691,FIND(".",F2691,6))</f>
        <v>Xmp.exifEX.</v>
      </c>
      <c r="D2691" s="5" t="str">
        <f>VLOOKUP(C2691,PrefixUebersetzung,2,FALSE)</f>
        <v>Xmp.exifEX.</v>
      </c>
      <c r="E2691" s="5" t="str">
        <f>MID(F2691,FIND(".",F2691,6)+1,99)</f>
        <v>BodySerialNumber</v>
      </c>
      <c r="F2691" s="2" t="s">
        <v>8463</v>
      </c>
      <c r="G2691" s="5" t="s">
        <v>9678</v>
      </c>
      <c r="H2691" s="3" t="s">
        <v>8464</v>
      </c>
      <c r="I2691" s="7"/>
      <c r="J2691" s="33" t="s">
        <v>8785</v>
      </c>
      <c r="K2691" s="26"/>
      <c r="L2691" s="6" t="str">
        <f>IFERROR(VLOOKUP(E2691,A:I,9, FALSE),"")</f>
        <v>Gehäuse Seriennummer</v>
      </c>
      <c r="N2691" s="6"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c>
      <c r="P2691" s="6" t="s">
        <v>8574</v>
      </c>
    </row>
    <row r="2692" spans="1:17" ht="45" x14ac:dyDescent="0.25">
      <c r="A2692" s="5" t="str">
        <f>IF(TRIM(I2692)="","",E2692)</f>
        <v/>
      </c>
      <c r="B2692" s="5" t="str">
        <f>IF(TRIM(J2692)="","",H2692)</f>
        <v>EXIF tag 42032, 0xA430. This tag records the owner of a camera used in photography as an ASCII string.</v>
      </c>
      <c r="C2692" s="5" t="str">
        <f>LEFT(F2692,FIND(".",F2692,6))</f>
        <v>Xmp.exifEX.</v>
      </c>
      <c r="D2692" s="5" t="str">
        <f>VLOOKUP(C2692,PrefixUebersetzung,2,FALSE)</f>
        <v>Xmp.exifEX.</v>
      </c>
      <c r="E2692" s="5" t="str">
        <f>MID(F2692,FIND(".",F2692,6)+1,99)</f>
        <v>CameraOwnerName</v>
      </c>
      <c r="F2692" s="2" t="s">
        <v>8465</v>
      </c>
      <c r="G2692" s="5" t="s">
        <v>9678</v>
      </c>
      <c r="H2692" s="3" t="s">
        <v>8466</v>
      </c>
      <c r="I2692" s="7"/>
      <c r="J2692" s="8" t="s">
        <v>8792</v>
      </c>
      <c r="K2692" s="26"/>
      <c r="L2692" s="6" t="str">
        <f>IFERROR(VLOOKUP(E2692,A:I,9, FALSE),"")</f>
        <v>Name Kamerabesitzer</v>
      </c>
      <c r="N2692" s="6"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6" t="s">
        <v>8574</v>
      </c>
    </row>
    <row r="2693" spans="1:17" ht="30" x14ac:dyDescent="0.25">
      <c r="A2693" s="5" t="str">
        <f>IF(TRIM(I2693)="","",E2693)</f>
        <v>Gamma</v>
      </c>
      <c r="B2693" s="5" t="str">
        <f>IF(TRIM(J2693)="","",H2693)</f>
        <v>EXIF tag 42240, 0xA500. Indicates the value of coefficient gamma.</v>
      </c>
      <c r="C2693" s="5" t="str">
        <f>LEFT(F2693,FIND(".",F2693,6))</f>
        <v>Xmp.exifEX.</v>
      </c>
      <c r="D2693" s="5" t="str">
        <f>VLOOKUP(C2693,PrefixUebersetzung,2,FALSE)</f>
        <v>Xmp.exifEX.</v>
      </c>
      <c r="E2693" s="5" t="str">
        <f>MID(F2693,FIND(".",F2693,6)+1,99)</f>
        <v>Gamma</v>
      </c>
      <c r="F2693" s="2" t="s">
        <v>8467</v>
      </c>
      <c r="G2693" s="5" t="s">
        <v>9678</v>
      </c>
      <c r="H2693" s="3" t="s">
        <v>8468</v>
      </c>
      <c r="I2693" s="7" t="s">
        <v>8576</v>
      </c>
      <c r="J2693" s="8" t="s">
        <v>8803</v>
      </c>
      <c r="K2693" s="26"/>
      <c r="N2693" s="6"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c>
      <c r="O2693" s="6" t="s">
        <v>8574</v>
      </c>
      <c r="P2693" s="6" t="s">
        <v>8574</v>
      </c>
      <c r="Q2693" s="6" t="s">
        <v>9276</v>
      </c>
    </row>
    <row r="2694" spans="1:17" ht="180" x14ac:dyDescent="0.25">
      <c r="A2694" s="5" t="str">
        <f>IF(TRIM(I2694)="","",E2694)</f>
        <v/>
      </c>
      <c r="B2694" s="5" t="str">
        <f>IF(TRIM(J2694)="","",H2694)</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2694" s="5" t="str">
        <f>LEFT(F2694,FIND(".",F2694,6))</f>
        <v>Xmp.exifEX.</v>
      </c>
      <c r="D2694" s="5" t="str">
        <f>VLOOKUP(C2694,PrefixUebersetzung,2,FALSE)</f>
        <v>Xmp.exifEX.</v>
      </c>
      <c r="E2694" s="5" t="str">
        <f>MID(F2694,FIND(".",F2694,6)+1,99)</f>
        <v>InteroperabilityIndex</v>
      </c>
      <c r="F2694" s="2" t="s">
        <v>8469</v>
      </c>
      <c r="G2694" s="5" t="s">
        <v>9678</v>
      </c>
      <c r="H2694" s="3" t="s">
        <v>8470</v>
      </c>
      <c r="I2694" s="7"/>
      <c r="J2694" s="8" t="s">
        <v>8808</v>
      </c>
      <c r="K2694" s="26"/>
      <c r="L2694" s="6" t="str">
        <f>IFERROR(VLOOKUP(E2694,A:I,9, FALSE),"")</f>
        <v>Interoperabilität Index</v>
      </c>
      <c r="N2694" s="6"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c>
      <c r="P2694" s="6" t="s">
        <v>8574</v>
      </c>
    </row>
    <row r="2695" spans="1:17" ht="45" x14ac:dyDescent="0.25">
      <c r="A2695" s="5" t="str">
        <f>IF(TRIM(I2695)="","",E2695)</f>
        <v/>
      </c>
      <c r="B2695" s="5" t="str">
        <f>IF(TRIM(J2695)="","",H2695)</f>
        <v>EXIF tag 34867, 0x8833. Indicates the ISO speed value of a camera or input device defined in ISO 12232.</v>
      </c>
      <c r="C2695" s="5" t="str">
        <f>LEFT(F2695,FIND(".",F2695,6))</f>
        <v>Xmp.exifEX.</v>
      </c>
      <c r="D2695" s="5" t="str">
        <f>VLOOKUP(C2695,PrefixUebersetzung,2,FALSE)</f>
        <v>Xmp.exifEX.</v>
      </c>
      <c r="E2695" s="5" t="str">
        <f>MID(F2695,FIND(".",F2695,6)+1,99)</f>
        <v>ISOSpeed</v>
      </c>
      <c r="F2695" s="2" t="s">
        <v>8471</v>
      </c>
      <c r="G2695" s="5" t="s">
        <v>9678</v>
      </c>
      <c r="H2695" s="3" t="s">
        <v>8472</v>
      </c>
      <c r="I2695" s="7"/>
      <c r="J2695" s="34" t="s">
        <v>8809</v>
      </c>
      <c r="K2695" s="26"/>
      <c r="L2695" s="6" t="str">
        <f>IFERROR(VLOOKUP(E2695,A:I,9, FALSE),"")</f>
        <v>ISO-Empfindlichkeit</v>
      </c>
      <c r="N2695" s="6"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c r="P2695" s="6" t="s">
        <v>8574</v>
      </c>
    </row>
    <row r="2696" spans="1:17" ht="45" x14ac:dyDescent="0.25">
      <c r="A2696" s="5" t="str">
        <f>IF(TRIM(I2696)="","",E2696)</f>
        <v/>
      </c>
      <c r="B2696" s="5" t="str">
        <f>IF(TRIM(J2696)="","",H2696)</f>
        <v/>
      </c>
      <c r="C2696" s="5" t="str">
        <f>LEFT(F2696,FIND(".",F2696,6))</f>
        <v>Xmp.exifEX.</v>
      </c>
      <c r="D2696" s="5" t="str">
        <f>VLOOKUP(C2696,PrefixUebersetzung,2,FALSE)</f>
        <v>Xmp.exifEX.</v>
      </c>
      <c r="E2696" s="5" t="str">
        <f>MID(F2696,FIND(".",F2696,6)+1,99)</f>
        <v>ISOSpeedLatitudeyyy</v>
      </c>
      <c r="F2696" s="2" t="s">
        <v>8473</v>
      </c>
      <c r="G2696" s="5" t="s">
        <v>9678</v>
      </c>
      <c r="H2696" s="3" t="s">
        <v>8474</v>
      </c>
      <c r="I2696" s="7"/>
      <c r="K2696" s="26"/>
      <c r="L2696" s="6" t="str">
        <f>IFERROR(VLOOKUP(E2696,A:I,9, FALSE),"")</f>
        <v/>
      </c>
      <c r="N2696" s="6"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xml:space="preserve">Suffix not translated Description not translated </v>
      </c>
      <c r="P2696" s="6" t="s">
        <v>8574</v>
      </c>
    </row>
    <row r="2697" spans="1:17" ht="45" x14ac:dyDescent="0.25">
      <c r="A2697" s="5" t="str">
        <f>IF(TRIM(I2697)="","",E2697)</f>
        <v/>
      </c>
      <c r="B2697" s="5" t="str">
        <f>IF(TRIM(J2697)="","",H2697)</f>
        <v>EXIF tag 34869, 0x8835. Indicates the ISO speed latitude zzz value of a camera or input device defined in ISO 12232.</v>
      </c>
      <c r="C2697" s="5" t="str">
        <f>LEFT(F2697,FIND(".",F2697,6))</f>
        <v>Xmp.exifEX.</v>
      </c>
      <c r="D2697" s="5" t="str">
        <f>VLOOKUP(C2697,PrefixUebersetzung,2,FALSE)</f>
        <v>Xmp.exifEX.</v>
      </c>
      <c r="E2697" s="5" t="str">
        <f>MID(F2697,FIND(".",F2697,6)+1,99)</f>
        <v>ISOSpeedLatitudezzz</v>
      </c>
      <c r="F2697" s="2" t="s">
        <v>8475</v>
      </c>
      <c r="G2697" s="5" t="s">
        <v>9678</v>
      </c>
      <c r="H2697" s="3" t="s">
        <v>8476</v>
      </c>
      <c r="I2697" s="7"/>
      <c r="J2697" s="8" t="s">
        <v>8810</v>
      </c>
      <c r="K2697" s="26"/>
      <c r="L2697" s="6" t="str">
        <f>IFERROR(VLOOKUP(E2697,A:I,9, FALSE),"")</f>
        <v/>
      </c>
      <c r="N2697" s="6"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xml:space="preserve">Suffix not translated </v>
      </c>
      <c r="P2697" s="6" t="s">
        <v>8574</v>
      </c>
    </row>
    <row r="2698" spans="1:17" ht="30" x14ac:dyDescent="0.25">
      <c r="A2698" s="5" t="str">
        <f>IF(TRIM(I2698)="","",E2698)</f>
        <v/>
      </c>
      <c r="B2698" s="5" t="str">
        <f>IF(TRIM(J2698)="","",H2698)</f>
        <v>EXIF tag 42035, 0xA433. Records the lens manufacturer as an ASCII string.</v>
      </c>
      <c r="C2698" s="5" t="str">
        <f>LEFT(F2698,FIND(".",F2698,6))</f>
        <v>Xmp.exifEX.</v>
      </c>
      <c r="D2698" s="5" t="str">
        <f>VLOOKUP(C2698,PrefixUebersetzung,2,FALSE)</f>
        <v>Xmp.exifEX.</v>
      </c>
      <c r="E2698" s="5" t="str">
        <f>MID(F2698,FIND(".",F2698,6)+1,99)</f>
        <v>LensMake</v>
      </c>
      <c r="F2698" s="2" t="s">
        <v>8477</v>
      </c>
      <c r="G2698" s="5" t="s">
        <v>9678</v>
      </c>
      <c r="H2698" s="3" t="s">
        <v>8478</v>
      </c>
      <c r="I2698" s="7"/>
      <c r="J2698" s="8" t="s">
        <v>8816</v>
      </c>
      <c r="K2698" s="26"/>
      <c r="L2698" s="6" t="str">
        <f>IFERROR(VLOOKUP(E2698,A:I,9, FALSE),"")</f>
        <v>Objektiv Hersteller</v>
      </c>
      <c r="N2698" s="6"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c r="P2698" s="6" t="s">
        <v>8574</v>
      </c>
    </row>
    <row r="2699" spans="1:17" ht="45" x14ac:dyDescent="0.25">
      <c r="A2699" s="5" t="str">
        <f>IF(TRIM(I2699)="","",E2699)</f>
        <v/>
      </c>
      <c r="B2699" s="5" t="str">
        <f>IF(TRIM(J2699)="","",H2699)</f>
        <v>EXIF tag 42036, 0xA434. Records the lens's model name and model number as an ASCII string.</v>
      </c>
      <c r="C2699" s="5" t="str">
        <f>LEFT(F2699,FIND(".",F2699,6))</f>
        <v>Xmp.exifEX.</v>
      </c>
      <c r="D2699" s="5" t="str">
        <f>VLOOKUP(C2699,PrefixUebersetzung,2,FALSE)</f>
        <v>Xmp.exifEX.</v>
      </c>
      <c r="E2699" s="5" t="str">
        <f>MID(F2699,FIND(".",F2699,6)+1,99)</f>
        <v>LensModel</v>
      </c>
      <c r="F2699" s="2" t="s">
        <v>8479</v>
      </c>
      <c r="G2699" s="5" t="s">
        <v>9678</v>
      </c>
      <c r="H2699" s="3" t="s">
        <v>8480</v>
      </c>
      <c r="I2699" s="7"/>
      <c r="J2699" s="8" t="s">
        <v>8817</v>
      </c>
      <c r="K2699" s="26"/>
      <c r="L2699" s="6" t="str">
        <f>IFERROR(VLOOKUP(E2699,A:I,9, FALSE),"")</f>
        <v>Objektiv Modell</v>
      </c>
      <c r="N2699" s="6"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c r="P2699" s="6" t="s">
        <v>8574</v>
      </c>
    </row>
    <row r="2700" spans="1:17" ht="60" x14ac:dyDescent="0.25">
      <c r="A2700" s="5" t="str">
        <f>IF(TRIM(I2700)="","",E2700)</f>
        <v/>
      </c>
      <c r="B2700" s="5" t="str">
        <f>IF(TRIM(J2700)="","",H2700)</f>
        <v>EXIF tag 42037, 0xA435. This tag records the serial number of the interchangeable lens that was used in photography as an ASCII string.</v>
      </c>
      <c r="C2700" s="5" t="str">
        <f>LEFT(F2700,FIND(".",F2700,6))</f>
        <v>Xmp.exifEX.</v>
      </c>
      <c r="D2700" s="5" t="str">
        <f>VLOOKUP(C2700,PrefixUebersetzung,2,FALSE)</f>
        <v>Xmp.exifEX.</v>
      </c>
      <c r="E2700" s="5" t="str">
        <f>MID(F2700,FIND(".",F2700,6)+1,99)</f>
        <v>LensSerialNumber</v>
      </c>
      <c r="F2700" s="2" t="s">
        <v>8481</v>
      </c>
      <c r="G2700" s="5" t="s">
        <v>9678</v>
      </c>
      <c r="H2700" s="3" t="s">
        <v>8482</v>
      </c>
      <c r="I2700" s="7"/>
      <c r="J2700" s="8" t="s">
        <v>8818</v>
      </c>
      <c r="K2700" s="26"/>
      <c r="L2700" s="6" t="str">
        <f>IFERROR(VLOOKUP(E2700,A:I,9, FALSE),"")</f>
        <v>Objektiv Seriennummer</v>
      </c>
      <c r="N2700" s="6"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c r="P2700" s="6" t="s">
        <v>8574</v>
      </c>
    </row>
    <row r="2701" spans="1:17" ht="90" x14ac:dyDescent="0.25">
      <c r="A2701" s="5" t="str">
        <f>IF(TRIM(I2701)="","",E2701)</f>
        <v/>
      </c>
      <c r="B2701" s="5" t="str">
        <f>IF(TRIM(J2701)="","",H2701)</f>
        <v>EXIF tag 42034, 0xA432. notes minimum focal length, maximum focal length, minimum F number in the minimum focal length, and minimum F number in the maximum focal length, which are specification information for the lens that was used in photography.</v>
      </c>
      <c r="C2701" s="5" t="str">
        <f>LEFT(F2701,FIND(".",F2701,6))</f>
        <v>Xmp.exifEX.</v>
      </c>
      <c r="D2701" s="5" t="str">
        <f>VLOOKUP(C2701,PrefixUebersetzung,2,FALSE)</f>
        <v>Xmp.exifEX.</v>
      </c>
      <c r="E2701" s="5" t="str">
        <f>MID(F2701,FIND(".",F2701,6)+1,99)</f>
        <v>LensSpecification</v>
      </c>
      <c r="F2701" s="2" t="s">
        <v>8483</v>
      </c>
      <c r="G2701" s="5" t="s">
        <v>9678</v>
      </c>
      <c r="H2701" s="3" t="s">
        <v>8484</v>
      </c>
      <c r="I2701" s="7"/>
      <c r="J2701" s="8" t="s">
        <v>8819</v>
      </c>
      <c r="K2701" s="26"/>
      <c r="L2701" s="6" t="str">
        <f>IFERROR(VLOOKUP(E2701,A:I,9, FALSE),"")</f>
        <v>Objektiv Spezifikation</v>
      </c>
      <c r="N2701" s="6"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c r="P2701" s="6" t="s">
        <v>8574</v>
      </c>
    </row>
    <row r="2702" spans="1:17" ht="90" x14ac:dyDescent="0.25">
      <c r="A2702" s="5" t="str">
        <f>IF(TRIM(I2702)="","",E2702)</f>
        <v/>
      </c>
      <c r="B2702" s="5" t="str">
        <f>IF(TRIM(J2702)="","",H2702)</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2702" s="5" t="str">
        <f>LEFT(F2702,FIND(".",F2702,6))</f>
        <v>Xmp.exifEX.</v>
      </c>
      <c r="D2702" s="5" t="str">
        <f>VLOOKUP(C2702,PrefixUebersetzung,2,FALSE)</f>
        <v>Xmp.exifEX.</v>
      </c>
      <c r="E2702" s="5" t="str">
        <f>MID(F2702,FIND(".",F2702,6)+1,99)</f>
        <v>PhotographicSensitivity</v>
      </c>
      <c r="F2702" s="2" t="s">
        <v>8485</v>
      </c>
      <c r="G2702" s="5" t="s">
        <v>9678</v>
      </c>
      <c r="H2702" s="3" t="s">
        <v>8486</v>
      </c>
      <c r="I2702" s="7"/>
      <c r="J2702" s="8" t="s">
        <v>8842</v>
      </c>
      <c r="K2702" s="26"/>
      <c r="N2702" s="6"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v>
      </c>
      <c r="O2702" s="6" t="s">
        <v>8574</v>
      </c>
      <c r="P2702" s="6" t="s">
        <v>8574</v>
      </c>
    </row>
    <row r="2703" spans="1:17" ht="45" x14ac:dyDescent="0.25">
      <c r="A2703" s="5" t="str">
        <f>IF(TRIM(I2703)="","",E2703)</f>
        <v/>
      </c>
      <c r="B2703" s="5" t="str">
        <f>IF(TRIM(J2703)="","",H2703)</f>
        <v>EXIF tag 34866, 0x8832. Indicates the recommended exposure index value of a camera or input device defined in ISO 12232.</v>
      </c>
      <c r="C2703" s="5" t="str">
        <f>LEFT(F2703,FIND(".",F2703,6))</f>
        <v>Xmp.exifEX.</v>
      </c>
      <c r="D2703" s="5" t="str">
        <f>VLOOKUP(C2703,PrefixUebersetzung,2,FALSE)</f>
        <v>Xmp.exifEX.</v>
      </c>
      <c r="E2703" s="5" t="str">
        <f>MID(F2703,FIND(".",F2703,6)+1,99)</f>
        <v>RecommendedExposureIndex</v>
      </c>
      <c r="F2703" s="2" t="s">
        <v>8487</v>
      </c>
      <c r="G2703" s="5" t="s">
        <v>9678</v>
      </c>
      <c r="H2703" s="3" t="s">
        <v>8488</v>
      </c>
      <c r="I2703" s="7"/>
      <c r="J2703" s="8" t="s">
        <v>8845</v>
      </c>
      <c r="K2703" s="26"/>
      <c r="L2703" s="6" t="str">
        <f>IFERROR(VLOOKUP(E2703,A:I,9, FALSE),"")</f>
        <v>Belichtungsindex empfohlen</v>
      </c>
      <c r="N2703" s="6"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c r="P2703" s="6" t="s">
        <v>8574</v>
      </c>
    </row>
    <row r="2704" spans="1:17" ht="195" x14ac:dyDescent="0.25">
      <c r="A2704" s="5" t="str">
        <f>IF(TRIM(I2704)="","",E2704)</f>
        <v/>
      </c>
      <c r="B2704" s="5" t="str">
        <f>IF(TRIM(J2704)="","",H2704)</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2704" s="5" t="str">
        <f>LEFT(F2704,FIND(".",F2704,6))</f>
        <v>Xmp.exifEX.</v>
      </c>
      <c r="D2704" s="5" t="str">
        <f>VLOOKUP(C2704,PrefixUebersetzung,2,FALSE)</f>
        <v>Xmp.exifEX.</v>
      </c>
      <c r="E2704" s="5" t="str">
        <f>MID(F2704,FIND(".",F2704,6)+1,99)</f>
        <v>SensitivityType</v>
      </c>
      <c r="F2704" s="2" t="s">
        <v>8489</v>
      </c>
      <c r="G2704" s="5" t="s">
        <v>9678</v>
      </c>
      <c r="H2704" s="3" t="s">
        <v>8490</v>
      </c>
      <c r="I2704" s="7"/>
      <c r="J2704" s="8" t="s">
        <v>8849</v>
      </c>
      <c r="K2704" s="26"/>
      <c r="L2704" s="6" t="str">
        <f>IFERROR(VLOOKUP(E2704,A:I,9, FALSE),"")</f>
        <v>Empfindlichkeitstyp</v>
      </c>
      <c r="N2704" s="6"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c r="P2704" s="6" t="s">
        <v>8574</v>
      </c>
    </row>
    <row r="2705" spans="1:17" ht="45" x14ac:dyDescent="0.25">
      <c r="A2705" s="5" t="str">
        <f>IF(TRIM(I2705)="","",E2705)</f>
        <v/>
      </c>
      <c r="B2705" s="5" t="str">
        <f>IF(TRIM(J2705)="","",H2705)</f>
        <v>EXIF tag 34865, 0x8831. Indicates the standard output sensitivity value of a camera or input device defined in ISO 12232.</v>
      </c>
      <c r="C2705" s="5" t="str">
        <f>LEFT(F2705,FIND(".",F2705,6))</f>
        <v>Xmp.exifEX.</v>
      </c>
      <c r="D2705" s="5" t="str">
        <f>VLOOKUP(C2705,PrefixUebersetzung,2,FALSE)</f>
        <v>Xmp.exifEX.</v>
      </c>
      <c r="E2705" s="5" t="str">
        <f>MID(F2705,FIND(".",F2705,6)+1,99)</f>
        <v>StandardOutput-Sensitivity</v>
      </c>
      <c r="F2705" s="2" t="s">
        <v>8491</v>
      </c>
      <c r="G2705" s="5" t="s">
        <v>9678</v>
      </c>
      <c r="H2705" s="3" t="s">
        <v>8492</v>
      </c>
      <c r="I2705" s="7"/>
      <c r="J2705" s="8" t="s">
        <v>8854</v>
      </c>
      <c r="K2705" s="26"/>
      <c r="N2705" s="6"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xml:space="preserve">Suffix not translated </v>
      </c>
      <c r="O2705" s="6" t="s">
        <v>8574</v>
      </c>
      <c r="P2705" s="6" t="s">
        <v>8574</v>
      </c>
    </row>
    <row r="2706" spans="1:17" ht="30" x14ac:dyDescent="0.25">
      <c r="A2706" s="5" t="str">
        <f>IF(TRIM(I2706)="","",E2706)</f>
        <v>CatalogSets</v>
      </c>
      <c r="B2706" s="5" t="str">
        <f>IF(TRIM(J2706)="","",H2706)</f>
        <v>Descriptive markers of catalog items by content</v>
      </c>
      <c r="C2706" s="5" t="str">
        <f>LEFT(F2706,FIND(".",F2706,6))</f>
        <v>Xmp.expressionmedia.</v>
      </c>
      <c r="D2706" s="5" t="str">
        <f>VLOOKUP(C2706,PrefixUebersetzung,2,FALSE)</f>
        <v>Xmp.expressionmedia.</v>
      </c>
      <c r="E2706" s="5" t="str">
        <f>MID(F2706,FIND(".",F2706,6)+1,99)</f>
        <v>CatalogSets</v>
      </c>
      <c r="F2706" s="5" t="s">
        <v>1788</v>
      </c>
      <c r="G2706" s="5" t="s">
        <v>9679</v>
      </c>
      <c r="H2706" s="6" t="s">
        <v>3435</v>
      </c>
      <c r="I2706" s="7" t="s">
        <v>4538</v>
      </c>
      <c r="J2706" s="14" t="s">
        <v>5558</v>
      </c>
      <c r="K2706" s="26"/>
      <c r="L2706" s="6" t="str">
        <f>IFERROR(VLOOKUP(E2706,A:I,9, FALSE),"")</f>
        <v>Katalog-Sets</v>
      </c>
      <c r="M2706" s="6" t="str">
        <f>IFERROR(VLOOKUP(H2706,B:J,9,FALSE),"")</f>
        <v>Repräsentative Kenzeichnung für Katalog-Einträge nach Inhalt</v>
      </c>
      <c r="N2706" s="6"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c>
      <c r="O2706" s="6" t="s">
        <v>8574</v>
      </c>
      <c r="P2706" s="6" t="s">
        <v>8574</v>
      </c>
    </row>
    <row r="2707" spans="1:17" x14ac:dyDescent="0.25">
      <c r="A2707" s="5" t="str">
        <f>IF(TRIM(I2707)="","",E2707)</f>
        <v/>
      </c>
      <c r="B2707" s="5" t="str">
        <f>IF(TRIM(J2707)="","",H2707)</f>
        <v>Fixture Identification</v>
      </c>
      <c r="C2707" s="5" t="str">
        <f>LEFT(F2707,FIND(".",F2707,6))</f>
        <v>Xmp.expressionmedia.</v>
      </c>
      <c r="D2707" s="5" t="str">
        <f>VLOOKUP(C2707,PrefixUebersetzung,2,FALSE)</f>
        <v>Xmp.expressionmedia.</v>
      </c>
      <c r="E2707" s="5" t="str">
        <f>MID(F2707,FIND(".",F2707,6)+1,99)</f>
        <v>Event</v>
      </c>
      <c r="F2707" s="5" t="s">
        <v>1789</v>
      </c>
      <c r="G2707" s="5" t="s">
        <v>9678</v>
      </c>
      <c r="H2707" s="6" t="s">
        <v>3436</v>
      </c>
      <c r="I2707" s="7"/>
      <c r="J2707" s="14" t="s">
        <v>4539</v>
      </c>
      <c r="K2707" s="26"/>
      <c r="L2707" s="6" t="str">
        <f>IFERROR(VLOOKUP(E2707,A:I,9, FALSE),"")</f>
        <v>Ereignis</v>
      </c>
      <c r="M2707" s="6" t="str">
        <f>IFERROR(VLOOKUP(H2707,B:J,9,FALSE),"")</f>
        <v>Ereignis</v>
      </c>
      <c r="N2707" s="6"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c r="P2707" s="6" t="s">
        <v>8574</v>
      </c>
      <c r="Q2707" s="6" t="s">
        <v>9303</v>
      </c>
    </row>
    <row r="2708" spans="1:17" x14ac:dyDescent="0.25">
      <c r="A2708" s="5" t="str">
        <f>IF(TRIM(I2708)="","",E2708)</f>
        <v>People</v>
      </c>
      <c r="B2708" s="5" t="str">
        <f>IF(TRIM(J2708)="","",H2708)</f>
        <v>Contact</v>
      </c>
      <c r="C2708" s="5" t="str">
        <f>LEFT(F2708,FIND(".",F2708,6))</f>
        <v>Xmp.expressionmedia.</v>
      </c>
      <c r="D2708" s="5" t="str">
        <f>VLOOKUP(C2708,PrefixUebersetzung,2,FALSE)</f>
        <v>Xmp.expressionmedia.</v>
      </c>
      <c r="E2708" s="5" t="str">
        <f>MID(F2708,FIND(".",F2708,6)+1,99)</f>
        <v>People</v>
      </c>
      <c r="F2708" s="5" t="s">
        <v>1790</v>
      </c>
      <c r="G2708" s="5" t="s">
        <v>9679</v>
      </c>
      <c r="H2708" s="6" t="s">
        <v>3437</v>
      </c>
      <c r="I2708" s="7" t="s">
        <v>4540</v>
      </c>
      <c r="J2708" s="14" t="s">
        <v>4540</v>
      </c>
      <c r="K2708" s="26"/>
      <c r="L2708" s="6" t="str">
        <f>IFERROR(VLOOKUP(E2708,A:I,9, FALSE),"")</f>
        <v>Personen</v>
      </c>
      <c r="M2708" s="6" t="str">
        <f>IFERROR(VLOOKUP(H2708,B:J,9,FALSE),"")</f>
        <v>Personen</v>
      </c>
      <c r="N2708" s="6"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c r="O2708" s="6" t="s">
        <v>8574</v>
      </c>
      <c r="P2708" s="6" t="s">
        <v>8574</v>
      </c>
      <c r="Q2708" s="6" t="s">
        <v>4134</v>
      </c>
    </row>
    <row r="2709" spans="1:17" ht="30" x14ac:dyDescent="0.25">
      <c r="A2709" s="5" t="str">
        <f>IF(TRIM(I2709)="","",E2709)</f>
        <v>Status</v>
      </c>
      <c r="B2709" s="5" t="str">
        <f>IF(TRIM(J2709)="","",H2709)</f>
        <v>A notation making the image unique</v>
      </c>
      <c r="C2709" s="5" t="str">
        <f>LEFT(F2709,FIND(".",F2709,6))</f>
        <v>Xmp.expressionmedia.</v>
      </c>
      <c r="D2709" s="5" t="str">
        <f>VLOOKUP(C2709,PrefixUebersetzung,2,FALSE)</f>
        <v>Xmp.expressionmedia.</v>
      </c>
      <c r="E2709" s="5" t="str">
        <f>MID(F2709,FIND(".",F2709,6)+1,99)</f>
        <v>Status</v>
      </c>
      <c r="F2709" s="5" t="s">
        <v>1791</v>
      </c>
      <c r="G2709" s="5" t="s">
        <v>9678</v>
      </c>
      <c r="H2709" s="6" t="s">
        <v>3438</v>
      </c>
      <c r="I2709" s="7" t="s">
        <v>4216</v>
      </c>
      <c r="J2709" s="14" t="s">
        <v>5559</v>
      </c>
      <c r="K2709" s="26"/>
      <c r="L2709" s="6" t="str">
        <f>IFERROR(VLOOKUP(E2709,A:I,9, FALSE),"")</f>
        <v>Status</v>
      </c>
      <c r="M2709" s="6" t="str">
        <f>IFERROR(VLOOKUP(H2709,B:J,9,FALSE),"")</f>
        <v>Eine Notation, die das Bild eindeutig macht.</v>
      </c>
      <c r="N2709" s="6"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c r="O2709" s="6" t="s">
        <v>8574</v>
      </c>
      <c r="P2709" s="6" t="s">
        <v>8574</v>
      </c>
    </row>
    <row r="2710" spans="1:17" ht="105" x14ac:dyDescent="0.25">
      <c r="A2710" s="5" t="str">
        <f>IF(TRIM(I2710)="","",E2710)</f>
        <v>CaptureSoftware</v>
      </c>
      <c r="B2710" s="5" t="str">
        <f>IF(TRIM(J2710)="","",H2710)</f>
        <v>If capture was done using an application on a mobile device, such as an Android phone, the name of the application that was used (such as "Photo Sphere"). This should be left blank if source images were captured manually, such as by using a DSLR on a tripod.</v>
      </c>
      <c r="C2710" s="5" t="str">
        <f>LEFT(F2710,FIND(".",F2710,6))</f>
        <v>Xmp.GPano.</v>
      </c>
      <c r="D2710" s="5" t="str">
        <f>VLOOKUP(C2710,PrefixUebersetzung,2,FALSE)</f>
        <v>Xmp.GPano.</v>
      </c>
      <c r="E2710" s="5" t="str">
        <f>MID(F2710,FIND(".",F2710,6)+1,99)</f>
        <v>CaptureSoftware</v>
      </c>
      <c r="F2710" s="2" t="s">
        <v>7569</v>
      </c>
      <c r="G2710" s="5" t="s">
        <v>9678</v>
      </c>
      <c r="H2710" s="3" t="s">
        <v>7570</v>
      </c>
      <c r="I2710" s="7" t="s">
        <v>7798</v>
      </c>
      <c r="J2710" s="30" t="s">
        <v>9584</v>
      </c>
      <c r="K2710" s="26"/>
      <c r="N2710" s="6"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c>
      <c r="O2710" s="6" t="s">
        <v>8574</v>
      </c>
      <c r="P2710" s="6" t="s">
        <v>8574</v>
      </c>
    </row>
    <row r="2711" spans="1:17" ht="30" x14ac:dyDescent="0.25">
      <c r="A2711" s="5" t="str">
        <f>IF(TRIM(I2711)="","",E2711)</f>
        <v>CroppedAreaImageHeightPixels</v>
      </c>
      <c r="B2711" s="5" t="str">
        <f>IF(TRIM(J2711)="","",H2711)</f>
        <v>Original height in pixels of the image (equal to the actual image's height for unedited images).</v>
      </c>
      <c r="C2711" s="5" t="str">
        <f>LEFT(F2711,FIND(".",F2711,6))</f>
        <v>Xmp.GPano.</v>
      </c>
      <c r="D2711" s="5" t="str">
        <f>VLOOKUP(C2711,PrefixUebersetzung,2,FALSE)</f>
        <v>Xmp.GPano.</v>
      </c>
      <c r="E2711" s="5" t="str">
        <f>MID(F2711,FIND(".",F2711,6)+1,99)</f>
        <v>CroppedAreaImageHeightPixels</v>
      </c>
      <c r="F2711" s="2" t="s">
        <v>7571</v>
      </c>
      <c r="G2711" s="5" t="s">
        <v>9678</v>
      </c>
      <c r="H2711" s="3" t="s">
        <v>7572</v>
      </c>
      <c r="I2711" s="7" t="s">
        <v>7888</v>
      </c>
      <c r="J2711" s="33" t="s">
        <v>7971</v>
      </c>
      <c r="K2711" s="26"/>
      <c r="N2711" s="6"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c r="O2711" s="6" t="s">
        <v>8574</v>
      </c>
      <c r="P2711" s="6" t="s">
        <v>8574</v>
      </c>
    </row>
    <row r="2712" spans="1:17" ht="30" x14ac:dyDescent="0.25">
      <c r="A2712" s="5" t="str">
        <f>IF(TRIM(I2712)="","",E2712)</f>
        <v>CroppedAreaImageWidthPixels</v>
      </c>
      <c r="B2712" s="5" t="str">
        <f>IF(TRIM(J2712)="","",H2712)</f>
        <v>Original width in pixels of the image (equal to the actual image's width for unedited images).</v>
      </c>
      <c r="C2712" s="5" t="str">
        <f>LEFT(F2712,FIND(".",F2712,6))</f>
        <v>Xmp.GPano.</v>
      </c>
      <c r="D2712" s="5" t="str">
        <f>VLOOKUP(C2712,PrefixUebersetzung,2,FALSE)</f>
        <v>Xmp.GPano.</v>
      </c>
      <c r="E2712" s="5" t="str">
        <f>MID(F2712,FIND(".",F2712,6)+1,99)</f>
        <v>CroppedAreaImageWidthPixels</v>
      </c>
      <c r="F2712" s="2" t="s">
        <v>7573</v>
      </c>
      <c r="G2712" s="5" t="s">
        <v>9678</v>
      </c>
      <c r="H2712" s="3" t="s">
        <v>7574</v>
      </c>
      <c r="I2712" s="7" t="s">
        <v>7887</v>
      </c>
      <c r="J2712" s="33" t="s">
        <v>7972</v>
      </c>
      <c r="K2712" s="26"/>
      <c r="N2712" s="6"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c>
      <c r="O2712" s="6" t="s">
        <v>8574</v>
      </c>
      <c r="P2712" s="6" t="s">
        <v>8574</v>
      </c>
    </row>
    <row r="2713" spans="1:17" ht="30" x14ac:dyDescent="0.25">
      <c r="A2713" s="5" t="str">
        <f>IF(TRIM(I2713)="","",E2713)</f>
        <v>CroppedAreaLeftPixels</v>
      </c>
      <c r="B2713" s="5" t="str">
        <f>IF(TRIM(J2713)="","",H2713)</f>
        <v>Column where the left edge of the image was cropped from the full sized panorama.</v>
      </c>
      <c r="C2713" s="5" t="str">
        <f>LEFT(F2713,FIND(".",F2713,6))</f>
        <v>Xmp.GPano.</v>
      </c>
      <c r="D2713" s="5" t="str">
        <f>VLOOKUP(C2713,PrefixUebersetzung,2,FALSE)</f>
        <v>Xmp.GPano.</v>
      </c>
      <c r="E2713" s="5" t="str">
        <f>MID(F2713,FIND(".",F2713,6)+1,99)</f>
        <v>CroppedAreaLeftPixels</v>
      </c>
      <c r="F2713" s="2" t="s">
        <v>7575</v>
      </c>
      <c r="G2713" s="5" t="s">
        <v>9678</v>
      </c>
      <c r="H2713" s="3" t="s">
        <v>7576</v>
      </c>
      <c r="I2713" s="7" t="s">
        <v>7883</v>
      </c>
      <c r="J2713" s="33" t="s">
        <v>7973</v>
      </c>
      <c r="K2713" s="26"/>
      <c r="N2713" s="6"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c r="O2713" s="6" t="s">
        <v>8574</v>
      </c>
      <c r="P2713" s="6" t="s">
        <v>8574</v>
      </c>
    </row>
    <row r="2714" spans="1:17" ht="30" x14ac:dyDescent="0.25">
      <c r="A2714" s="5" t="str">
        <f>IF(TRIM(I2714)="","",E2714)</f>
        <v>CroppedAreaTopPixels</v>
      </c>
      <c r="B2714" s="5" t="str">
        <f>IF(TRIM(J2714)="","",H2714)</f>
        <v>Row where the top edge of the image was cropped from the full sized panorama.</v>
      </c>
      <c r="C2714" s="5" t="str">
        <f>LEFT(F2714,FIND(".",F2714,6))</f>
        <v>Xmp.GPano.</v>
      </c>
      <c r="D2714" s="5" t="str">
        <f>VLOOKUP(C2714,PrefixUebersetzung,2,FALSE)</f>
        <v>Xmp.GPano.</v>
      </c>
      <c r="E2714" s="5" t="str">
        <f>MID(F2714,FIND(".",F2714,6)+1,99)</f>
        <v>CroppedAreaTopPixels</v>
      </c>
      <c r="F2714" s="2" t="s">
        <v>7577</v>
      </c>
      <c r="G2714" s="5" t="s">
        <v>9678</v>
      </c>
      <c r="H2714" s="3" t="s">
        <v>7578</v>
      </c>
      <c r="I2714" s="7" t="s">
        <v>7884</v>
      </c>
      <c r="J2714" s="33" t="s">
        <v>7974</v>
      </c>
      <c r="K2714" s="26"/>
      <c r="N2714" s="6"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c r="O2714" s="6" t="s">
        <v>8574</v>
      </c>
      <c r="P2714" s="6" t="s">
        <v>8574</v>
      </c>
    </row>
    <row r="2715" spans="1:17" ht="45" x14ac:dyDescent="0.25">
      <c r="A2715" s="5" t="str">
        <f>IF(TRIM(I2715)="","",E2715)</f>
        <v>ExposureLockUsed</v>
      </c>
      <c r="B2715" s="5" t="str">
        <f>IF(TRIM(J2715)="","",H2715)</f>
        <v xml:space="preserve">When individual source photographs were captured, whether or not the camera's exposure setting was locked. </v>
      </c>
      <c r="C2715" s="5" t="str">
        <f>LEFT(F2715,FIND(".",F2715,6))</f>
        <v>Xmp.GPano.</v>
      </c>
      <c r="D2715" s="5" t="str">
        <f>VLOOKUP(C2715,PrefixUebersetzung,2,FALSE)</f>
        <v>Xmp.GPano.</v>
      </c>
      <c r="E2715" s="5" t="str">
        <f>MID(F2715,FIND(".",F2715,6)+1,99)</f>
        <v>ExposureLockUsed</v>
      </c>
      <c r="F2715" s="2" t="s">
        <v>7579</v>
      </c>
      <c r="G2715" s="5" t="s">
        <v>9678</v>
      </c>
      <c r="H2715" s="3" t="s">
        <v>7580</v>
      </c>
      <c r="I2715" s="7" t="s">
        <v>7885</v>
      </c>
      <c r="J2715" s="33" t="s">
        <v>7975</v>
      </c>
      <c r="K2715" s="26"/>
      <c r="N2715" s="6"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c r="O2715" s="6" t="s">
        <v>8574</v>
      </c>
      <c r="P2715" s="6" t="s">
        <v>8574</v>
      </c>
    </row>
    <row r="2716" spans="1:17" ht="30" x14ac:dyDescent="0.25">
      <c r="A2716" s="5" t="str">
        <f>IF(TRIM(I2716)="","",E2716)</f>
        <v>FirstPhotoDate</v>
      </c>
      <c r="B2716" s="5" t="str">
        <f>IF(TRIM(J2716)="","",H2716)</f>
        <v>Date and time for the first image created in the panorama.</v>
      </c>
      <c r="C2716" s="5" t="str">
        <f>LEFT(F2716,FIND(".",F2716,6))</f>
        <v>Xmp.GPano.</v>
      </c>
      <c r="D2716" s="5" t="str">
        <f>VLOOKUP(C2716,PrefixUebersetzung,2,FALSE)</f>
        <v>Xmp.GPano.</v>
      </c>
      <c r="E2716" s="5" t="str">
        <f>MID(F2716,FIND(".",F2716,6)+1,99)</f>
        <v>FirstPhotoDate</v>
      </c>
      <c r="F2716" s="2" t="s">
        <v>7581</v>
      </c>
      <c r="G2716" s="5" t="s">
        <v>9678</v>
      </c>
      <c r="H2716" s="3" t="s">
        <v>7582</v>
      </c>
      <c r="I2716" s="7" t="s">
        <v>7799</v>
      </c>
      <c r="J2716" s="33" t="s">
        <v>7976</v>
      </c>
      <c r="K2716" s="26"/>
      <c r="N2716" s="6"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c r="O2716" s="6" t="s">
        <v>8574</v>
      </c>
      <c r="P2716" s="6" t="s">
        <v>8574</v>
      </c>
    </row>
    <row r="2717" spans="1:17" ht="60" x14ac:dyDescent="0.25">
      <c r="A2717" s="5" t="str">
        <f>IF(TRIM(I2717)="","",E2717)</f>
        <v>FullPanoHeightPixels</v>
      </c>
      <c r="B2717" s="5" t="str">
        <f>IF(TRIM(J2717)="","",H2717)</f>
        <v>Original full panorama height from which the image was cropped. Or, if only a partial panorama was captured, this specifies the height of what the full panorama would have been.</v>
      </c>
      <c r="C2717" s="5" t="str">
        <f>LEFT(F2717,FIND(".",F2717,6))</f>
        <v>Xmp.GPano.</v>
      </c>
      <c r="D2717" s="5" t="str">
        <f>VLOOKUP(C2717,PrefixUebersetzung,2,FALSE)</f>
        <v>Xmp.GPano.</v>
      </c>
      <c r="E2717" s="5" t="str">
        <f>MID(F2717,FIND(".",F2717,6)+1,99)</f>
        <v>FullPanoHeightPixels</v>
      </c>
      <c r="F2717" s="2" t="s">
        <v>7583</v>
      </c>
      <c r="G2717" s="5" t="s">
        <v>9678</v>
      </c>
      <c r="H2717" s="3" t="s">
        <v>7584</v>
      </c>
      <c r="I2717" s="7" t="s">
        <v>7886</v>
      </c>
      <c r="J2717" s="33" t="s">
        <v>7977</v>
      </c>
      <c r="K2717" s="26"/>
      <c r="N2717" s="6"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c r="O2717" s="6" t="s">
        <v>8574</v>
      </c>
      <c r="P2717" s="6" t="s">
        <v>8574</v>
      </c>
    </row>
    <row r="2718" spans="1:17" ht="60" x14ac:dyDescent="0.25">
      <c r="A2718" s="5" t="str">
        <f>IF(TRIM(I2718)="","",E2718)</f>
        <v>FullPanoWidthPixels</v>
      </c>
      <c r="B2718" s="5" t="str">
        <f>IF(TRIM(J2718)="","",H2718)</f>
        <v>Original full panorama width from which the image was cropped. Or, if only a partial panorama was captured, this specifies the width of what the full panorama would have been.</v>
      </c>
      <c r="C2718" s="5" t="str">
        <f>LEFT(F2718,FIND(".",F2718,6))</f>
        <v>Xmp.GPano.</v>
      </c>
      <c r="D2718" s="5" t="str">
        <f>VLOOKUP(C2718,PrefixUebersetzung,2,FALSE)</f>
        <v>Xmp.GPano.</v>
      </c>
      <c r="E2718" s="5" t="str">
        <f>MID(F2718,FIND(".",F2718,6)+1,99)</f>
        <v>FullPanoWidthPixels</v>
      </c>
      <c r="F2718" s="2" t="s">
        <v>7585</v>
      </c>
      <c r="G2718" s="5" t="s">
        <v>9678</v>
      </c>
      <c r="H2718" s="3" t="s">
        <v>7586</v>
      </c>
      <c r="I2718" s="7" t="s">
        <v>7889</v>
      </c>
      <c r="J2718" s="33" t="s">
        <v>7978</v>
      </c>
      <c r="K2718" s="26"/>
      <c r="N2718" s="6"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c r="O2718" s="6" t="s">
        <v>8574</v>
      </c>
      <c r="P2718" s="6" t="s">
        <v>8574</v>
      </c>
    </row>
    <row r="2719" spans="1:17" ht="120" x14ac:dyDescent="0.25">
      <c r="A2719" s="5" t="str">
        <f>IF(TRIM(I2719)="","",E2719)</f>
        <v>InitialCameraDolly</v>
      </c>
      <c r="B2719" s="5" t="str">
        <f>IF(TRIM(J2719)="","",H2719)</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2719" s="5" t="str">
        <f>LEFT(F2719,FIND(".",F2719,6))</f>
        <v>Xmp.GPano.</v>
      </c>
      <c r="D2719" s="5" t="str">
        <f>VLOOKUP(C2719,PrefixUebersetzung,2,FALSE)</f>
        <v>Xmp.GPano.</v>
      </c>
      <c r="E2719" s="5" t="str">
        <f>MID(F2719,FIND(".",F2719,6)+1,99)</f>
        <v>InitialCameraDolly</v>
      </c>
      <c r="F2719" s="2" t="s">
        <v>7587</v>
      </c>
      <c r="G2719" s="5" t="s">
        <v>9678</v>
      </c>
      <c r="H2719" s="3" t="s">
        <v>7588</v>
      </c>
      <c r="I2719" s="7" t="s">
        <v>7890</v>
      </c>
      <c r="J2719" s="33" t="s">
        <v>7979</v>
      </c>
      <c r="K2719" s="26"/>
      <c r="N2719" s="6"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c r="O2719" s="6" t="s">
        <v>8574</v>
      </c>
      <c r="P2719" s="6" t="s">
        <v>8574</v>
      </c>
    </row>
    <row r="2720" spans="1:17" ht="45" x14ac:dyDescent="0.25">
      <c r="A2720" s="5" t="str">
        <f>IF(TRIM(I2720)="","",E2720)</f>
        <v>InitialHorizontalFOVDegrees</v>
      </c>
      <c r="B2720" s="5" t="str">
        <f>IF(TRIM(J2720)="","",H2720)</f>
        <v>The initial horizontal field of view that the viewer should display (in degrees). This is similar to a zoom level.</v>
      </c>
      <c r="C2720" s="5" t="str">
        <f>LEFT(F2720,FIND(".",F2720,6))</f>
        <v>Xmp.GPano.</v>
      </c>
      <c r="D2720" s="5" t="str">
        <f>VLOOKUP(C2720,PrefixUebersetzung,2,FALSE)</f>
        <v>Xmp.GPano.</v>
      </c>
      <c r="E2720" s="5" t="str">
        <f>MID(F2720,FIND(".",F2720,6)+1,99)</f>
        <v>InitialHorizontalFOVDegrees</v>
      </c>
      <c r="F2720" s="2" t="s">
        <v>7589</v>
      </c>
      <c r="G2720" s="5" t="s">
        <v>9678</v>
      </c>
      <c r="H2720" s="3" t="s">
        <v>7590</v>
      </c>
      <c r="I2720" s="7" t="s">
        <v>7891</v>
      </c>
      <c r="J2720" s="33" t="s">
        <v>7970</v>
      </c>
      <c r="K2720" s="26"/>
      <c r="N2720" s="6"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c>
      <c r="O2720" s="6" t="s">
        <v>8574</v>
      </c>
      <c r="P2720" s="6" t="s">
        <v>8574</v>
      </c>
    </row>
    <row r="2721" spans="1:17" x14ac:dyDescent="0.25">
      <c r="A2721" s="5" t="str">
        <f>IF(TRIM(I2721)="","",E2721)</f>
        <v>InitialViewHeadingDegrees</v>
      </c>
      <c r="B2721" s="5" t="str">
        <f>IF(TRIM(J2721)="","",H2721)</f>
        <v>The heading angle of the initial view in degrees.</v>
      </c>
      <c r="C2721" s="5" t="str">
        <f>LEFT(F2721,FIND(".",F2721,6))</f>
        <v>Xmp.GPano.</v>
      </c>
      <c r="D2721" s="5" t="str">
        <f>VLOOKUP(C2721,PrefixUebersetzung,2,FALSE)</f>
        <v>Xmp.GPano.</v>
      </c>
      <c r="E2721" s="5" t="str">
        <f>MID(F2721,FIND(".",F2721,6)+1,99)</f>
        <v>InitialViewHeadingDegrees</v>
      </c>
      <c r="F2721" s="2" t="s">
        <v>7591</v>
      </c>
      <c r="G2721" s="5" t="s">
        <v>9678</v>
      </c>
      <c r="H2721" s="3" t="s">
        <v>7592</v>
      </c>
      <c r="I2721" s="7" t="s">
        <v>7892</v>
      </c>
      <c r="J2721" s="33" t="s">
        <v>7966</v>
      </c>
      <c r="K2721" s="26"/>
      <c r="N2721" s="6"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c>
      <c r="O2721" s="6" t="s">
        <v>8574</v>
      </c>
      <c r="P2721" s="6" t="s">
        <v>8574</v>
      </c>
    </row>
    <row r="2722" spans="1:17" ht="30" x14ac:dyDescent="0.25">
      <c r="A2722" s="5" t="str">
        <f>IF(TRIM(I2722)="","",E2722)</f>
        <v>InitialViewPitchDegrees</v>
      </c>
      <c r="B2722" s="5" t="str">
        <f>IF(TRIM(J2722)="","",H2722)</f>
        <v>The pitch angle of the initial view in degrees.</v>
      </c>
      <c r="C2722" s="5" t="str">
        <f>LEFT(F2722,FIND(".",F2722,6))</f>
        <v>Xmp.GPano.</v>
      </c>
      <c r="D2722" s="5" t="str">
        <f>VLOOKUP(C2722,PrefixUebersetzung,2,FALSE)</f>
        <v>Xmp.GPano.</v>
      </c>
      <c r="E2722" s="5" t="str">
        <f>MID(F2722,FIND(".",F2722,6)+1,99)</f>
        <v>InitialViewPitchDegrees</v>
      </c>
      <c r="F2722" s="2" t="s">
        <v>7593</v>
      </c>
      <c r="G2722" s="5" t="s">
        <v>9678</v>
      </c>
      <c r="H2722" s="3" t="s">
        <v>7594</v>
      </c>
      <c r="I2722" s="7" t="s">
        <v>7969</v>
      </c>
      <c r="J2722" s="33" t="s">
        <v>7967</v>
      </c>
      <c r="K2722" s="26"/>
      <c r="N2722" s="6"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c>
      <c r="O2722" s="6" t="s">
        <v>8574</v>
      </c>
      <c r="P2722" s="6" t="s">
        <v>8574</v>
      </c>
      <c r="Q2722" s="6" t="s">
        <v>9528</v>
      </c>
    </row>
    <row r="2723" spans="1:17" x14ac:dyDescent="0.25">
      <c r="A2723" s="5" t="str">
        <f>IF(TRIM(I2723)="","",E2723)</f>
        <v>InitialViewRollDegrees</v>
      </c>
      <c r="B2723" s="5" t="str">
        <f>IF(TRIM(J2723)="","",H2723)</f>
        <v>The roll angle of the initial view in degrees.</v>
      </c>
      <c r="C2723" s="5" t="str">
        <f>LEFT(F2723,FIND(".",F2723,6))</f>
        <v>Xmp.GPano.</v>
      </c>
      <c r="D2723" s="5" t="str">
        <f>VLOOKUP(C2723,PrefixUebersetzung,2,FALSE)</f>
        <v>Xmp.GPano.</v>
      </c>
      <c r="E2723" s="5" t="str">
        <f>MID(F2723,FIND(".",F2723,6)+1,99)</f>
        <v>InitialViewRollDegrees</v>
      </c>
      <c r="F2723" s="2" t="s">
        <v>7595</v>
      </c>
      <c r="G2723" s="5" t="s">
        <v>9678</v>
      </c>
      <c r="H2723" s="3" t="s">
        <v>7596</v>
      </c>
      <c r="I2723" s="7" t="s">
        <v>7893</v>
      </c>
      <c r="J2723" s="33" t="s">
        <v>7968</v>
      </c>
      <c r="K2723" s="26"/>
      <c r="N2723" s="6"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c>
      <c r="O2723" s="6" t="s">
        <v>8574</v>
      </c>
      <c r="P2723" s="6" t="s">
        <v>8574</v>
      </c>
    </row>
    <row r="2724" spans="1:17" ht="30" x14ac:dyDescent="0.25">
      <c r="A2724" s="5" t="str">
        <f>IF(TRIM(I2724)="","",E2724)</f>
        <v>LastPhotoDate</v>
      </c>
      <c r="B2724" s="5" t="str">
        <f>IF(TRIM(J2724)="","",H2724)</f>
        <v>Date and time for the last image created in the panorama.</v>
      </c>
      <c r="C2724" s="5" t="str">
        <f>LEFT(F2724,FIND(".",F2724,6))</f>
        <v>Xmp.GPano.</v>
      </c>
      <c r="D2724" s="5" t="str">
        <f>VLOOKUP(C2724,PrefixUebersetzung,2,FALSE)</f>
        <v>Xmp.GPano.</v>
      </c>
      <c r="E2724" s="5" t="str">
        <f>MID(F2724,FIND(".",F2724,6)+1,99)</f>
        <v>LastPhotoDate</v>
      </c>
      <c r="F2724" s="2" t="s">
        <v>7597</v>
      </c>
      <c r="G2724" s="5" t="s">
        <v>9678</v>
      </c>
      <c r="H2724" s="3" t="s">
        <v>7598</v>
      </c>
      <c r="I2724" s="7" t="s">
        <v>7894</v>
      </c>
      <c r="J2724" s="33" t="s">
        <v>7965</v>
      </c>
      <c r="K2724" s="26"/>
      <c r="N2724" s="6"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c>
      <c r="O2724" s="6" t="s">
        <v>8574</v>
      </c>
      <c r="P2724" s="6" t="s">
        <v>8574</v>
      </c>
      <c r="Q2724" s="6" t="s">
        <v>9091</v>
      </c>
    </row>
    <row r="2725" spans="1:17" ht="30" x14ac:dyDescent="0.25">
      <c r="A2725" s="5" t="str">
        <f>IF(TRIM(I2725)="","",E2725)</f>
        <v>PoseHeadingDegrees</v>
      </c>
      <c r="B2725" s="5" t="str">
        <f>IF(TRIM(J2725)="","",H2725)</f>
        <v>Compass heading, measured in degrees, for the center the image. Value must be &gt;= 0 and &lt; 360.</v>
      </c>
      <c r="C2725" s="5" t="str">
        <f>LEFT(F2725,FIND(".",F2725,6))</f>
        <v>Xmp.GPano.</v>
      </c>
      <c r="D2725" s="5" t="str">
        <f>VLOOKUP(C2725,PrefixUebersetzung,2,FALSE)</f>
        <v>Xmp.GPano.</v>
      </c>
      <c r="E2725" s="5" t="str">
        <f>MID(F2725,FIND(".",F2725,6)+1,99)</f>
        <v>PoseHeadingDegrees</v>
      </c>
      <c r="F2725" s="2" t="s">
        <v>7599</v>
      </c>
      <c r="G2725" s="5" t="s">
        <v>9678</v>
      </c>
      <c r="H2725" s="3" t="s">
        <v>7600</v>
      </c>
      <c r="I2725" s="7" t="s">
        <v>7895</v>
      </c>
      <c r="J2725" s="33" t="s">
        <v>7964</v>
      </c>
      <c r="K2725" s="26"/>
      <c r="N2725" s="6"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c r="O2725" s="6" t="s">
        <v>8574</v>
      </c>
      <c r="P2725" s="6" t="s">
        <v>8574</v>
      </c>
    </row>
    <row r="2726" spans="1:17" ht="30" x14ac:dyDescent="0.25">
      <c r="A2726" s="5" t="str">
        <f>IF(TRIM(I2726)="","",E2726)</f>
        <v>PosePitchDegrees</v>
      </c>
      <c r="B2726" s="5" t="str">
        <f>IF(TRIM(J2726)="","",H2726)</f>
        <v>Pitch, measured in degrees, for the center in the image. Value must be &gt;= -90 and &lt;= 90.</v>
      </c>
      <c r="C2726" s="5" t="str">
        <f>LEFT(F2726,FIND(".",F2726,6))</f>
        <v>Xmp.GPano.</v>
      </c>
      <c r="D2726" s="5" t="str">
        <f>VLOOKUP(C2726,PrefixUebersetzung,2,FALSE)</f>
        <v>Xmp.GPano.</v>
      </c>
      <c r="E2726" s="5" t="str">
        <f>MID(F2726,FIND(".",F2726,6)+1,99)</f>
        <v>PosePitchDegrees</v>
      </c>
      <c r="F2726" s="2" t="s">
        <v>7601</v>
      </c>
      <c r="G2726" s="5" t="s">
        <v>9678</v>
      </c>
      <c r="H2726" s="3" t="s">
        <v>7602</v>
      </c>
      <c r="I2726" s="7" t="s">
        <v>7963</v>
      </c>
      <c r="J2726" s="33" t="s">
        <v>7962</v>
      </c>
      <c r="K2726" s="26"/>
      <c r="N2726" s="6"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c r="O2726" s="6" t="s">
        <v>8574</v>
      </c>
      <c r="P2726" s="6" t="s">
        <v>8574</v>
      </c>
    </row>
    <row r="2727" spans="1:17" ht="30" x14ac:dyDescent="0.25">
      <c r="A2727" s="5" t="str">
        <f>IF(TRIM(I2727)="","",E2727)</f>
        <v>PoseRollDegrees</v>
      </c>
      <c r="B2727" s="5" t="str">
        <f>IF(TRIM(J2727)="","",H2727)</f>
        <v>Roll, measured in degrees, of the image where level with the horizon is 0. Value must be &gt; -180 and &lt;= 180.</v>
      </c>
      <c r="C2727" s="5" t="str">
        <f>LEFT(F2727,FIND(".",F2727,6))</f>
        <v>Xmp.GPano.</v>
      </c>
      <c r="D2727" s="5" t="str">
        <f>VLOOKUP(C2727,PrefixUebersetzung,2,FALSE)</f>
        <v>Xmp.GPano.</v>
      </c>
      <c r="E2727" s="5" t="str">
        <f>MID(F2727,FIND(".",F2727,6)+1,99)</f>
        <v>PoseRollDegrees</v>
      </c>
      <c r="F2727" s="2" t="s">
        <v>7603</v>
      </c>
      <c r="G2727" s="5" t="s">
        <v>9678</v>
      </c>
      <c r="H2727" s="3" t="s">
        <v>7604</v>
      </c>
      <c r="I2727" s="7" t="s">
        <v>7896</v>
      </c>
      <c r="J2727" s="33" t="s">
        <v>7961</v>
      </c>
      <c r="K2727" s="26"/>
      <c r="N2727" s="6"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c r="O2727" s="6" t="s">
        <v>8574</v>
      </c>
      <c r="P2727" s="6" t="s">
        <v>8574</v>
      </c>
    </row>
    <row r="2728" spans="1:17" ht="45" x14ac:dyDescent="0.25">
      <c r="A2728" s="5" t="str">
        <f>IF(TRIM(I2728)="","",E2728)</f>
        <v>ProjectionType</v>
      </c>
      <c r="B2728" s="5" t="str">
        <f>IF(TRIM(J2728)="","",H2728)</f>
        <v>Projection type used in the image file. Google products currently support the value equirectangular.</v>
      </c>
      <c r="C2728" s="5" t="str">
        <f>LEFT(F2728,FIND(".",F2728,6))</f>
        <v>Xmp.GPano.</v>
      </c>
      <c r="D2728" s="5" t="str">
        <f>VLOOKUP(C2728,PrefixUebersetzung,2,FALSE)</f>
        <v>Xmp.GPano.</v>
      </c>
      <c r="E2728" s="5" t="str">
        <f>MID(F2728,FIND(".",F2728,6)+1,99)</f>
        <v>ProjectionType</v>
      </c>
      <c r="F2728" s="2" t="s">
        <v>7605</v>
      </c>
      <c r="G2728" s="5" t="s">
        <v>9678</v>
      </c>
      <c r="H2728" s="3" t="s">
        <v>7606</v>
      </c>
      <c r="I2728" s="7" t="s">
        <v>7897</v>
      </c>
      <c r="J2728" s="33" t="s">
        <v>7960</v>
      </c>
      <c r="K2728" s="26"/>
      <c r="N2728" s="6"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c r="O2728" s="6" t="s">
        <v>8574</v>
      </c>
      <c r="P2728" s="6" t="s">
        <v>8574</v>
      </c>
    </row>
    <row r="2729" spans="1:17" ht="30" x14ac:dyDescent="0.25">
      <c r="A2729" s="5" t="str">
        <f>IF(TRIM(I2729)="","",E2729)</f>
        <v>SourcePhotosCount</v>
      </c>
      <c r="B2729" s="5" t="str">
        <f>IF(TRIM(J2729)="","",H2729)</f>
        <v>Number of source images used to create the panorama</v>
      </c>
      <c r="C2729" s="5" t="str">
        <f>LEFT(F2729,FIND(".",F2729,6))</f>
        <v>Xmp.GPano.</v>
      </c>
      <c r="D2729" s="5" t="str">
        <f>VLOOKUP(C2729,PrefixUebersetzung,2,FALSE)</f>
        <v>Xmp.GPano.</v>
      </c>
      <c r="E2729" s="5" t="str">
        <f>MID(F2729,FIND(".",F2729,6)+1,99)</f>
        <v>SourcePhotosCount</v>
      </c>
      <c r="F2729" s="2" t="s">
        <v>7607</v>
      </c>
      <c r="G2729" s="5" t="s">
        <v>9678</v>
      </c>
      <c r="H2729" s="3" t="s">
        <v>7608</v>
      </c>
      <c r="I2729" s="7" t="s">
        <v>7898</v>
      </c>
      <c r="J2729" s="33" t="s">
        <v>7959</v>
      </c>
      <c r="K2729" s="26"/>
      <c r="N2729" s="6"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c r="O2729" s="6" t="s">
        <v>8574</v>
      </c>
      <c r="P2729" s="6" t="s">
        <v>8574</v>
      </c>
    </row>
    <row r="2730" spans="1:17" ht="60" x14ac:dyDescent="0.25">
      <c r="A2730" s="5" t="str">
        <f>IF(TRIM(I2730)="","",E2730)</f>
        <v>StitchingSoftware</v>
      </c>
      <c r="B2730" s="5" t="str">
        <f>IF(TRIM(J2730)="","",H2730)</f>
        <v>The software that was used to create the final panorama. This may sometimes be the same value as that of  GPano:CaptureSoftware.</v>
      </c>
      <c r="C2730" s="5" t="str">
        <f>LEFT(F2730,FIND(".",F2730,6))</f>
        <v>Xmp.GPano.</v>
      </c>
      <c r="D2730" s="5" t="str">
        <f>VLOOKUP(C2730,PrefixUebersetzung,2,FALSE)</f>
        <v>Xmp.GPano.</v>
      </c>
      <c r="E2730" s="5" t="str">
        <f>MID(F2730,FIND(".",F2730,6)+1,99)</f>
        <v>StitchingSoftware</v>
      </c>
      <c r="F2730" s="2" t="s">
        <v>7609</v>
      </c>
      <c r="G2730" s="5" t="s">
        <v>9678</v>
      </c>
      <c r="H2730" s="3" t="s">
        <v>7610</v>
      </c>
      <c r="I2730" s="7" t="s">
        <v>7899</v>
      </c>
      <c r="J2730" s="33" t="s">
        <v>7958</v>
      </c>
      <c r="K2730" s="26"/>
      <c r="N2730" s="6"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c r="O2730" s="6" t="s">
        <v>8574</v>
      </c>
      <c r="P2730" s="6" t="s">
        <v>8574</v>
      </c>
    </row>
    <row r="2731" spans="1:17" ht="90" x14ac:dyDescent="0.25">
      <c r="A2731" s="5" t="str">
        <f>IF(TRIM(I2731)="","",E2731)</f>
        <v>UsePanoramaViewer</v>
      </c>
      <c r="B2731" s="5" t="str">
        <f>IF(TRIM(J2731)="","",H2731)</f>
        <v>Whether to show this image in a panorama viewer rather than as a normal flat image. This may be specified based on user preferences or by the stitching software. The application displaying or ingesting the image may choose to ignore this.</v>
      </c>
      <c r="C2731" s="5" t="str">
        <f>LEFT(F2731,FIND(".",F2731,6))</f>
        <v>Xmp.GPano.</v>
      </c>
      <c r="D2731" s="5" t="str">
        <f>VLOOKUP(C2731,PrefixUebersetzung,2,FALSE)</f>
        <v>Xmp.GPano.</v>
      </c>
      <c r="E2731" s="5" t="str">
        <f>MID(F2731,FIND(".",F2731,6)+1,99)</f>
        <v>UsePanoramaViewer</v>
      </c>
      <c r="F2731" s="2" t="s">
        <v>7611</v>
      </c>
      <c r="G2731" s="5" t="s">
        <v>9678</v>
      </c>
      <c r="H2731" s="3" t="s">
        <v>7612</v>
      </c>
      <c r="I2731" s="7" t="s">
        <v>7900</v>
      </c>
      <c r="J2731" s="33" t="s">
        <v>7957</v>
      </c>
      <c r="K2731" s="26"/>
      <c r="N2731" s="6"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c>
      <c r="O2731" s="6" t="s">
        <v>8574</v>
      </c>
      <c r="P2731" s="6" t="s">
        <v>8574</v>
      </c>
    </row>
    <row r="2732" spans="1:17" ht="30" x14ac:dyDescent="0.25">
      <c r="A2732" s="5" t="str">
        <f>IF(TRIM(I2732)="","",E2732)</f>
        <v>CiAdrCity</v>
      </c>
      <c r="B2732" s="5" t="str">
        <f>IF(TRIM(J2732)="","",H2732)</f>
        <v>sub-key Creator Contact Info: city.</v>
      </c>
      <c r="C2732" s="5" t="str">
        <f>LEFT(F2732,FIND(".",F2732,6))</f>
        <v>Xmp.iptc.</v>
      </c>
      <c r="D2732" s="5" t="str">
        <f>VLOOKUP(C2732,PrefixUebersetzung,2,FALSE)</f>
        <v>Xmp.iptc.</v>
      </c>
      <c r="E2732" s="5" t="str">
        <f>MID(F2732,FIND(".",F2732,6)+1,99)</f>
        <v>CiAdrCity</v>
      </c>
      <c r="F2732" s="5" t="s">
        <v>1792</v>
      </c>
      <c r="G2732" s="5" t="s">
        <v>9678</v>
      </c>
      <c r="H2732" s="3" t="s">
        <v>9626</v>
      </c>
      <c r="I2732" s="7" t="s">
        <v>5179</v>
      </c>
      <c r="J2732" s="14" t="s">
        <v>5179</v>
      </c>
      <c r="K2732" s="26"/>
      <c r="L2732" s="6" t="str">
        <f>IFERROR(VLOOKUP(E2732,A:I,9, FALSE),"")</f>
        <v>Kontaktinformation Stadt/Ort</v>
      </c>
      <c r="M2732" s="6" t="str">
        <f>IFERROR(VLOOKUP(H2732,B:J,9,FALSE),"")</f>
        <v>Kontaktinformation Stadt/Ort</v>
      </c>
      <c r="N2732" s="6"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c>
      <c r="O2732" s="6" t="s">
        <v>8574</v>
      </c>
      <c r="P2732" s="6" t="s">
        <v>8574</v>
      </c>
    </row>
    <row r="2733" spans="1:17" ht="30" x14ac:dyDescent="0.25">
      <c r="A2733" s="5" t="str">
        <f>IF(TRIM(I2733)="","",E2733)</f>
        <v>CiAdrCtry</v>
      </c>
      <c r="B2733" s="5" t="str">
        <f>IF(TRIM(J2733)="","",H2733)</f>
        <v>sub-key Creator Contact Info: country.</v>
      </c>
      <c r="C2733" s="5" t="str">
        <f>LEFT(F2733,FIND(".",F2733,6))</f>
        <v>Xmp.iptc.</v>
      </c>
      <c r="D2733" s="5" t="str">
        <f>VLOOKUP(C2733,PrefixUebersetzung,2,FALSE)</f>
        <v>Xmp.iptc.</v>
      </c>
      <c r="E2733" s="5" t="str">
        <f>MID(F2733,FIND(".",F2733,6)+1,99)</f>
        <v>CiAdrCtry</v>
      </c>
      <c r="F2733" s="5" t="s">
        <v>1793</v>
      </c>
      <c r="G2733" s="5" t="s">
        <v>9678</v>
      </c>
      <c r="H2733" s="3" t="s">
        <v>9627</v>
      </c>
      <c r="I2733" s="7" t="s">
        <v>5178</v>
      </c>
      <c r="J2733" s="14" t="s">
        <v>5178</v>
      </c>
      <c r="K2733" s="26"/>
      <c r="L2733" s="6" t="str">
        <f>IFERROR(VLOOKUP(E2733,A:I,9, FALSE),"")</f>
        <v>Kontaktinformation Land (Staat)</v>
      </c>
      <c r="M2733" s="6" t="str">
        <f>IFERROR(VLOOKUP(H2733,B:J,9,FALSE),"")</f>
        <v>Kontaktinformation Land (Staat)</v>
      </c>
      <c r="N2733" s="6"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c>
      <c r="O2733" s="6" t="s">
        <v>8574</v>
      </c>
      <c r="P2733" s="6" t="s">
        <v>8574</v>
      </c>
    </row>
    <row r="2734" spans="1:17" ht="75" x14ac:dyDescent="0.25">
      <c r="A2734" s="5" t="str">
        <f>IF(TRIM(I2734)="","",E2734)</f>
        <v>CiAdrExtadr</v>
      </c>
      <c r="B2734" s="5" t="str">
        <f>IF(TRIM(J2734)="","",H2734)</f>
        <v>sub-key Creator Contact Info: address. Comprises an optional company name and all required information to locate the building or postbox to which mail should be sent.</v>
      </c>
      <c r="C2734" s="5" t="str">
        <f>LEFT(F2734,FIND(".",F2734,6))</f>
        <v>Xmp.iptc.</v>
      </c>
      <c r="D2734" s="5" t="str">
        <f>VLOOKUP(C2734,PrefixUebersetzung,2,FALSE)</f>
        <v>Xmp.iptc.</v>
      </c>
      <c r="E2734" s="5" t="str">
        <f>MID(F2734,FIND(".",F2734,6)+1,99)</f>
        <v>CiAdrExtadr</v>
      </c>
      <c r="F2734" s="5" t="s">
        <v>1794</v>
      </c>
      <c r="G2734" s="5" t="s">
        <v>9678</v>
      </c>
      <c r="H2734" s="3" t="s">
        <v>9628</v>
      </c>
      <c r="I2734" s="7" t="s">
        <v>4541</v>
      </c>
      <c r="J2734" s="14" t="s">
        <v>6683</v>
      </c>
      <c r="K2734" s="26"/>
      <c r="L2734" s="6" t="str">
        <f>IFERROR(VLOOKUP(E2734,A:I,9, FALSE),"")</f>
        <v>Kontaktinformation Adresse</v>
      </c>
      <c r="M2734" s="6" t="str">
        <f>IFERROR(VLOOKUP(H2734,B:J,9,FALSE),"")</f>
        <v>Kontaktinformation Adresse. Umfasst einen optionalen Firmennamen und alle erforderlichen Informationen, um Post an ein Gebäude oder Postfach senden zu können.</v>
      </c>
      <c r="N2734" s="6"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c r="O2734" s="6" t="s">
        <v>8574</v>
      </c>
      <c r="P2734" s="6" t="s">
        <v>8574</v>
      </c>
    </row>
    <row r="2735" spans="1:17" ht="30" x14ac:dyDescent="0.25">
      <c r="A2735" s="5" t="str">
        <f>IF(TRIM(I2735)="","",E2735)</f>
        <v>CiAdrPcode</v>
      </c>
      <c r="B2735" s="5" t="str">
        <f>IF(TRIM(J2735)="","",H2735)</f>
        <v>sub-key Creator Contact Info: local postal code.</v>
      </c>
      <c r="C2735" s="5" t="str">
        <f>LEFT(F2735,FIND(".",F2735,6))</f>
        <v>Xmp.iptc.</v>
      </c>
      <c r="D2735" s="5" t="str">
        <f>VLOOKUP(C2735,PrefixUebersetzung,2,FALSE)</f>
        <v>Xmp.iptc.</v>
      </c>
      <c r="E2735" s="5" t="str">
        <f>MID(F2735,FIND(".",F2735,6)+1,99)</f>
        <v>CiAdrPcode</v>
      </c>
      <c r="F2735" s="5" t="s">
        <v>1795</v>
      </c>
      <c r="G2735" s="5" t="s">
        <v>9678</v>
      </c>
      <c r="H2735" s="3" t="s">
        <v>9629</v>
      </c>
      <c r="I2735" s="7" t="s">
        <v>4542</v>
      </c>
      <c r="J2735" s="14" t="s">
        <v>4542</v>
      </c>
      <c r="K2735" s="26"/>
      <c r="L2735" s="6" t="str">
        <f>IFERROR(VLOOKUP(E2735,A:I,9, FALSE),"")</f>
        <v>Kontaktinformation Postleitzahl</v>
      </c>
      <c r="M2735" s="6" t="str">
        <f>IFERROR(VLOOKUP(H2735,B:J,9,FALSE),"")</f>
        <v>Kontaktinformation Postleitzahl</v>
      </c>
      <c r="N2735" s="6"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c>
      <c r="O2735" s="6" t="s">
        <v>8574</v>
      </c>
      <c r="P2735" s="6" t="s">
        <v>8574</v>
      </c>
    </row>
    <row r="2736" spans="1:17" ht="30" x14ac:dyDescent="0.25">
      <c r="A2736" s="5" t="str">
        <f>IF(TRIM(I2736)="","",E2736)</f>
        <v>CiAdrRegion</v>
      </c>
      <c r="B2736" s="5" t="str">
        <f>IF(TRIM(J2736)="","",H2736)</f>
        <v>sub-key Creator Contact Info: state or province.</v>
      </c>
      <c r="C2736" s="5" t="str">
        <f>LEFT(F2736,FIND(".",F2736,6))</f>
        <v>Xmp.iptc.</v>
      </c>
      <c r="D2736" s="5" t="str">
        <f>VLOOKUP(C2736,PrefixUebersetzung,2,FALSE)</f>
        <v>Xmp.iptc.</v>
      </c>
      <c r="E2736" s="5" t="str">
        <f>MID(F2736,FIND(".",F2736,6)+1,99)</f>
        <v>CiAdrRegion</v>
      </c>
      <c r="F2736" s="5" t="s">
        <v>1796</v>
      </c>
      <c r="G2736" s="5" t="s">
        <v>9678</v>
      </c>
      <c r="H2736" s="3" t="s">
        <v>9630</v>
      </c>
      <c r="I2736" s="7" t="s">
        <v>4543</v>
      </c>
      <c r="J2736" s="14" t="s">
        <v>5264</v>
      </c>
      <c r="K2736" s="26"/>
      <c r="L2736" s="6" t="str">
        <f>IFERROR(VLOOKUP(E2736,A:I,9, FALSE),"")</f>
        <v>Kontaktinformation Region</v>
      </c>
      <c r="M2736" s="6" t="str">
        <f>IFERROR(VLOOKUP(H2736,B:J,9,FALSE),"")</f>
        <v>Kontaktinformation Region (z.B. Bundesland, Kanton)</v>
      </c>
      <c r="N2736" s="6"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c>
      <c r="O2736" s="6" t="s">
        <v>8574</v>
      </c>
      <c r="P2736" s="6" t="s">
        <v>8574</v>
      </c>
    </row>
    <row r="2737" spans="1:16" ht="60" x14ac:dyDescent="0.25">
      <c r="A2737" s="5" t="str">
        <f>IF(TRIM(I2737)="","",E2737)</f>
        <v>CiEmailWork</v>
      </c>
      <c r="B2737" s="5" t="str">
        <f>IF(TRIM(J2737)="","",H2737)</f>
        <v>sub-key Creator Contact Info: email address.</v>
      </c>
      <c r="C2737" s="5" t="str">
        <f>LEFT(F2737,FIND(".",F2737,6))</f>
        <v>Xmp.iptc.</v>
      </c>
      <c r="D2737" s="5" t="str">
        <f>VLOOKUP(C2737,PrefixUebersetzung,2,FALSE)</f>
        <v>Xmp.iptc.</v>
      </c>
      <c r="E2737" s="5" t="str">
        <f>MID(F2737,FIND(".",F2737,6)+1,99)</f>
        <v>CiEmailWork</v>
      </c>
      <c r="F2737" s="5" t="s">
        <v>1797</v>
      </c>
      <c r="G2737" s="5" t="s">
        <v>9678</v>
      </c>
      <c r="H2737" s="3" t="s">
        <v>9631</v>
      </c>
      <c r="I2737" s="7" t="s">
        <v>4544</v>
      </c>
      <c r="J2737" s="14" t="s">
        <v>5661</v>
      </c>
      <c r="K2737" s="26"/>
      <c r="L2737" s="6" t="str">
        <f>IFERROR(VLOOKUP(E2737,A:I,9, FALSE),"")</f>
        <v>Kontaktinformation eMail (Arbeit)</v>
      </c>
      <c r="M2737" s="6" t="str">
        <f>IFERROR(VLOOKUP(H2737,B:J,9,FALSE),"")</f>
        <v>Kontaktinformation eMail (Arbeitsplatz); mehrere Adressen können eingegeben werden, durch ein Komma getrennt.</v>
      </c>
      <c r="N2737" s="6"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c r="O2737" s="6" t="s">
        <v>8574</v>
      </c>
      <c r="P2737" s="6" t="s">
        <v>8574</v>
      </c>
    </row>
    <row r="2738" spans="1:16" ht="60" x14ac:dyDescent="0.25">
      <c r="A2738" s="5" t="str">
        <f>IF(TRIM(I2738)="","",E2738)</f>
        <v>CiTelWork</v>
      </c>
      <c r="B2738" s="5" t="str">
        <f>IF(TRIM(J2738)="","",H2738)</f>
        <v>sub-key Creator Contact Info: phone number.</v>
      </c>
      <c r="C2738" s="5" t="str">
        <f>LEFT(F2738,FIND(".",F2738,6))</f>
        <v>Xmp.iptc.</v>
      </c>
      <c r="D2738" s="5" t="str">
        <f>VLOOKUP(C2738,PrefixUebersetzung,2,FALSE)</f>
        <v>Xmp.iptc.</v>
      </c>
      <c r="E2738" s="5" t="str">
        <f>MID(F2738,FIND(".",F2738,6)+1,99)</f>
        <v>CiTelWork</v>
      </c>
      <c r="F2738" s="5" t="s">
        <v>1798</v>
      </c>
      <c r="G2738" s="5" t="s">
        <v>9678</v>
      </c>
      <c r="H2738" s="3" t="s">
        <v>9632</v>
      </c>
      <c r="I2738" s="7" t="s">
        <v>4545</v>
      </c>
      <c r="J2738" s="14" t="s">
        <v>5266</v>
      </c>
      <c r="K2738" s="26"/>
      <c r="L2738" s="6" t="str">
        <f>IFERROR(VLOOKUP(E2738,A:I,9, FALSE),"")</f>
        <v>Kontaktinformation Tel (Arbeit)</v>
      </c>
      <c r="M2738" s="6" t="str">
        <f>IFERROR(VLOOKUP(H2738,B:J,9,FALSE),"")</f>
        <v>Kontaktinformation Telefon (Arbeitsplatz); Mehrere Nummern können eingegeben werden, durch ein Komma getrennt.</v>
      </c>
      <c r="N2738" s="6"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c>
      <c r="O2738" s="6" t="s">
        <v>8574</v>
      </c>
      <c r="P2738" s="6" t="s">
        <v>8574</v>
      </c>
    </row>
    <row r="2739" spans="1:16" ht="30" x14ac:dyDescent="0.25">
      <c r="A2739" s="5" t="str">
        <f>IF(TRIM(I2739)="","",E2739)</f>
        <v>CiUrlWork</v>
      </c>
      <c r="B2739" s="5" t="str">
        <f>IF(TRIM(J2739)="","",H2739)</f>
        <v>sub-key Creator Contact Info: web address.</v>
      </c>
      <c r="C2739" s="5" t="str">
        <f>LEFT(F2739,FIND(".",F2739,6))</f>
        <v>Xmp.iptc.</v>
      </c>
      <c r="D2739" s="5" t="str">
        <f>VLOOKUP(C2739,PrefixUebersetzung,2,FALSE)</f>
        <v>Xmp.iptc.</v>
      </c>
      <c r="E2739" s="5" t="str">
        <f>MID(F2739,FIND(".",F2739,6)+1,99)</f>
        <v>CiUrlWork</v>
      </c>
      <c r="F2739" s="5" t="s">
        <v>1799</v>
      </c>
      <c r="G2739" s="5" t="s">
        <v>9678</v>
      </c>
      <c r="H2739" s="3" t="s">
        <v>9633</v>
      </c>
      <c r="I2739" s="7" t="s">
        <v>4546</v>
      </c>
      <c r="J2739" s="14" t="s">
        <v>5265</v>
      </c>
      <c r="K2739" s="26"/>
      <c r="L2739" s="6" t="str">
        <f>IFERROR(VLOOKUP(E2739,A:I,9, FALSE),"")</f>
        <v>Kontaktinformation Web-Adr (Arbeit)</v>
      </c>
      <c r="M2739" s="6" t="str">
        <f>IFERROR(VLOOKUP(H2739,B:J,9,FALSE),"")</f>
        <v>Kontaktinformation Web-Adresse (Arbeitsplatz)</v>
      </c>
      <c r="N2739" s="6"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c>
      <c r="O2739" s="6" t="s">
        <v>8574</v>
      </c>
      <c r="P2739" s="6" t="s">
        <v>8574</v>
      </c>
    </row>
    <row r="2740" spans="1:16" ht="150" x14ac:dyDescent="0.25">
      <c r="A2740" s="5" t="str">
        <f>IF(TRIM(I2740)="","",E2740)</f>
        <v/>
      </c>
      <c r="B2740" s="5" t="str">
        <f>IF(TRIM(J2740)="","",H2740)</f>
        <v>(legacy)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v>
      </c>
      <c r="C2740" s="5" t="str">
        <f>LEFT(F2740,FIND(".",F2740,6))</f>
        <v>Xmp.iptc.</v>
      </c>
      <c r="D2740" s="5" t="str">
        <f>VLOOKUP(C2740,PrefixUebersetzung,2,FALSE)</f>
        <v>Xmp.iptc.</v>
      </c>
      <c r="E2740" s="5" t="str">
        <f>MID(F2740,FIND(".",F2740,6)+1,99)</f>
        <v>CountryCode</v>
      </c>
      <c r="F2740" s="5" t="s">
        <v>1800</v>
      </c>
      <c r="G2740" s="5" t="s">
        <v>9678</v>
      </c>
      <c r="H2740" s="3" t="s">
        <v>9634</v>
      </c>
      <c r="I2740" s="7"/>
      <c r="J2740" s="14" t="s">
        <v>5665</v>
      </c>
      <c r="K2740" s="26"/>
      <c r="L2740" s="6" t="str">
        <f>IFERROR(VLOOKUP(E2740,A:I,9, FALSE),"")</f>
        <v>Länderkennzeichen</v>
      </c>
      <c r="M2740" s="6" t="str">
        <f>IFERROR(INDEX(J:J,MATCH(TRUE,INDEX(B:B=H2740,0),0)),"")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2740" s="6"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c r="P2740" s="6" t="s">
        <v>8574</v>
      </c>
    </row>
    <row r="2741" spans="1:16" ht="105" x14ac:dyDescent="0.25">
      <c r="A2741" s="5" t="str">
        <f>IF(TRIM(I2741)="","",E2741)</f>
        <v>CreatorContactInfo</v>
      </c>
      <c r="B2741" s="5" t="str">
        <f>IF(TRIM(J2741)="","",H2741)</f>
        <v>The creator's contact information provides all necessary information to get in contact with the creator of this news object and comprises a set of sub-properties for proper addressing.</v>
      </c>
      <c r="C2741" s="5" t="str">
        <f>LEFT(F2741,FIND(".",F2741,6))</f>
        <v>Xmp.iptc.</v>
      </c>
      <c r="D2741" s="5" t="str">
        <f>VLOOKUP(C2741,PrefixUebersetzung,2,FALSE)</f>
        <v>Xmp.iptc.</v>
      </c>
      <c r="E2741" s="5" t="str">
        <f>MID(F2741,FIND(".",F2741,6)+1,99)</f>
        <v>CreatorContactInfo</v>
      </c>
      <c r="F2741" s="5" t="s">
        <v>1801</v>
      </c>
      <c r="G2741" s="5" t="s">
        <v>9678</v>
      </c>
      <c r="H2741" s="6" t="s">
        <v>3439</v>
      </c>
      <c r="I2741" s="7" t="s">
        <v>4547</v>
      </c>
      <c r="J2741" s="14" t="s">
        <v>5662</v>
      </c>
      <c r="K2741" s="26"/>
      <c r="L2741" s="6" t="str">
        <f>IFERROR(VLOOKUP(E2741,A:I,9, FALSE),"")</f>
        <v>Ersteller Kontaktinformation</v>
      </c>
      <c r="M2741" s="6" t="str">
        <f>IFERROR(VLOOKUP(H2741,B:J,9,FALSE),"")</f>
        <v>Die Kontaktinformation zum Ersteller stellt alle notwendigen Informationen bereit, um mit dem Ersteller dieses Nachrichtenobjekts in Kontakt zu treten und enthält eine Reihe von Unterfeldern für eine ordnungsgemäße Adressierung.</v>
      </c>
      <c r="N2741" s="6"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c>
      <c r="O2741" s="6" t="s">
        <v>8574</v>
      </c>
      <c r="P2741" s="6" t="s">
        <v>8574</v>
      </c>
    </row>
    <row r="2742" spans="1:16" ht="60" x14ac:dyDescent="0.25">
      <c r="A2742" s="5" t="str">
        <f>IF(TRIM(I2742)="","",E2742)</f>
        <v>IntellectualGenre</v>
      </c>
      <c r="B2742" s="5" t="str">
        <f>IF(TRIM(J2742)="","",H2742)</f>
        <v>Describes the nature, intellectual or journalistic characteristic of a news object, not specifically its content.</v>
      </c>
      <c r="C2742" s="5" t="str">
        <f>LEFT(F2742,FIND(".",F2742,6))</f>
        <v>Xmp.iptc.</v>
      </c>
      <c r="D2742" s="5" t="str">
        <f>VLOOKUP(C2742,PrefixUebersetzung,2,FALSE)</f>
        <v>Xmp.iptc.</v>
      </c>
      <c r="E2742" s="5" t="str">
        <f>MID(F2742,FIND(".",F2742,6)+1,99)</f>
        <v>IntellectualGenre</v>
      </c>
      <c r="F2742" s="5" t="s">
        <v>1802</v>
      </c>
      <c r="G2742" s="5" t="s">
        <v>9678</v>
      </c>
      <c r="H2742" s="6" t="s">
        <v>3440</v>
      </c>
      <c r="I2742" s="7" t="s">
        <v>4667</v>
      </c>
      <c r="J2742" s="14" t="s">
        <v>5425</v>
      </c>
      <c r="K2742" s="26"/>
      <c r="L2742" s="6" t="str">
        <f>IFERROR(VLOOKUP(E2742,A:I,9, FALSE),"")</f>
        <v>Intellektuelles Genre</v>
      </c>
      <c r="M2742" s="6" t="str">
        <f>IFERROR(VLOOKUP(H2742,B:J,9,FALSE),"")</f>
        <v>Beschreibt die Art oder geistige oder journalistische Eigenschaft eines Nachrichten-Objekts, nicht speziell dessen Inhalt.</v>
      </c>
      <c r="N2742" s="6"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c>
      <c r="O2742" s="6" t="s">
        <v>8574</v>
      </c>
      <c r="P2742" s="6" t="s">
        <v>8574</v>
      </c>
    </row>
    <row r="2743" spans="1:16" ht="195" x14ac:dyDescent="0.25">
      <c r="A2743" s="5" t="str">
        <f>IF(TRIM(I2743)="","",E2743)</f>
        <v/>
      </c>
      <c r="B2743" s="5" t="str">
        <f>IF(TRIM(J2743)="","",H2743)</f>
        <v>(legacy)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v>
      </c>
      <c r="C2743" s="5" t="str">
        <f>LEFT(F2743,FIND(".",F2743,6))</f>
        <v>Xmp.iptc.</v>
      </c>
      <c r="D2743" s="5" t="str">
        <f>VLOOKUP(C2743,PrefixUebersetzung,2,FALSE)</f>
        <v>Xmp.iptc.</v>
      </c>
      <c r="E2743" s="5" t="str">
        <f>MID(F2743,FIND(".",F2743,6)+1,99)</f>
        <v>Location</v>
      </c>
      <c r="F2743" s="5" t="s">
        <v>1803</v>
      </c>
      <c r="G2743" s="5" t="s">
        <v>9678</v>
      </c>
      <c r="H2743" s="6" t="s">
        <v>9635</v>
      </c>
      <c r="I2743" s="7"/>
      <c r="J2743" s="14" t="s">
        <v>5666</v>
      </c>
      <c r="K2743" s="26"/>
      <c r="L2743" s="6" t="str">
        <f>IFERROR(VLOOKUP(E2743,A:I,9, FALSE),"")</f>
        <v>Ort</v>
      </c>
      <c r="M2743" s="6" t="str">
        <f>IFERROR(INDEX(J:J,MATCH(TRUE,INDEX(B:B=H2743,0),0)),"")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2743" s="6"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c r="P2743" s="6" t="s">
        <v>8574</v>
      </c>
    </row>
    <row r="2744" spans="1:16" ht="90" x14ac:dyDescent="0.25">
      <c r="A2744" s="5" t="str">
        <f>IF(TRIM(I2744)="","",E2744)</f>
        <v>Scene</v>
      </c>
      <c r="B2744" s="5" t="str">
        <f>IF(TRIM(J2744)="","",H2744)</f>
        <v>Describes the scene of a photo content. Specifies one or more terms from the IPTC "Scene-NewsCodes". Each Scene is represented as a string of 6 digits in an unordered list.</v>
      </c>
      <c r="C2744" s="5" t="str">
        <f>LEFT(F2744,FIND(".",F2744,6))</f>
        <v>Xmp.iptc.</v>
      </c>
      <c r="D2744" s="5" t="str">
        <f>VLOOKUP(C2744,PrefixUebersetzung,2,FALSE)</f>
        <v>Xmp.iptc.</v>
      </c>
      <c r="E2744" s="5" t="str">
        <f>MID(F2744,FIND(".",F2744,6)+1,99)</f>
        <v>Scene</v>
      </c>
      <c r="F2744" s="5" t="s">
        <v>1804</v>
      </c>
      <c r="G2744" s="5" t="s">
        <v>9679</v>
      </c>
      <c r="H2744" s="6" t="s">
        <v>3441</v>
      </c>
      <c r="I2744" s="7" t="s">
        <v>4548</v>
      </c>
      <c r="J2744" s="14" t="s">
        <v>5663</v>
      </c>
      <c r="K2744" s="26"/>
      <c r="L2744" s="6" t="str">
        <f>IFERROR(VLOOKUP(E2744,A:I,9, FALSE),"")</f>
        <v>Szene</v>
      </c>
      <c r="M2744" s="6" t="str">
        <f>IFERROR(VLOOKUP(H2744,B:J,9,FALSE),"")</f>
        <v>Beschreibt die Szenerie eines Fotos. Gibt einen oder mehrere Begriffe aus den "IPTC Scene NewsCodes" an. Jede Szenerie wird durch eine Zeichenkette mit 6 Ziffern innerhalb einer ungeordneten Liste angegeben.</v>
      </c>
      <c r="N2744" s="6"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c r="O2744" s="6" t="s">
        <v>8574</v>
      </c>
      <c r="P2744" s="6" t="s">
        <v>8574</v>
      </c>
    </row>
    <row r="2745" spans="1:16" ht="105" x14ac:dyDescent="0.25">
      <c r="A2745" s="5" t="str">
        <f>IF(TRIM(I2745)="","",E2745)</f>
        <v>SubjectCode</v>
      </c>
      <c r="B2745" s="5" t="str">
        <f>IF(TRIM(J2745)="","",H2745)</f>
        <v>Specifies one or more Subjects from the IPTC "Subject-NewsCodes" taxonomy to categorize the content. Each Subject is represented as a string of 8 digits in an unordered list.</v>
      </c>
      <c r="C2745" s="5" t="str">
        <f>LEFT(F2745,FIND(".",F2745,6))</f>
        <v>Xmp.iptc.</v>
      </c>
      <c r="D2745" s="5" t="str">
        <f>VLOOKUP(C2745,PrefixUebersetzung,2,FALSE)</f>
        <v>Xmp.iptc.</v>
      </c>
      <c r="E2745" s="5" t="str">
        <f>MID(F2745,FIND(".",F2745,6)+1,99)</f>
        <v>SubjectCode</v>
      </c>
      <c r="F2745" s="5" t="s">
        <v>1805</v>
      </c>
      <c r="G2745" s="5" t="s">
        <v>9679</v>
      </c>
      <c r="H2745" s="6" t="s">
        <v>3442</v>
      </c>
      <c r="I2745" s="7" t="s">
        <v>4549</v>
      </c>
      <c r="J2745" s="14" t="s">
        <v>5664</v>
      </c>
      <c r="K2745" s="26"/>
      <c r="L2745" s="6" t="str">
        <f>IFERROR(VLOOKUP(E2745,A:I,9, FALSE),"")</f>
        <v>Themen-Code</v>
      </c>
      <c r="M2745" s="6" t="str">
        <f>IFERROR(VLOOKUP(H2745,B:J,9,FALSE),"")</f>
        <v>Gibt einen oder mehrere Themen aus dem feststehenden Vokabular "IPTC Subject NewsCodes" an um den Inhalt zu kategorisieren. Jeder "Code" wird durch einen Zeichenketten mit 8 Ziffern innerhalb einer ungeordneten Liste angegeben.</v>
      </c>
      <c r="N2745" s="6"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c r="O2745" s="6" t="s">
        <v>8574</v>
      </c>
      <c r="P2745" s="6" t="s">
        <v>8574</v>
      </c>
    </row>
    <row r="2746" spans="1:16" ht="30" x14ac:dyDescent="0.25">
      <c r="A2746" s="5" t="str">
        <f>IF(TRIM(I2746)="","",E2746)</f>
        <v/>
      </c>
      <c r="B2746" s="5" t="str">
        <f>IF(TRIM(J2746)="","",H2746)</f>
        <v/>
      </c>
      <c r="C2746" s="5" t="str">
        <f>LEFT(F2746,FIND(".",F2746,6))</f>
        <v>Xmp.Iptc4xmpCore.</v>
      </c>
      <c r="D2746" s="5" t="str">
        <f>VLOOKUP(C2746,PrefixUebersetzung,2,FALSE)</f>
        <v>Xmp.Iptc4xmpCore.</v>
      </c>
      <c r="E2746" s="5" t="str">
        <f>MID(F2746,FIND(".",F2746,6)+1,99)</f>
        <v>CiAdrCity</v>
      </c>
      <c r="F2746" s="5" t="s">
        <v>1806</v>
      </c>
      <c r="G2746" s="5" t="s">
        <v>9678</v>
      </c>
      <c r="H2746" s="6" t="s">
        <v>9626</v>
      </c>
      <c r="I2746" s="7"/>
      <c r="K2746" s="26"/>
      <c r="L2746" s="6" t="str">
        <f>IFERROR(VLOOKUP(E2746,A:I,9, FALSE),"")</f>
        <v>Kontaktinformation Stadt/Ort</v>
      </c>
      <c r="M2746" s="6" t="str">
        <f>IFERROR(VLOOKUP(H2746,B:J,9,FALSE),"")</f>
        <v>Kontaktinformation Stadt/Ort</v>
      </c>
      <c r="N2746" s="6"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row>
    <row r="2747" spans="1:16" ht="30" x14ac:dyDescent="0.25">
      <c r="A2747" s="5" t="str">
        <f>IF(TRIM(I2747)="","",E2747)</f>
        <v/>
      </c>
      <c r="B2747" s="5" t="str">
        <f>IF(TRIM(J2747)="","",H2747)</f>
        <v/>
      </c>
      <c r="C2747" s="5" t="str">
        <f>LEFT(F2747,FIND(".",F2747,6))</f>
        <v>Xmp.Iptc4xmpCore.</v>
      </c>
      <c r="D2747" s="5" t="str">
        <f>VLOOKUP(C2747,PrefixUebersetzung,2,FALSE)</f>
        <v>Xmp.Iptc4xmpCore.</v>
      </c>
      <c r="E2747" s="5" t="str">
        <f>MID(F2747,FIND(".",F2747,6)+1,99)</f>
        <v>CiAdrCtry</v>
      </c>
      <c r="F2747" s="5" t="s">
        <v>1807</v>
      </c>
      <c r="G2747" s="5" t="s">
        <v>9678</v>
      </c>
      <c r="H2747" s="6" t="s">
        <v>9627</v>
      </c>
      <c r="I2747" s="7"/>
      <c r="K2747" s="26"/>
      <c r="L2747" s="6" t="str">
        <f>IFERROR(VLOOKUP(E2747,A:I,9, FALSE),"")</f>
        <v>Kontaktinformation Land (Staat)</v>
      </c>
      <c r="M2747" s="6" t="str">
        <f>IFERROR(VLOOKUP(H2747,B:J,9,FALSE),"")</f>
        <v>Kontaktinformation Land (Staat)</v>
      </c>
      <c r="N2747" s="6"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row>
    <row r="2748" spans="1:16" ht="75" x14ac:dyDescent="0.25">
      <c r="A2748" s="5" t="str">
        <f>IF(TRIM(I2748)="","",E2748)</f>
        <v/>
      </c>
      <c r="B2748" s="5" t="str">
        <f>IF(TRIM(J2748)="","",H2748)</f>
        <v/>
      </c>
      <c r="C2748" s="5" t="str">
        <f>LEFT(F2748,FIND(".",F2748,6))</f>
        <v>Xmp.Iptc4xmpCore.</v>
      </c>
      <c r="D2748" s="5" t="str">
        <f>VLOOKUP(C2748,PrefixUebersetzung,2,FALSE)</f>
        <v>Xmp.Iptc4xmpCore.</v>
      </c>
      <c r="E2748" s="5" t="str">
        <f>MID(F2748,FIND(".",F2748,6)+1,99)</f>
        <v>CiAdrExtadr</v>
      </c>
      <c r="F2748" s="5" t="s">
        <v>1808</v>
      </c>
      <c r="G2748" s="5" t="s">
        <v>9678</v>
      </c>
      <c r="H2748" s="6" t="s">
        <v>9628</v>
      </c>
      <c r="I2748" s="7"/>
      <c r="K2748" s="26"/>
      <c r="L2748" s="6" t="str">
        <f>IFERROR(VLOOKUP(E2748,A:I,9, FALSE),"")</f>
        <v>Kontaktinformation Adresse</v>
      </c>
      <c r="M2748" s="6" t="str">
        <f>IFERROR(VLOOKUP(H2748,B:J,9,FALSE),"")</f>
        <v>Kontaktinformation Adresse. Umfasst einen optionalen Firmennamen und alle erforderlichen Informationen, um Post an ein Gebäude oder Postfach senden zu können.</v>
      </c>
      <c r="N2748" s="6"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row>
    <row r="2749" spans="1:16" ht="30" x14ac:dyDescent="0.25">
      <c r="A2749" s="5" t="str">
        <f>IF(TRIM(I2749)="","",E2749)</f>
        <v/>
      </c>
      <c r="B2749" s="5" t="str">
        <f>IF(TRIM(J2749)="","",H2749)</f>
        <v/>
      </c>
      <c r="C2749" s="5" t="str">
        <f>LEFT(F2749,FIND(".",F2749,6))</f>
        <v>Xmp.Iptc4xmpCore.</v>
      </c>
      <c r="D2749" s="5" t="str">
        <f>VLOOKUP(C2749,PrefixUebersetzung,2,FALSE)</f>
        <v>Xmp.Iptc4xmpCore.</v>
      </c>
      <c r="E2749" s="5" t="str">
        <f>MID(F2749,FIND(".",F2749,6)+1,99)</f>
        <v>CiAdrPcode</v>
      </c>
      <c r="F2749" s="5" t="s">
        <v>1809</v>
      </c>
      <c r="G2749" s="5" t="s">
        <v>9678</v>
      </c>
      <c r="H2749" s="6" t="s">
        <v>9629</v>
      </c>
      <c r="I2749" s="7"/>
      <c r="K2749" s="26"/>
      <c r="L2749" s="6" t="str">
        <f>IFERROR(VLOOKUP(E2749,A:I,9, FALSE),"")</f>
        <v>Kontaktinformation Postleitzahl</v>
      </c>
      <c r="M2749" s="6" t="str">
        <f>IFERROR(VLOOKUP(H2749,B:J,9,FALSE),"")</f>
        <v>Kontaktinformation Postleitzahl</v>
      </c>
      <c r="N2749" s="6"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row>
    <row r="2750" spans="1:16" ht="30" x14ac:dyDescent="0.25">
      <c r="A2750" s="5" t="str">
        <f>IF(TRIM(I2750)="","",E2750)</f>
        <v/>
      </c>
      <c r="B2750" s="5" t="str">
        <f>IF(TRIM(J2750)="","",H2750)</f>
        <v/>
      </c>
      <c r="C2750" s="5" t="str">
        <f>LEFT(F2750,FIND(".",F2750,6))</f>
        <v>Xmp.Iptc4xmpCore.</v>
      </c>
      <c r="D2750" s="5" t="str">
        <f>VLOOKUP(C2750,PrefixUebersetzung,2,FALSE)</f>
        <v>Xmp.Iptc4xmpCore.</v>
      </c>
      <c r="E2750" s="5" t="str">
        <f>MID(F2750,FIND(".",F2750,6)+1,99)</f>
        <v>CiAdrRegion</v>
      </c>
      <c r="F2750" s="5" t="s">
        <v>1810</v>
      </c>
      <c r="G2750" s="5" t="s">
        <v>9678</v>
      </c>
      <c r="H2750" s="6" t="s">
        <v>9630</v>
      </c>
      <c r="I2750" s="7"/>
      <c r="K2750" s="26"/>
      <c r="L2750" s="6" t="str">
        <f>IFERROR(VLOOKUP(E2750,A:I,9, FALSE),"")</f>
        <v>Kontaktinformation Region</v>
      </c>
      <c r="M2750" s="6" t="str">
        <f>IFERROR(VLOOKUP(H2750,B:J,9,FALSE),"")</f>
        <v>Kontaktinformation Region (z.B. Bundesland, Kanton)</v>
      </c>
      <c r="N2750" s="6"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row>
    <row r="2751" spans="1:16" ht="60" x14ac:dyDescent="0.25">
      <c r="A2751" s="5" t="str">
        <f>IF(TRIM(I2751)="","",E2751)</f>
        <v/>
      </c>
      <c r="B2751" s="5" t="str">
        <f>IF(TRIM(J2751)="","",H2751)</f>
        <v/>
      </c>
      <c r="C2751" s="5" t="str">
        <f>LEFT(F2751,FIND(".",F2751,6))</f>
        <v>Xmp.Iptc4xmpCore.</v>
      </c>
      <c r="D2751" s="5" t="str">
        <f>VLOOKUP(C2751,PrefixUebersetzung,2,FALSE)</f>
        <v>Xmp.Iptc4xmpCore.</v>
      </c>
      <c r="E2751" s="5" t="str">
        <f>MID(F2751,FIND(".",F2751,6)+1,99)</f>
        <v>CiEmailWork</v>
      </c>
      <c r="F2751" s="5" t="s">
        <v>1811</v>
      </c>
      <c r="G2751" s="5" t="s">
        <v>9678</v>
      </c>
      <c r="H2751" s="6" t="s">
        <v>9631</v>
      </c>
      <c r="I2751" s="7"/>
      <c r="K2751" s="26"/>
      <c r="L2751" s="6" t="str">
        <f>IFERROR(VLOOKUP(E2751,A:I,9, FALSE),"")</f>
        <v>Kontaktinformation eMail (Arbeit)</v>
      </c>
      <c r="M2751" s="6" t="str">
        <f>IFERROR(VLOOKUP(H2751,B:J,9,FALSE),"")</f>
        <v>Kontaktinformation eMail (Arbeitsplatz); mehrere Adressen können eingegeben werden, durch ein Komma getrennt.</v>
      </c>
      <c r="N2751" s="6"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row>
    <row r="2752" spans="1:16" ht="60" x14ac:dyDescent="0.25">
      <c r="A2752" s="5" t="str">
        <f>IF(TRIM(I2752)="","",E2752)</f>
        <v/>
      </c>
      <c r="B2752" s="5" t="str">
        <f>IF(TRIM(J2752)="","",H2752)</f>
        <v/>
      </c>
      <c r="C2752" s="5" t="str">
        <f>LEFT(F2752,FIND(".",F2752,6))</f>
        <v>Xmp.Iptc4xmpCore.</v>
      </c>
      <c r="D2752" s="5" t="str">
        <f>VLOOKUP(C2752,PrefixUebersetzung,2,FALSE)</f>
        <v>Xmp.Iptc4xmpCore.</v>
      </c>
      <c r="E2752" s="5" t="str">
        <f>MID(F2752,FIND(".",F2752,6)+1,99)</f>
        <v>CiTelWork</v>
      </c>
      <c r="F2752" s="5" t="s">
        <v>1812</v>
      </c>
      <c r="G2752" s="5" t="s">
        <v>9678</v>
      </c>
      <c r="H2752" s="6" t="s">
        <v>9632</v>
      </c>
      <c r="I2752" s="7"/>
      <c r="K2752" s="26"/>
      <c r="L2752" s="6" t="str">
        <f>IFERROR(VLOOKUP(E2752,A:I,9, FALSE),"")</f>
        <v>Kontaktinformation Tel (Arbeit)</v>
      </c>
      <c r="M2752" s="6" t="str">
        <f>IFERROR(VLOOKUP(H2752,B:J,9,FALSE),"")</f>
        <v>Kontaktinformation Telefon (Arbeitsplatz); Mehrere Nummern können eingegeben werden, durch ein Komma getrennt.</v>
      </c>
      <c r="N2752" s="6"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row>
    <row r="2753" spans="1:17" ht="30" x14ac:dyDescent="0.25">
      <c r="A2753" s="5" t="str">
        <f>IF(TRIM(I2753)="","",E2753)</f>
        <v/>
      </c>
      <c r="B2753" s="5" t="str">
        <f>IF(TRIM(J2753)="","",H2753)</f>
        <v/>
      </c>
      <c r="C2753" s="5" t="str">
        <f>LEFT(F2753,FIND(".",F2753,6))</f>
        <v>Xmp.Iptc4xmpCore.</v>
      </c>
      <c r="D2753" s="5" t="str">
        <f>VLOOKUP(C2753,PrefixUebersetzung,2,FALSE)</f>
        <v>Xmp.Iptc4xmpCore.</v>
      </c>
      <c r="E2753" s="5" t="str">
        <f>MID(F2753,FIND(".",F2753,6)+1,99)</f>
        <v>CiUrlWork</v>
      </c>
      <c r="F2753" s="5" t="s">
        <v>1813</v>
      </c>
      <c r="G2753" s="5" t="s">
        <v>9678</v>
      </c>
      <c r="H2753" s="6" t="s">
        <v>9633</v>
      </c>
      <c r="I2753" s="7"/>
      <c r="K2753" s="26"/>
      <c r="L2753" s="6" t="str">
        <f>IFERROR(VLOOKUP(E2753,A:I,9, FALSE),"")</f>
        <v>Kontaktinformation Web-Adr (Arbeit)</v>
      </c>
      <c r="M2753" s="6" t="str">
        <f>IFERROR(VLOOKUP(H2753,B:J,9,FALSE),"")</f>
        <v>Kontaktinformation Web-Adresse (Arbeitsplatz)</v>
      </c>
      <c r="N2753" s="6"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c>
    </row>
    <row r="2754" spans="1:17" ht="150" x14ac:dyDescent="0.25">
      <c r="A2754" s="5" t="str">
        <f>IF(TRIM(I2754)="","",E2754)</f>
        <v/>
      </c>
      <c r="B2754" s="5" t="str">
        <f>IF(TRIM(J2754)="","",H2754)</f>
        <v/>
      </c>
      <c r="C2754" s="5" t="str">
        <f>LEFT(F2754,FIND(".",F2754,6))</f>
        <v>Xmp.Iptc4xmpCore.</v>
      </c>
      <c r="D2754" s="5" t="str">
        <f>VLOOKUP(C2754,PrefixUebersetzung,2,FALSE)</f>
        <v>Xmp.Iptc4xmpCore.</v>
      </c>
      <c r="E2754" s="5" t="str">
        <f>MID(F2754,FIND(".",F2754,6)+1,99)</f>
        <v>CountryCode</v>
      </c>
      <c r="F2754" s="5" t="s">
        <v>1814</v>
      </c>
      <c r="G2754" s="5" t="s">
        <v>9678</v>
      </c>
      <c r="H2754" s="6" t="s">
        <v>9634</v>
      </c>
      <c r="I2754" s="7"/>
      <c r="K2754" s="26"/>
      <c r="L2754" s="6" t="str">
        <f>IFERROR(VLOOKUP(E2754,A:I,9, FALSE),"")</f>
        <v>Länderkennzeichen</v>
      </c>
      <c r="M2754" s="6" t="str">
        <f>IFERROR(INDEX(J:J,MATCH(TRUE,INDEX(B:B=H2754,0),0)),"")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2754" s="6"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c>
    </row>
    <row r="2755" spans="1:17" ht="105" x14ac:dyDescent="0.25">
      <c r="A2755" s="5" t="str">
        <f>IF(TRIM(I2755)="","",E2755)</f>
        <v/>
      </c>
      <c r="B2755" s="5" t="str">
        <f>IF(TRIM(J2755)="","",H2755)</f>
        <v/>
      </c>
      <c r="C2755" s="5" t="str">
        <f>LEFT(F2755,FIND(".",F2755,6))</f>
        <v>Xmp.Iptc4xmpCore.</v>
      </c>
      <c r="D2755" s="5" t="str">
        <f>VLOOKUP(C2755,PrefixUebersetzung,2,FALSE)</f>
        <v>Xmp.Iptc4xmpCore.</v>
      </c>
      <c r="E2755" s="5" t="str">
        <f>MID(F2755,FIND(".",F2755,6)+1,99)</f>
        <v>CreatorContactInfo</v>
      </c>
      <c r="F2755" s="5" t="s">
        <v>1815</v>
      </c>
      <c r="G2755" s="5" t="s">
        <v>9678</v>
      </c>
      <c r="H2755" s="6" t="s">
        <v>3439</v>
      </c>
      <c r="I2755" s="7"/>
      <c r="K2755" s="26"/>
      <c r="L2755" s="6" t="str">
        <f>IFERROR(VLOOKUP(E2755,A:I,9, FALSE),"")</f>
        <v>Ersteller Kontaktinformation</v>
      </c>
      <c r="M2755" s="6" t="str">
        <f>IFERROR(VLOOKUP(H2755,B:J,9,FALSE),"")</f>
        <v>Die Kontaktinformation zum Ersteller stellt alle notwendigen Informationen bereit, um mit dem Ersteller dieses Nachrichtenobjekts in Kontakt zu treten und enthält eine Reihe von Unterfeldern für eine ordnungsgemäße Adressierung.</v>
      </c>
      <c r="N2755" s="6"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c>
    </row>
    <row r="2756" spans="1:17" ht="60" x14ac:dyDescent="0.25">
      <c r="A2756" s="5" t="str">
        <f>IF(TRIM(I2756)="","",E2756)</f>
        <v/>
      </c>
      <c r="B2756" s="5" t="str">
        <f>IF(TRIM(J2756)="","",H2756)</f>
        <v/>
      </c>
      <c r="C2756" s="5" t="str">
        <f>LEFT(F2756,FIND(".",F2756,6))</f>
        <v>Xmp.Iptc4xmpCore.</v>
      </c>
      <c r="D2756" s="5" t="str">
        <f>VLOOKUP(C2756,PrefixUebersetzung,2,FALSE)</f>
        <v>Xmp.Iptc4xmpCore.</v>
      </c>
      <c r="E2756" s="5" t="str">
        <f>MID(F2756,FIND(".",F2756,6)+1,99)</f>
        <v>IntellectualGenre</v>
      </c>
      <c r="F2756" s="5" t="s">
        <v>1816</v>
      </c>
      <c r="G2756" s="5" t="s">
        <v>9678</v>
      </c>
      <c r="H2756" s="6" t="s">
        <v>3440</v>
      </c>
      <c r="I2756" s="7"/>
      <c r="K2756" s="26"/>
      <c r="L2756" s="6" t="str">
        <f>IFERROR(VLOOKUP(E2756,A:I,9, FALSE),"")</f>
        <v>Intellektuelles Genre</v>
      </c>
      <c r="M2756" s="6" t="str">
        <f>IFERROR(VLOOKUP(H2756,B:J,9,FALSE),"")</f>
        <v>Beschreibt die Art oder geistige oder journalistische Eigenschaft eines Nachrichten-Objekts, nicht speziell dessen Inhalt.</v>
      </c>
      <c r="N2756" s="6"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c>
    </row>
    <row r="2757" spans="1:17" ht="195" x14ac:dyDescent="0.25">
      <c r="A2757" s="5" t="str">
        <f>IF(TRIM(I2757)="","",E2757)</f>
        <v/>
      </c>
      <c r="B2757" s="5" t="str">
        <f>IF(TRIM(J2757)="","",H2757)</f>
        <v/>
      </c>
      <c r="C2757" s="5" t="str">
        <f>LEFT(F2757,FIND(".",F2757,6))</f>
        <v>Xmp.Iptc4xmpCore.</v>
      </c>
      <c r="D2757" s="5" t="str">
        <f>VLOOKUP(C2757,PrefixUebersetzung,2,FALSE)</f>
        <v>Xmp.Iptc4xmpCore.</v>
      </c>
      <c r="E2757" s="5" t="str">
        <f>MID(F2757,FIND(".",F2757,6)+1,99)</f>
        <v>Location</v>
      </c>
      <c r="F2757" s="5" t="s">
        <v>1817</v>
      </c>
      <c r="G2757" s="5" t="s">
        <v>9678</v>
      </c>
      <c r="H2757" s="6" t="s">
        <v>9635</v>
      </c>
      <c r="I2757" s="7"/>
      <c r="K2757" s="26"/>
      <c r="L2757" s="6" t="str">
        <f>IFERROR(VLOOKUP(E2757,A:I,9, FALSE),"")</f>
        <v>Ort</v>
      </c>
      <c r="M2757" s="6" t="str">
        <f>IFERROR(INDEX(J:J,MATCH(TRUE,INDEX(B:B=H2757,0),0)),"")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2757" s="6"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row>
    <row r="2758" spans="1:17" ht="90" x14ac:dyDescent="0.25">
      <c r="A2758" s="5" t="str">
        <f>IF(TRIM(I2758)="","",E2758)</f>
        <v/>
      </c>
      <c r="B2758" s="5" t="str">
        <f>IF(TRIM(J2758)="","",H2758)</f>
        <v/>
      </c>
      <c r="C2758" s="5" t="str">
        <f>LEFT(F2758,FIND(".",F2758,6))</f>
        <v>Xmp.Iptc4xmpCore.</v>
      </c>
      <c r="D2758" s="5" t="str">
        <f>VLOOKUP(C2758,PrefixUebersetzung,2,FALSE)</f>
        <v>Xmp.Iptc4xmpCore.</v>
      </c>
      <c r="E2758" s="5" t="str">
        <f>MID(F2758,FIND(".",F2758,6)+1,99)</f>
        <v>Scene</v>
      </c>
      <c r="F2758" s="5" t="s">
        <v>1818</v>
      </c>
      <c r="G2758" s="5" t="s">
        <v>9679</v>
      </c>
      <c r="H2758" s="6" t="s">
        <v>3441</v>
      </c>
      <c r="I2758" s="7"/>
      <c r="K2758" s="26"/>
      <c r="L2758" s="6" t="str">
        <f>IFERROR(VLOOKUP(E2758,A:I,9, FALSE),"")</f>
        <v>Szene</v>
      </c>
      <c r="M2758" s="6" t="str">
        <f>IFERROR(VLOOKUP(H2758,B:J,9,FALSE),"")</f>
        <v>Beschreibt die Szenerie eines Fotos. Gibt einen oder mehrere Begriffe aus den "IPTC Scene NewsCodes" an. Jede Szenerie wird durch eine Zeichenkette mit 6 Ziffern innerhalb einer ungeordneten Liste angegeben.</v>
      </c>
      <c r="N2758" s="6"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row>
    <row r="2759" spans="1:17" ht="105" x14ac:dyDescent="0.25">
      <c r="A2759" s="5" t="str">
        <f>IF(TRIM(I2759)="","",E2759)</f>
        <v/>
      </c>
      <c r="B2759" s="5" t="str">
        <f>IF(TRIM(J2759)="","",H2759)</f>
        <v/>
      </c>
      <c r="C2759" s="5" t="str">
        <f>LEFT(F2759,FIND(".",F2759,6))</f>
        <v>Xmp.Iptc4xmpCore.</v>
      </c>
      <c r="D2759" s="5" t="str">
        <f>VLOOKUP(C2759,PrefixUebersetzung,2,FALSE)</f>
        <v>Xmp.Iptc4xmpCore.</v>
      </c>
      <c r="E2759" s="5" t="str">
        <f>MID(F2759,FIND(".",F2759,6)+1,99)</f>
        <v>SubjectCode</v>
      </c>
      <c r="F2759" s="5" t="s">
        <v>1819</v>
      </c>
      <c r="G2759" s="5" t="s">
        <v>9679</v>
      </c>
      <c r="H2759" s="6" t="s">
        <v>3442</v>
      </c>
      <c r="I2759" s="7"/>
      <c r="K2759" s="26"/>
      <c r="L2759" s="6" t="str">
        <f>IFERROR(VLOOKUP(E2759,A:I,9, FALSE),"")</f>
        <v>Themen-Code</v>
      </c>
      <c r="M2759" s="6" t="str">
        <f>IFERROR(VLOOKUP(H2759,B:J,9,FALSE),"")</f>
        <v>Gibt einen oder mehrere Themen aus dem feststehenden Vokabular "IPTC Subject NewsCodes" an um den Inhalt zu kategorisieren. Jeder "Code" wird durch einen Zeichenketten mit 8 Ziffern innerhalb einer ungeordneten Liste angegeben.</v>
      </c>
      <c r="N2759" s="6"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row>
    <row r="2760" spans="1:17" ht="60" x14ac:dyDescent="0.25">
      <c r="A2760" s="5" t="str">
        <f>IF(TRIM(I2760)="","",E2760)</f>
        <v>AddlModelInfo</v>
      </c>
      <c r="B2760" s="5" t="str">
        <f>IF(TRIM(J2760)="","",H2760)</f>
        <v>Information about the ethnicity and other facts of the model(s) in a model-released image.</v>
      </c>
      <c r="C2760" s="5" t="str">
        <f>LEFT(F2760,FIND(".",F2760,6))</f>
        <v>Xmp.Iptc4xmpExt.</v>
      </c>
      <c r="D2760" s="5" t="str">
        <f>VLOOKUP(C2760,PrefixUebersetzung,2,FALSE)</f>
        <v>Xmp.Iptc4xmpExt.</v>
      </c>
      <c r="E2760" s="5" t="str">
        <f>MID(F2760,FIND(".",F2760,6)+1,99)</f>
        <v>AddlModelInfo</v>
      </c>
      <c r="F2760" s="7" t="s">
        <v>1820</v>
      </c>
      <c r="G2760" s="5" t="s">
        <v>9678</v>
      </c>
      <c r="H2760" s="6" t="s">
        <v>3443</v>
      </c>
      <c r="I2760" s="7" t="s">
        <v>5100</v>
      </c>
      <c r="J2760" s="14" t="s">
        <v>6688</v>
      </c>
      <c r="K2760" s="26"/>
      <c r="L2760" s="6" t="str">
        <f>IFERROR(VLOOKUP(E2760,A:I,9, FALSE),"")</f>
        <v>Modell Info zusätzlich</v>
      </c>
      <c r="M2760" s="6" t="str">
        <f>IFERROR(VLOOKUP(H2760,B:J,9,FALSE),"")</f>
        <v>Informationen über die ethnische Zugehörigkeit und andere Fakten des Modells in einem vom Modell freigegebenen Bild.</v>
      </c>
      <c r="N2760" s="6"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c>
      <c r="O2760" s="6" t="s">
        <v>8574</v>
      </c>
      <c r="P2760" s="6" t="s">
        <v>8574</v>
      </c>
    </row>
    <row r="2761" spans="1:17" ht="120" x14ac:dyDescent="0.25">
      <c r="A2761" s="5" t="str">
        <f>IF(TRIM(I2761)="","",E2761)</f>
        <v>AOCopyrightNotice</v>
      </c>
      <c r="B2761" s="5" t="str">
        <f>IF(TRIM(J2761)="","",H2761)</f>
        <v>Contains any necessary copyright notice for claiming the intellectual property for artwork or an object in the image and should identify the current owner of the copyright of this work with associated intellectual property rights.</v>
      </c>
      <c r="C2761" s="5" t="str">
        <f>LEFT(F2761,FIND(".",F2761,6))</f>
        <v>Xmp.Iptc4xmpExt.</v>
      </c>
      <c r="D2761" s="5" t="str">
        <f>VLOOKUP(C2761,PrefixUebersetzung,2,FALSE)</f>
        <v>Xmp.Iptc4xmpExt.</v>
      </c>
      <c r="E2761" s="5" t="str">
        <f>MID(F2761,FIND(".",F2761,6)+1,99)</f>
        <v>AOCopyrightNotice</v>
      </c>
      <c r="F2761" s="5" t="s">
        <v>1821</v>
      </c>
      <c r="G2761" s="5" t="s">
        <v>9678</v>
      </c>
      <c r="H2761" s="6" t="s">
        <v>3444</v>
      </c>
      <c r="I2761" s="7" t="s">
        <v>4669</v>
      </c>
      <c r="J2761" s="14" t="s">
        <v>6684</v>
      </c>
      <c r="K2761" s="26"/>
      <c r="L2761" s="6" t="str">
        <f>IFERROR(VLOOKUP(E2761,A:I,9, FALSE),"")</f>
        <v>AO Copyright-Hinweis</v>
      </c>
      <c r="M2761" s="6" t="str">
        <f>IFERROR(VLOOKUP(H2761,B:J,9,FALSE),"")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2761" s="6"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c>
      <c r="O2761" s="6" t="s">
        <v>8574</v>
      </c>
      <c r="P2761" s="6" t="s">
        <v>8574</v>
      </c>
    </row>
    <row r="2762" spans="1:17" ht="105" x14ac:dyDescent="0.25">
      <c r="A2762" s="5" t="str">
        <f>IF(TRIM(I2762)="","",E2762)</f>
        <v>AOCreator</v>
      </c>
      <c r="B2762" s="5" t="str">
        <f>IF(TRIM(J2762)="","",H2762)</f>
        <v>Contains the name of the artist who has created artwork or an object in the image. In cases where the artist could or should not be identified the name of a company or organisation may be appropriate.</v>
      </c>
      <c r="C2762" s="5" t="str">
        <f>LEFT(F2762,FIND(".",F2762,6))</f>
        <v>Xmp.Iptc4xmpExt.</v>
      </c>
      <c r="D2762" s="5" t="str">
        <f>VLOOKUP(C2762,PrefixUebersetzung,2,FALSE)</f>
        <v>Xmp.Iptc4xmpExt.</v>
      </c>
      <c r="E2762" s="5" t="str">
        <f>MID(F2762,FIND(".",F2762,6)+1,99)</f>
        <v>AOCreator</v>
      </c>
      <c r="F2762" s="5" t="s">
        <v>1822</v>
      </c>
      <c r="G2762" s="5" t="s">
        <v>9680</v>
      </c>
      <c r="H2762" s="6" t="s">
        <v>3445</v>
      </c>
      <c r="I2762" s="7" t="s">
        <v>4668</v>
      </c>
      <c r="J2762" s="14" t="s">
        <v>6689</v>
      </c>
      <c r="K2762" s="26"/>
      <c r="L2762" s="6" t="str">
        <f>IFERROR(VLOOKUP(E2762,A:I,9, FALSE),"")</f>
        <v>AO Autor</v>
      </c>
      <c r="M2762" s="6" t="str">
        <f>IFERROR(VLOOKUP(H2762,B:J,9,FALSE),"")</f>
        <v>Enthält den Namen des Künstlers, der ein Kunstwerk oder ein Objekt im Bild geschaffen hat. In Fällen, in denen der Künstler nicht identifiziert werden konnte oder sollte, kann der Namen eines Unternehmens oder einer Organisation angemessen sein.</v>
      </c>
      <c r="N2762" s="6"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c>
      <c r="O2762" s="6" t="s">
        <v>8574</v>
      </c>
      <c r="P2762" s="6" t="s">
        <v>8574</v>
      </c>
    </row>
    <row r="2763" spans="1:17" ht="90" x14ac:dyDescent="0.25">
      <c r="A2763" s="5" t="str">
        <f>IF(TRIM(I2763)="","",E2763)</f>
        <v>AODateCreated</v>
      </c>
      <c r="B2763" s="5" t="str">
        <f>IF(TRIM(J2763)="","",H2763)</f>
        <v>Designates the date and optionally the time the artwork or object in the image was created. This relates to artwork or objects with associated intellectual property rights.</v>
      </c>
      <c r="C2763" s="5" t="str">
        <f>LEFT(F2763,FIND(".",F2763,6))</f>
        <v>Xmp.Iptc4xmpExt.</v>
      </c>
      <c r="D2763" s="5" t="str">
        <f>VLOOKUP(C2763,PrefixUebersetzung,2,FALSE)</f>
        <v>Xmp.Iptc4xmpExt.</v>
      </c>
      <c r="E2763" s="5" t="str">
        <f>MID(F2763,FIND(".",F2763,6)+1,99)</f>
        <v>AODateCreated</v>
      </c>
      <c r="F2763" s="5" t="s">
        <v>1823</v>
      </c>
      <c r="G2763" s="5" t="s">
        <v>9678</v>
      </c>
      <c r="H2763" s="6" t="s">
        <v>3446</v>
      </c>
      <c r="I2763" s="7" t="s">
        <v>4670</v>
      </c>
      <c r="J2763" s="14" t="s">
        <v>5560</v>
      </c>
      <c r="K2763" s="26"/>
      <c r="L2763" s="6" t="str">
        <f>IFERROR(VLOOKUP(E2763,A:I,9, FALSE),"")</f>
        <v>AO Datum erzeugt</v>
      </c>
      <c r="M2763" s="6" t="str">
        <f>IFERROR(VLOOKUP(H2763,B:J,9,FALSE),"")</f>
        <v>Bezeichnet das Datum und gegebenenfalls die Uhrzeit, wann das Kunstwerk oder Objekt im Bild erstellt wurde. Dies bezieht sich auf Grafiken oder Objekte mit den zugehörigen Rechten an geistigem Eigentum.</v>
      </c>
      <c r="N2763" s="6"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c>
      <c r="O2763" s="6" t="s">
        <v>8574</v>
      </c>
      <c r="P2763" s="6" t="s">
        <v>8574</v>
      </c>
    </row>
    <row r="2764" spans="1:17" ht="45" x14ac:dyDescent="0.25">
      <c r="A2764" s="5" t="str">
        <f>IF(TRIM(I2764)="","",E2764)</f>
        <v>AOSource</v>
      </c>
      <c r="B2764" s="5" t="str">
        <f>IF(TRIM(J2764)="","",H2764)</f>
        <v>The organisation or body holding and registering the artwork or object in the image for inventory purposes.</v>
      </c>
      <c r="C2764" s="5" t="str">
        <f>LEFT(F2764,FIND(".",F2764,6))</f>
        <v>Xmp.Iptc4xmpExt.</v>
      </c>
      <c r="D2764" s="5" t="str">
        <f>VLOOKUP(C2764,PrefixUebersetzung,2,FALSE)</f>
        <v>Xmp.Iptc4xmpExt.</v>
      </c>
      <c r="E2764" s="5" t="str">
        <f>MID(F2764,FIND(".",F2764,6)+1,99)</f>
        <v>AOSource</v>
      </c>
      <c r="F2764" s="5" t="s">
        <v>1824</v>
      </c>
      <c r="G2764" s="5" t="s">
        <v>9678</v>
      </c>
      <c r="H2764" s="6" t="s">
        <v>3447</v>
      </c>
      <c r="I2764" s="7" t="s">
        <v>4671</v>
      </c>
      <c r="J2764" s="14" t="s">
        <v>6685</v>
      </c>
      <c r="K2764" s="26"/>
      <c r="L2764" s="6" t="str">
        <f>IFERROR(VLOOKUP(E2764,A:I,9, FALSE),"")</f>
        <v>AO Quelle</v>
      </c>
      <c r="M2764" s="6" t="str">
        <f>IFERROR(VLOOKUP(H2764,B:J,9,FALSE),"")</f>
        <v>Die Organisation oder Körperschaft, die das Kunstwerk oder Objekt im Bild für Inventur-Zwecke registriert.</v>
      </c>
      <c r="N2764" s="6"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c>
      <c r="O2764" s="6" t="s">
        <v>8574</v>
      </c>
      <c r="P2764" s="6" t="s">
        <v>8574</v>
      </c>
    </row>
    <row r="2765" spans="1:17" ht="60" x14ac:dyDescent="0.25">
      <c r="A2765" s="5" t="str">
        <f>IF(TRIM(I2765)="","",E2765)</f>
        <v>AOSourceInvNo</v>
      </c>
      <c r="B2765" s="5" t="str">
        <f>IF(TRIM(J2765)="","",H2765)</f>
        <v>The inventory number issued by the organisation or body holding and registering the artwork or object in the image.</v>
      </c>
      <c r="C2765" s="5" t="str">
        <f>LEFT(F2765,FIND(".",F2765,6))</f>
        <v>Xmp.Iptc4xmpExt.</v>
      </c>
      <c r="D2765" s="5" t="str">
        <f>VLOOKUP(C2765,PrefixUebersetzung,2,FALSE)</f>
        <v>Xmp.Iptc4xmpExt.</v>
      </c>
      <c r="E2765" s="5" t="str">
        <f>MID(F2765,FIND(".",F2765,6)+1,99)</f>
        <v>AOSourceInvNo</v>
      </c>
      <c r="F2765" s="5" t="s">
        <v>1825</v>
      </c>
      <c r="G2765" s="5" t="s">
        <v>9678</v>
      </c>
      <c r="H2765" s="6" t="s">
        <v>3448</v>
      </c>
      <c r="I2765" s="7" t="s">
        <v>4823</v>
      </c>
      <c r="J2765" s="14" t="s">
        <v>5561</v>
      </c>
      <c r="K2765" s="26"/>
      <c r="L2765" s="6" t="str">
        <f>IFERROR(VLOOKUP(E2765,A:I,9, FALSE),"")</f>
        <v>AO Quelle Inventar-Nr</v>
      </c>
      <c r="M2765" s="6" t="str">
        <f>IFERROR(VLOOKUP(H2765,B:J,9,FALSE),"")</f>
        <v>Die Inventarnummer der Organisation oder Körpeschaft, die das Kunstwerk oder Objekt im Bild besitzt und registriert.</v>
      </c>
      <c r="N2765" s="6"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c>
      <c r="O2765" s="6" t="s">
        <v>8574</v>
      </c>
      <c r="P2765" s="6" t="s">
        <v>8574</v>
      </c>
    </row>
    <row r="2766" spans="1:17" ht="30" x14ac:dyDescent="0.25">
      <c r="A2766" s="5" t="str">
        <f>IF(TRIM(I2766)="","",E2766)</f>
        <v>AOTitle</v>
      </c>
      <c r="B2766" s="5" t="str">
        <f>IF(TRIM(J2766)="","",H2766)</f>
        <v>A reference for the artwork or object in the image.</v>
      </c>
      <c r="C2766" s="5" t="str">
        <f>LEFT(F2766,FIND(".",F2766,6))</f>
        <v>Xmp.Iptc4xmpExt.</v>
      </c>
      <c r="D2766" s="5" t="str">
        <f>VLOOKUP(C2766,PrefixUebersetzung,2,FALSE)</f>
        <v>Xmp.Iptc4xmpExt.</v>
      </c>
      <c r="E2766" s="5" t="str">
        <f>MID(F2766,FIND(".",F2766,6)+1,99)</f>
        <v>AOTitle</v>
      </c>
      <c r="F2766" s="5" t="s">
        <v>1826</v>
      </c>
      <c r="G2766" s="5" t="s">
        <v>9681</v>
      </c>
      <c r="H2766" s="6" t="s">
        <v>3449</v>
      </c>
      <c r="I2766" s="7" t="s">
        <v>4672</v>
      </c>
      <c r="J2766" s="14" t="s">
        <v>5562</v>
      </c>
      <c r="K2766" s="26"/>
      <c r="L2766" s="6" t="str">
        <f>IFERROR(VLOOKUP(E2766,A:I,9, FALSE),"")</f>
        <v>AO Title</v>
      </c>
      <c r="M2766" s="6" t="str">
        <f>IFERROR(VLOOKUP(H2766,B:J,9,FALSE),"")</f>
        <v>Eine Referenz für das Kunstwerk oder das Objekt im Bild.</v>
      </c>
      <c r="N2766" s="6"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c r="O2766" s="6" t="s">
        <v>8574</v>
      </c>
      <c r="P2766" s="6" t="s">
        <v>8574</v>
      </c>
      <c r="Q2766" s="6" t="s">
        <v>9098</v>
      </c>
    </row>
    <row r="2767" spans="1:17" ht="45" x14ac:dyDescent="0.25">
      <c r="A2767" s="5" t="str">
        <f>IF(TRIM(I2767)="","",E2767)</f>
        <v>ArtworkOrObject</v>
      </c>
      <c r="B2767" s="5" t="str">
        <f>IF(TRIM(J2767)="","",H2767)</f>
        <v>A set of metadata about artwork or an object in the image.</v>
      </c>
      <c r="C2767" s="5" t="str">
        <f>LEFT(F2767,FIND(".",F2767,6))</f>
        <v>Xmp.Iptc4xmpExt.</v>
      </c>
      <c r="D2767" s="5" t="str">
        <f>VLOOKUP(C2767,PrefixUebersetzung,2,FALSE)</f>
        <v>Xmp.Iptc4xmpExt.</v>
      </c>
      <c r="E2767" s="5" t="str">
        <f>MID(F2767,FIND(".",F2767,6)+1,99)</f>
        <v>ArtworkOrObject</v>
      </c>
      <c r="F2767" s="5" t="s">
        <v>1827</v>
      </c>
      <c r="G2767" s="5" t="s">
        <v>9679</v>
      </c>
      <c r="H2767" s="6" t="s">
        <v>3450</v>
      </c>
      <c r="I2767" s="7" t="s">
        <v>4673</v>
      </c>
      <c r="J2767" s="14" t="s">
        <v>5563</v>
      </c>
      <c r="K2767" s="26"/>
      <c r="L2767" s="6" t="str">
        <f>IFERROR(VLOOKUP(E2767,A:I,9, FALSE),"")</f>
        <v>Kunstwerk oder Objekt</v>
      </c>
      <c r="M2767" s="6" t="str">
        <f>IFERROR(VLOOKUP(H2767,B:J,9,FALSE),"")</f>
        <v>Ein Satz von Metadaten über das Kunstwerk oder einem Objekt in dem Bild.</v>
      </c>
      <c r="N2767" s="6"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c r="O2767" s="6" t="s">
        <v>8574</v>
      </c>
      <c r="P2767" s="6" t="s">
        <v>8574</v>
      </c>
      <c r="Q2767" s="6" t="s">
        <v>9098</v>
      </c>
    </row>
    <row r="2768" spans="1:17" ht="30" x14ac:dyDescent="0.25">
      <c r="A2768" s="5" t="str">
        <f>IF(TRIM(I2768)="","",E2768)</f>
        <v/>
      </c>
      <c r="B2768" s="5" t="str">
        <f>IF(TRIM(J2768)="","",H2768)</f>
        <v>Name of the city of a location.</v>
      </c>
      <c r="C2768" s="5" t="str">
        <f>LEFT(F2768,FIND(".",F2768,6))</f>
        <v>Xmp.Iptc4xmpExt.</v>
      </c>
      <c r="D2768" s="5" t="str">
        <f>VLOOKUP(C2768,PrefixUebersetzung,2,FALSE)</f>
        <v>Xmp.Iptc4xmpExt.</v>
      </c>
      <c r="E2768" s="5" t="str">
        <f>MID(F2768,FIND(".",F2768,6)+1,99)</f>
        <v>City</v>
      </c>
      <c r="F2768" s="5" t="s">
        <v>1828</v>
      </c>
      <c r="G2768" s="5" t="s">
        <v>9678</v>
      </c>
      <c r="H2768" s="6" t="s">
        <v>3451</v>
      </c>
      <c r="I2768" s="7"/>
      <c r="J2768" s="14" t="s">
        <v>5399</v>
      </c>
      <c r="K2768" s="26"/>
      <c r="L2768" s="6" t="str">
        <f>IFERROR(VLOOKUP(E2768,A:I,9, FALSE),"")</f>
        <v>Stadt</v>
      </c>
      <c r="M2768" s="6" t="str">
        <f>IFERROR(VLOOKUP(H2768,B:J,9,FALSE),"")</f>
        <v>Name der Stadt eines Aufnahmeortes.</v>
      </c>
      <c r="N2768" s="6"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c r="P2768" s="6" t="s">
        <v>8574</v>
      </c>
      <c r="Q2768" s="6" t="s">
        <v>9428</v>
      </c>
    </row>
    <row r="2769" spans="1:17" ht="30" x14ac:dyDescent="0.25">
      <c r="A2769" s="5" t="str">
        <f>IF(TRIM(I2769)="","",E2769)</f>
        <v/>
      </c>
      <c r="B2769" s="5" t="str">
        <f>IF(TRIM(J2769)="","",H2769)</f>
        <v>The ISO code of a country of a location.</v>
      </c>
      <c r="C2769" s="5" t="str">
        <f>LEFT(F2769,FIND(".",F2769,6))</f>
        <v>Xmp.Iptc4xmpExt.</v>
      </c>
      <c r="D2769" s="5" t="str">
        <f>VLOOKUP(C2769,PrefixUebersetzung,2,FALSE)</f>
        <v>Xmp.Iptc4xmpExt.</v>
      </c>
      <c r="E2769" s="5" t="str">
        <f>MID(F2769,FIND(".",F2769,6)+1,99)</f>
        <v>CountryCode</v>
      </c>
      <c r="F2769" s="5" t="s">
        <v>1829</v>
      </c>
      <c r="G2769" s="5" t="s">
        <v>9678</v>
      </c>
      <c r="H2769" s="6" t="s">
        <v>3452</v>
      </c>
      <c r="I2769" s="7"/>
      <c r="J2769" s="14" t="s">
        <v>5398</v>
      </c>
      <c r="K2769" s="26"/>
      <c r="L2769" s="6" t="str">
        <f>IFERROR(VLOOKUP(E2769,A:I,9, FALSE),"")</f>
        <v>Länderkennzeichen</v>
      </c>
      <c r="M2769" s="6" t="str">
        <f>IFERROR(VLOOKUP(H2769,B:J,9,FALSE),"")</f>
        <v>Der ISO-Code eines Landes eines Aufnahmeortes.</v>
      </c>
      <c r="N2769" s="6"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c r="P2769" s="6" t="s">
        <v>8574</v>
      </c>
      <c r="Q2769" s="6" t="s">
        <v>9519</v>
      </c>
    </row>
    <row r="2770" spans="1:17" ht="30" x14ac:dyDescent="0.25">
      <c r="A2770" s="5" t="str">
        <f>IF(TRIM(I2770)="","",E2770)</f>
        <v/>
      </c>
      <c r="B2770" s="5" t="str">
        <f>IF(TRIM(J2770)="","",H2770)</f>
        <v>The name of a country of a location.</v>
      </c>
      <c r="C2770" s="5" t="str">
        <f>LEFT(F2770,FIND(".",F2770,6))</f>
        <v>Xmp.Iptc4xmpExt.</v>
      </c>
      <c r="D2770" s="5" t="str">
        <f>VLOOKUP(C2770,PrefixUebersetzung,2,FALSE)</f>
        <v>Xmp.Iptc4xmpExt.</v>
      </c>
      <c r="E2770" s="5" t="str">
        <f>MID(F2770,FIND(".",F2770,6)+1,99)</f>
        <v>CountryName</v>
      </c>
      <c r="F2770" s="5" t="s">
        <v>1830</v>
      </c>
      <c r="G2770" s="5" t="s">
        <v>9678</v>
      </c>
      <c r="H2770" s="6" t="s">
        <v>3453</v>
      </c>
      <c r="I2770" s="7"/>
      <c r="J2770" s="14" t="s">
        <v>5400</v>
      </c>
      <c r="K2770" s="26"/>
      <c r="L2770" s="6" t="str">
        <f>IFERROR(VLOOKUP(E2770,A:I,9, FALSE),"")</f>
        <v>Land</v>
      </c>
      <c r="M2770" s="6" t="str">
        <f>IFERROR(VLOOKUP(H2770,B:J,9,FALSE),"")</f>
        <v>Der Name eines Landes von einem Aufnahmeort.</v>
      </c>
      <c r="N2770" s="6"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c r="P2770" s="6" t="s">
        <v>8574</v>
      </c>
      <c r="Q2770" s="6" t="s">
        <v>9519</v>
      </c>
    </row>
    <row r="2771" spans="1:17" ht="30" x14ac:dyDescent="0.25">
      <c r="A2771" s="5" t="str">
        <f>IF(TRIM(I2771)="","",E2771)</f>
        <v/>
      </c>
      <c r="B2771" s="5" t="str">
        <f>IF(TRIM(J2771)="","",H2771)</f>
        <v/>
      </c>
      <c r="C2771" s="5" t="str">
        <f>LEFT(F2771,FIND(".",F2771,6))</f>
        <v>Xmp.Iptc4xmpExt.</v>
      </c>
      <c r="D2771" s="5" t="str">
        <f>VLOOKUP(C2771,PrefixUebersetzung,2,FALSE)</f>
        <v>Xmp.Iptc4xmpExt.</v>
      </c>
      <c r="E2771" s="5" t="str">
        <f>MID(F2771,FIND(".",F2771,6)+1,99)</f>
        <v>CVterm</v>
      </c>
      <c r="F2771" s="5" t="s">
        <v>1831</v>
      </c>
      <c r="G2771" s="5" t="s">
        <v>9679</v>
      </c>
      <c r="H2771" s="6" t="s">
        <v>3454</v>
      </c>
      <c r="I2771" s="7"/>
      <c r="K2771" s="26"/>
      <c r="L2771" s="6" t="str">
        <f>IFERROR(VLOOKUP(E2771,A:I,9, FALSE),"")</f>
        <v/>
      </c>
      <c r="M2771" s="6" t="str">
        <f>IFERROR(VLOOKUP(H2771,B:J,9,FALSE),"")</f>
        <v/>
      </c>
      <c r="N2771" s="6"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Description not translated </v>
      </c>
      <c r="O2771" s="6" t="s">
        <v>8574</v>
      </c>
      <c r="P2771" s="6" t="s">
        <v>8574</v>
      </c>
    </row>
    <row r="2772" spans="1:17" ht="90" x14ac:dyDescent="0.25">
      <c r="A2772" s="5" t="str">
        <f>IF(TRIM(I2772)="","",E2772)</f>
        <v>DigImageGUID</v>
      </c>
      <c r="B2772" s="5" t="str">
        <f>IF(TRIM(J2772)="","",H2772)</f>
        <v>Globally unique identifier for this digital image. It is created and applied by the creator of the digital image at the time of its creation. this value shall not be changed after that time.</v>
      </c>
      <c r="C2772" s="5" t="str">
        <f>LEFT(F2772,FIND(".",F2772,6))</f>
        <v>Xmp.Iptc4xmpExt.</v>
      </c>
      <c r="D2772" s="5" t="str">
        <f>VLOOKUP(C2772,PrefixUebersetzung,2,FALSE)</f>
        <v>Xmp.Iptc4xmpExt.</v>
      </c>
      <c r="E2772" s="5" t="str">
        <f>MID(F2772,FIND(".",F2772,6)+1,99)</f>
        <v>DigImageGUID</v>
      </c>
      <c r="F2772" s="5" t="s">
        <v>1832</v>
      </c>
      <c r="G2772" s="5" t="s">
        <v>9678</v>
      </c>
      <c r="H2772" s="6" t="s">
        <v>3455</v>
      </c>
      <c r="I2772" s="7" t="s">
        <v>4550</v>
      </c>
      <c r="J2772" s="14" t="s">
        <v>5564</v>
      </c>
      <c r="K2772" s="26"/>
      <c r="L2772" s="6" t="str">
        <f>IFERROR(VLOOKUP(E2772,A:I,9, FALSE),"")</f>
        <v>Dig Bild GUID</v>
      </c>
      <c r="M2772" s="6" t="str">
        <f>IFERROR(VLOOKUP(H2772,B:J,9,FALSE),"")</f>
        <v>Globally Unique Identifier für dieses digitale Bild. Es wird durch den Schöpfer des digitalen Bildes zum Zeitpunk der Erstellung erstellt und zugeordnet. Dieser Wert soll danach nicht verändert werden.</v>
      </c>
      <c r="N2772" s="6"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c>
      <c r="O2772" s="6" t="s">
        <v>8574</v>
      </c>
      <c r="P2772" s="6" t="s">
        <v>8574</v>
      </c>
    </row>
    <row r="2773" spans="1:17" x14ac:dyDescent="0.25">
      <c r="A2773" s="5" t="str">
        <f>IF(TRIM(I2773)="","",E2773)</f>
        <v>DigitalSourcefileType</v>
      </c>
      <c r="B2773" s="5" t="str">
        <f>IF(TRIM(J2773)="","",H2773)</f>
        <v>The type of the source digital file.</v>
      </c>
      <c r="C2773" s="5" t="str">
        <f>LEFT(F2773,FIND(".",F2773,6))</f>
        <v>Xmp.Iptc4xmpExt.</v>
      </c>
      <c r="D2773" s="5" t="str">
        <f>VLOOKUP(C2773,PrefixUebersetzung,2,FALSE)</f>
        <v>Xmp.Iptc4xmpExt.</v>
      </c>
      <c r="E2773" s="5" t="str">
        <f>MID(F2773,FIND(".",F2773,6)+1,99)</f>
        <v>DigitalSourcefileType</v>
      </c>
      <c r="F2773" s="5" t="s">
        <v>1833</v>
      </c>
      <c r="G2773" s="5" t="s">
        <v>9678</v>
      </c>
      <c r="H2773" s="6" t="s">
        <v>3456</v>
      </c>
      <c r="I2773" s="7" t="s">
        <v>4551</v>
      </c>
      <c r="J2773" s="14" t="s">
        <v>6690</v>
      </c>
      <c r="K2773" s="26"/>
      <c r="L2773" s="6" t="str">
        <f>IFERROR(VLOOKUP(E2773,A:I,9, FALSE),"")</f>
        <v>Digitale Quelldateityp</v>
      </c>
      <c r="M2773" s="6" t="str">
        <f>IFERROR(VLOOKUP(H2773,B:J,9,FALSE),"")</f>
        <v>Die Art der Quell-Digital-Datei.</v>
      </c>
      <c r="N2773" s="6"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c r="O2773" s="6" t="s">
        <v>8574</v>
      </c>
      <c r="P2773" s="6" t="s">
        <v>8574</v>
      </c>
      <c r="Q2773" s="6" t="s">
        <v>9530</v>
      </c>
    </row>
    <row r="2774" spans="1:17" ht="45" x14ac:dyDescent="0.25">
      <c r="A2774" s="5" t="str">
        <f>IF(TRIM(I2774)="","",E2774)</f>
        <v/>
      </c>
      <c r="B2774" s="5" t="str">
        <f>IF(TRIM(J2774)="","",H2774)</f>
        <v>Names or describes the specific event at which the photo was taken.</v>
      </c>
      <c r="C2774" s="5" t="str">
        <f>LEFT(F2774,FIND(".",F2774,6))</f>
        <v>Xmp.Iptc4xmpExt.</v>
      </c>
      <c r="D2774" s="5" t="str">
        <f>VLOOKUP(C2774,PrefixUebersetzung,2,FALSE)</f>
        <v>Xmp.Iptc4xmpExt.</v>
      </c>
      <c r="E2774" s="5" t="str">
        <f>MID(F2774,FIND(".",F2774,6)+1,99)</f>
        <v>Event</v>
      </c>
      <c r="F2774" s="5" t="s">
        <v>1834</v>
      </c>
      <c r="G2774" s="5" t="s">
        <v>9681</v>
      </c>
      <c r="H2774" s="6" t="s">
        <v>3457</v>
      </c>
      <c r="I2774" s="7"/>
      <c r="J2774" s="14" t="s">
        <v>5401</v>
      </c>
      <c r="K2774" s="26"/>
      <c r="L2774" s="6" t="str">
        <f>IFERROR(VLOOKUP(E2774,A:I,9, FALSE),"")</f>
        <v>Ereignis</v>
      </c>
      <c r="M2774" s="6" t="str">
        <f>IFERROR(VLOOKUP(H2774,B:J,9,FALSE),"")</f>
        <v>Benennt oder beschreibt das spezifische Ereignis, bei dem das Foto gemacht wurde.</v>
      </c>
      <c r="N2774" s="6"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c r="P2774" s="6" t="s">
        <v>8574</v>
      </c>
    </row>
    <row r="2775" spans="1:17" ht="45" x14ac:dyDescent="0.25">
      <c r="A2775" s="5" t="str">
        <f>IF(TRIM(I2775)="","",E2775)</f>
        <v>IptcLastEdited</v>
      </c>
      <c r="B2775" s="5" t="str">
        <f>IF(TRIM(J2775)="","",H2775)</f>
        <v>The date and optionally time when any of the IPTC photo metadata fields has been last edited.</v>
      </c>
      <c r="C2775" s="5" t="str">
        <f>LEFT(F2775,FIND(".",F2775,6))</f>
        <v>Xmp.Iptc4xmpExt.</v>
      </c>
      <c r="D2775" s="5" t="str">
        <f>VLOOKUP(C2775,PrefixUebersetzung,2,FALSE)</f>
        <v>Xmp.Iptc4xmpExt.</v>
      </c>
      <c r="E2775" s="5" t="str">
        <f>MID(F2775,FIND(".",F2775,6)+1,99)</f>
        <v>IptcLastEdited</v>
      </c>
      <c r="F2775" s="5" t="s">
        <v>1835</v>
      </c>
      <c r="G2775" s="5" t="s">
        <v>9678</v>
      </c>
      <c r="H2775" s="6" t="s">
        <v>3458</v>
      </c>
      <c r="I2775" s="7" t="s">
        <v>4552</v>
      </c>
      <c r="J2775" s="14" t="s">
        <v>6686</v>
      </c>
      <c r="K2775" s="26"/>
      <c r="L2775" s="6" t="str">
        <f>IFERROR(VLOOKUP(E2775,A:I,9, FALSE),"")</f>
        <v>IPTC zuletzt geändert</v>
      </c>
      <c r="M2775" s="6" t="str">
        <f>IFERROR(VLOOKUP(H2775,B:J,9,FALSE),"")</f>
        <v>Das Datum und die Zeit, zu dem zuletzt eines der IPTC Foto-Metadaten-Felder bearbeitet wurde.</v>
      </c>
      <c r="N2775" s="6"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c r="O2775" s="6" t="s">
        <v>8574</v>
      </c>
      <c r="P2775" s="6" t="s">
        <v>8574</v>
      </c>
    </row>
    <row r="2776" spans="1:17" x14ac:dyDescent="0.25">
      <c r="A2776" s="5" t="str">
        <f>IF(TRIM(I2776)="","",E2776)</f>
        <v>LocationCreated</v>
      </c>
      <c r="B2776" s="5" t="str">
        <f>IF(TRIM(J2776)="","",H2776)</f>
        <v>The location the photo was taken.</v>
      </c>
      <c r="C2776" s="5" t="str">
        <f>LEFT(F2776,FIND(".",F2776,6))</f>
        <v>Xmp.Iptc4xmpExt.</v>
      </c>
      <c r="D2776" s="5" t="str">
        <f>VLOOKUP(C2776,PrefixUebersetzung,2,FALSE)</f>
        <v>Xmp.Iptc4xmpExt.</v>
      </c>
      <c r="E2776" s="5" t="str">
        <f>MID(F2776,FIND(".",F2776,6)+1,99)</f>
        <v>LocationCreated</v>
      </c>
      <c r="F2776" s="5" t="s">
        <v>1836</v>
      </c>
      <c r="G2776" s="5" t="s">
        <v>9679</v>
      </c>
      <c r="H2776" s="6" t="s">
        <v>3459</v>
      </c>
      <c r="I2776" s="7" t="s">
        <v>4553</v>
      </c>
      <c r="J2776" s="14" t="s">
        <v>5565</v>
      </c>
      <c r="K2776" s="26"/>
      <c r="L2776" s="6" t="str">
        <f>IFERROR(VLOOKUP(E2776,A:I,9, FALSE),"")</f>
        <v>Ort der Aufnahme</v>
      </c>
      <c r="M2776" s="6" t="str">
        <f>IFERROR(VLOOKUP(H2776,B:J,9,FALSE),"")</f>
        <v>Ort, wo das Foto gemacht wurde.</v>
      </c>
      <c r="N2776" s="6"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c r="O2776" s="6" t="s">
        <v>8574</v>
      </c>
      <c r="P2776" s="6" t="s">
        <v>8574</v>
      </c>
      <c r="Q2776" s="6" t="s">
        <v>9519</v>
      </c>
    </row>
    <row r="2777" spans="1:17" ht="30" x14ac:dyDescent="0.25">
      <c r="A2777" s="5" t="str">
        <f>IF(TRIM(I2777)="","",E2777)</f>
        <v>LocationShown</v>
      </c>
      <c r="B2777" s="5" t="str">
        <f>IF(TRIM(J2777)="","",H2777)</f>
        <v>A location shown in the image.</v>
      </c>
      <c r="C2777" s="5" t="str">
        <f>LEFT(F2777,FIND(".",F2777,6))</f>
        <v>Xmp.Iptc4xmpExt.</v>
      </c>
      <c r="D2777" s="5" t="str">
        <f>VLOOKUP(C2777,PrefixUebersetzung,2,FALSE)</f>
        <v>Xmp.Iptc4xmpExt.</v>
      </c>
      <c r="E2777" s="5" t="str">
        <f>MID(F2777,FIND(".",F2777,6)+1,99)</f>
        <v>LocationShown</v>
      </c>
      <c r="F2777" s="5" t="s">
        <v>1837</v>
      </c>
      <c r="G2777" s="5" t="s">
        <v>9679</v>
      </c>
      <c r="H2777" s="6" t="s">
        <v>3460</v>
      </c>
      <c r="I2777" s="7" t="s">
        <v>4554</v>
      </c>
      <c r="J2777" s="14" t="s">
        <v>5566</v>
      </c>
      <c r="K2777" s="26"/>
      <c r="L2777" s="6" t="str">
        <f>IFERROR(VLOOKUP(E2777,A:I,9, FALSE),"")</f>
        <v>Ort abgebildet</v>
      </c>
      <c r="M2777" s="6" t="str">
        <f>IFERROR(VLOOKUP(H2777,B:J,9,FALSE),"")</f>
        <v>Ein Schauplatz, der in der Abbildung dargestellt wird.</v>
      </c>
      <c r="N2777" s="6"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c r="O2777" s="6" t="s">
        <v>8574</v>
      </c>
      <c r="P2777" s="6" t="s">
        <v>8574</v>
      </c>
      <c r="Q2777" s="6" t="s">
        <v>9097</v>
      </c>
    </row>
    <row r="2778" spans="1:17" ht="60" x14ac:dyDescent="0.25">
      <c r="A2778" s="5" t="str">
        <f>IF(TRIM(I2778)="","",E2778)</f>
        <v>MaxAvailHeight</v>
      </c>
      <c r="B2778" s="5" t="str">
        <f>IF(TRIM(J2778)="","",H2778)</f>
        <v>The maximum available height in pixels of the original photo from which this photo has been derived by downsizing.</v>
      </c>
      <c r="C2778" s="5" t="str">
        <f>LEFT(F2778,FIND(".",F2778,6))</f>
        <v>Xmp.Iptc4xmpExt.</v>
      </c>
      <c r="D2778" s="5" t="str">
        <f>VLOOKUP(C2778,PrefixUebersetzung,2,FALSE)</f>
        <v>Xmp.Iptc4xmpExt.</v>
      </c>
      <c r="E2778" s="5" t="str">
        <f>MID(F2778,FIND(".",F2778,6)+1,99)</f>
        <v>MaxAvailHeight</v>
      </c>
      <c r="F2778" s="5" t="s">
        <v>1838</v>
      </c>
      <c r="G2778" s="5" t="s">
        <v>9678</v>
      </c>
      <c r="H2778" s="6" t="s">
        <v>3461</v>
      </c>
      <c r="I2778" s="7" t="s">
        <v>4556</v>
      </c>
      <c r="J2778" s="14" t="s">
        <v>5567</v>
      </c>
      <c r="K2778" s="26"/>
      <c r="L2778" s="6" t="str">
        <f>IFERROR(VLOOKUP(E2778,A:I,9, FALSE),"")</f>
        <v>Max verfügbare Höhe</v>
      </c>
      <c r="M2778" s="6" t="str">
        <f>IFERROR(VLOOKUP(H2778,B:J,9,FALSE),"")</f>
        <v>Die maximal verfügbare Höhe in Pixel des ursprünglichen Fotos, aus dem dieses Foto durch Downsizing abgeleitet wurde.</v>
      </c>
      <c r="N2778" s="6"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c r="O2778" s="6" t="s">
        <v>8574</v>
      </c>
      <c r="P2778" s="6" t="s">
        <v>8574</v>
      </c>
    </row>
    <row r="2779" spans="1:17" ht="60" x14ac:dyDescent="0.25">
      <c r="A2779" s="5" t="str">
        <f>IF(TRIM(I2779)="","",E2779)</f>
        <v>MaxAvailWidth</v>
      </c>
      <c r="B2779" s="5" t="str">
        <f>IF(TRIM(J2779)="","",H2779)</f>
        <v>The maximum available width in pixels of the original photo from which this photo has been derived by downsizing.</v>
      </c>
      <c r="C2779" s="5" t="str">
        <f>LEFT(F2779,FIND(".",F2779,6))</f>
        <v>Xmp.Iptc4xmpExt.</v>
      </c>
      <c r="D2779" s="5" t="str">
        <f>VLOOKUP(C2779,PrefixUebersetzung,2,FALSE)</f>
        <v>Xmp.Iptc4xmpExt.</v>
      </c>
      <c r="E2779" s="5" t="str">
        <f>MID(F2779,FIND(".",F2779,6)+1,99)</f>
        <v>MaxAvailWidth</v>
      </c>
      <c r="F2779" s="5" t="s">
        <v>1839</v>
      </c>
      <c r="G2779" s="5" t="s">
        <v>9678</v>
      </c>
      <c r="H2779" s="6" t="s">
        <v>3462</v>
      </c>
      <c r="I2779" s="7" t="s">
        <v>4555</v>
      </c>
      <c r="J2779" s="14" t="s">
        <v>5568</v>
      </c>
      <c r="K2779" s="26"/>
      <c r="L2779" s="6" t="str">
        <f>IFERROR(VLOOKUP(E2779,A:I,9, FALSE),"")</f>
        <v>Max verfügbare Breite</v>
      </c>
      <c r="M2779" s="6" t="str">
        <f>IFERROR(VLOOKUP(H2779,B:J,9,FALSE),"")</f>
        <v>Die maximal verfügbare Breite in Pixel des ursprünglichen Fotos, aus dem dieses Foto durch Downsizing abgeleitet wurde.</v>
      </c>
      <c r="N2779" s="6"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c r="O2779" s="6" t="s">
        <v>8574</v>
      </c>
      <c r="P2779" s="6" t="s">
        <v>8574</v>
      </c>
    </row>
    <row r="2780" spans="1:17" ht="60" x14ac:dyDescent="0.25">
      <c r="A2780" s="5" t="str">
        <f>IF(TRIM(I2780)="","",E2780)</f>
        <v>ModelAge</v>
      </c>
      <c r="B2780" s="5" t="str">
        <f>IF(TRIM(J2780)="","",H2780)</f>
        <v>Age of the human model(s) at the time this image was taken in a model released image.</v>
      </c>
      <c r="C2780" s="5" t="str">
        <f>LEFT(F2780,FIND(".",F2780,6))</f>
        <v>Xmp.Iptc4xmpExt.</v>
      </c>
      <c r="D2780" s="5" t="str">
        <f>VLOOKUP(C2780,PrefixUebersetzung,2,FALSE)</f>
        <v>Xmp.Iptc4xmpExt.</v>
      </c>
      <c r="E2780" s="5" t="str">
        <f>MID(F2780,FIND(".",F2780,6)+1,99)</f>
        <v>ModelAge</v>
      </c>
      <c r="F2780" s="5" t="s">
        <v>1840</v>
      </c>
      <c r="G2780" s="5" t="s">
        <v>9679</v>
      </c>
      <c r="H2780" s="6" t="s">
        <v>3463</v>
      </c>
      <c r="I2780" s="7" t="s">
        <v>5101</v>
      </c>
      <c r="J2780" s="14" t="s">
        <v>5569</v>
      </c>
      <c r="K2780" s="26"/>
      <c r="L2780" s="6" t="str">
        <f>IFERROR(VLOOKUP(E2780,A:I,9, FALSE),"")</f>
        <v>Modell Alter</v>
      </c>
      <c r="M2780" s="6" t="str">
        <f>IFERROR(VLOOKUP(H2780,B:J,9,FALSE),"")</f>
        <v>Alter der/des menschlichen Modelle/s zum Zeitpunkt, an dem dieses Bild gemacht wurde; in einem vom Modell freigegebenen Bild.</v>
      </c>
      <c r="N2780" s="6"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c r="O2780" s="6" t="s">
        <v>8574</v>
      </c>
      <c r="P2780" s="6" t="s">
        <v>8574</v>
      </c>
    </row>
    <row r="2781" spans="1:17" ht="60" x14ac:dyDescent="0.25">
      <c r="A2781" s="5" t="str">
        <f>IF(TRIM(I2781)="","",E2781)</f>
        <v>OrganisationInImageCode</v>
      </c>
      <c r="B2781" s="5" t="str">
        <f>IF(TRIM(J2781)="","",H2781)</f>
        <v>Code from controlled vocabulary for identifying the organisation or company which is featured in the image.</v>
      </c>
      <c r="C2781" s="5" t="str">
        <f>LEFT(F2781,FIND(".",F2781,6))</f>
        <v>Xmp.Iptc4xmpExt.</v>
      </c>
      <c r="D2781" s="5" t="str">
        <f>VLOOKUP(C2781,PrefixUebersetzung,2,FALSE)</f>
        <v>Xmp.Iptc4xmpExt.</v>
      </c>
      <c r="E2781" s="5" t="str">
        <f>MID(F2781,FIND(".",F2781,6)+1,99)</f>
        <v>OrganisationInImageCode</v>
      </c>
      <c r="F2781" s="5" t="s">
        <v>1841</v>
      </c>
      <c r="G2781" s="5" t="s">
        <v>9679</v>
      </c>
      <c r="H2781" s="6" t="s">
        <v>9636</v>
      </c>
      <c r="I2781" s="7" t="s">
        <v>4557</v>
      </c>
      <c r="J2781" s="14" t="s">
        <v>5628</v>
      </c>
      <c r="K2781" s="26"/>
      <c r="L2781" s="6" t="str">
        <f>IFERROR(VLOOKUP(E2781,A:I,9, FALSE),"")</f>
        <v>Code Organisation im Bild</v>
      </c>
      <c r="M2781" s="6" t="str">
        <f>IFERROR(VLOOKUP(H2781,B:J,9,FALSE),"")</f>
        <v>Code aus dem kontrollierten Vokabular, um die Organisation oder Firma zu kennzeichnen, die in dem Bild dargestellt wird.</v>
      </c>
      <c r="N2781" s="6"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c r="O2781" s="6" t="s">
        <v>8574</v>
      </c>
      <c r="P2781" s="6" t="s">
        <v>8574</v>
      </c>
    </row>
    <row r="2782" spans="1:17" ht="30" x14ac:dyDescent="0.25">
      <c r="A2782" s="5" t="str">
        <f>IF(TRIM(I2782)="","",E2782)</f>
        <v>OrganisationInImageName</v>
      </c>
      <c r="B2782" s="5" t="str">
        <f>IF(TRIM(J2782)="","",H2782)</f>
        <v>Name of the organisation or company which is featured in the image.</v>
      </c>
      <c r="C2782" s="5" t="str">
        <f>LEFT(F2782,FIND(".",F2782,6))</f>
        <v>Xmp.Iptc4xmpExt.</v>
      </c>
      <c r="D2782" s="5" t="str">
        <f>VLOOKUP(C2782,PrefixUebersetzung,2,FALSE)</f>
        <v>Xmp.Iptc4xmpExt.</v>
      </c>
      <c r="E2782" s="5" t="str">
        <f>MID(F2782,FIND(".",F2782,6)+1,99)</f>
        <v>OrganisationInImageName</v>
      </c>
      <c r="F2782" s="5" t="s">
        <v>1842</v>
      </c>
      <c r="G2782" s="5" t="s">
        <v>9679</v>
      </c>
      <c r="H2782" s="6" t="s">
        <v>3464</v>
      </c>
      <c r="I2782" s="7" t="s">
        <v>4558</v>
      </c>
      <c r="J2782" s="14" t="s">
        <v>5578</v>
      </c>
      <c r="K2782" s="26"/>
      <c r="L2782" s="6" t="str">
        <f>IFERROR(VLOOKUP(E2782,A:I,9, FALSE),"")</f>
        <v>Name Organisation im Bild</v>
      </c>
      <c r="M2782" s="6" t="str">
        <f>IFERROR(VLOOKUP(H2782,B:J,9,FALSE),"")</f>
        <v>Name der Organisation oder Firma, die in dem Bild herausgestellt wird.</v>
      </c>
      <c r="N2782" s="6"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c r="O2782" s="6" t="s">
        <v>8574</v>
      </c>
      <c r="P2782" s="6" t="s">
        <v>8574</v>
      </c>
    </row>
    <row r="2783" spans="1:17" ht="30" x14ac:dyDescent="0.25">
      <c r="A2783" s="5" t="str">
        <f>IF(TRIM(I2783)="","",E2783)</f>
        <v>PersonInImage</v>
      </c>
      <c r="B2783" s="5" t="str">
        <f>IF(TRIM(J2783)="","",H2783)</f>
        <v>Name of a person shown in the image.</v>
      </c>
      <c r="C2783" s="5" t="str">
        <f>LEFT(F2783,FIND(".",F2783,6))</f>
        <v>Xmp.Iptc4xmpExt.</v>
      </c>
      <c r="D2783" s="5" t="str">
        <f>VLOOKUP(C2783,PrefixUebersetzung,2,FALSE)</f>
        <v>Xmp.Iptc4xmpExt.</v>
      </c>
      <c r="E2783" s="5" t="str">
        <f>MID(F2783,FIND(".",F2783,6)+1,99)</f>
        <v>PersonInImage</v>
      </c>
      <c r="F2783" s="5" t="s">
        <v>1843</v>
      </c>
      <c r="G2783" s="5" t="s">
        <v>9679</v>
      </c>
      <c r="H2783" s="6" t="s">
        <v>3465</v>
      </c>
      <c r="I2783" s="7" t="s">
        <v>4559</v>
      </c>
      <c r="J2783" s="14" t="s">
        <v>5577</v>
      </c>
      <c r="K2783" s="26"/>
      <c r="L2783" s="6" t="str">
        <f>IFERROR(VLOOKUP(E2783,A:I,9, FALSE),"")</f>
        <v>Person im Bild</v>
      </c>
      <c r="M2783" s="6" t="str">
        <f>IFERROR(VLOOKUP(H2783,B:J,9,FALSE),"")</f>
        <v>Name einer Person, die auf dem Bild gezeigt wird.</v>
      </c>
      <c r="N2783" s="6"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c>
      <c r="O2783" s="6" t="s">
        <v>8574</v>
      </c>
      <c r="P2783" s="6" t="s">
        <v>8574</v>
      </c>
    </row>
    <row r="2784" spans="1:17" ht="45" x14ac:dyDescent="0.25">
      <c r="A2784" s="5" t="str">
        <f>IF(TRIM(I2784)="","",E2784)</f>
        <v/>
      </c>
      <c r="B2784" s="5" t="str">
        <f>IF(TRIM(J2784)="","",H2784)</f>
        <v>The name of a subregion of a country - a province or state - of a location.</v>
      </c>
      <c r="C2784" s="5" t="str">
        <f>LEFT(F2784,FIND(".",F2784,6))</f>
        <v>Xmp.Iptc4xmpExt.</v>
      </c>
      <c r="D2784" s="5" t="str">
        <f>VLOOKUP(C2784,PrefixUebersetzung,2,FALSE)</f>
        <v>Xmp.Iptc4xmpExt.</v>
      </c>
      <c r="E2784" s="5" t="str">
        <f>MID(F2784,FIND(".",F2784,6)+1,99)</f>
        <v>ProvinceState</v>
      </c>
      <c r="F2784" s="5" t="s">
        <v>1844</v>
      </c>
      <c r="G2784" s="5" t="s">
        <v>9678</v>
      </c>
      <c r="H2784" s="6" t="s">
        <v>3466</v>
      </c>
      <c r="I2784" s="7"/>
      <c r="J2784" s="14" t="s">
        <v>5402</v>
      </c>
      <c r="K2784" s="26"/>
      <c r="L2784" s="6" t="str">
        <f>IFERROR(VLOOKUP(E2784,A:I,9, FALSE),"")</f>
        <v>Provinz/Staat</v>
      </c>
      <c r="M2784" s="6" t="str">
        <f>IFERROR(VLOOKUP(H2784,B:J,9,FALSE),"")</f>
        <v>Der Name eines Teilbereichs eines Landes - eine Provinz oder Staat - von einem Aufnahmeort.</v>
      </c>
      <c r="N2784" s="6"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c r="P2784" s="6" t="s">
        <v>8574</v>
      </c>
    </row>
    <row r="2785" spans="1:17" ht="75" x14ac:dyDescent="0.25">
      <c r="A2785" s="5" t="str">
        <f>IF(TRIM(I2785)="","",E2785)</f>
        <v>RegistryId</v>
      </c>
      <c r="B2785" s="5" t="str">
        <f>IF(TRIM(J2785)="","",H2785)</f>
        <v>Both a Registry Item Id and a Registry Organisation Id to record any registration of this digital image with a registry.</v>
      </c>
      <c r="C2785" s="5" t="str">
        <f>LEFT(F2785,FIND(".",F2785,6))</f>
        <v>Xmp.Iptc4xmpExt.</v>
      </c>
      <c r="D2785" s="5" t="str">
        <f>VLOOKUP(C2785,PrefixUebersetzung,2,FALSE)</f>
        <v>Xmp.Iptc4xmpExt.</v>
      </c>
      <c r="E2785" s="5" t="str">
        <f>MID(F2785,FIND(".",F2785,6)+1,99)</f>
        <v>RegistryId</v>
      </c>
      <c r="F2785" s="5" t="s">
        <v>1845</v>
      </c>
      <c r="G2785" s="5" t="s">
        <v>9679</v>
      </c>
      <c r="H2785" s="6" t="s">
        <v>3467</v>
      </c>
      <c r="I2785" s="7" t="s">
        <v>5137</v>
      </c>
      <c r="J2785" s="14" t="s">
        <v>5627</v>
      </c>
      <c r="K2785" s="26"/>
      <c r="L2785" s="6" t="str">
        <f>IFERROR(VLOOKUP(E2785,A:I,9, FALSE),"")</f>
        <v>Registrierung ID</v>
      </c>
      <c r="M2785" s="6" t="str">
        <f>IFERROR(VLOOKUP(H2785,B:J,9,FALSE),"")</f>
        <v>Sowohl eine Registrierung-Artikel-ID als auch eine Registrierung-Organisations-Id, um jede Eintragung dieses digitalen Bildes in einer Registrierung aufzuzeichnen.</v>
      </c>
      <c r="N2785" s="6"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c r="O2785" s="6" t="s">
        <v>8574</v>
      </c>
      <c r="P2785" s="6" t="s">
        <v>8574</v>
      </c>
    </row>
    <row r="2786" spans="1:17" ht="120" x14ac:dyDescent="0.25">
      <c r="A2786" s="5" t="str">
        <f>IF(TRIM(I2786)="","",E2786)</f>
        <v>RegItemId</v>
      </c>
      <c r="B2786" s="5" t="str">
        <f>IF(TRIM(J2786)="","",H2786)</f>
        <v>A unique identifier created by a registry and applied by the creator of the digital image. This value shall not be changed after being applied. This identifier is linked to a corresponding Registry Organisation Identifier.</v>
      </c>
      <c r="C2786" s="5" t="str">
        <f>LEFT(F2786,FIND(".",F2786,6))</f>
        <v>Xmp.Iptc4xmpExt.</v>
      </c>
      <c r="D2786" s="5" t="str">
        <f>VLOOKUP(C2786,PrefixUebersetzung,2,FALSE)</f>
        <v>Xmp.Iptc4xmpExt.</v>
      </c>
      <c r="E2786" s="5" t="str">
        <f>MID(F2786,FIND(".",F2786,6)+1,99)</f>
        <v>RegItemId</v>
      </c>
      <c r="F2786" s="5" t="s">
        <v>1846</v>
      </c>
      <c r="G2786" s="5" t="s">
        <v>9678</v>
      </c>
      <c r="H2786" s="6" t="s">
        <v>3468</v>
      </c>
      <c r="I2786" s="7" t="s">
        <v>4979</v>
      </c>
      <c r="J2786" s="14" t="s">
        <v>6691</v>
      </c>
      <c r="K2786" s="26"/>
      <c r="L2786" s="6" t="str">
        <f>IFERROR(VLOOKUP(E2786,A:I,9, FALSE),"")</f>
        <v>Registrierung Eintrag-ID</v>
      </c>
      <c r="M2786" s="6" t="str">
        <f>IFERROR(VLOOKUP(H2786,B:J,9,FALSE),"")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2786" s="6"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c r="O2786" s="6" t="s">
        <v>8574</v>
      </c>
      <c r="P2786" s="6" t="s">
        <v>8574</v>
      </c>
    </row>
    <row r="2787" spans="1:17" ht="45" x14ac:dyDescent="0.25">
      <c r="A2787" s="5" t="str">
        <f>IF(TRIM(I2787)="","",E2787)</f>
        <v>RegOrgId</v>
      </c>
      <c r="B2787" s="5" t="str">
        <f>IF(TRIM(J2787)="","",H2787)</f>
        <v>An identifier for the registry which issued the corresponding Registry Image Id.</v>
      </c>
      <c r="C2787" s="5" t="str">
        <f>LEFT(F2787,FIND(".",F2787,6))</f>
        <v>Xmp.Iptc4xmpExt.</v>
      </c>
      <c r="D2787" s="5" t="str">
        <f>VLOOKUP(C2787,PrefixUebersetzung,2,FALSE)</f>
        <v>Xmp.Iptc4xmpExt.</v>
      </c>
      <c r="E2787" s="5" t="str">
        <f>MID(F2787,FIND(".",F2787,6)+1,99)</f>
        <v>RegOrgId</v>
      </c>
      <c r="F2787" s="5" t="s">
        <v>1847</v>
      </c>
      <c r="G2787" s="5" t="s">
        <v>9678</v>
      </c>
      <c r="H2787" s="6" t="s">
        <v>3469</v>
      </c>
      <c r="I2787" s="7" t="s">
        <v>4980</v>
      </c>
      <c r="J2787" s="14" t="s">
        <v>6692</v>
      </c>
      <c r="K2787" s="26"/>
      <c r="L2787" s="6" t="str">
        <f>IFERROR(VLOOKUP(E2787,A:I,9, FALSE),"")</f>
        <v>Registrierung Org-ID</v>
      </c>
      <c r="M2787" s="6" t="str">
        <f>IFERROR(VLOOKUP(H2787,B:J,9,FALSE),"")</f>
        <v>Eine Kennung für die Registrierung, die die entsprechende Registrierungs-Eintrag-Id vergibt.</v>
      </c>
      <c r="N2787" s="6"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c r="O2787" s="6" t="s">
        <v>8574</v>
      </c>
      <c r="P2787" s="6" t="s">
        <v>8574</v>
      </c>
    </row>
    <row r="2788" spans="1:17" ht="90" x14ac:dyDescent="0.25">
      <c r="A2788" s="5" t="str">
        <f>IF(TRIM(I2788)="","",E2788)</f>
        <v/>
      </c>
      <c r="B2788" s="5" t="str">
        <f>IF(TRIM(J2788)="","",H2788)</f>
        <v>Name of a sublocation. This sublocation name could either be the name of a sublocation to a city or the name of a well known location or (natural) monument outside a city.</v>
      </c>
      <c r="C2788" s="5" t="str">
        <f>LEFT(F2788,FIND(".",F2788,6))</f>
        <v>Xmp.Iptc4xmpExt.</v>
      </c>
      <c r="D2788" s="5" t="str">
        <f>VLOOKUP(C2788,PrefixUebersetzung,2,FALSE)</f>
        <v>Xmp.Iptc4xmpExt.</v>
      </c>
      <c r="E2788" s="5" t="str">
        <f>MID(F2788,FIND(".",F2788,6)+1,99)</f>
        <v>Sublocation</v>
      </c>
      <c r="F2788" s="5" t="s">
        <v>1848</v>
      </c>
      <c r="G2788" s="5" t="s">
        <v>9678</v>
      </c>
      <c r="H2788" s="6" t="s">
        <v>3470</v>
      </c>
      <c r="I2788" s="7"/>
      <c r="J2788" s="14" t="s">
        <v>5403</v>
      </c>
      <c r="K2788" s="26"/>
      <c r="L2788" s="6" t="str">
        <f>IFERROR(VLOOKUP(E2788,A:I,9, FALSE),"")</f>
        <v>Ort Detail</v>
      </c>
      <c r="M2788" s="6" t="str">
        <f>IFERROR(VLOOKUP(H2788,B:J,9,FALSE),"")</f>
        <v xml:space="preserve">Name des Unter-Aufnahmeortes. Dieser Name könnte entweder der Name eines Ortsteiles oder der Namen eines bekannten Standortes oder (Natur-) Denkmales außerhalb eines Ortes sein. </v>
      </c>
      <c r="N2788" s="6"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c r="P2788" s="6" t="s">
        <v>8574</v>
      </c>
    </row>
    <row r="2789" spans="1:17" ht="30" x14ac:dyDescent="0.25">
      <c r="A2789" s="5" t="str">
        <f>IF(TRIM(I2789)="","",E2789)</f>
        <v>WorldRegion</v>
      </c>
      <c r="B2789" s="5" t="str">
        <f>IF(TRIM(J2789)="","",H2789)</f>
        <v>The name of a world region of a location.</v>
      </c>
      <c r="C2789" s="5" t="str">
        <f>LEFT(F2789,FIND(".",F2789,6))</f>
        <v>Xmp.Iptc4xmpExt.</v>
      </c>
      <c r="D2789" s="5" t="str">
        <f>VLOOKUP(C2789,PrefixUebersetzung,2,FALSE)</f>
        <v>Xmp.Iptc4xmpExt.</v>
      </c>
      <c r="E2789" s="5" t="str">
        <f>MID(F2789,FIND(".",F2789,6)+1,99)</f>
        <v>WorldRegion</v>
      </c>
      <c r="F2789" s="5" t="s">
        <v>1849</v>
      </c>
      <c r="G2789" s="5" t="s">
        <v>9678</v>
      </c>
      <c r="H2789" s="6" t="s">
        <v>3471</v>
      </c>
      <c r="I2789" s="7" t="s">
        <v>4981</v>
      </c>
      <c r="J2789" s="14" t="s">
        <v>6687</v>
      </c>
      <c r="K2789" s="26"/>
      <c r="L2789" s="6" t="str">
        <f>IFERROR(VLOOKUP(E2789,A:I,9, FALSE),"")</f>
        <v>Weltregion</v>
      </c>
      <c r="M2789" s="6" t="str">
        <f>IFERROR(VLOOKUP(H2789,B:J,9,FALSE),"")</f>
        <v>Der Name der Welt-Region von einem Schauplatz.</v>
      </c>
      <c r="N2789" s="6"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c r="O2789" s="6" t="s">
        <v>8574</v>
      </c>
      <c r="P2789" s="6" t="s">
        <v>8574</v>
      </c>
      <c r="Q2789" s="6" t="s">
        <v>9519</v>
      </c>
    </row>
    <row r="2790" spans="1:17" ht="60" x14ac:dyDescent="0.25">
      <c r="A2790" s="5" t="str">
        <f>IF(TRIM(I2790)="","",E2790)</f>
        <v/>
      </c>
      <c r="B2790" s="5" t="str">
        <f>IF(TRIM(J2790)="","",H2790)</f>
        <v/>
      </c>
      <c r="C2790" s="5" t="str">
        <f>LEFT(F2790,FIND(".",F2790,6))</f>
        <v>Xmp.iptcExt.</v>
      </c>
      <c r="D2790" s="5" t="str">
        <f>VLOOKUP(C2790,PrefixUebersetzung,2,FALSE)</f>
        <v>Xmp.iptcExt.</v>
      </c>
      <c r="E2790" s="5" t="str">
        <f>MID(F2790,FIND(".",F2790,6)+1,99)</f>
        <v>AddlModelInfo</v>
      </c>
      <c r="F2790" s="5" t="s">
        <v>1850</v>
      </c>
      <c r="G2790" s="5" t="s">
        <v>9678</v>
      </c>
      <c r="H2790" s="6" t="s">
        <v>3443</v>
      </c>
      <c r="I2790" s="7"/>
      <c r="K2790" s="26"/>
      <c r="L2790" s="6" t="str">
        <f>IFERROR(VLOOKUP(E2790,A:I,9, FALSE),"")</f>
        <v>Modell Info zusätzlich</v>
      </c>
      <c r="M2790" s="6" t="str">
        <f>IFERROR(VLOOKUP(H2790,B:J,9,FALSE),"")</f>
        <v>Informationen über die ethnische Zugehörigkeit und andere Fakten des Modells in einem vom Modell freigegebenen Bild.</v>
      </c>
      <c r="N2790" s="6"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row>
    <row r="2791" spans="1:17" ht="120" x14ac:dyDescent="0.25">
      <c r="A2791" s="5" t="str">
        <f>IF(TRIM(I2791)="","",E2791)</f>
        <v/>
      </c>
      <c r="B2791" s="5" t="str">
        <f>IF(TRIM(J2791)="","",H2791)</f>
        <v/>
      </c>
      <c r="C2791" s="5" t="str">
        <f>LEFT(F2791,FIND(".",F2791,6))</f>
        <v>Xmp.iptcExt.</v>
      </c>
      <c r="D2791" s="5" t="str">
        <f>VLOOKUP(C2791,PrefixUebersetzung,2,FALSE)</f>
        <v>Xmp.iptcExt.</v>
      </c>
      <c r="E2791" s="5" t="str">
        <f>MID(F2791,FIND(".",F2791,6)+1,99)</f>
        <v>AOCopyrightNotice</v>
      </c>
      <c r="F2791" s="5" t="s">
        <v>1851</v>
      </c>
      <c r="G2791" s="5" t="s">
        <v>9678</v>
      </c>
      <c r="H2791" s="6" t="s">
        <v>3444</v>
      </c>
      <c r="I2791" s="7"/>
      <c r="K2791" s="26"/>
      <c r="L2791" s="6" t="str">
        <f>IFERROR(VLOOKUP(E2791,A:I,9, FALSE),"")</f>
        <v>AO Copyright-Hinweis</v>
      </c>
      <c r="M2791" s="6" t="str">
        <f>IFERROR(VLOOKUP(H2791,B:J,9,FALSE),"")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2791" s="6"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row>
    <row r="2792" spans="1:17" ht="105" x14ac:dyDescent="0.25">
      <c r="A2792" s="5" t="str">
        <f>IF(TRIM(I2792)="","",E2792)</f>
        <v/>
      </c>
      <c r="B2792" s="5" t="str">
        <f>IF(TRIM(J2792)="","",H2792)</f>
        <v/>
      </c>
      <c r="C2792" s="5" t="str">
        <f>LEFT(F2792,FIND(".",F2792,6))</f>
        <v>Xmp.iptcExt.</v>
      </c>
      <c r="D2792" s="5" t="str">
        <f>VLOOKUP(C2792,PrefixUebersetzung,2,FALSE)</f>
        <v>Xmp.iptcExt.</v>
      </c>
      <c r="E2792" s="5" t="str">
        <f>MID(F2792,FIND(".",F2792,6)+1,99)</f>
        <v>AOCreator</v>
      </c>
      <c r="F2792" s="5" t="s">
        <v>1852</v>
      </c>
      <c r="G2792" s="5" t="s">
        <v>9680</v>
      </c>
      <c r="H2792" s="6" t="s">
        <v>3445</v>
      </c>
      <c r="I2792" s="7"/>
      <c r="K2792" s="26"/>
      <c r="L2792" s="6" t="str">
        <f>IFERROR(VLOOKUP(E2792,A:I,9, FALSE),"")</f>
        <v>AO Autor</v>
      </c>
      <c r="M2792" s="6" t="str">
        <f>IFERROR(VLOOKUP(H2792,B:J,9,FALSE),"")</f>
        <v>Enthält den Namen des Künstlers, der ein Kunstwerk oder ein Objekt im Bild geschaffen hat. In Fällen, in denen der Künstler nicht identifiziert werden konnte oder sollte, kann der Namen eines Unternehmens oder einer Organisation angemessen sein.</v>
      </c>
      <c r="N2792" s="6"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c>
    </row>
    <row r="2793" spans="1:17" ht="90" x14ac:dyDescent="0.25">
      <c r="A2793" s="5" t="str">
        <f>IF(TRIM(I2793)="","",E2793)</f>
        <v/>
      </c>
      <c r="B2793" s="5" t="str">
        <f>IF(TRIM(J2793)="","",H2793)</f>
        <v/>
      </c>
      <c r="C2793" s="5" t="str">
        <f>LEFT(F2793,FIND(".",F2793,6))</f>
        <v>Xmp.iptcExt.</v>
      </c>
      <c r="D2793" s="5" t="str">
        <f>VLOOKUP(C2793,PrefixUebersetzung,2,FALSE)</f>
        <v>Xmp.iptcExt.</v>
      </c>
      <c r="E2793" s="5" t="str">
        <f>MID(F2793,FIND(".",F2793,6)+1,99)</f>
        <v>AODateCreated</v>
      </c>
      <c r="F2793" s="5" t="s">
        <v>1853</v>
      </c>
      <c r="G2793" s="5" t="s">
        <v>9678</v>
      </c>
      <c r="H2793" s="6" t="s">
        <v>3446</v>
      </c>
      <c r="I2793" s="7"/>
      <c r="K2793" s="26"/>
      <c r="L2793" s="6" t="str">
        <f>IFERROR(VLOOKUP(E2793,A:I,9, FALSE),"")</f>
        <v>AO Datum erzeugt</v>
      </c>
      <c r="M2793" s="6" t="str">
        <f>IFERROR(VLOOKUP(H2793,B:J,9,FALSE),"")</f>
        <v>Bezeichnet das Datum und gegebenenfalls die Uhrzeit, wann das Kunstwerk oder Objekt im Bild erstellt wurde. Dies bezieht sich auf Grafiken oder Objekte mit den zugehörigen Rechten an geistigem Eigentum.</v>
      </c>
      <c r="N2793" s="6"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row>
    <row r="2794" spans="1:17" ht="45" x14ac:dyDescent="0.25">
      <c r="A2794" s="5" t="str">
        <f>IF(TRIM(I2794)="","",E2794)</f>
        <v/>
      </c>
      <c r="B2794" s="5" t="str">
        <f>IF(TRIM(J2794)="","",H2794)</f>
        <v/>
      </c>
      <c r="C2794" s="5" t="str">
        <f>LEFT(F2794,FIND(".",F2794,6))</f>
        <v>Xmp.iptcExt.</v>
      </c>
      <c r="D2794" s="5" t="str">
        <f>VLOOKUP(C2794,PrefixUebersetzung,2,FALSE)</f>
        <v>Xmp.iptcExt.</v>
      </c>
      <c r="E2794" s="5" t="str">
        <f>MID(F2794,FIND(".",F2794,6)+1,99)</f>
        <v>AOSource</v>
      </c>
      <c r="F2794" s="5" t="s">
        <v>1854</v>
      </c>
      <c r="G2794" s="5" t="s">
        <v>9678</v>
      </c>
      <c r="H2794" s="6" t="s">
        <v>3447</v>
      </c>
      <c r="I2794" s="7"/>
      <c r="K2794" s="26"/>
      <c r="L2794" s="6" t="str">
        <f>IFERROR(VLOOKUP(E2794,A:I,9, FALSE),"")</f>
        <v>AO Quelle</v>
      </c>
      <c r="M2794" s="6" t="str">
        <f>IFERROR(VLOOKUP(H2794,B:J,9,FALSE),"")</f>
        <v>Die Organisation oder Körperschaft, die das Kunstwerk oder Objekt im Bild für Inventur-Zwecke registriert.</v>
      </c>
      <c r="N2794" s="6"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row>
    <row r="2795" spans="1:17" ht="60" x14ac:dyDescent="0.25">
      <c r="A2795" s="5" t="str">
        <f>IF(TRIM(I2795)="","",E2795)</f>
        <v/>
      </c>
      <c r="B2795" s="5" t="str">
        <f>IF(TRIM(J2795)="","",H2795)</f>
        <v/>
      </c>
      <c r="C2795" s="5" t="str">
        <f>LEFT(F2795,FIND(".",F2795,6))</f>
        <v>Xmp.iptcExt.</v>
      </c>
      <c r="D2795" s="5" t="str">
        <f>VLOOKUP(C2795,PrefixUebersetzung,2,FALSE)</f>
        <v>Xmp.iptcExt.</v>
      </c>
      <c r="E2795" s="5" t="str">
        <f>MID(F2795,FIND(".",F2795,6)+1,99)</f>
        <v>AOSourceInvNo</v>
      </c>
      <c r="F2795" s="5" t="s">
        <v>1855</v>
      </c>
      <c r="G2795" s="5" t="s">
        <v>9678</v>
      </c>
      <c r="H2795" s="6" t="s">
        <v>3448</v>
      </c>
      <c r="I2795" s="7"/>
      <c r="K2795" s="26"/>
      <c r="L2795" s="6" t="str">
        <f>IFERROR(VLOOKUP(E2795,A:I,9, FALSE),"")</f>
        <v>AO Quelle Inventar-Nr</v>
      </c>
      <c r="M2795" s="6" t="str">
        <f>IFERROR(VLOOKUP(H2795,B:J,9,FALSE),"")</f>
        <v>Die Inventarnummer der Organisation oder Körpeschaft, die das Kunstwerk oder Objekt im Bild besitzt und registriert.</v>
      </c>
      <c r="N2795" s="6"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row>
    <row r="2796" spans="1:17" ht="30" x14ac:dyDescent="0.25">
      <c r="A2796" s="5" t="str">
        <f>IF(TRIM(I2796)="","",E2796)</f>
        <v/>
      </c>
      <c r="B2796" s="5" t="str">
        <f>IF(TRIM(J2796)="","",H2796)</f>
        <v/>
      </c>
      <c r="C2796" s="5" t="str">
        <f>LEFT(F2796,FIND(".",F2796,6))</f>
        <v>Xmp.iptcExt.</v>
      </c>
      <c r="D2796" s="5" t="str">
        <f>VLOOKUP(C2796,PrefixUebersetzung,2,FALSE)</f>
        <v>Xmp.iptcExt.</v>
      </c>
      <c r="E2796" s="5" t="str">
        <f>MID(F2796,FIND(".",F2796,6)+1,99)</f>
        <v>AOTitle</v>
      </c>
      <c r="F2796" s="5" t="s">
        <v>1856</v>
      </c>
      <c r="G2796" s="5" t="s">
        <v>9681</v>
      </c>
      <c r="H2796" s="6" t="s">
        <v>3449</v>
      </c>
      <c r="I2796" s="7"/>
      <c r="K2796" s="26"/>
      <c r="L2796" s="6" t="str">
        <f>IFERROR(VLOOKUP(E2796,A:I,9, FALSE),"")</f>
        <v>AO Title</v>
      </c>
      <c r="M2796" s="6" t="str">
        <f>IFERROR(VLOOKUP(H2796,B:J,9,FALSE),"")</f>
        <v>Eine Referenz für das Kunstwerk oder das Objekt im Bild.</v>
      </c>
      <c r="N2796" s="6"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row>
    <row r="2797" spans="1:17" ht="45" x14ac:dyDescent="0.25">
      <c r="A2797" s="5" t="str">
        <f>IF(TRIM(I2797)="","",E2797)</f>
        <v/>
      </c>
      <c r="B2797" s="5" t="str">
        <f>IF(TRIM(J2797)="","",H2797)</f>
        <v/>
      </c>
      <c r="C2797" s="5" t="str">
        <f>LEFT(F2797,FIND(".",F2797,6))</f>
        <v>Xmp.iptcExt.</v>
      </c>
      <c r="D2797" s="5" t="str">
        <f>VLOOKUP(C2797,PrefixUebersetzung,2,FALSE)</f>
        <v>Xmp.iptcExt.</v>
      </c>
      <c r="E2797" s="5" t="str">
        <f>MID(F2797,FIND(".",F2797,6)+1,99)</f>
        <v>ArtworkOrObject</v>
      </c>
      <c r="F2797" s="5" t="s">
        <v>1857</v>
      </c>
      <c r="G2797" s="5" t="s">
        <v>9679</v>
      </c>
      <c r="H2797" s="6" t="s">
        <v>3450</v>
      </c>
      <c r="I2797" s="7"/>
      <c r="K2797" s="26"/>
      <c r="L2797" s="6" t="str">
        <f>IFERROR(VLOOKUP(E2797,A:I,9, FALSE),"")</f>
        <v>Kunstwerk oder Objekt</v>
      </c>
      <c r="M2797" s="6" t="str">
        <f>IFERROR(VLOOKUP(H2797,B:J,9,FALSE),"")</f>
        <v>Ein Satz von Metadaten über das Kunstwerk oder einem Objekt in dem Bild.</v>
      </c>
      <c r="N2797" s="6"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row>
    <row r="2798" spans="1:17" x14ac:dyDescent="0.25">
      <c r="A2798" s="5" t="str">
        <f>IF(TRIM(I2798)="","",E2798)</f>
        <v/>
      </c>
      <c r="B2798" s="5" t="str">
        <f>IF(TRIM(J2798)="","",H2798)</f>
        <v/>
      </c>
      <c r="C2798" s="5" t="str">
        <f>LEFT(F2798,FIND(".",F2798,6))</f>
        <v>Xmp.iptcExt.</v>
      </c>
      <c r="D2798" s="5" t="str">
        <f>VLOOKUP(C2798,PrefixUebersetzung,2,FALSE)</f>
        <v>Xmp.iptcExt.</v>
      </c>
      <c r="E2798" s="5" t="str">
        <f>MID(F2798,FIND(".",F2798,6)+1,99)</f>
        <v>City</v>
      </c>
      <c r="F2798" s="5" t="s">
        <v>1858</v>
      </c>
      <c r="G2798" s="5" t="s">
        <v>9678</v>
      </c>
      <c r="H2798" s="6" t="s">
        <v>3451</v>
      </c>
      <c r="I2798" s="7"/>
      <c r="K2798" s="26"/>
      <c r="L2798" s="6" t="str">
        <f>IFERROR(VLOOKUP(E2798,A:I,9, FALSE),"")</f>
        <v>Stadt</v>
      </c>
      <c r="M2798" s="6" t="str">
        <f>IFERROR(VLOOKUP(H2798,B:J,9,FALSE),"")</f>
        <v>Name der Stadt eines Aufnahmeortes.</v>
      </c>
      <c r="N2798" s="6"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row>
    <row r="2799" spans="1:17" ht="30" x14ac:dyDescent="0.25">
      <c r="A2799" s="5" t="str">
        <f>IF(TRIM(I2799)="","",E2799)</f>
        <v/>
      </c>
      <c r="B2799" s="5" t="str">
        <f>IF(TRIM(J2799)="","",H2799)</f>
        <v/>
      </c>
      <c r="C2799" s="5" t="str">
        <f>LEFT(F2799,FIND(".",F2799,6))</f>
        <v>Xmp.iptcExt.</v>
      </c>
      <c r="D2799" s="5" t="str">
        <f>VLOOKUP(C2799,PrefixUebersetzung,2,FALSE)</f>
        <v>Xmp.iptcExt.</v>
      </c>
      <c r="E2799" s="5" t="str">
        <f>MID(F2799,FIND(".",F2799,6)+1,99)</f>
        <v>CountryCode</v>
      </c>
      <c r="F2799" s="5" t="s">
        <v>1859</v>
      </c>
      <c r="G2799" s="5" t="s">
        <v>9678</v>
      </c>
      <c r="H2799" s="6" t="s">
        <v>3452</v>
      </c>
      <c r="I2799" s="7"/>
      <c r="K2799" s="26"/>
      <c r="L2799" s="6" t="str">
        <f>IFERROR(VLOOKUP(E2799,A:I,9, FALSE),"")</f>
        <v>Länderkennzeichen</v>
      </c>
      <c r="M2799" s="6" t="str">
        <f>IFERROR(VLOOKUP(H2799,B:J,9,FALSE),"")</f>
        <v>Der ISO-Code eines Landes eines Aufnahmeortes.</v>
      </c>
      <c r="N2799" s="6"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row>
    <row r="2800" spans="1:17" ht="30" x14ac:dyDescent="0.25">
      <c r="A2800" s="5" t="str">
        <f>IF(TRIM(I2800)="","",E2800)</f>
        <v/>
      </c>
      <c r="B2800" s="5" t="str">
        <f>IF(TRIM(J2800)="","",H2800)</f>
        <v/>
      </c>
      <c r="C2800" s="5" t="str">
        <f>LEFT(F2800,FIND(".",F2800,6))</f>
        <v>Xmp.iptcExt.</v>
      </c>
      <c r="D2800" s="5" t="str">
        <f>VLOOKUP(C2800,PrefixUebersetzung,2,FALSE)</f>
        <v>Xmp.iptcExt.</v>
      </c>
      <c r="E2800" s="5" t="str">
        <f>MID(F2800,FIND(".",F2800,6)+1,99)</f>
        <v>CountryName</v>
      </c>
      <c r="F2800" s="5" t="s">
        <v>1860</v>
      </c>
      <c r="G2800" s="5" t="s">
        <v>9678</v>
      </c>
      <c r="H2800" s="6" t="s">
        <v>3453</v>
      </c>
      <c r="I2800" s="7"/>
      <c r="K2800" s="26"/>
      <c r="L2800" s="6" t="str">
        <f>IFERROR(VLOOKUP(E2800,A:I,9, FALSE),"")</f>
        <v>Land</v>
      </c>
      <c r="M2800" s="6" t="str">
        <f>IFERROR(VLOOKUP(H2800,B:J,9,FALSE),"")</f>
        <v>Der Name eines Landes von einem Aufnahmeort.</v>
      </c>
      <c r="N2800" s="6"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row>
    <row r="2801" spans="1:14" ht="30" x14ac:dyDescent="0.25">
      <c r="A2801" s="5" t="str">
        <f>IF(TRIM(I2801)="","",E2801)</f>
        <v/>
      </c>
      <c r="B2801" s="5" t="str">
        <f>IF(TRIM(J2801)="","",H2801)</f>
        <v/>
      </c>
      <c r="C2801" s="5" t="str">
        <f>LEFT(F2801,FIND(".",F2801,6))</f>
        <v>Xmp.iptcExt.</v>
      </c>
      <c r="D2801" s="5" t="str">
        <f>VLOOKUP(C2801,PrefixUebersetzung,2,FALSE)</f>
        <v>Xmp.iptcExt.</v>
      </c>
      <c r="E2801" s="5" t="str">
        <f>MID(F2801,FIND(".",F2801,6)+1,99)</f>
        <v>CVterm</v>
      </c>
      <c r="F2801" s="5" t="s">
        <v>1861</v>
      </c>
      <c r="G2801" s="5" t="s">
        <v>9679</v>
      </c>
      <c r="H2801" s="6" t="s">
        <v>3454</v>
      </c>
      <c r="I2801" s="7"/>
      <c r="K2801" s="26"/>
      <c r="L2801" s="6" t="str">
        <f>IFERROR(VLOOKUP(E2801,A:I,9, FALSE),"")</f>
        <v/>
      </c>
      <c r="M2801" s="6" t="str">
        <f>IFERROR(VLOOKUP(H2801,B:J,9,FALSE),"")</f>
        <v/>
      </c>
      <c r="N2801" s="6"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xml:space="preserve">Suffix not translated Description not translated </v>
      </c>
    </row>
    <row r="2802" spans="1:14" ht="90" x14ac:dyDescent="0.25">
      <c r="A2802" s="5" t="str">
        <f>IF(TRIM(I2802)="","",E2802)</f>
        <v/>
      </c>
      <c r="B2802" s="5" t="str">
        <f>IF(TRIM(J2802)="","",H2802)</f>
        <v/>
      </c>
      <c r="C2802" s="5" t="str">
        <f>LEFT(F2802,FIND(".",F2802,6))</f>
        <v>Xmp.iptcExt.</v>
      </c>
      <c r="D2802" s="5" t="str">
        <f>VLOOKUP(C2802,PrefixUebersetzung,2,FALSE)</f>
        <v>Xmp.iptcExt.</v>
      </c>
      <c r="E2802" s="5" t="str">
        <f>MID(F2802,FIND(".",F2802,6)+1,99)</f>
        <v>DigImageGUID</v>
      </c>
      <c r="F2802" s="5" t="s">
        <v>1862</v>
      </c>
      <c r="G2802" s="5" t="s">
        <v>9678</v>
      </c>
      <c r="H2802" s="6" t="s">
        <v>3455</v>
      </c>
      <c r="I2802" s="7"/>
      <c r="K2802" s="26"/>
      <c r="L2802" s="6" t="str">
        <f>IFERROR(VLOOKUP(E2802,A:I,9, FALSE),"")</f>
        <v>Dig Bild GUID</v>
      </c>
      <c r="M2802" s="6" t="str">
        <f>IFERROR(VLOOKUP(H2802,B:J,9,FALSE),"")</f>
        <v>Globally Unique Identifier für dieses digitale Bild. Es wird durch den Schöpfer des digitalen Bildes zum Zeitpunk der Erstellung erstellt und zugeordnet. Dieser Wert soll danach nicht verändert werden.</v>
      </c>
      <c r="N2802" s="6"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row>
    <row r="2803" spans="1:14" x14ac:dyDescent="0.25">
      <c r="A2803" s="5" t="str">
        <f>IF(TRIM(I2803)="","",E2803)</f>
        <v/>
      </c>
      <c r="B2803" s="5" t="str">
        <f>IF(TRIM(J2803)="","",H2803)</f>
        <v/>
      </c>
      <c r="C2803" s="5" t="str">
        <f>LEFT(F2803,FIND(".",F2803,6))</f>
        <v>Xmp.iptcExt.</v>
      </c>
      <c r="D2803" s="5" t="str">
        <f>VLOOKUP(C2803,PrefixUebersetzung,2,FALSE)</f>
        <v>Xmp.iptcExt.</v>
      </c>
      <c r="E2803" s="5" t="str">
        <f>MID(F2803,FIND(".",F2803,6)+1,99)</f>
        <v>DigitalSourcefileType</v>
      </c>
      <c r="F2803" s="5" t="s">
        <v>1863</v>
      </c>
      <c r="G2803" s="5" t="s">
        <v>9678</v>
      </c>
      <c r="H2803" s="6" t="s">
        <v>3456</v>
      </c>
      <c r="I2803" s="7"/>
      <c r="K2803" s="26"/>
      <c r="L2803" s="6" t="str">
        <f>IFERROR(VLOOKUP(E2803,A:I,9, FALSE),"")</f>
        <v>Digitale Quelldateityp</v>
      </c>
      <c r="M2803" s="6" t="str">
        <f>IFERROR(VLOOKUP(H2803,B:J,9,FALSE),"")</f>
        <v>Die Art der Quell-Digital-Datei.</v>
      </c>
      <c r="N2803" s="6"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row>
    <row r="2804" spans="1:14" ht="45" x14ac:dyDescent="0.25">
      <c r="A2804" s="5" t="str">
        <f>IF(TRIM(I2804)="","",E2804)</f>
        <v/>
      </c>
      <c r="B2804" s="5" t="str">
        <f>IF(TRIM(J2804)="","",H2804)</f>
        <v/>
      </c>
      <c r="C2804" s="5" t="str">
        <f>LEFT(F2804,FIND(".",F2804,6))</f>
        <v>Xmp.iptcExt.</v>
      </c>
      <c r="D2804" s="5" t="str">
        <f>VLOOKUP(C2804,PrefixUebersetzung,2,FALSE)</f>
        <v>Xmp.iptcExt.</v>
      </c>
      <c r="E2804" s="5" t="str">
        <f>MID(F2804,FIND(".",F2804,6)+1,99)</f>
        <v>Event</v>
      </c>
      <c r="F2804" s="5" t="s">
        <v>1864</v>
      </c>
      <c r="G2804" s="5" t="s">
        <v>9681</v>
      </c>
      <c r="H2804" s="6" t="s">
        <v>3457</v>
      </c>
      <c r="I2804" s="7"/>
      <c r="K2804" s="26"/>
      <c r="L2804" s="6" t="str">
        <f>IFERROR(VLOOKUP(E2804,A:I,9, FALSE),"")</f>
        <v>Ereignis</v>
      </c>
      <c r="M2804" s="6" t="str">
        <f>IFERROR(VLOOKUP(H2804,B:J,9,FALSE),"")</f>
        <v>Benennt oder beschreibt das spezifische Ereignis, bei dem das Foto gemacht wurde.</v>
      </c>
      <c r="N2804" s="6"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row>
    <row r="2805" spans="1:14" ht="45" x14ac:dyDescent="0.25">
      <c r="A2805" s="5" t="str">
        <f>IF(TRIM(I2805)="","",E2805)</f>
        <v/>
      </c>
      <c r="B2805" s="5" t="str">
        <f>IF(TRIM(J2805)="","",H2805)</f>
        <v/>
      </c>
      <c r="C2805" s="5" t="str">
        <f>LEFT(F2805,FIND(".",F2805,6))</f>
        <v>Xmp.iptcExt.</v>
      </c>
      <c r="D2805" s="5" t="str">
        <f>VLOOKUP(C2805,PrefixUebersetzung,2,FALSE)</f>
        <v>Xmp.iptcExt.</v>
      </c>
      <c r="E2805" s="5" t="str">
        <f>MID(F2805,FIND(".",F2805,6)+1,99)</f>
        <v>IptcLastEdited</v>
      </c>
      <c r="F2805" s="5" t="s">
        <v>1865</v>
      </c>
      <c r="G2805" s="5" t="s">
        <v>9678</v>
      </c>
      <c r="H2805" s="6" t="s">
        <v>3458</v>
      </c>
      <c r="I2805" s="7"/>
      <c r="K2805" s="26"/>
      <c r="L2805" s="6" t="str">
        <f>IFERROR(VLOOKUP(E2805,A:I,9, FALSE),"")</f>
        <v>IPTC zuletzt geändert</v>
      </c>
      <c r="M2805" s="6" t="str">
        <f>IFERROR(VLOOKUP(H2805,B:J,9,FALSE),"")</f>
        <v>Das Datum und die Zeit, zu dem zuletzt eines der IPTC Foto-Metadaten-Felder bearbeitet wurde.</v>
      </c>
      <c r="N2805" s="6"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row>
    <row r="2806" spans="1:14" x14ac:dyDescent="0.25">
      <c r="A2806" s="5" t="str">
        <f>IF(TRIM(I2806)="","",E2806)</f>
        <v/>
      </c>
      <c r="B2806" s="5" t="str">
        <f>IF(TRIM(J2806)="","",H2806)</f>
        <v/>
      </c>
      <c r="C2806" s="5" t="str">
        <f>LEFT(F2806,FIND(".",F2806,6))</f>
        <v>Xmp.iptcExt.</v>
      </c>
      <c r="D2806" s="5" t="str">
        <f>VLOOKUP(C2806,PrefixUebersetzung,2,FALSE)</f>
        <v>Xmp.iptcExt.</v>
      </c>
      <c r="E2806" s="5" t="str">
        <f>MID(F2806,FIND(".",F2806,6)+1,99)</f>
        <v>LocationCreated</v>
      </c>
      <c r="F2806" s="5" t="s">
        <v>1866</v>
      </c>
      <c r="G2806" s="5" t="s">
        <v>9679</v>
      </c>
      <c r="H2806" s="6" t="s">
        <v>3459</v>
      </c>
      <c r="I2806" s="7"/>
      <c r="K2806" s="26"/>
      <c r="L2806" s="6" t="str">
        <f>IFERROR(VLOOKUP(E2806,A:I,9, FALSE),"")</f>
        <v>Ort der Aufnahme</v>
      </c>
      <c r="M2806" s="6" t="str">
        <f>IFERROR(VLOOKUP(H2806,B:J,9,FALSE),"")</f>
        <v>Ort, wo das Foto gemacht wurde.</v>
      </c>
      <c r="N2806" s="6"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row>
    <row r="2807" spans="1:14" ht="30" x14ac:dyDescent="0.25">
      <c r="A2807" s="5" t="str">
        <f>IF(TRIM(I2807)="","",E2807)</f>
        <v/>
      </c>
      <c r="B2807" s="5" t="str">
        <f>IF(TRIM(J2807)="","",H2807)</f>
        <v/>
      </c>
      <c r="C2807" s="5" t="str">
        <f>LEFT(F2807,FIND(".",F2807,6))</f>
        <v>Xmp.iptcExt.</v>
      </c>
      <c r="D2807" s="5" t="str">
        <f>VLOOKUP(C2807,PrefixUebersetzung,2,FALSE)</f>
        <v>Xmp.iptcExt.</v>
      </c>
      <c r="E2807" s="5" t="str">
        <f>MID(F2807,FIND(".",F2807,6)+1,99)</f>
        <v>LocationShown</v>
      </c>
      <c r="F2807" s="5" t="s">
        <v>1867</v>
      </c>
      <c r="G2807" s="5" t="s">
        <v>9679</v>
      </c>
      <c r="H2807" s="6" t="s">
        <v>3460</v>
      </c>
      <c r="I2807" s="7"/>
      <c r="K2807" s="26"/>
      <c r="L2807" s="6" t="str">
        <f>IFERROR(VLOOKUP(E2807,A:I,9, FALSE),"")</f>
        <v>Ort abgebildet</v>
      </c>
      <c r="M2807" s="6" t="str">
        <f>IFERROR(VLOOKUP(H2807,B:J,9,FALSE),"")</f>
        <v>Ein Schauplatz, der in der Abbildung dargestellt wird.</v>
      </c>
      <c r="N2807" s="6"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row>
    <row r="2808" spans="1:14" ht="60" x14ac:dyDescent="0.25">
      <c r="A2808" s="5" t="str">
        <f>IF(TRIM(I2808)="","",E2808)</f>
        <v/>
      </c>
      <c r="B2808" s="5" t="str">
        <f>IF(TRIM(J2808)="","",H2808)</f>
        <v/>
      </c>
      <c r="C2808" s="5" t="str">
        <f>LEFT(F2808,FIND(".",F2808,6))</f>
        <v>Xmp.iptcExt.</v>
      </c>
      <c r="D2808" s="5" t="str">
        <f>VLOOKUP(C2808,PrefixUebersetzung,2,FALSE)</f>
        <v>Xmp.iptcExt.</v>
      </c>
      <c r="E2808" s="5" t="str">
        <f>MID(F2808,FIND(".",F2808,6)+1,99)</f>
        <v>MaxAvailHeight</v>
      </c>
      <c r="F2808" s="5" t="s">
        <v>1868</v>
      </c>
      <c r="G2808" s="5" t="s">
        <v>9678</v>
      </c>
      <c r="H2808" s="6" t="s">
        <v>3461</v>
      </c>
      <c r="I2808" s="7"/>
      <c r="K2808" s="26"/>
      <c r="L2808" s="6" t="str">
        <f>IFERROR(VLOOKUP(E2808,A:I,9, FALSE),"")</f>
        <v>Max verfügbare Höhe</v>
      </c>
      <c r="M2808" s="6" t="str">
        <f>IFERROR(VLOOKUP(H2808,B:J,9,FALSE),"")</f>
        <v>Die maximal verfügbare Höhe in Pixel des ursprünglichen Fotos, aus dem dieses Foto durch Downsizing abgeleitet wurde.</v>
      </c>
      <c r="N2808" s="6"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row>
    <row r="2809" spans="1:14" ht="60" x14ac:dyDescent="0.25">
      <c r="A2809" s="5" t="str">
        <f>IF(TRIM(I2809)="","",E2809)</f>
        <v/>
      </c>
      <c r="B2809" s="5" t="str">
        <f>IF(TRIM(J2809)="","",H2809)</f>
        <v/>
      </c>
      <c r="C2809" s="5" t="str">
        <f>LEFT(F2809,FIND(".",F2809,6))</f>
        <v>Xmp.iptcExt.</v>
      </c>
      <c r="D2809" s="5" t="str">
        <f>VLOOKUP(C2809,PrefixUebersetzung,2,FALSE)</f>
        <v>Xmp.iptcExt.</v>
      </c>
      <c r="E2809" s="5" t="str">
        <f>MID(F2809,FIND(".",F2809,6)+1,99)</f>
        <v>MaxAvailWidth</v>
      </c>
      <c r="F2809" s="5" t="s">
        <v>1869</v>
      </c>
      <c r="G2809" s="5" t="s">
        <v>9678</v>
      </c>
      <c r="H2809" s="6" t="s">
        <v>3462</v>
      </c>
      <c r="I2809" s="7"/>
      <c r="K2809" s="26"/>
      <c r="L2809" s="6" t="str">
        <f>IFERROR(VLOOKUP(E2809,A:I,9, FALSE),"")</f>
        <v>Max verfügbare Breite</v>
      </c>
      <c r="M2809" s="6" t="str">
        <f>IFERROR(VLOOKUP(H2809,B:J,9,FALSE),"")</f>
        <v>Die maximal verfügbare Breite in Pixel des ursprünglichen Fotos, aus dem dieses Foto durch Downsizing abgeleitet wurde.</v>
      </c>
      <c r="N2809" s="6"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row>
    <row r="2810" spans="1:14" ht="60" x14ac:dyDescent="0.25">
      <c r="A2810" s="5" t="str">
        <f>IF(TRIM(I2810)="","",E2810)</f>
        <v/>
      </c>
      <c r="B2810" s="5" t="str">
        <f>IF(TRIM(J2810)="","",H2810)</f>
        <v/>
      </c>
      <c r="C2810" s="5" t="str">
        <f>LEFT(F2810,FIND(".",F2810,6))</f>
        <v>Xmp.iptcExt.</v>
      </c>
      <c r="D2810" s="5" t="str">
        <f>VLOOKUP(C2810,PrefixUebersetzung,2,FALSE)</f>
        <v>Xmp.iptcExt.</v>
      </c>
      <c r="E2810" s="5" t="str">
        <f>MID(F2810,FIND(".",F2810,6)+1,99)</f>
        <v>ModelAge</v>
      </c>
      <c r="F2810" s="5" t="s">
        <v>1870</v>
      </c>
      <c r="G2810" s="5" t="s">
        <v>9679</v>
      </c>
      <c r="H2810" s="6" t="s">
        <v>3463</v>
      </c>
      <c r="I2810" s="7"/>
      <c r="K2810" s="26"/>
      <c r="L2810" s="6" t="str">
        <f>IFERROR(VLOOKUP(E2810,A:I,9, FALSE),"")</f>
        <v>Modell Alter</v>
      </c>
      <c r="M2810" s="6" t="str">
        <f>IFERROR(VLOOKUP(H2810,B:J,9,FALSE),"")</f>
        <v>Alter der/des menschlichen Modelle/s zum Zeitpunkt, an dem dieses Bild gemacht wurde; in einem vom Modell freigegebenen Bild.</v>
      </c>
      <c r="N2810" s="6"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row>
    <row r="2811" spans="1:14" ht="60" x14ac:dyDescent="0.25">
      <c r="A2811" s="5" t="str">
        <f>IF(TRIM(I2811)="","",E2811)</f>
        <v/>
      </c>
      <c r="B2811" s="5" t="str">
        <f>IF(TRIM(J2811)="","",H2811)</f>
        <v/>
      </c>
      <c r="C2811" s="5" t="str">
        <f>LEFT(F2811,FIND(".",F2811,6))</f>
        <v>Xmp.iptcExt.</v>
      </c>
      <c r="D2811" s="5" t="str">
        <f>VLOOKUP(C2811,PrefixUebersetzung,2,FALSE)</f>
        <v>Xmp.iptcExt.</v>
      </c>
      <c r="E2811" s="5" t="str">
        <f>MID(F2811,FIND(".",F2811,6)+1,99)</f>
        <v>OrganisationInImageCode</v>
      </c>
      <c r="F2811" s="5" t="s">
        <v>1871</v>
      </c>
      <c r="G2811" s="5" t="s">
        <v>9679</v>
      </c>
      <c r="H2811" s="6" t="s">
        <v>9636</v>
      </c>
      <c r="I2811" s="7"/>
      <c r="K2811" s="26"/>
      <c r="L2811" s="6" t="str">
        <f>IFERROR(VLOOKUP(E2811,A:I,9, FALSE),"")</f>
        <v>Code Organisation im Bild</v>
      </c>
      <c r="M2811" s="6" t="str">
        <f>IFERROR(VLOOKUP(H2811,B:J,9,FALSE),"")</f>
        <v>Code aus dem kontrollierten Vokabular, um die Organisation oder Firma zu kennzeichnen, die in dem Bild dargestellt wird.</v>
      </c>
      <c r="N2811" s="6"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row>
    <row r="2812" spans="1:14" ht="30" x14ac:dyDescent="0.25">
      <c r="A2812" s="5" t="str">
        <f>IF(TRIM(I2812)="","",E2812)</f>
        <v/>
      </c>
      <c r="B2812" s="5" t="str">
        <f>IF(TRIM(J2812)="","",H2812)</f>
        <v/>
      </c>
      <c r="C2812" s="5" t="str">
        <f>LEFT(F2812,FIND(".",F2812,6))</f>
        <v>Xmp.iptcExt.</v>
      </c>
      <c r="D2812" s="5" t="str">
        <f>VLOOKUP(C2812,PrefixUebersetzung,2,FALSE)</f>
        <v>Xmp.iptcExt.</v>
      </c>
      <c r="E2812" s="5" t="str">
        <f>MID(F2812,FIND(".",F2812,6)+1,99)</f>
        <v>OrganisationInImageName</v>
      </c>
      <c r="F2812" s="5" t="s">
        <v>1872</v>
      </c>
      <c r="G2812" s="5" t="s">
        <v>9679</v>
      </c>
      <c r="H2812" s="6" t="s">
        <v>3464</v>
      </c>
      <c r="I2812" s="7"/>
      <c r="K2812" s="26"/>
      <c r="L2812" s="6" t="str">
        <f>IFERROR(VLOOKUP(E2812,A:I,9, FALSE),"")</f>
        <v>Name Organisation im Bild</v>
      </c>
      <c r="M2812" s="6" t="str">
        <f>IFERROR(VLOOKUP(H2812,B:J,9,FALSE),"")</f>
        <v>Name der Organisation oder Firma, die in dem Bild herausgestellt wird.</v>
      </c>
      <c r="N2812" s="6"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row>
    <row r="2813" spans="1:14" ht="30" x14ac:dyDescent="0.25">
      <c r="A2813" s="5" t="str">
        <f>IF(TRIM(I2813)="","",E2813)</f>
        <v/>
      </c>
      <c r="B2813" s="5" t="str">
        <f>IF(TRIM(J2813)="","",H2813)</f>
        <v/>
      </c>
      <c r="C2813" s="5" t="str">
        <f>LEFT(F2813,FIND(".",F2813,6))</f>
        <v>Xmp.iptcExt.</v>
      </c>
      <c r="D2813" s="5" t="str">
        <f>VLOOKUP(C2813,PrefixUebersetzung,2,FALSE)</f>
        <v>Xmp.iptcExt.</v>
      </c>
      <c r="E2813" s="5" t="str">
        <f>MID(F2813,FIND(".",F2813,6)+1,99)</f>
        <v>PersonInImage</v>
      </c>
      <c r="F2813" s="5" t="s">
        <v>1873</v>
      </c>
      <c r="G2813" s="5" t="s">
        <v>9679</v>
      </c>
      <c r="H2813" s="6" t="s">
        <v>3465</v>
      </c>
      <c r="I2813" s="7"/>
      <c r="K2813" s="26"/>
      <c r="L2813" s="6" t="str">
        <f>IFERROR(VLOOKUP(E2813,A:I,9, FALSE),"")</f>
        <v>Person im Bild</v>
      </c>
      <c r="M2813" s="6" t="str">
        <f>IFERROR(VLOOKUP(H2813,B:J,9,FALSE),"")</f>
        <v>Name einer Person, die auf dem Bild gezeigt wird.</v>
      </c>
      <c r="N2813" s="6"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c>
    </row>
    <row r="2814" spans="1:14" ht="45" x14ac:dyDescent="0.25">
      <c r="A2814" s="5" t="str">
        <f>IF(TRIM(I2814)="","",E2814)</f>
        <v/>
      </c>
      <c r="B2814" s="5" t="str">
        <f>IF(TRIM(J2814)="","",H2814)</f>
        <v/>
      </c>
      <c r="C2814" s="5" t="str">
        <f>LEFT(F2814,FIND(".",F2814,6))</f>
        <v>Xmp.iptcExt.</v>
      </c>
      <c r="D2814" s="5" t="str">
        <f>VLOOKUP(C2814,PrefixUebersetzung,2,FALSE)</f>
        <v>Xmp.iptcExt.</v>
      </c>
      <c r="E2814" s="5" t="str">
        <f>MID(F2814,FIND(".",F2814,6)+1,99)</f>
        <v>ProvinceState</v>
      </c>
      <c r="F2814" s="5" t="s">
        <v>1874</v>
      </c>
      <c r="G2814" s="5" t="s">
        <v>9678</v>
      </c>
      <c r="H2814" s="6" t="s">
        <v>3466</v>
      </c>
      <c r="I2814" s="7"/>
      <c r="K2814" s="26"/>
      <c r="L2814" s="6" t="str">
        <f>IFERROR(VLOOKUP(E2814,A:I,9, FALSE),"")</f>
        <v>Provinz/Staat</v>
      </c>
      <c r="M2814" s="6" t="str">
        <f>IFERROR(VLOOKUP(H2814,B:J,9,FALSE),"")</f>
        <v>Der Name eines Teilbereichs eines Landes - eine Provinz oder Staat - von einem Aufnahmeort.</v>
      </c>
      <c r="N2814" s="6"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row>
    <row r="2815" spans="1:14" ht="75" x14ac:dyDescent="0.25">
      <c r="A2815" s="5" t="str">
        <f>IF(TRIM(I2815)="","",E2815)</f>
        <v/>
      </c>
      <c r="B2815" s="5" t="str">
        <f>IF(TRIM(J2815)="","",H2815)</f>
        <v/>
      </c>
      <c r="C2815" s="5" t="str">
        <f>LEFT(F2815,FIND(".",F2815,6))</f>
        <v>Xmp.iptcExt.</v>
      </c>
      <c r="D2815" s="5" t="str">
        <f>VLOOKUP(C2815,PrefixUebersetzung,2,FALSE)</f>
        <v>Xmp.iptcExt.</v>
      </c>
      <c r="E2815" s="5" t="str">
        <f>MID(F2815,FIND(".",F2815,6)+1,99)</f>
        <v>RegistryId</v>
      </c>
      <c r="F2815" s="5" t="s">
        <v>1875</v>
      </c>
      <c r="G2815" s="5" t="s">
        <v>9679</v>
      </c>
      <c r="H2815" s="6" t="s">
        <v>3467</v>
      </c>
      <c r="I2815" s="7"/>
      <c r="K2815" s="26"/>
      <c r="L2815" s="6" t="str">
        <f>IFERROR(VLOOKUP(E2815,A:I,9, FALSE),"")</f>
        <v>Registrierung ID</v>
      </c>
      <c r="M2815" s="6" t="str">
        <f>IFERROR(VLOOKUP(H2815,B:J,9,FALSE),"")</f>
        <v>Sowohl eine Registrierung-Artikel-ID als auch eine Registrierung-Organisations-Id, um jede Eintragung dieses digitalen Bildes in einer Registrierung aufzuzeichnen.</v>
      </c>
      <c r="N2815" s="6"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row>
    <row r="2816" spans="1:14" ht="120" x14ac:dyDescent="0.25">
      <c r="A2816" s="5" t="str">
        <f>IF(TRIM(I2816)="","",E2816)</f>
        <v/>
      </c>
      <c r="B2816" s="5" t="str">
        <f>IF(TRIM(J2816)="","",H2816)</f>
        <v/>
      </c>
      <c r="C2816" s="5" t="str">
        <f>LEFT(F2816,FIND(".",F2816,6))</f>
        <v>Xmp.iptcExt.</v>
      </c>
      <c r="D2816" s="5" t="str">
        <f>VLOOKUP(C2816,PrefixUebersetzung,2,FALSE)</f>
        <v>Xmp.iptcExt.</v>
      </c>
      <c r="E2816" s="5" t="str">
        <f>MID(F2816,FIND(".",F2816,6)+1,99)</f>
        <v>RegItemId</v>
      </c>
      <c r="F2816" s="5" t="s">
        <v>1876</v>
      </c>
      <c r="G2816" s="5" t="s">
        <v>9678</v>
      </c>
      <c r="H2816" s="6" t="s">
        <v>3468</v>
      </c>
      <c r="I2816" s="7"/>
      <c r="K2816" s="26"/>
      <c r="L2816" s="6" t="str">
        <f>IFERROR(VLOOKUP(E2816,A:I,9, FALSE),"")</f>
        <v>Registrierung Eintrag-ID</v>
      </c>
      <c r="M2816" s="6" t="str">
        <f>IFERROR(VLOOKUP(H2816,B:J,9,FALSE),"")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2816" s="6"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row>
    <row r="2817" spans="1:17" ht="45" x14ac:dyDescent="0.25">
      <c r="A2817" s="5" t="str">
        <f>IF(TRIM(I2817)="","",E2817)</f>
        <v/>
      </c>
      <c r="B2817" s="5" t="str">
        <f>IF(TRIM(J2817)="","",H2817)</f>
        <v/>
      </c>
      <c r="C2817" s="5" t="str">
        <f>LEFT(F2817,FIND(".",F2817,6))</f>
        <v>Xmp.iptcExt.</v>
      </c>
      <c r="D2817" s="5" t="str">
        <f>VLOOKUP(C2817,PrefixUebersetzung,2,FALSE)</f>
        <v>Xmp.iptcExt.</v>
      </c>
      <c r="E2817" s="5" t="str">
        <f>MID(F2817,FIND(".",F2817,6)+1,99)</f>
        <v>RegOrgId</v>
      </c>
      <c r="F2817" s="5" t="s">
        <v>1877</v>
      </c>
      <c r="G2817" s="5" t="s">
        <v>9678</v>
      </c>
      <c r="H2817" s="6" t="s">
        <v>3469</v>
      </c>
      <c r="I2817" s="7"/>
      <c r="K2817" s="26"/>
      <c r="L2817" s="6" t="str">
        <f>IFERROR(VLOOKUP(E2817,A:I,9, FALSE),"")</f>
        <v>Registrierung Org-ID</v>
      </c>
      <c r="M2817" s="6" t="str">
        <f>IFERROR(VLOOKUP(H2817,B:J,9,FALSE),"")</f>
        <v>Eine Kennung für die Registrierung, die die entsprechende Registrierungs-Eintrag-Id vergibt.</v>
      </c>
      <c r="N2817" s="6"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c>
    </row>
    <row r="2818" spans="1:17" ht="90" x14ac:dyDescent="0.25">
      <c r="A2818" s="5" t="str">
        <f>IF(TRIM(I2818)="","",E2818)</f>
        <v/>
      </c>
      <c r="B2818" s="5" t="str">
        <f>IF(TRIM(J2818)="","",H2818)</f>
        <v/>
      </c>
      <c r="C2818" s="5" t="str">
        <f>LEFT(F2818,FIND(".",F2818,6))</f>
        <v>Xmp.iptcExt.</v>
      </c>
      <c r="D2818" s="5" t="str">
        <f>VLOOKUP(C2818,PrefixUebersetzung,2,FALSE)</f>
        <v>Xmp.iptcExt.</v>
      </c>
      <c r="E2818" s="5" t="str">
        <f>MID(F2818,FIND(".",F2818,6)+1,99)</f>
        <v>Sublocation</v>
      </c>
      <c r="F2818" s="5" t="s">
        <v>1878</v>
      </c>
      <c r="G2818" s="5" t="s">
        <v>9678</v>
      </c>
      <c r="H2818" s="6" t="s">
        <v>3470</v>
      </c>
      <c r="I2818" s="7"/>
      <c r="K2818" s="26"/>
      <c r="L2818" s="6" t="str">
        <f>IFERROR(VLOOKUP(E2818,A:I,9, FALSE),"")</f>
        <v>Ort Detail</v>
      </c>
      <c r="M2818" s="6" t="str">
        <f>IFERROR(VLOOKUP(H2818,B:J,9,FALSE),"")</f>
        <v xml:space="preserve">Name des Unter-Aufnahmeortes. Dieser Name könnte entweder der Name eines Ortsteiles oder der Namen eines bekannten Standortes oder (Natur-) Denkmales außerhalb eines Ortes sein. </v>
      </c>
      <c r="N2818" s="6"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row>
    <row r="2819" spans="1:17" ht="30" x14ac:dyDescent="0.25">
      <c r="A2819" s="5" t="str">
        <f>IF(TRIM(I2819)="","",E2819)</f>
        <v/>
      </c>
      <c r="B2819" s="5" t="str">
        <f>IF(TRIM(J2819)="","",H2819)</f>
        <v/>
      </c>
      <c r="C2819" s="5" t="str">
        <f>LEFT(F2819,FIND(".",F2819,6))</f>
        <v>Xmp.iptcExt.</v>
      </c>
      <c r="D2819" s="5" t="str">
        <f>VLOOKUP(C2819,PrefixUebersetzung,2,FALSE)</f>
        <v>Xmp.iptcExt.</v>
      </c>
      <c r="E2819" s="5" t="str">
        <f>MID(F2819,FIND(".",F2819,6)+1,99)</f>
        <v>WorldRegion</v>
      </c>
      <c r="F2819" s="5" t="s">
        <v>1879</v>
      </c>
      <c r="G2819" s="5" t="s">
        <v>9678</v>
      </c>
      <c r="H2819" s="6" t="s">
        <v>3471</v>
      </c>
      <c r="I2819" s="7"/>
      <c r="K2819" s="26"/>
      <c r="L2819" s="6" t="str">
        <f>IFERROR(VLOOKUP(E2819,A:I,9, FALSE),"")</f>
        <v>Weltregion</v>
      </c>
      <c r="M2819" s="6" t="str">
        <f>IFERROR(VLOOKUP(H2819,B:J,9,FALSE),"")</f>
        <v>Der Name der Welt-Region von einem Schauplatz.</v>
      </c>
      <c r="N2819" s="6"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c>
    </row>
    <row r="2820" spans="1:17" ht="30" x14ac:dyDescent="0.25">
      <c r="A2820" s="5" t="str">
        <f>IF(TRIM(I2820)="","",E2820)</f>
        <v/>
      </c>
      <c r="B2820" s="5" t="str">
        <f>IF(TRIM(J2820)="","",H2820)</f>
        <v/>
      </c>
      <c r="C2820" s="5" t="str">
        <f>LEFT(F2820,FIND(".",F2820,6))</f>
        <v>Xmp.kipi.</v>
      </c>
      <c r="D2820" s="5" t="str">
        <f>VLOOKUP(C2820,PrefixUebersetzung,2,FALSE)</f>
        <v>Xmp.kipi.</v>
      </c>
      <c r="E2820" s="5" t="str">
        <f>MID(F2820,FIND(".",F2820,6)+1,99)</f>
        <v>EnfuseInputFiles</v>
      </c>
      <c r="F2820" s="5" t="s">
        <v>1880</v>
      </c>
      <c r="G2820" s="5" t="s">
        <v>9678</v>
      </c>
      <c r="H2820" s="6" t="s">
        <v>3472</v>
      </c>
      <c r="I2820" s="7"/>
      <c r="K2820" s="26"/>
      <c r="N2820" s="6"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c r="O2820" s="6" t="s">
        <v>8574</v>
      </c>
      <c r="P2820" s="6" t="s">
        <v>8574</v>
      </c>
    </row>
    <row r="2821" spans="1:17" ht="30" x14ac:dyDescent="0.25">
      <c r="A2821" s="5" t="str">
        <f>IF(TRIM(I2821)="","",E2821)</f>
        <v/>
      </c>
      <c r="B2821" s="5" t="str">
        <f>IF(TRIM(J2821)="","",H2821)</f>
        <v/>
      </c>
      <c r="C2821" s="5" t="str">
        <f>LEFT(F2821,FIND(".",F2821,6))</f>
        <v>Xmp.kipi.</v>
      </c>
      <c r="D2821" s="5" t="str">
        <f>VLOOKUP(C2821,PrefixUebersetzung,2,FALSE)</f>
        <v>Xmp.kipi.</v>
      </c>
      <c r="E2821" s="5" t="str">
        <f>MID(F2821,FIND(".",F2821,6)+1,99)</f>
        <v>EnfuseSettings</v>
      </c>
      <c r="F2821" s="5" t="s">
        <v>1881</v>
      </c>
      <c r="G2821" s="5" t="s">
        <v>9678</v>
      </c>
      <c r="H2821" s="6" t="s">
        <v>3473</v>
      </c>
      <c r="I2821" s="7"/>
      <c r="K2821" s="26"/>
      <c r="N2821" s="6"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c r="O2821" s="6" t="s">
        <v>8574</v>
      </c>
      <c r="P2821" s="6" t="s">
        <v>8574</v>
      </c>
    </row>
    <row r="2822" spans="1:17" ht="30" x14ac:dyDescent="0.25">
      <c r="A2822" s="5" t="str">
        <f>IF(TRIM(I2822)="","",E2822)</f>
        <v>PanoramaInputFiles</v>
      </c>
      <c r="B2822" s="5" t="str">
        <f>IF(TRIM(J2822)="","",H2822)</f>
        <v>The list of files processed with Hugin program through Panorama tool.</v>
      </c>
      <c r="C2822" s="5" t="str">
        <f>LEFT(F2822,FIND(".",F2822,6))</f>
        <v>Xmp.kipi.</v>
      </c>
      <c r="D2822" s="5" t="str">
        <f>VLOOKUP(C2822,PrefixUebersetzung,2,FALSE)</f>
        <v>Xmp.kipi.</v>
      </c>
      <c r="E2822" s="5" t="str">
        <f>MID(F2822,FIND(".",F2822,6)+1,99)</f>
        <v>PanoramaInputFiles</v>
      </c>
      <c r="F2822" s="2" t="s">
        <v>7613</v>
      </c>
      <c r="G2822" s="5" t="s">
        <v>9678</v>
      </c>
      <c r="H2822" s="3" t="s">
        <v>7614</v>
      </c>
      <c r="I2822" s="7" t="s">
        <v>7901</v>
      </c>
      <c r="J2822" s="33" t="s">
        <v>7956</v>
      </c>
      <c r="K2822" s="26"/>
      <c r="N2822" s="6"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c r="O2822" s="6" t="s">
        <v>8574</v>
      </c>
      <c r="P2822" s="6" t="s">
        <v>8574</v>
      </c>
    </row>
    <row r="2823" spans="1:17" x14ac:dyDescent="0.25">
      <c r="A2823" s="5" t="str">
        <f>IF(TRIM(I2823)="","",E2823)</f>
        <v>picasawebGPhotoId</v>
      </c>
      <c r="B2823" s="5" t="str">
        <f>IF(TRIM(J2823)="","",H2823)</f>
        <v>Item ID from PicasaWeb web service.</v>
      </c>
      <c r="C2823" s="5" t="str">
        <f>LEFT(F2823,FIND(".",F2823,6))</f>
        <v>Xmp.kipi.</v>
      </c>
      <c r="D2823" s="5" t="str">
        <f>VLOOKUP(C2823,PrefixUebersetzung,2,FALSE)</f>
        <v>Xmp.kipi.</v>
      </c>
      <c r="E2823" s="5" t="str">
        <f>MID(F2823,FIND(".",F2823,6)+1,99)</f>
        <v>picasawebGPhotoId</v>
      </c>
      <c r="F2823" s="5" t="s">
        <v>1882</v>
      </c>
      <c r="G2823" s="5" t="s">
        <v>9678</v>
      </c>
      <c r="H2823" s="6" t="s">
        <v>3474</v>
      </c>
      <c r="I2823" s="7" t="s">
        <v>4217</v>
      </c>
      <c r="J2823" s="14" t="s">
        <v>4135</v>
      </c>
      <c r="K2823" s="26"/>
      <c r="N2823" s="6"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c r="O2823" s="6" t="s">
        <v>8574</v>
      </c>
      <c r="P2823" s="6" t="s">
        <v>8574</v>
      </c>
    </row>
    <row r="2824" spans="1:17" x14ac:dyDescent="0.25">
      <c r="A2824" s="5" t="str">
        <f>IF(TRIM(I2824)="","",E2824)</f>
        <v>yandexGPhotoId</v>
      </c>
      <c r="B2824" s="5" t="str">
        <f>IF(TRIM(J2824)="","",H2824)</f>
        <v>Item ID from Yandex Fotki web service.</v>
      </c>
      <c r="C2824" s="5" t="str">
        <f>LEFT(F2824,FIND(".",F2824,6))</f>
        <v>Xmp.kipi.</v>
      </c>
      <c r="D2824" s="5" t="str">
        <f>VLOOKUP(C2824,PrefixUebersetzung,2,FALSE)</f>
        <v>Xmp.kipi.</v>
      </c>
      <c r="E2824" s="5" t="str">
        <f>MID(F2824,FIND(".",F2824,6)+1,99)</f>
        <v>yandexGPhotoId</v>
      </c>
      <c r="F2824" s="5" t="s">
        <v>1883</v>
      </c>
      <c r="G2824" s="5" t="s">
        <v>9678</v>
      </c>
      <c r="H2824" s="6" t="s">
        <v>3475</v>
      </c>
      <c r="I2824" s="7" t="s">
        <v>4218</v>
      </c>
      <c r="J2824" s="14" t="s">
        <v>4136</v>
      </c>
      <c r="K2824" s="26"/>
      <c r="N2824" s="6"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c r="O2824" s="6" t="s">
        <v>8574</v>
      </c>
      <c r="P2824" s="6" t="s">
        <v>8574</v>
      </c>
    </row>
    <row r="2825" spans="1:17" x14ac:dyDescent="0.25">
      <c r="A2825" s="5" t="str">
        <f>IF(TRIM(I2825)="","",E2825)</f>
        <v>hierarchicalSubject</v>
      </c>
      <c r="B2825" s="5" t="str">
        <f>IF(TRIM(J2825)="","",H2825)</f>
        <v>Adobe Lightroom hierarchical keywords.</v>
      </c>
      <c r="C2825" s="5" t="str">
        <f>LEFT(F2825,FIND(".",F2825,6))</f>
        <v>Xmp.lr.</v>
      </c>
      <c r="D2825" s="5" t="str">
        <f>VLOOKUP(C2825,PrefixUebersetzung,2,FALSE)</f>
        <v>Xmp.lr.</v>
      </c>
      <c r="E2825" s="5" t="str">
        <f>MID(F2825,FIND(".",F2825,6)+1,99)</f>
        <v>hierarchicalSubject</v>
      </c>
      <c r="F2825" s="2" t="s">
        <v>7615</v>
      </c>
      <c r="G2825" s="5" t="s">
        <v>9679</v>
      </c>
      <c r="H2825" s="3" t="s">
        <v>7616</v>
      </c>
      <c r="I2825" s="7" t="s">
        <v>7902</v>
      </c>
      <c r="J2825" s="33" t="s">
        <v>7954</v>
      </c>
      <c r="K2825" s="26"/>
      <c r="N2825" s="6"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c>
      <c r="O2825" s="6" t="s">
        <v>8574</v>
      </c>
      <c r="P2825" s="6" t="s">
        <v>8574</v>
      </c>
    </row>
    <row r="2826" spans="1:17" x14ac:dyDescent="0.25">
      <c r="A2826" s="5" t="str">
        <f>IF(TRIM(I2826)="","",E2826)</f>
        <v>privateRTKInfo</v>
      </c>
      <c r="B2826" s="5" t="str">
        <f>IF(TRIM(J2826)="","",H2826)</f>
        <v>Adobe Lightroom private RTK info.</v>
      </c>
      <c r="C2826" s="5" t="str">
        <f>LEFT(F2826,FIND(".",F2826,6))</f>
        <v>Xmp.lr.</v>
      </c>
      <c r="D2826" s="5" t="str">
        <f>VLOOKUP(C2826,PrefixUebersetzung,2,FALSE)</f>
        <v>Xmp.lr.</v>
      </c>
      <c r="E2826" s="5" t="str">
        <f>MID(F2826,FIND(".",F2826,6)+1,99)</f>
        <v>privateRTKInfo</v>
      </c>
      <c r="F2826" s="2" t="s">
        <v>7617</v>
      </c>
      <c r="G2826" s="5" t="s">
        <v>9678</v>
      </c>
      <c r="H2826" s="3" t="s">
        <v>7618</v>
      </c>
      <c r="I2826" s="7" t="s">
        <v>7903</v>
      </c>
      <c r="J2826" s="33" t="s">
        <v>7953</v>
      </c>
      <c r="K2826" s="26"/>
      <c r="N2826" s="6"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c>
      <c r="O2826" s="6" t="s">
        <v>8574</v>
      </c>
      <c r="P2826" s="6" t="s">
        <v>8574</v>
      </c>
    </row>
    <row r="2827" spans="1:17" ht="30" x14ac:dyDescent="0.25">
      <c r="A2827" s="5" t="str">
        <f>IF(TRIM(I2827)="","",E2827)</f>
        <v/>
      </c>
      <c r="B2827" s="5" t="str">
        <f>IF(TRIM(J2827)="","",H2827)</f>
        <v/>
      </c>
      <c r="C2827" s="5" t="str">
        <f>LEFT(F2827,FIND(".",F2827,6))</f>
        <v>Xmp.mediapro.</v>
      </c>
      <c r="D2827" s="5" t="str">
        <f>VLOOKUP(C2827,PrefixUebersetzung,2,FALSE)</f>
        <v>Xmp.mediapro.</v>
      </c>
      <c r="E2827" s="5" t="str">
        <f>MID(F2827,FIND(".",F2827,6)+1,99)</f>
        <v>CatalogSets</v>
      </c>
      <c r="F2827" s="5" t="s">
        <v>1884</v>
      </c>
      <c r="G2827" s="5" t="s">
        <v>9679</v>
      </c>
      <c r="H2827" s="6" t="s">
        <v>3435</v>
      </c>
      <c r="I2827" s="7"/>
      <c r="K2827" s="26"/>
      <c r="L2827" s="6" t="str">
        <f>IFERROR(VLOOKUP(E2827,A:I,9, FALSE),"")</f>
        <v>Katalog-Sets</v>
      </c>
      <c r="M2827" s="6" t="str">
        <f>IFERROR(VLOOKUP(H2827,B:J,9,FALSE),"")</f>
        <v>Repräsentative Kenzeichnung für Katalog-Einträge nach Inhalt</v>
      </c>
      <c r="N2827" s="6"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row>
    <row r="2828" spans="1:17" x14ac:dyDescent="0.25">
      <c r="A2828" s="5" t="str">
        <f>IF(TRIM(I2828)="","",E2828)</f>
        <v/>
      </c>
      <c r="B2828" s="5" t="str">
        <f>IF(TRIM(J2828)="","",H2828)</f>
        <v/>
      </c>
      <c r="C2828" s="5" t="str">
        <f>LEFT(F2828,FIND(".",F2828,6))</f>
        <v>Xmp.mediapro.</v>
      </c>
      <c r="D2828" s="5" t="str">
        <f>VLOOKUP(C2828,PrefixUebersetzung,2,FALSE)</f>
        <v>Xmp.mediapro.</v>
      </c>
      <c r="E2828" s="5" t="str">
        <f>MID(F2828,FIND(".",F2828,6)+1,99)</f>
        <v>Event</v>
      </c>
      <c r="F2828" s="5" t="s">
        <v>1885</v>
      </c>
      <c r="G2828" s="5" t="s">
        <v>9678</v>
      </c>
      <c r="H2828" s="6" t="s">
        <v>3436</v>
      </c>
      <c r="I2828" s="7"/>
      <c r="K2828" s="26"/>
      <c r="L2828" s="6" t="str">
        <f>IFERROR(VLOOKUP(E2828,A:I,9, FALSE),"")</f>
        <v>Ereignis</v>
      </c>
      <c r="M2828" s="6" t="str">
        <f>IFERROR(VLOOKUP(H2828,B:J,9,FALSE),"")</f>
        <v>Ereignis</v>
      </c>
      <c r="N2828" s="6"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c>
    </row>
    <row r="2829" spans="1:17" x14ac:dyDescent="0.25">
      <c r="A2829" s="5" t="str">
        <f>IF(TRIM(I2829)="","",E2829)</f>
        <v/>
      </c>
      <c r="B2829" s="5" t="str">
        <f>IF(TRIM(J2829)="","",H2829)</f>
        <v/>
      </c>
      <c r="C2829" s="5" t="str">
        <f>LEFT(F2829,FIND(".",F2829,6))</f>
        <v>Xmp.mediapro.</v>
      </c>
      <c r="D2829" s="5" t="str">
        <f>VLOOKUP(C2829,PrefixUebersetzung,2,FALSE)</f>
        <v>Xmp.mediapro.</v>
      </c>
      <c r="E2829" s="5" t="str">
        <f>MID(F2829,FIND(".",F2829,6)+1,99)</f>
        <v>People</v>
      </c>
      <c r="F2829" s="5" t="s">
        <v>1886</v>
      </c>
      <c r="G2829" s="5" t="s">
        <v>9679</v>
      </c>
      <c r="H2829" s="6" t="s">
        <v>3437</v>
      </c>
      <c r="I2829" s="7"/>
      <c r="K2829" s="26"/>
      <c r="L2829" s="6" t="str">
        <f>IFERROR(VLOOKUP(E2829,A:I,9, FALSE),"")</f>
        <v>Personen</v>
      </c>
      <c r="M2829" s="6" t="str">
        <f>IFERROR(VLOOKUP(H2829,B:J,9,FALSE),"")</f>
        <v>Personen</v>
      </c>
      <c r="N2829" s="6"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c>
    </row>
    <row r="2830" spans="1:17" ht="30" x14ac:dyDescent="0.25">
      <c r="A2830" s="5" t="str">
        <f>IF(TRIM(I2830)="","",E2830)</f>
        <v/>
      </c>
      <c r="B2830" s="5" t="str">
        <f>IF(TRIM(J2830)="","",H2830)</f>
        <v/>
      </c>
      <c r="C2830" s="5" t="str">
        <f>LEFT(F2830,FIND(".",F2830,6))</f>
        <v>Xmp.mediapro.</v>
      </c>
      <c r="D2830" s="5" t="str">
        <f>VLOOKUP(C2830,PrefixUebersetzung,2,FALSE)</f>
        <v>Xmp.mediapro.</v>
      </c>
      <c r="E2830" s="5" t="str">
        <f>MID(F2830,FIND(".",F2830,6)+1,99)</f>
        <v>Status</v>
      </c>
      <c r="F2830" s="5" t="s">
        <v>1887</v>
      </c>
      <c r="G2830" s="5" t="s">
        <v>9678</v>
      </c>
      <c r="H2830" s="6" t="s">
        <v>3438</v>
      </c>
      <c r="I2830" s="7"/>
      <c r="K2830" s="26"/>
      <c r="L2830" s="6" t="str">
        <f>IFERROR(VLOOKUP(E2830,A:I,9, FALSE),"")</f>
        <v>Status</v>
      </c>
      <c r="M2830" s="6" t="str">
        <f>IFERROR(VLOOKUP(H2830,B:J,9,FALSE),"")</f>
        <v>Eine Notation, die das Bild eindeutig macht.</v>
      </c>
      <c r="N2830" s="6"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c>
    </row>
    <row r="2831" spans="1:17" x14ac:dyDescent="0.25">
      <c r="A2831" s="5" t="str">
        <f>IF(TRIM(I2831)="","",E2831)</f>
        <v/>
      </c>
      <c r="B2831" s="5" t="str">
        <f>IF(TRIM(J2831)="","",H2831)</f>
        <v>Camera Serial Number.</v>
      </c>
      <c r="C2831" s="5" t="str">
        <f>LEFT(F2831,FIND(".",F2831,6))</f>
        <v>Xmp.MicrosoftPhoto.</v>
      </c>
      <c r="D2831" s="5" t="str">
        <f>VLOOKUP(C2831,PrefixUebersetzung,2,FALSE)</f>
        <v>Xmp.MicrosoftPhoto.</v>
      </c>
      <c r="E2831" s="5" t="str">
        <f>MID(F2831,FIND(".",F2831,6)+1,99)</f>
        <v>CameraSerialNumber</v>
      </c>
      <c r="F2831" s="5" t="s">
        <v>1888</v>
      </c>
      <c r="G2831" s="5" t="s">
        <v>9678</v>
      </c>
      <c r="H2831" s="6" t="s">
        <v>3476</v>
      </c>
      <c r="I2831" s="7"/>
      <c r="J2831" s="14" t="s">
        <v>4964</v>
      </c>
      <c r="K2831" s="26"/>
      <c r="L2831" s="6" t="str">
        <f>IFERROR(VLOOKUP(E2831,A:I,9, FALSE),"")</f>
        <v>Kameraseriennummer</v>
      </c>
      <c r="N2831" s="6"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c r="P2831" s="6" t="s">
        <v>8574</v>
      </c>
      <c r="Q2831" s="6" t="s">
        <v>9184</v>
      </c>
    </row>
    <row r="2832" spans="1:17" x14ac:dyDescent="0.25">
      <c r="A2832" s="5" t="str">
        <f>IF(TRIM(I2832)="","",E2832)</f>
        <v>DateAcquired</v>
      </c>
      <c r="B2832" s="5" t="str">
        <f>IF(TRIM(J2832)="","",H2832)</f>
        <v>Date Acquired.</v>
      </c>
      <c r="C2832" s="5" t="str">
        <f>LEFT(F2832,FIND(".",F2832,6))</f>
        <v>Xmp.MicrosoftPhoto.</v>
      </c>
      <c r="D2832" s="5" t="str">
        <f>VLOOKUP(C2832,PrefixUebersetzung,2,FALSE)</f>
        <v>Xmp.MicrosoftPhoto.</v>
      </c>
      <c r="E2832" s="5" t="str">
        <f>MID(F2832,FIND(".",F2832,6)+1,99)</f>
        <v>DateAcquired</v>
      </c>
      <c r="F2832" s="5" t="s">
        <v>1889</v>
      </c>
      <c r="G2832" s="5" t="s">
        <v>9678</v>
      </c>
      <c r="H2832" s="6" t="s">
        <v>3477</v>
      </c>
      <c r="I2832" s="24" t="s">
        <v>4560</v>
      </c>
      <c r="J2832" s="14" t="s">
        <v>4560</v>
      </c>
      <c r="K2832" s="26"/>
      <c r="N2832" s="6"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c r="O2832" s="6" t="s">
        <v>8574</v>
      </c>
      <c r="P2832" s="6" t="s">
        <v>8574</v>
      </c>
      <c r="Q2832" s="6" t="s">
        <v>9238</v>
      </c>
    </row>
    <row r="2833" spans="1:17" x14ac:dyDescent="0.25">
      <c r="A2833" s="5" t="str">
        <f>IF(TRIM(I2833)="","",E2833)</f>
        <v>FlashManufacturer</v>
      </c>
      <c r="B2833" s="5" t="str">
        <f>IF(TRIM(J2833)="","",H2833)</f>
        <v>Flash Manufacturer.</v>
      </c>
      <c r="C2833" s="5" t="str">
        <f>LEFT(F2833,FIND(".",F2833,6))</f>
        <v>Xmp.MicrosoftPhoto.</v>
      </c>
      <c r="D2833" s="5" t="str">
        <f>VLOOKUP(C2833,PrefixUebersetzung,2,FALSE)</f>
        <v>Xmp.MicrosoftPhoto.</v>
      </c>
      <c r="E2833" s="5" t="str">
        <f>MID(F2833,FIND(".",F2833,6)+1,99)</f>
        <v>FlashManufacturer</v>
      </c>
      <c r="F2833" s="5" t="s">
        <v>1890</v>
      </c>
      <c r="G2833" s="5" t="s">
        <v>9678</v>
      </c>
      <c r="H2833" s="6" t="s">
        <v>3478</v>
      </c>
      <c r="I2833" s="7" t="s">
        <v>5118</v>
      </c>
      <c r="J2833" s="14" t="s">
        <v>5118</v>
      </c>
      <c r="K2833" s="26"/>
      <c r="N2833" s="6"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c r="O2833" s="6" t="s">
        <v>8574</v>
      </c>
      <c r="P2833" s="6" t="s">
        <v>8574</v>
      </c>
      <c r="Q2833" s="6" t="s">
        <v>9312</v>
      </c>
    </row>
    <row r="2834" spans="1:17" x14ac:dyDescent="0.25">
      <c r="A2834" s="5" t="str">
        <f>IF(TRIM(I2834)="","",E2834)</f>
        <v/>
      </c>
      <c r="B2834" s="5" t="str">
        <f>IF(TRIM(J2834)="","",H2834)</f>
        <v>Flash Model.</v>
      </c>
      <c r="C2834" s="5" t="str">
        <f>LEFT(F2834,FIND(".",F2834,6))</f>
        <v>Xmp.MicrosoftPhoto.</v>
      </c>
      <c r="D2834" s="5" t="str">
        <f>VLOOKUP(C2834,PrefixUebersetzung,2,FALSE)</f>
        <v>Xmp.MicrosoftPhoto.</v>
      </c>
      <c r="E2834" s="5" t="str">
        <f>MID(F2834,FIND(".",F2834,6)+1,99)</f>
        <v>FlashModel</v>
      </c>
      <c r="F2834" s="5" t="s">
        <v>1891</v>
      </c>
      <c r="G2834" s="5" t="s">
        <v>9678</v>
      </c>
      <c r="H2834" s="6" t="s">
        <v>3479</v>
      </c>
      <c r="I2834" s="7"/>
      <c r="J2834" s="14" t="s">
        <v>4382</v>
      </c>
      <c r="K2834" s="26"/>
      <c r="L2834" s="6" t="str">
        <f>IFERROR(VLOOKUP(E2834,A:I,9, FALSE),"")</f>
        <v>Blitzmodell</v>
      </c>
      <c r="N2834" s="6"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c>
      <c r="P2834" s="6" t="s">
        <v>8574</v>
      </c>
      <c r="Q2834" s="6" t="s">
        <v>9314</v>
      </c>
    </row>
    <row r="2835" spans="1:17" x14ac:dyDescent="0.25">
      <c r="A2835" s="5" t="str">
        <f>IF(TRIM(I2835)="","",E2835)</f>
        <v>LastKeywordIPTC</v>
      </c>
      <c r="B2835" s="5" t="str">
        <f>IF(TRIM(J2835)="","",H2835)</f>
        <v>Last Keyword IPTC.</v>
      </c>
      <c r="C2835" s="5" t="str">
        <f>LEFT(F2835,FIND(".",F2835,6))</f>
        <v>Xmp.MicrosoftPhoto.</v>
      </c>
      <c r="D2835" s="5" t="str">
        <f>VLOOKUP(C2835,PrefixUebersetzung,2,FALSE)</f>
        <v>Xmp.MicrosoftPhoto.</v>
      </c>
      <c r="E2835" s="5" t="str">
        <f>MID(F2835,FIND(".",F2835,6)+1,99)</f>
        <v>LastKeywordIPTC</v>
      </c>
      <c r="F2835" s="5" t="s">
        <v>1892</v>
      </c>
      <c r="G2835" s="5" t="s">
        <v>9679</v>
      </c>
      <c r="H2835" s="6" t="s">
        <v>3480</v>
      </c>
      <c r="I2835" s="7" t="s">
        <v>4561</v>
      </c>
      <c r="J2835" s="14" t="s">
        <v>4561</v>
      </c>
      <c r="K2835" s="26"/>
      <c r="N2835" s="6"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c>
      <c r="O2835" s="6" t="s">
        <v>8574</v>
      </c>
      <c r="P2835" s="6" t="s">
        <v>8574</v>
      </c>
      <c r="Q2835" s="6" t="s">
        <v>9385</v>
      </c>
    </row>
    <row r="2836" spans="1:17" x14ac:dyDescent="0.25">
      <c r="A2836" s="5" t="str">
        <f>IF(TRIM(I2836)="","",E2836)</f>
        <v>LastKeywordXMP</v>
      </c>
      <c r="B2836" s="5" t="str">
        <f>IF(TRIM(J2836)="","",H2836)</f>
        <v>Last Keyword XMP.</v>
      </c>
      <c r="C2836" s="5" t="str">
        <f>LEFT(F2836,FIND(".",F2836,6))</f>
        <v>Xmp.MicrosoftPhoto.</v>
      </c>
      <c r="D2836" s="5" t="str">
        <f>VLOOKUP(C2836,PrefixUebersetzung,2,FALSE)</f>
        <v>Xmp.MicrosoftPhoto.</v>
      </c>
      <c r="E2836" s="5" t="str">
        <f>MID(F2836,FIND(".",F2836,6)+1,99)</f>
        <v>LastKeywordXMP</v>
      </c>
      <c r="F2836" s="5" t="s">
        <v>1893</v>
      </c>
      <c r="G2836" s="5" t="s">
        <v>9679</v>
      </c>
      <c r="H2836" s="6" t="s">
        <v>3481</v>
      </c>
      <c r="I2836" s="7" t="s">
        <v>4562</v>
      </c>
      <c r="J2836" s="14" t="s">
        <v>4562</v>
      </c>
      <c r="K2836" s="26"/>
      <c r="N2836" s="6"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c r="O2836" s="6" t="s">
        <v>8574</v>
      </c>
      <c r="P2836" s="6" t="s">
        <v>8574</v>
      </c>
      <c r="Q2836" s="6" t="s">
        <v>9386</v>
      </c>
    </row>
    <row r="2837" spans="1:17" x14ac:dyDescent="0.25">
      <c r="A2837" s="5" t="str">
        <f>IF(TRIM(I2837)="","",E2837)</f>
        <v>LensManufacturer</v>
      </c>
      <c r="B2837" s="5" t="str">
        <f>IF(TRIM(J2837)="","",H2837)</f>
        <v>Lens Manufacturer.</v>
      </c>
      <c r="C2837" s="5" t="str">
        <f>LEFT(F2837,FIND(".",F2837,6))</f>
        <v>Xmp.MicrosoftPhoto.</v>
      </c>
      <c r="D2837" s="5" t="str">
        <f>VLOOKUP(C2837,PrefixUebersetzung,2,FALSE)</f>
        <v>Xmp.MicrosoftPhoto.</v>
      </c>
      <c r="E2837" s="5" t="str">
        <f>MID(F2837,FIND(".",F2837,6)+1,99)</f>
        <v>LensManufacturer</v>
      </c>
      <c r="F2837" s="5" t="s">
        <v>1894</v>
      </c>
      <c r="G2837" s="5" t="s">
        <v>9678</v>
      </c>
      <c r="H2837" s="6" t="s">
        <v>3482</v>
      </c>
      <c r="I2837" s="24" t="s">
        <v>5129</v>
      </c>
      <c r="J2837" s="8" t="s">
        <v>5129</v>
      </c>
      <c r="K2837" s="26"/>
      <c r="N2837" s="6"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c>
      <c r="O2837" s="6" t="s">
        <v>8574</v>
      </c>
      <c r="P2837" s="6" t="s">
        <v>8574</v>
      </c>
      <c r="Q2837" s="6" t="s">
        <v>9181</v>
      </c>
    </row>
    <row r="2838" spans="1:17" x14ac:dyDescent="0.25">
      <c r="A2838" s="5" t="str">
        <f>IF(TRIM(I2838)="","",E2838)</f>
        <v/>
      </c>
      <c r="B2838" s="5" t="str">
        <f>IF(TRIM(J2838)="","",H2838)</f>
        <v>Lens Model.</v>
      </c>
      <c r="C2838" s="5" t="str">
        <f>LEFT(F2838,FIND(".",F2838,6))</f>
        <v>Xmp.MicrosoftPhoto.</v>
      </c>
      <c r="D2838" s="5" t="str">
        <f>VLOOKUP(C2838,PrefixUebersetzung,2,FALSE)</f>
        <v>Xmp.MicrosoftPhoto.</v>
      </c>
      <c r="E2838" s="5" t="str">
        <f>MID(F2838,FIND(".",F2838,6)+1,99)</f>
        <v>LensModel</v>
      </c>
      <c r="F2838" s="5" t="s">
        <v>1895</v>
      </c>
      <c r="G2838" s="5" t="s">
        <v>9678</v>
      </c>
      <c r="H2838" s="6" t="s">
        <v>3483</v>
      </c>
      <c r="I2838" s="5"/>
      <c r="J2838" s="8" t="s">
        <v>4027</v>
      </c>
      <c r="K2838" s="26"/>
      <c r="L2838" s="6" t="str">
        <f>IFERROR(VLOOKUP(E2838,A:I,9, FALSE),"")</f>
        <v>Objektiv Modell</v>
      </c>
      <c r="M2838" s="6" t="str">
        <f>IFERROR(VLOOKUP(H2838,B:J,9,FALSE),"")</f>
        <v>Objektiv Modell</v>
      </c>
      <c r="N2838" s="6"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c r="P2838" s="6" t="s">
        <v>8574</v>
      </c>
      <c r="Q2838" s="6" t="s">
        <v>9396</v>
      </c>
    </row>
    <row r="2839" spans="1:17" x14ac:dyDescent="0.25">
      <c r="A2839" s="5" t="str">
        <f>IF(TRIM(I2839)="","",E2839)</f>
        <v/>
      </c>
      <c r="B2839" s="5" t="str">
        <f>IF(TRIM(J2839)="","",H2839)</f>
        <v>Rating Percent.</v>
      </c>
      <c r="C2839" s="5" t="str">
        <f>LEFT(F2839,FIND(".",F2839,6))</f>
        <v>Xmp.MicrosoftPhoto.</v>
      </c>
      <c r="D2839" s="5" t="str">
        <f>VLOOKUP(C2839,PrefixUebersetzung,2,FALSE)</f>
        <v>Xmp.MicrosoftPhoto.</v>
      </c>
      <c r="E2839" s="5" t="str">
        <f>MID(F2839,FIND(".",F2839,6)+1,99)</f>
        <v>Rating</v>
      </c>
      <c r="F2839" s="5" t="s">
        <v>1896</v>
      </c>
      <c r="G2839" s="5" t="s">
        <v>9678</v>
      </c>
      <c r="H2839" s="6" t="s">
        <v>3484</v>
      </c>
      <c r="I2839" s="7"/>
      <c r="J2839" s="14" t="s">
        <v>4287</v>
      </c>
      <c r="K2839" s="26"/>
      <c r="L2839" s="6" t="str">
        <f>IFERROR(VLOOKUP(E2839,A:I,9, FALSE),"")</f>
        <v>Bewertung</v>
      </c>
      <c r="N2839" s="6"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c r="P2839" s="6" t="s">
        <v>8574</v>
      </c>
      <c r="Q2839" s="6" t="s">
        <v>9462</v>
      </c>
    </row>
    <row r="2840" spans="1:17" x14ac:dyDescent="0.25">
      <c r="A2840" s="5" t="str">
        <f>IF(TRIM(I2840)="","",E2840)</f>
        <v>RegionInfo</v>
      </c>
      <c r="B2840" s="5" t="str">
        <f>IF(TRIM(J2840)="","",H2840)</f>
        <v>Microsoft Photo people-tagging metadata root</v>
      </c>
      <c r="C2840" s="5" t="str">
        <f>LEFT(F2840,FIND(".",F2840,6))</f>
        <v>Xmp.MP.</v>
      </c>
      <c r="D2840" s="5" t="str">
        <f>VLOOKUP(C2840,PrefixUebersetzung,2,FALSE)</f>
        <v>Xmp.MP.</v>
      </c>
      <c r="E2840" s="5" t="str">
        <f>MID(F2840,FIND(".",F2840,6)+1,99)</f>
        <v>RegionInfo</v>
      </c>
      <c r="F2840" s="5" t="s">
        <v>1897</v>
      </c>
      <c r="G2840" s="5" t="s">
        <v>9678</v>
      </c>
      <c r="H2840" s="6" t="s">
        <v>3485</v>
      </c>
      <c r="I2840" s="7" t="s">
        <v>4563</v>
      </c>
      <c r="J2840" s="14" t="s">
        <v>5571</v>
      </c>
      <c r="K2840" s="26"/>
      <c r="N2840" s="6"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c>
      <c r="O2840" s="6" t="s">
        <v>8574</v>
      </c>
      <c r="P2840" s="6" t="s">
        <v>8574</v>
      </c>
    </row>
    <row r="2841" spans="1:17" x14ac:dyDescent="0.25">
      <c r="A2841" s="5" t="str">
        <f>IF(TRIM(I2841)="","",E2841)</f>
        <v>PersonDisplayName</v>
      </c>
      <c r="B2841" s="5" t="str">
        <f>IF(TRIM(J2841)="","",H2841)</f>
        <v>Name of the person (in the given rectangle)</v>
      </c>
      <c r="C2841" s="5" t="str">
        <f>LEFT(F2841,FIND(".",F2841,6))</f>
        <v>Xmp.MPReg.</v>
      </c>
      <c r="D2841" s="5" t="str">
        <f>VLOOKUP(C2841,PrefixUebersetzung,2,FALSE)</f>
        <v>Xmp.MPReg.</v>
      </c>
      <c r="E2841" s="5" t="str">
        <f>MID(F2841,FIND(".",F2841,6)+1,99)</f>
        <v>PersonDisplayName</v>
      </c>
      <c r="F2841" s="5" t="s">
        <v>1898</v>
      </c>
      <c r="G2841" s="5" t="s">
        <v>9678</v>
      </c>
      <c r="H2841" s="6" t="s">
        <v>3486</v>
      </c>
      <c r="I2841" s="7" t="s">
        <v>4982</v>
      </c>
      <c r="J2841" s="14" t="s">
        <v>5572</v>
      </c>
      <c r="K2841" s="26"/>
      <c r="N2841" s="6"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c>
      <c r="O2841" s="6" t="s">
        <v>8574</v>
      </c>
      <c r="P2841" s="6" t="s">
        <v>8574</v>
      </c>
    </row>
    <row r="2842" spans="1:17" ht="30" x14ac:dyDescent="0.25">
      <c r="A2842" s="5" t="str">
        <f>IF(TRIM(I2842)="","",E2842)</f>
        <v>PersonEmailDigest</v>
      </c>
      <c r="B2842" s="5" t="str">
        <f>IF(TRIM(J2842)="","",H2842)</f>
        <v>SHA-1 encrypted message hash of the person's Windows Live e-mail address</v>
      </c>
      <c r="C2842" s="5" t="str">
        <f>LEFT(F2842,FIND(".",F2842,6))</f>
        <v>Xmp.MPReg.</v>
      </c>
      <c r="D2842" s="5" t="str">
        <f>VLOOKUP(C2842,PrefixUebersetzung,2,FALSE)</f>
        <v>Xmp.MPReg.</v>
      </c>
      <c r="E2842" s="5" t="str">
        <f>MID(F2842,FIND(".",F2842,6)+1,99)</f>
        <v>PersonEmailDigest</v>
      </c>
      <c r="F2842" s="5" t="s">
        <v>1899</v>
      </c>
      <c r="G2842" s="5" t="s">
        <v>9678</v>
      </c>
      <c r="H2842" s="6" t="s">
        <v>3487</v>
      </c>
      <c r="I2842" s="7" t="s">
        <v>4983</v>
      </c>
      <c r="J2842" s="14" t="s">
        <v>6693</v>
      </c>
      <c r="K2842" s="26"/>
      <c r="N2842" s="6"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c>
      <c r="O2842" s="6" t="s">
        <v>8574</v>
      </c>
      <c r="P2842" s="6" t="s">
        <v>8574</v>
      </c>
    </row>
    <row r="2843" spans="1:17" ht="30" x14ac:dyDescent="0.25">
      <c r="A2843" s="5" t="str">
        <f>IF(TRIM(I2843)="","",E2843)</f>
        <v>PersonLiveIdCID</v>
      </c>
      <c r="B2843" s="5" t="str">
        <f>IF(TRIM(J2843)="","",H2843)</f>
        <v>Signed decimal representation of the person's Windows Live CID</v>
      </c>
      <c r="C2843" s="5" t="str">
        <f>LEFT(F2843,FIND(".",F2843,6))</f>
        <v>Xmp.MPReg.</v>
      </c>
      <c r="D2843" s="5" t="str">
        <f>VLOOKUP(C2843,PrefixUebersetzung,2,FALSE)</f>
        <v>Xmp.MPReg.</v>
      </c>
      <c r="E2843" s="5" t="str">
        <f>MID(F2843,FIND(".",F2843,6)+1,99)</f>
        <v>PersonLiveIdCID</v>
      </c>
      <c r="F2843" s="2" t="s">
        <v>7619</v>
      </c>
      <c r="G2843" s="5" t="s">
        <v>9678</v>
      </c>
      <c r="H2843" s="3" t="s">
        <v>3488</v>
      </c>
      <c r="I2843" s="7" t="s">
        <v>7904</v>
      </c>
      <c r="J2843" s="14" t="s">
        <v>5629</v>
      </c>
      <c r="K2843" s="26"/>
      <c r="N2843" s="6"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c r="O2843" s="6" t="s">
        <v>8574</v>
      </c>
      <c r="P2843" s="6" t="s">
        <v>8574</v>
      </c>
    </row>
    <row r="2844" spans="1:17" x14ac:dyDescent="0.25">
      <c r="A2844" s="5" t="str">
        <f>IF(TRIM(I2844)="","",E2844)</f>
        <v>Rectangle</v>
      </c>
      <c r="B2844" s="5" t="str">
        <f>IF(TRIM(J2844)="","",H2844)</f>
        <v>Rectangle that identifies the person within the photo</v>
      </c>
      <c r="C2844" s="5" t="str">
        <f>LEFT(F2844,FIND(".",F2844,6))</f>
        <v>Xmp.MPReg.</v>
      </c>
      <c r="D2844" s="5" t="str">
        <f>VLOOKUP(C2844,PrefixUebersetzung,2,FALSE)</f>
        <v>Xmp.MPReg.</v>
      </c>
      <c r="E2844" s="5" t="str">
        <f>MID(F2844,FIND(".",F2844,6)+1,99)</f>
        <v>Rectangle</v>
      </c>
      <c r="F2844" s="5" t="s">
        <v>1900</v>
      </c>
      <c r="G2844" s="5" t="s">
        <v>9678</v>
      </c>
      <c r="H2844" s="6" t="s">
        <v>3489</v>
      </c>
      <c r="I2844" s="7" t="s">
        <v>4564</v>
      </c>
      <c r="J2844" s="14" t="s">
        <v>5630</v>
      </c>
      <c r="K2844" s="26"/>
      <c r="N2844" s="6"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c>
      <c r="O2844" s="6" t="s">
        <v>8574</v>
      </c>
      <c r="P2844" s="6" t="s">
        <v>8574</v>
      </c>
    </row>
    <row r="2845" spans="1:17" ht="30" x14ac:dyDescent="0.25">
      <c r="A2845" s="5" t="str">
        <f>IF(TRIM(I2845)="","",E2845)</f>
        <v>DateRegionsValid</v>
      </c>
      <c r="B2845" s="5" t="str">
        <f>IF(TRIM(J2845)="","",H2845)</f>
        <v>Date the last region was created</v>
      </c>
      <c r="C2845" s="5" t="str">
        <f>LEFT(F2845,FIND(".",F2845,6))</f>
        <v>Xmp.MPRI.</v>
      </c>
      <c r="D2845" s="5" t="str">
        <f>VLOOKUP(C2845,PrefixUebersetzung,2,FALSE)</f>
        <v>Xmp.MPRI.</v>
      </c>
      <c r="E2845" s="5" t="str">
        <f>MID(F2845,FIND(".",F2845,6)+1,99)</f>
        <v>DateRegionsValid</v>
      </c>
      <c r="F2845" s="5" t="s">
        <v>1901</v>
      </c>
      <c r="G2845" s="5" t="s">
        <v>9678</v>
      </c>
      <c r="H2845" s="6" t="s">
        <v>3490</v>
      </c>
      <c r="I2845" s="7" t="s">
        <v>4565</v>
      </c>
      <c r="J2845" s="14" t="s">
        <v>5631</v>
      </c>
      <c r="K2845" s="26"/>
      <c r="N2845" s="6"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c r="O2845" s="6" t="s">
        <v>8574</v>
      </c>
      <c r="P2845" s="6" t="s">
        <v>8574</v>
      </c>
      <c r="Q2845" s="6" t="s">
        <v>9240</v>
      </c>
    </row>
    <row r="2846" spans="1:17" x14ac:dyDescent="0.25">
      <c r="A2846" s="5" t="str">
        <f>IF(TRIM(I2846)="","",E2846)</f>
        <v>Regions</v>
      </c>
      <c r="B2846" s="5" t="str">
        <f>IF(TRIM(J2846)="","",H2846)</f>
        <v>Contains Regions/person tags</v>
      </c>
      <c r="C2846" s="5" t="str">
        <f>LEFT(F2846,FIND(".",F2846,6))</f>
        <v>Xmp.MPRI.</v>
      </c>
      <c r="D2846" s="5" t="str">
        <f>VLOOKUP(C2846,PrefixUebersetzung,2,FALSE)</f>
        <v>Xmp.MPRI.</v>
      </c>
      <c r="E2846" s="5" t="str">
        <f>MID(F2846,FIND(".",F2846,6)+1,99)</f>
        <v>Regions</v>
      </c>
      <c r="F2846" s="5" t="s">
        <v>1902</v>
      </c>
      <c r="G2846" s="5" t="s">
        <v>9679</v>
      </c>
      <c r="H2846" s="6" t="s">
        <v>3491</v>
      </c>
      <c r="I2846" s="7" t="s">
        <v>4566</v>
      </c>
      <c r="J2846" s="14" t="s">
        <v>5632</v>
      </c>
      <c r="K2846" s="26"/>
      <c r="L2846" s="6" t="str">
        <f>IFERROR(VLOOKUP(E2846,A:I,9, FALSE),"")</f>
        <v>Bereiche</v>
      </c>
      <c r="N2846" s="6"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c>
      <c r="O2846" s="6" t="s">
        <v>8574</v>
      </c>
      <c r="P2846" s="6" t="s">
        <v>8574</v>
      </c>
    </row>
    <row r="2847" spans="1:17" ht="60" x14ac:dyDescent="0.25">
      <c r="A2847" s="5" t="str">
        <f>IF(TRIM(I2847)="","",E2847)</f>
        <v>Applied</v>
      </c>
      <c r="B2847" s="5" t="str">
        <f>IF(TRIM(J2847)="","",H2847)</f>
        <v>True if this keyword has been applied, False otherwise. If missing, mwg-kw:Applied is presumed True for leaf nodes and False for ancestor nodes</v>
      </c>
      <c r="C2847" s="5" t="str">
        <f>LEFT(F2847,FIND(".",F2847,6))</f>
        <v>Xmp.mwg-kw.</v>
      </c>
      <c r="D2847" s="5" t="str">
        <f>VLOOKUP(C2847,PrefixUebersetzung,2,FALSE)</f>
        <v>Xmp.mwg-kw.</v>
      </c>
      <c r="E2847" s="5" t="str">
        <f>MID(F2847,FIND(".",F2847,6)+1,99)</f>
        <v>Applied</v>
      </c>
      <c r="F2847" s="2" t="s">
        <v>7620</v>
      </c>
      <c r="G2847" s="5" t="s">
        <v>9678</v>
      </c>
      <c r="H2847" s="3" t="s">
        <v>7621</v>
      </c>
      <c r="I2847" s="7" t="s">
        <v>7905</v>
      </c>
      <c r="J2847" s="33" t="s">
        <v>7955</v>
      </c>
      <c r="K2847" s="26"/>
      <c r="N2847" s="6"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c>
      <c r="O2847" s="6" t="s">
        <v>8574</v>
      </c>
      <c r="P2847" s="6" t="s">
        <v>8574</v>
      </c>
    </row>
    <row r="2848" spans="1:17" x14ac:dyDescent="0.25">
      <c r="A2848" s="5" t="str">
        <f>IF(TRIM(I2848)="","",E2848)</f>
        <v>Children</v>
      </c>
      <c r="B2848" s="5" t="str">
        <f>IF(TRIM(J2848)="","",H2848)</f>
        <v>List of children keyword structures</v>
      </c>
      <c r="C2848" s="5" t="str">
        <f>LEFT(F2848,FIND(".",F2848,6))</f>
        <v>Xmp.mwg-kw.</v>
      </c>
      <c r="D2848" s="5" t="str">
        <f>VLOOKUP(C2848,PrefixUebersetzung,2,FALSE)</f>
        <v>Xmp.mwg-kw.</v>
      </c>
      <c r="E2848" s="5" t="str">
        <f>MID(F2848,FIND(".",F2848,6)+1,99)</f>
        <v>Children</v>
      </c>
      <c r="F2848" s="2" t="s">
        <v>7622</v>
      </c>
      <c r="G2848" s="5" t="s">
        <v>9679</v>
      </c>
      <c r="H2848" s="3" t="s">
        <v>7623</v>
      </c>
      <c r="I2848" s="7" t="s">
        <v>7906</v>
      </c>
      <c r="J2848" s="33" t="s">
        <v>7952</v>
      </c>
      <c r="K2848" s="26"/>
      <c r="N2848" s="6"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c>
      <c r="O2848" s="6" t="s">
        <v>8574</v>
      </c>
      <c r="P2848" s="6" t="s">
        <v>8574</v>
      </c>
      <c r="Q2848" s="6" t="s">
        <v>9402</v>
      </c>
    </row>
    <row r="2849" spans="1:17" x14ac:dyDescent="0.25">
      <c r="A2849" s="5" t="str">
        <f>IF(TRIM(I2849)="","",E2849)</f>
        <v>Hierarchy</v>
      </c>
      <c r="B2849" s="5" t="str">
        <f>IF(TRIM(J2849)="","",H2849)</f>
        <v>List of root keyword structures</v>
      </c>
      <c r="C2849" s="5" t="str">
        <f>LEFT(F2849,FIND(".",F2849,6))</f>
        <v>Xmp.mwg-kw.</v>
      </c>
      <c r="D2849" s="5" t="str">
        <f>VLOOKUP(C2849,PrefixUebersetzung,2,FALSE)</f>
        <v>Xmp.mwg-kw.</v>
      </c>
      <c r="E2849" s="5" t="str">
        <f>MID(F2849,FIND(".",F2849,6)+1,99)</f>
        <v>Hierarchy</v>
      </c>
      <c r="F2849" s="2" t="s">
        <v>7624</v>
      </c>
      <c r="G2849" s="5" t="s">
        <v>9679</v>
      </c>
      <c r="H2849" s="3" t="s">
        <v>7625</v>
      </c>
      <c r="I2849" s="7" t="s">
        <v>7846</v>
      </c>
      <c r="J2849" s="33" t="s">
        <v>7951</v>
      </c>
      <c r="K2849" s="26"/>
      <c r="N2849" s="6"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c>
      <c r="O2849" s="6" t="s">
        <v>8574</v>
      </c>
      <c r="P2849" s="6" t="s">
        <v>8574</v>
      </c>
      <c r="Q2849" s="6" t="s">
        <v>9402</v>
      </c>
    </row>
    <row r="2850" spans="1:17" x14ac:dyDescent="0.25">
      <c r="A2850" s="5" t="str">
        <f>IF(TRIM(I2850)="","",E2850)</f>
        <v>Keyword</v>
      </c>
      <c r="B2850" s="5" t="str">
        <f>IF(TRIM(J2850)="","",H2850)</f>
        <v>Name of keyword (-node)</v>
      </c>
      <c r="C2850" s="5" t="str">
        <f>LEFT(F2850,FIND(".",F2850,6))</f>
        <v>Xmp.mwg-kw.</v>
      </c>
      <c r="D2850" s="5" t="str">
        <f>VLOOKUP(C2850,PrefixUebersetzung,2,FALSE)</f>
        <v>Xmp.mwg-kw.</v>
      </c>
      <c r="E2850" s="5" t="str">
        <f>MID(F2850,FIND(".",F2850,6)+1,99)</f>
        <v>Keyword</v>
      </c>
      <c r="F2850" s="2" t="s">
        <v>7626</v>
      </c>
      <c r="G2850" s="5" t="s">
        <v>9678</v>
      </c>
      <c r="H2850" s="3" t="s">
        <v>7627</v>
      </c>
      <c r="I2850" s="7" t="s">
        <v>7845</v>
      </c>
      <c r="J2850" s="33" t="s">
        <v>7950</v>
      </c>
      <c r="K2850" s="26"/>
      <c r="N2850" s="6"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c>
      <c r="O2850" s="6" t="s">
        <v>8574</v>
      </c>
      <c r="P2850" s="6" t="s">
        <v>8574</v>
      </c>
    </row>
    <row r="2851" spans="1:17" ht="30" x14ac:dyDescent="0.25">
      <c r="A2851" s="5" t="str">
        <f>IF(TRIM(I2851)="","",E2851)</f>
        <v/>
      </c>
      <c r="B2851" s="5" t="str">
        <f>IF(TRIM(J2851)="","",H2851)</f>
        <v>Main structure containing keyword based information</v>
      </c>
      <c r="C2851" s="5" t="str">
        <f>LEFT(F2851,FIND(".",F2851,6))</f>
        <v>Xmp.mwg-kw.</v>
      </c>
      <c r="D2851" s="5" t="str">
        <f>VLOOKUP(C2851,PrefixUebersetzung,2,FALSE)</f>
        <v>Xmp.mwg-kw.</v>
      </c>
      <c r="E2851" s="5" t="str">
        <f>MID(F2851,FIND(".",F2851,6)+1,99)</f>
        <v>Keywords</v>
      </c>
      <c r="F2851" s="2" t="s">
        <v>7628</v>
      </c>
      <c r="G2851" s="5" t="s">
        <v>9678</v>
      </c>
      <c r="H2851" s="3" t="s">
        <v>7629</v>
      </c>
      <c r="I2851" s="7"/>
      <c r="J2851" s="33" t="s">
        <v>7949</v>
      </c>
      <c r="K2851" s="26"/>
      <c r="L2851" s="6" t="str">
        <f>IFERROR(VLOOKUP(E2851,A:I,9, FALSE),"")</f>
        <v>Schlüsselworte</v>
      </c>
      <c r="N2851" s="6"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c r="P2851" s="6" t="s">
        <v>8574</v>
      </c>
    </row>
    <row r="2852" spans="1:17" ht="30" x14ac:dyDescent="0.25">
      <c r="A2852" s="5" t="str">
        <f>IF(TRIM(I2852)="","",E2852)</f>
        <v>AppliedToDimensions</v>
      </c>
      <c r="B2852" s="5" t="str">
        <f>IF(TRIM(J2852)="","",H2852)</f>
        <v>Width and height of image when storing region data</v>
      </c>
      <c r="C2852" s="5" t="str">
        <f>LEFT(F2852,FIND(".",F2852,6))</f>
        <v>Xmp.mwg-rs.</v>
      </c>
      <c r="D2852" s="5" t="str">
        <f>VLOOKUP(C2852,PrefixUebersetzung,2,FALSE)</f>
        <v>Xmp.mwg-rs.</v>
      </c>
      <c r="E2852" s="5" t="str">
        <f>MID(F2852,FIND(".",F2852,6)+1,99)</f>
        <v>AppliedToDimensions</v>
      </c>
      <c r="F2852" s="5" t="s">
        <v>1903</v>
      </c>
      <c r="G2852" s="5" t="s">
        <v>9678</v>
      </c>
      <c r="H2852" s="6" t="s">
        <v>3492</v>
      </c>
      <c r="I2852" s="7" t="s">
        <v>4567</v>
      </c>
      <c r="J2852" s="14" t="s">
        <v>6694</v>
      </c>
      <c r="K2852" s="26"/>
      <c r="N2852" s="6"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c>
      <c r="O2852" s="6" t="s">
        <v>8574</v>
      </c>
      <c r="P2852" s="6" t="s">
        <v>8574</v>
      </c>
    </row>
    <row r="2853" spans="1:17" ht="30" x14ac:dyDescent="0.25">
      <c r="A2853" s="5" t="str">
        <f>IF(TRIM(I2853)="","",E2853)</f>
        <v>Area</v>
      </c>
      <c r="B2853" s="5" t="str">
        <f>IF(TRIM(J2853)="","",H2853)</f>
        <v/>
      </c>
      <c r="C2853" s="5" t="str">
        <f>LEFT(F2853,FIND(".",F2853,6))</f>
        <v>Xmp.mwg-rs.</v>
      </c>
      <c r="D2853" s="5" t="str">
        <f>VLOOKUP(C2853,PrefixUebersetzung,2,FALSE)</f>
        <v>Xmp.mwg-rs.</v>
      </c>
      <c r="E2853" s="5" t="str">
        <f>MID(F2853,FIND(".",F2853,6)+1,99)</f>
        <v>Area</v>
      </c>
      <c r="F2853" s="5" t="s">
        <v>1904</v>
      </c>
      <c r="G2853" s="5" t="s">
        <v>9678</v>
      </c>
      <c r="H2853" s="6" t="s">
        <v>3435</v>
      </c>
      <c r="I2853" s="7" t="s">
        <v>4568</v>
      </c>
      <c r="K2853" s="26"/>
      <c r="M2853" s="6" t="str">
        <f>IFERROR(VLOOKUP(H2853,B:J,9,FALSE),"")</f>
        <v>Repräsentative Kenzeichnung für Katalog-Einträge nach Inhalt</v>
      </c>
      <c r="N2853" s="6"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c>
      <c r="O2853" s="6" t="s">
        <v>8574</v>
      </c>
    </row>
    <row r="2854" spans="1:17" x14ac:dyDescent="0.25">
      <c r="A2854" s="5" t="str">
        <f>IF(TRIM(I2854)="","",E2854)</f>
        <v>BarCodeValue</v>
      </c>
      <c r="B2854" s="5" t="str">
        <f>IF(TRIM(J2854)="","",H2854)</f>
        <v>Decoded BarCode value string</v>
      </c>
      <c r="C2854" s="5" t="str">
        <f>LEFT(F2854,FIND(".",F2854,6))</f>
        <v>Xmp.mwg-rs.</v>
      </c>
      <c r="D2854" s="5" t="str">
        <f>VLOOKUP(C2854,PrefixUebersetzung,2,FALSE)</f>
        <v>Xmp.mwg-rs.</v>
      </c>
      <c r="E2854" s="5" t="str">
        <f>MID(F2854,FIND(".",F2854,6)+1,99)</f>
        <v>BarCodeValue</v>
      </c>
      <c r="F2854" s="5" t="s">
        <v>1905</v>
      </c>
      <c r="G2854" s="5" t="s">
        <v>9678</v>
      </c>
      <c r="H2854" s="6" t="s">
        <v>3493</v>
      </c>
      <c r="I2854" s="7" t="s">
        <v>4984</v>
      </c>
      <c r="J2854" s="14" t="s">
        <v>5633</v>
      </c>
      <c r="K2854" s="26"/>
      <c r="N2854" s="6"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c>
      <c r="O2854" s="6" t="s">
        <v>8574</v>
      </c>
      <c r="P2854" s="6" t="s">
        <v>8574</v>
      </c>
    </row>
    <row r="2855" spans="1:17" ht="45" x14ac:dyDescent="0.25">
      <c r="A2855" s="5" t="str">
        <f>IF(TRIM(I2855)="","",E2855)</f>
        <v/>
      </c>
      <c r="B2855" s="5" t="str">
        <f>IF(TRIM(J2855)="","",H2855)</f>
        <v>Usage scenario for a given focus area (EvaluatedUsed|EvaluatedNotUsed|NotEvaluatedNotUsed)</v>
      </c>
      <c r="C2855" s="5" t="str">
        <f>LEFT(F2855,FIND(".",F2855,6))</f>
        <v>Xmp.mwg-rs.</v>
      </c>
      <c r="D2855" s="5" t="str">
        <f>VLOOKUP(C2855,PrefixUebersetzung,2,FALSE)</f>
        <v>Xmp.mwg-rs.</v>
      </c>
      <c r="E2855" s="5" t="str">
        <f>MID(F2855,FIND(".",F2855,6)+1,99)</f>
        <v>Description</v>
      </c>
      <c r="F2855" s="5" t="s">
        <v>1906</v>
      </c>
      <c r="G2855" s="5" t="s">
        <v>9678</v>
      </c>
      <c r="H2855" s="6" t="s">
        <v>3494</v>
      </c>
      <c r="I2855" s="7"/>
      <c r="J2855" s="14" t="s">
        <v>5420</v>
      </c>
      <c r="K2855" s="26"/>
      <c r="L2855" s="6" t="str">
        <f>IFERROR(VLOOKUP(E2855,A:I,9, FALSE),"")</f>
        <v>Beschreibung</v>
      </c>
      <c r="N2855" s="6"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c>
      <c r="P2855" s="6" t="s">
        <v>8574</v>
      </c>
    </row>
    <row r="2856" spans="1:17" ht="30" x14ac:dyDescent="0.25">
      <c r="A2856" s="5" t="str">
        <f>IF(TRIM(I2856)="","",E2856)</f>
        <v>Extensions</v>
      </c>
      <c r="B2856" s="5" t="str">
        <f>IF(TRIM(J2856)="","",H2856)</f>
        <v>Any top level XMP property to describe the region content</v>
      </c>
      <c r="C2856" s="5" t="str">
        <f>LEFT(F2856,FIND(".",F2856,6))</f>
        <v>Xmp.mwg-rs.</v>
      </c>
      <c r="D2856" s="5" t="str">
        <f>VLOOKUP(C2856,PrefixUebersetzung,2,FALSE)</f>
        <v>Xmp.mwg-rs.</v>
      </c>
      <c r="E2856" s="5" t="str">
        <f>MID(F2856,FIND(".",F2856,6)+1,99)</f>
        <v>Extensions</v>
      </c>
      <c r="F2856" s="5" t="s">
        <v>1907</v>
      </c>
      <c r="G2856" s="5" t="s">
        <v>9678</v>
      </c>
      <c r="H2856" s="6" t="s">
        <v>3495</v>
      </c>
      <c r="I2856" s="7" t="s">
        <v>4569</v>
      </c>
      <c r="J2856" s="14" t="s">
        <v>5634</v>
      </c>
      <c r="K2856" s="26"/>
      <c r="N2856" s="6"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c r="O2856" s="6" t="s">
        <v>8574</v>
      </c>
      <c r="P2856" s="6" t="s">
        <v>8574</v>
      </c>
    </row>
    <row r="2857" spans="1:17" ht="30" x14ac:dyDescent="0.25">
      <c r="A2857" s="5" t="str">
        <f>IF(TRIM(I2857)="","",E2857)</f>
        <v/>
      </c>
      <c r="B2857" s="5" t="str">
        <f>IF(TRIM(J2857)="","",H2857)</f>
        <v/>
      </c>
      <c r="C2857" s="5" t="str">
        <f>LEFT(F2857,FIND(".",F2857,6))</f>
        <v>Xmp.mwg-rs.</v>
      </c>
      <c r="D2857" s="5" t="str">
        <f>VLOOKUP(C2857,PrefixUebersetzung,2,FALSE)</f>
        <v>Xmp.mwg-rs.</v>
      </c>
      <c r="E2857" s="5" t="str">
        <f>MID(F2857,FIND(".",F2857,6)+1,99)</f>
        <v>FocusUsage</v>
      </c>
      <c r="F2857" s="5" t="s">
        <v>1908</v>
      </c>
      <c r="G2857" s="5" t="s">
        <v>9678</v>
      </c>
      <c r="H2857" s="6" t="s">
        <v>3435</v>
      </c>
      <c r="I2857" s="7"/>
      <c r="K2857" s="26"/>
      <c r="M2857" s="6" t="str">
        <f>IFERROR(VLOOKUP(H2857,B:J,9,FALSE),"")</f>
        <v>Repräsentative Kenzeichnung für Katalog-Einträge nach Inhalt</v>
      </c>
      <c r="N2857" s="6"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xml:space="preserve">Suffix not translated </v>
      </c>
      <c r="O2857" s="6" t="s">
        <v>8574</v>
      </c>
    </row>
    <row r="2858" spans="1:17" x14ac:dyDescent="0.25">
      <c r="A2858" s="5" t="str">
        <f>IF(TRIM(I2858)="","",E2858)</f>
        <v/>
      </c>
      <c r="B2858" s="5" t="str">
        <f>IF(TRIM(J2858)="","",H2858)</f>
        <v>Name/ short description of content in image region</v>
      </c>
      <c r="C2858" s="5" t="str">
        <f>LEFT(F2858,FIND(".",F2858,6))</f>
        <v>Xmp.mwg-rs.</v>
      </c>
      <c r="D2858" s="5" t="str">
        <f>VLOOKUP(C2858,PrefixUebersetzung,2,FALSE)</f>
        <v>Xmp.mwg-rs.</v>
      </c>
      <c r="E2858" s="5" t="str">
        <f>MID(F2858,FIND(".",F2858,6)+1,99)</f>
        <v>Name</v>
      </c>
      <c r="F2858" s="5" t="s">
        <v>1909</v>
      </c>
      <c r="G2858" s="5" t="s">
        <v>9678</v>
      </c>
      <c r="H2858" s="6" t="s">
        <v>3496</v>
      </c>
      <c r="I2858" s="7"/>
      <c r="J2858" s="30" t="s">
        <v>5404</v>
      </c>
      <c r="K2858" s="26"/>
      <c r="L2858" s="6" t="str">
        <f>IFERROR(VLOOKUP(E2858,A:I,9, FALSE),"")</f>
        <v>Name</v>
      </c>
      <c r="N2858" s="6"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c>
      <c r="P2858" s="6" t="s">
        <v>8574</v>
      </c>
    </row>
    <row r="2859" spans="1:17" x14ac:dyDescent="0.25">
      <c r="A2859" s="5" t="str">
        <f>IF(TRIM(I2859)="","",E2859)</f>
        <v>RegionList</v>
      </c>
      <c r="B2859" s="5" t="str">
        <f>IF(TRIM(J2859)="","",H2859)</f>
        <v>List of Region structures</v>
      </c>
      <c r="C2859" s="5" t="str">
        <f>LEFT(F2859,FIND(".",F2859,6))</f>
        <v>Xmp.mwg-rs.</v>
      </c>
      <c r="D2859" s="5" t="str">
        <f>VLOOKUP(C2859,PrefixUebersetzung,2,FALSE)</f>
        <v>Xmp.mwg-rs.</v>
      </c>
      <c r="E2859" s="5" t="str">
        <f>MID(F2859,FIND(".",F2859,6)+1,99)</f>
        <v>RegionList</v>
      </c>
      <c r="F2859" s="5" t="s">
        <v>1910</v>
      </c>
      <c r="G2859" s="5" t="s">
        <v>9679</v>
      </c>
      <c r="H2859" s="6" t="s">
        <v>3497</v>
      </c>
      <c r="I2859" s="7" t="s">
        <v>4985</v>
      </c>
      <c r="J2859" s="14" t="s">
        <v>5635</v>
      </c>
      <c r="K2859" s="26"/>
      <c r="N2859" s="6"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c r="O2859" s="6" t="s">
        <v>8574</v>
      </c>
      <c r="P2859" s="6" t="s">
        <v>8574</v>
      </c>
      <c r="Q2859" s="6" t="s">
        <v>9402</v>
      </c>
    </row>
    <row r="2860" spans="1:17" x14ac:dyDescent="0.25">
      <c r="A2860" s="5" t="str">
        <f>IF(TRIM(I2860)="","",E2860)</f>
        <v/>
      </c>
      <c r="B2860" s="5" t="str">
        <f>IF(TRIM(J2860)="","",H2860)</f>
        <v>Main structure containing region based information</v>
      </c>
      <c r="C2860" s="5" t="str">
        <f>LEFT(F2860,FIND(".",F2860,6))</f>
        <v>Xmp.mwg-rs.</v>
      </c>
      <c r="D2860" s="5" t="str">
        <f>VLOOKUP(C2860,PrefixUebersetzung,2,FALSE)</f>
        <v>Xmp.mwg-rs.</v>
      </c>
      <c r="E2860" s="5" t="str">
        <f>MID(F2860,FIND(".",F2860,6)+1,99)</f>
        <v>Regions</v>
      </c>
      <c r="F2860" s="5" t="s">
        <v>1911</v>
      </c>
      <c r="G2860" s="5" t="s">
        <v>9678</v>
      </c>
      <c r="H2860" s="6" t="s">
        <v>3498</v>
      </c>
      <c r="I2860" s="7"/>
      <c r="J2860" s="14" t="s">
        <v>5405</v>
      </c>
      <c r="K2860" s="26"/>
      <c r="L2860" s="6" t="str">
        <f>IFERROR(VLOOKUP(E2860,A:I,9, FALSE),"")</f>
        <v>Bereiche</v>
      </c>
      <c r="N2860" s="6"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c r="P2860" s="6" t="s">
        <v>8574</v>
      </c>
    </row>
    <row r="2861" spans="1:17" ht="30" x14ac:dyDescent="0.25">
      <c r="A2861" s="5" t="str">
        <f>IF(TRIM(I2861)="","",E2861)</f>
        <v/>
      </c>
      <c r="B2861" s="5" t="str">
        <f>IF(TRIM(J2861)="","",H2861)</f>
        <v>Type purpose of region (Face|Pet|Focus|BarCode)</v>
      </c>
      <c r="C2861" s="5" t="str">
        <f>LEFT(F2861,FIND(".",F2861,6))</f>
        <v>Xmp.mwg-rs.</v>
      </c>
      <c r="D2861" s="5" t="str">
        <f>VLOOKUP(C2861,PrefixUebersetzung,2,FALSE)</f>
        <v>Xmp.mwg-rs.</v>
      </c>
      <c r="E2861" s="5" t="str">
        <f>MID(F2861,FIND(".",F2861,6)+1,99)</f>
        <v>Type</v>
      </c>
      <c r="F2861" s="5" t="s">
        <v>1912</v>
      </c>
      <c r="G2861" s="5" t="s">
        <v>9678</v>
      </c>
      <c r="H2861" s="6" t="s">
        <v>3499</v>
      </c>
      <c r="I2861" s="7"/>
      <c r="J2861" s="14" t="s">
        <v>5421</v>
      </c>
      <c r="K2861" s="26"/>
      <c r="L2861" s="6" t="str">
        <f>IFERROR(VLOOKUP(E2861,A:I,9, FALSE),"")</f>
        <v>Typ</v>
      </c>
      <c r="N2861" s="6"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c>
      <c r="P2861" s="6" t="s">
        <v>8574</v>
      </c>
    </row>
    <row r="2862" spans="1:17" x14ac:dyDescent="0.25">
      <c r="A2862" s="5" t="str">
        <f>IF(TRIM(I2862)="","",E2862)</f>
        <v/>
      </c>
      <c r="B2862" s="5" t="str">
        <f>IF(TRIM(J2862)="","",H2862)</f>
        <v>Keywords.</v>
      </c>
      <c r="C2862" s="5" t="str">
        <f>LEFT(F2862,FIND(".",F2862,6))</f>
        <v>Xmp.pdf.</v>
      </c>
      <c r="D2862" s="5" t="str">
        <f>VLOOKUP(C2862,PrefixUebersetzung,2,FALSE)</f>
        <v>Xmp.pdf.</v>
      </c>
      <c r="E2862" s="5" t="str">
        <f>MID(F2862,FIND(".",F2862,6)+1,99)</f>
        <v>Keywords</v>
      </c>
      <c r="F2862" s="5" t="s">
        <v>1913</v>
      </c>
      <c r="G2862" s="5" t="s">
        <v>9678</v>
      </c>
      <c r="H2862" s="6" t="s">
        <v>3500</v>
      </c>
      <c r="I2862" s="7"/>
      <c r="J2862" s="14" t="s">
        <v>4570</v>
      </c>
      <c r="K2862" s="26"/>
      <c r="L2862" s="6" t="str">
        <f>IFERROR(VLOOKUP(E2862,A:I,9, FALSE),"")</f>
        <v>Schlüsselworte</v>
      </c>
      <c r="N2862" s="6"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c>
      <c r="P2862" s="6" t="s">
        <v>8574</v>
      </c>
      <c r="Q2862" s="6" t="s">
        <v>9384</v>
      </c>
    </row>
    <row r="2863" spans="1:17" ht="30" x14ac:dyDescent="0.25">
      <c r="A2863" s="5" t="str">
        <f>IF(TRIM(I2863)="","",E2863)</f>
        <v>PDFVersion</v>
      </c>
      <c r="B2863" s="5" t="str">
        <f>IF(TRIM(J2863)="","",H2863)</f>
        <v>The PDF file version (for example: 1.0, 1.3, and so on).</v>
      </c>
      <c r="C2863" s="5" t="str">
        <f>LEFT(F2863,FIND(".",F2863,6))</f>
        <v>Xmp.pdf.</v>
      </c>
      <c r="D2863" s="5" t="str">
        <f>VLOOKUP(C2863,PrefixUebersetzung,2,FALSE)</f>
        <v>Xmp.pdf.</v>
      </c>
      <c r="E2863" s="5" t="str">
        <f>MID(F2863,FIND(".",F2863,6)+1,99)</f>
        <v>PDFVersion</v>
      </c>
      <c r="F2863" s="5" t="s">
        <v>1914</v>
      </c>
      <c r="G2863" s="5" t="s">
        <v>9678</v>
      </c>
      <c r="H2863" s="6" t="s">
        <v>3501</v>
      </c>
      <c r="I2863" s="7" t="s">
        <v>4571</v>
      </c>
      <c r="J2863" s="14" t="s">
        <v>5636</v>
      </c>
      <c r="K2863" s="26"/>
      <c r="N2863" s="6"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c>
      <c r="O2863" s="6" t="s">
        <v>8574</v>
      </c>
      <c r="P2863" s="6" t="s">
        <v>8574</v>
      </c>
      <c r="Q2863" s="6" t="s">
        <v>9520</v>
      </c>
    </row>
    <row r="2864" spans="1:17" ht="30" x14ac:dyDescent="0.25">
      <c r="A2864" s="5" t="str">
        <f>IF(TRIM(I2864)="","",E2864)</f>
        <v>Producer</v>
      </c>
      <c r="B2864" s="5" t="str">
        <f>IF(TRIM(J2864)="","",H2864)</f>
        <v>The name of the tool that created the PDF document.</v>
      </c>
      <c r="C2864" s="5" t="str">
        <f>LEFT(F2864,FIND(".",F2864,6))</f>
        <v>Xmp.pdf.</v>
      </c>
      <c r="D2864" s="5" t="str">
        <f>VLOOKUP(C2864,PrefixUebersetzung,2,FALSE)</f>
        <v>Xmp.pdf.</v>
      </c>
      <c r="E2864" s="5" t="str">
        <f>MID(F2864,FIND(".",F2864,6)+1,99)</f>
        <v>Producer</v>
      </c>
      <c r="F2864" s="5" t="s">
        <v>1915</v>
      </c>
      <c r="G2864" s="5" t="s">
        <v>9678</v>
      </c>
      <c r="H2864" s="6" t="s">
        <v>3502</v>
      </c>
      <c r="I2864" s="7" t="s">
        <v>6928</v>
      </c>
      <c r="J2864" s="14" t="s">
        <v>5637</v>
      </c>
      <c r="K2864" s="26"/>
      <c r="L2864" s="6" t="str">
        <f>IFERROR(VLOOKUP(E2864,A:I,9, FALSE),"")</f>
        <v>Produzent</v>
      </c>
      <c r="N2864" s="6"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c>
      <c r="O2864" s="6" t="s">
        <v>8574</v>
      </c>
      <c r="P2864" s="6" t="s">
        <v>8574</v>
      </c>
      <c r="Q2864" s="6" t="s">
        <v>9536</v>
      </c>
    </row>
    <row r="2865" spans="1:17" x14ac:dyDescent="0.25">
      <c r="A2865" s="5" t="str">
        <f>IF(TRIM(I2865)="","",E2865)</f>
        <v/>
      </c>
      <c r="B2865" s="5" t="str">
        <f>IF(TRIM(J2865)="","",H2865)</f>
        <v/>
      </c>
      <c r="C2865" s="5" t="str">
        <f>LEFT(F2865,FIND(".",F2865,6))</f>
        <v>Xmp.pdf.</v>
      </c>
      <c r="D2865" s="5" t="str">
        <f>VLOOKUP(C2865,PrefixUebersetzung,2,FALSE)</f>
        <v>Xmp.pdf.</v>
      </c>
      <c r="E2865" s="5" t="str">
        <f>MID(F2865,FIND(".",F2865,6)+1,99)</f>
        <v>Trapped</v>
      </c>
      <c r="F2865" s="2" t="s">
        <v>8493</v>
      </c>
      <c r="G2865" s="5" t="s">
        <v>9678</v>
      </c>
      <c r="H2865" s="3" t="s">
        <v>8494</v>
      </c>
      <c r="I2865" s="7"/>
      <c r="K2865" s="26"/>
      <c r="N2865" s="6"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xml:space="preserve">Suffix not translated Description not translated </v>
      </c>
      <c r="O2865" s="6" t="s">
        <v>8574</v>
      </c>
      <c r="P2865" s="6" t="s">
        <v>8574</v>
      </c>
    </row>
    <row r="2866" spans="1:17" x14ac:dyDescent="0.25">
      <c r="A2866" s="5" t="str">
        <f>IF(TRIM(I2866)="","",E2866)</f>
        <v/>
      </c>
      <c r="B2866" s="5" t="str">
        <f>IF(TRIM(J2866)="","",H2866)</f>
        <v>The unique identifier of a document.</v>
      </c>
      <c r="C2866" s="5" t="str">
        <f>LEFT(F2866,FIND(".",F2866,6))</f>
        <v>Xmp.photoshop.</v>
      </c>
      <c r="D2866" s="5" t="str">
        <f>VLOOKUP(C2866,PrefixUebersetzung,2,FALSE)</f>
        <v>Xmp.photoshop.</v>
      </c>
      <c r="E2866" s="5" t="str">
        <f>MID(F2866,FIND(".",F2866,6)+1,99)</f>
        <v>AncestorID</v>
      </c>
      <c r="F2866" s="2" t="s">
        <v>8495</v>
      </c>
      <c r="G2866" s="5" t="s">
        <v>9678</v>
      </c>
      <c r="H2866" s="3" t="s">
        <v>8496</v>
      </c>
      <c r="I2866" s="7"/>
      <c r="J2866" s="8" t="s">
        <v>8784</v>
      </c>
      <c r="K2866" s="26"/>
      <c r="N2866" s="6"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v>
      </c>
      <c r="O2866" s="6" t="s">
        <v>8574</v>
      </c>
      <c r="P2866" s="6" t="s">
        <v>8574</v>
      </c>
    </row>
    <row r="2867" spans="1:17" x14ac:dyDescent="0.25">
      <c r="A2867" s="5" t="str">
        <f>IF(TRIM(I2867)="","",E2867)</f>
        <v>AuthorsPosition</v>
      </c>
      <c r="B2867" s="5" t="str">
        <f>IF(TRIM(J2867)="","",H2867)</f>
        <v>By-line title.</v>
      </c>
      <c r="C2867" s="5" t="str">
        <f>LEFT(F2867,FIND(".",F2867,6))</f>
        <v>Xmp.photoshop.</v>
      </c>
      <c r="D2867" s="5" t="str">
        <f>VLOOKUP(C2867,PrefixUebersetzung,2,FALSE)</f>
        <v>Xmp.photoshop.</v>
      </c>
      <c r="E2867" s="5" t="str">
        <f>MID(F2867,FIND(".",F2867,6)+1,99)</f>
        <v>AuthorsPosition</v>
      </c>
      <c r="F2867" s="5" t="s">
        <v>1916</v>
      </c>
      <c r="G2867" s="5" t="s">
        <v>9678</v>
      </c>
      <c r="H2867" s="6" t="s">
        <v>3503</v>
      </c>
      <c r="I2867" s="7" t="s">
        <v>5638</v>
      </c>
      <c r="J2867" s="14" t="s">
        <v>4965</v>
      </c>
      <c r="K2867" s="26"/>
      <c r="N2867" s="6"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c>
      <c r="O2867" s="6" t="s">
        <v>8574</v>
      </c>
      <c r="P2867" s="6" t="s">
        <v>8574</v>
      </c>
      <c r="Q2867" s="6" t="s">
        <v>9169</v>
      </c>
    </row>
    <row r="2868" spans="1:17" x14ac:dyDescent="0.25">
      <c r="A2868" s="5" t="str">
        <f>IF(TRIM(I2868)="","",E2868)</f>
        <v>CaptionWriter</v>
      </c>
      <c r="B2868" s="5" t="str">
        <f>IF(TRIM(J2868)="","",H2868)</f>
        <v>Writer/editor.</v>
      </c>
      <c r="C2868" s="5" t="str">
        <f>LEFT(F2868,FIND(".",F2868,6))</f>
        <v>Xmp.photoshop.</v>
      </c>
      <c r="D2868" s="5" t="str">
        <f>VLOOKUP(C2868,PrefixUebersetzung,2,FALSE)</f>
        <v>Xmp.photoshop.</v>
      </c>
      <c r="E2868" s="5" t="str">
        <f>MID(F2868,FIND(".",F2868,6)+1,99)</f>
        <v>CaptionWriter</v>
      </c>
      <c r="F2868" s="5" t="s">
        <v>1917</v>
      </c>
      <c r="G2868" s="5" t="s">
        <v>9678</v>
      </c>
      <c r="H2868" s="6" t="s">
        <v>3504</v>
      </c>
      <c r="I2868" s="7" t="s">
        <v>4493</v>
      </c>
      <c r="J2868" s="14" t="s">
        <v>4493</v>
      </c>
      <c r="K2868" s="26"/>
      <c r="N2868" s="6"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c>
      <c r="O2868" s="6" t="s">
        <v>8574</v>
      </c>
      <c r="P2868" s="6" t="s">
        <v>8574</v>
      </c>
      <c r="Q2868" s="6" t="s">
        <v>9566</v>
      </c>
    </row>
    <row r="2869" spans="1:17" ht="30" x14ac:dyDescent="0.25">
      <c r="A2869" s="5" t="str">
        <f>IF(TRIM(I2869)="","",E2869)</f>
        <v/>
      </c>
      <c r="B2869" s="5" t="str">
        <f>IF(TRIM(J2869)="","",H2869)</f>
        <v>Category. Limited to 3 7-bit ASCII characters.</v>
      </c>
      <c r="C2869" s="5" t="str">
        <f>LEFT(F2869,FIND(".",F2869,6))</f>
        <v>Xmp.photoshop.</v>
      </c>
      <c r="D2869" s="5" t="str">
        <f>VLOOKUP(C2869,PrefixUebersetzung,2,FALSE)</f>
        <v>Xmp.photoshop.</v>
      </c>
      <c r="E2869" s="5" t="str">
        <f>MID(F2869,FIND(".",F2869,6)+1,99)</f>
        <v>Category</v>
      </c>
      <c r="F2869" s="5" t="s">
        <v>1918</v>
      </c>
      <c r="G2869" s="5" t="s">
        <v>9678</v>
      </c>
      <c r="H2869" s="6" t="s">
        <v>3505</v>
      </c>
      <c r="I2869" s="7"/>
      <c r="J2869" s="14" t="s">
        <v>4137</v>
      </c>
      <c r="K2869" s="26"/>
      <c r="L2869" s="6" t="str">
        <f>IFERROR(VLOOKUP(E2869,A:I,9, FALSE),"")</f>
        <v>Kategorie</v>
      </c>
      <c r="N2869" s="6"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c>
      <c r="P2869" s="6" t="s">
        <v>8574</v>
      </c>
      <c r="Q2869" s="6" t="s">
        <v>9194</v>
      </c>
    </row>
    <row r="2870" spans="1:17" x14ac:dyDescent="0.25">
      <c r="A2870" s="5" t="str">
        <f>IF(TRIM(I2870)="","",E2870)</f>
        <v/>
      </c>
      <c r="B2870" s="5" t="str">
        <f>IF(TRIM(J2870)="","",H2870)</f>
        <v>City.</v>
      </c>
      <c r="C2870" s="5" t="str">
        <f>LEFT(F2870,FIND(".",F2870,6))</f>
        <v>Xmp.photoshop.</v>
      </c>
      <c r="D2870" s="5" t="str">
        <f>VLOOKUP(C2870,PrefixUebersetzung,2,FALSE)</f>
        <v>Xmp.photoshop.</v>
      </c>
      <c r="E2870" s="5" t="str">
        <f>MID(F2870,FIND(".",F2870,6)+1,99)</f>
        <v>City</v>
      </c>
      <c r="F2870" s="5" t="s">
        <v>1919</v>
      </c>
      <c r="G2870" s="5" t="s">
        <v>9678</v>
      </c>
      <c r="H2870" s="6" t="s">
        <v>3506</v>
      </c>
      <c r="I2870" s="7"/>
      <c r="J2870" s="14" t="s">
        <v>4461</v>
      </c>
      <c r="K2870" s="26"/>
      <c r="L2870" s="6" t="str">
        <f>IFERROR(VLOOKUP(E2870,A:I,9, FALSE),"")</f>
        <v>Stadt</v>
      </c>
      <c r="N2870" s="6"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c>
      <c r="P2870" s="6" t="s">
        <v>8574</v>
      </c>
      <c r="Q2870" s="6" t="s">
        <v>9199</v>
      </c>
    </row>
    <row r="2871" spans="1:17" ht="45" x14ac:dyDescent="0.25">
      <c r="A2871" s="5" t="str">
        <f>IF(TRIM(I2871)="","",E2871)</f>
        <v/>
      </c>
      <c r="B2871" s="5" t="str">
        <f>IF(TRIM(J2871)="","",H2871)</f>
        <v>The colour mode. One of: 0 = Bitmap, 1 = Grayscale, 2 = Indexed, 3 = RGB, 4 = CMYK, 7 = Multichannel, 8 = Duotone, 9 = Lab.</v>
      </c>
      <c r="C2871" s="5" t="str">
        <f>LEFT(F2871,FIND(".",F2871,6))</f>
        <v>Xmp.photoshop.</v>
      </c>
      <c r="D2871" s="5" t="str">
        <f>VLOOKUP(C2871,PrefixUebersetzung,2,FALSE)</f>
        <v>Xmp.photoshop.</v>
      </c>
      <c r="E2871" s="5" t="str">
        <f>MID(F2871,FIND(".",F2871,6)+1,99)</f>
        <v>ColorMode</v>
      </c>
      <c r="F2871" s="2" t="s">
        <v>8497</v>
      </c>
      <c r="G2871" s="5" t="s">
        <v>9678</v>
      </c>
      <c r="H2871" s="3" t="s">
        <v>8498</v>
      </c>
      <c r="I2871" s="7"/>
      <c r="J2871" s="8" t="s">
        <v>8794</v>
      </c>
      <c r="K2871" s="26"/>
      <c r="L2871" s="6" t="str">
        <f>IFERROR(VLOOKUP(E2871,A:I,9, FALSE),"")</f>
        <v>Farbmodus</v>
      </c>
      <c r="N2871" s="6"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c>
      <c r="P2871" s="6" t="s">
        <v>8574</v>
      </c>
    </row>
    <row r="2872" spans="1:17" x14ac:dyDescent="0.25">
      <c r="A2872" s="5" t="str">
        <f>IF(TRIM(I2872)="","",E2872)</f>
        <v/>
      </c>
      <c r="B2872" s="5" t="str">
        <f>IF(TRIM(J2872)="","",H2872)</f>
        <v>Country/primary location.</v>
      </c>
      <c r="C2872" s="5" t="str">
        <f>LEFT(F2872,FIND(".",F2872,6))</f>
        <v>Xmp.photoshop.</v>
      </c>
      <c r="D2872" s="5" t="str">
        <f>VLOOKUP(C2872,PrefixUebersetzung,2,FALSE)</f>
        <v>Xmp.photoshop.</v>
      </c>
      <c r="E2872" s="5" t="str">
        <f>MID(F2872,FIND(".",F2872,6)+1,99)</f>
        <v>Country</v>
      </c>
      <c r="F2872" s="5" t="s">
        <v>1920</v>
      </c>
      <c r="G2872" s="5" t="s">
        <v>9678</v>
      </c>
      <c r="H2872" s="6" t="s">
        <v>3507</v>
      </c>
      <c r="I2872" s="7"/>
      <c r="J2872" s="14" t="s">
        <v>6695</v>
      </c>
      <c r="K2872" s="26"/>
      <c r="L2872" s="6" t="str">
        <f>IFERROR(VLOOKUP(E2872,A:I,9, FALSE),"")</f>
        <v>Land</v>
      </c>
      <c r="N2872" s="6"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c>
      <c r="P2872" s="6" t="s">
        <v>8574</v>
      </c>
      <c r="Q2872" s="6" t="s">
        <v>9223</v>
      </c>
    </row>
    <row r="2873" spans="1:17" x14ac:dyDescent="0.25">
      <c r="A2873" s="5" t="str">
        <f>IF(TRIM(I2873)="","",E2873)</f>
        <v/>
      </c>
      <c r="B2873" s="5" t="str">
        <f>IF(TRIM(J2873)="","",H2873)</f>
        <v>Credit.</v>
      </c>
      <c r="C2873" s="5" t="str">
        <f>LEFT(F2873,FIND(".",F2873,6))</f>
        <v>Xmp.photoshop.</v>
      </c>
      <c r="D2873" s="5" t="str">
        <f>VLOOKUP(C2873,PrefixUebersetzung,2,FALSE)</f>
        <v>Xmp.photoshop.</v>
      </c>
      <c r="E2873" s="5" t="str">
        <f>MID(F2873,FIND(".",F2873,6)+1,99)</f>
        <v>Credit</v>
      </c>
      <c r="F2873" s="5" t="s">
        <v>1921</v>
      </c>
      <c r="G2873" s="5" t="s">
        <v>9678</v>
      </c>
      <c r="H2873" s="6" t="s">
        <v>3508</v>
      </c>
      <c r="I2873" s="7"/>
      <c r="J2873" s="14" t="s">
        <v>4663</v>
      </c>
      <c r="K2873" s="26"/>
      <c r="L2873" s="6" t="str">
        <f>IFERROR(VLOOKUP(E2873,A:I,9, FALSE),"")</f>
        <v>Anerkennung</v>
      </c>
      <c r="N2873" s="6"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c>
      <c r="P2873" s="6" t="s">
        <v>8574</v>
      </c>
      <c r="Q2873" s="6" t="s">
        <v>9225</v>
      </c>
    </row>
    <row r="2874" spans="1:17" ht="135" x14ac:dyDescent="0.25">
      <c r="A2874" s="5" t="str">
        <f>IF(TRIM(I2874)="","",E2874)</f>
        <v/>
      </c>
      <c r="B2874" s="5" t="str">
        <f>IF(TRIM(J2874)="","",H2874)</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2874" s="5" t="str">
        <f>LEFT(F2874,FIND(".",F2874,6))</f>
        <v>Xmp.photoshop.</v>
      </c>
      <c r="D2874" s="5" t="str">
        <f>VLOOKUP(C2874,PrefixUebersetzung,2,FALSE)</f>
        <v>Xmp.photoshop.</v>
      </c>
      <c r="E2874" s="5" t="str">
        <f>MID(F2874,FIND(".",F2874,6)+1,99)</f>
        <v>DateCreated</v>
      </c>
      <c r="F2874" s="5" t="s">
        <v>1922</v>
      </c>
      <c r="G2874" s="5" t="s">
        <v>9678</v>
      </c>
      <c r="H2874" s="6" t="s">
        <v>3509</v>
      </c>
      <c r="I2874" s="7"/>
      <c r="J2874" s="14" t="s">
        <v>6696</v>
      </c>
      <c r="K2874" s="26"/>
      <c r="L2874" s="6" t="str">
        <f>IFERROR(VLOOKUP(E2874,A:I,9, FALSE),"")</f>
        <v>Datum erzeugt</v>
      </c>
      <c r="N2874" s="6"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c>
      <c r="P2874" s="6" t="s">
        <v>8574</v>
      </c>
    </row>
    <row r="2875" spans="1:17" ht="60" x14ac:dyDescent="0.25">
      <c r="A2875" s="5" t="str">
        <f>IF(TRIM(I2875)="","",E2875)</f>
        <v/>
      </c>
      <c r="B2875" s="5" t="str">
        <f>IF(TRIM(J2875)="","",H2875)</f>
        <v>If the source document for a copy-and-paste or place operation has a document ID, that ID is added to this list in the destination document's XMP.</v>
      </c>
      <c r="C2875" s="5" t="str">
        <f>LEFT(F2875,FIND(".",F2875,6))</f>
        <v>Xmp.photoshop.</v>
      </c>
      <c r="D2875" s="5" t="str">
        <f>VLOOKUP(C2875,PrefixUebersetzung,2,FALSE)</f>
        <v>Xmp.photoshop.</v>
      </c>
      <c r="E2875" s="5" t="str">
        <f>MID(F2875,FIND(".",F2875,6)+1,99)</f>
        <v>DocumentAncestors</v>
      </c>
      <c r="F2875" s="2" t="s">
        <v>8499</v>
      </c>
      <c r="G2875" s="5" t="s">
        <v>9679</v>
      </c>
      <c r="H2875" s="3" t="s">
        <v>8500</v>
      </c>
      <c r="I2875" s="7"/>
      <c r="J2875" s="8" t="s">
        <v>8801</v>
      </c>
      <c r="K2875" s="26"/>
      <c r="N2875" s="6"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v>
      </c>
      <c r="O2875" s="6" t="s">
        <v>8574</v>
      </c>
      <c r="P2875" s="6" t="s">
        <v>8574</v>
      </c>
    </row>
    <row r="2876" spans="1:17" x14ac:dyDescent="0.25">
      <c r="A2876" s="5" t="str">
        <f>IF(TRIM(I2876)="","",E2876)</f>
        <v/>
      </c>
      <c r="B2876" s="5" t="str">
        <f>IF(TRIM(J2876)="","",H2876)</f>
        <v/>
      </c>
      <c r="C2876" s="5" t="str">
        <f>LEFT(F2876,FIND(".",F2876,6))</f>
        <v>Xmp.photoshop.</v>
      </c>
      <c r="D2876" s="5" t="str">
        <f>VLOOKUP(C2876,PrefixUebersetzung,2,FALSE)</f>
        <v>Xmp.photoshop.</v>
      </c>
      <c r="E2876" s="5" t="str">
        <f>MID(F2876,FIND(".",F2876,6)+1,99)</f>
        <v>EmbeddedXMPDigest</v>
      </c>
      <c r="F2876" s="2" t="s">
        <v>8501</v>
      </c>
      <c r="G2876" s="5" t="s">
        <v>9678</v>
      </c>
      <c r="H2876" s="3" t="s">
        <v>8502</v>
      </c>
      <c r="I2876" s="7"/>
      <c r="K2876" s="26"/>
      <c r="N2876" s="6"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c r="O2876" s="6" t="s">
        <v>8574</v>
      </c>
      <c r="P2876" s="6" t="s">
        <v>8574</v>
      </c>
    </row>
    <row r="2877" spans="1:17" x14ac:dyDescent="0.25">
      <c r="A2877" s="5" t="str">
        <f>IF(TRIM(I2877)="","",E2877)</f>
        <v/>
      </c>
      <c r="B2877" s="5" t="str">
        <f>IF(TRIM(J2877)="","",H2877)</f>
        <v>Headline.</v>
      </c>
      <c r="C2877" s="5" t="str">
        <f>LEFT(F2877,FIND(".",F2877,6))</f>
        <v>Xmp.photoshop.</v>
      </c>
      <c r="D2877" s="5" t="str">
        <f>VLOOKUP(C2877,PrefixUebersetzung,2,FALSE)</f>
        <v>Xmp.photoshop.</v>
      </c>
      <c r="E2877" s="5" t="str">
        <f>MID(F2877,FIND(".",F2877,6)+1,99)</f>
        <v>Headline</v>
      </c>
      <c r="F2877" s="5" t="s">
        <v>1923</v>
      </c>
      <c r="G2877" s="5" t="s">
        <v>9678</v>
      </c>
      <c r="H2877" s="6" t="s">
        <v>3510</v>
      </c>
      <c r="I2877" s="7"/>
      <c r="J2877" s="14" t="s">
        <v>4470</v>
      </c>
      <c r="K2877" s="26"/>
      <c r="L2877" s="6" t="str">
        <f>IFERROR(VLOOKUP(E2877,A:I,9, FALSE),"")</f>
        <v>Überschrift</v>
      </c>
      <c r="N2877" s="6"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c>
      <c r="P2877" s="6" t="s">
        <v>8574</v>
      </c>
      <c r="Q2877" s="6" t="s">
        <v>9339</v>
      </c>
    </row>
    <row r="2878" spans="1:17" ht="45" x14ac:dyDescent="0.25">
      <c r="A2878" s="5" t="str">
        <f>IF(TRIM(I2878)="","",E2878)</f>
        <v>History</v>
      </c>
      <c r="B2878" s="5" t="str">
        <f>IF(TRIM(J2878)="","",H2878)</f>
        <v>The history that appears in the FileInfo panel, if activated in the application preferences.</v>
      </c>
      <c r="C2878" s="5" t="str">
        <f>LEFT(F2878,FIND(".",F2878,6))</f>
        <v>Xmp.photoshop.</v>
      </c>
      <c r="D2878" s="5" t="str">
        <f>VLOOKUP(C2878,PrefixUebersetzung,2,FALSE)</f>
        <v>Xmp.photoshop.</v>
      </c>
      <c r="E2878" s="5" t="str">
        <f>MID(F2878,FIND(".",F2878,6)+1,99)</f>
        <v>History</v>
      </c>
      <c r="F2878" s="2" t="s">
        <v>8503</v>
      </c>
      <c r="G2878" s="5" t="s">
        <v>9678</v>
      </c>
      <c r="H2878" s="3" t="s">
        <v>8504</v>
      </c>
      <c r="I2878" s="7" t="s">
        <v>4640</v>
      </c>
      <c r="J2878" s="8" t="s">
        <v>8805</v>
      </c>
      <c r="K2878" s="26"/>
      <c r="L2878" s="6" t="str">
        <f>IFERROR(VLOOKUP(E2878,A:I,9, FALSE),"")</f>
        <v>Historie</v>
      </c>
      <c r="N2878" s="6"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c>
      <c r="O2878" s="6" t="s">
        <v>8574</v>
      </c>
      <c r="P2878" s="6" t="s">
        <v>8574</v>
      </c>
    </row>
    <row r="2879" spans="1:17" x14ac:dyDescent="0.25">
      <c r="A2879" s="5" t="str">
        <f>IF(TRIM(I2879)="","",E2879)</f>
        <v/>
      </c>
      <c r="B2879" s="5" t="str">
        <f>IF(TRIM(J2879)="","",H2879)</f>
        <v>The colour profile, such as AppleRGB, AdobeRGB1998.</v>
      </c>
      <c r="C2879" s="5" t="str">
        <f>LEFT(F2879,FIND(".",F2879,6))</f>
        <v>Xmp.photoshop.</v>
      </c>
      <c r="D2879" s="5" t="str">
        <f>VLOOKUP(C2879,PrefixUebersetzung,2,FALSE)</f>
        <v>Xmp.photoshop.</v>
      </c>
      <c r="E2879" s="5" t="str">
        <f>MID(F2879,FIND(".",F2879,6)+1,99)</f>
        <v>ICCProfile</v>
      </c>
      <c r="F2879" s="2" t="s">
        <v>8505</v>
      </c>
      <c r="G2879" s="5" t="s">
        <v>9678</v>
      </c>
      <c r="H2879" s="3" t="s">
        <v>8506</v>
      </c>
      <c r="I2879" s="7"/>
      <c r="J2879" s="8" t="s">
        <v>8806</v>
      </c>
      <c r="K2879" s="26"/>
      <c r="L2879" s="6" t="str">
        <f>IFERROR(VLOOKUP(E2879,A:I,9, FALSE),"")</f>
        <v>ICC-Profil</v>
      </c>
      <c r="N2879" s="6"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c>
      <c r="P2879" s="6" t="s">
        <v>8574</v>
      </c>
    </row>
    <row r="2880" spans="1:17" x14ac:dyDescent="0.25">
      <c r="A2880" s="5" t="str">
        <f>IF(TRIM(I2880)="","",E2880)</f>
        <v>Instructions</v>
      </c>
      <c r="B2880" s="5" t="str">
        <f>IF(TRIM(J2880)="","",H2880)</f>
        <v>Special instructions.</v>
      </c>
      <c r="C2880" s="5" t="str">
        <f>LEFT(F2880,FIND(".",F2880,6))</f>
        <v>Xmp.photoshop.</v>
      </c>
      <c r="D2880" s="5" t="str">
        <f>VLOOKUP(C2880,PrefixUebersetzung,2,FALSE)</f>
        <v>Xmp.photoshop.</v>
      </c>
      <c r="E2880" s="5" t="str">
        <f>MID(F2880,FIND(".",F2880,6)+1,99)</f>
        <v>Instructions</v>
      </c>
      <c r="F2880" s="5" t="s">
        <v>1924</v>
      </c>
      <c r="G2880" s="5" t="s">
        <v>9678</v>
      </c>
      <c r="H2880" s="6" t="s">
        <v>3511</v>
      </c>
      <c r="I2880" s="7" t="s">
        <v>4572</v>
      </c>
      <c r="J2880" s="14" t="s">
        <v>4138</v>
      </c>
      <c r="K2880" s="26"/>
      <c r="N2880" s="6"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c>
      <c r="O2880" s="6" t="s">
        <v>8574</v>
      </c>
      <c r="P2880" s="6" t="s">
        <v>8574</v>
      </c>
      <c r="Q2880" s="6" t="s">
        <v>9493</v>
      </c>
    </row>
    <row r="2881" spans="1:17" x14ac:dyDescent="0.25">
      <c r="A2881" s="5" t="str">
        <f>IF(TRIM(I2881)="","",E2881)</f>
        <v>LayerName</v>
      </c>
      <c r="B2881" s="5" t="str">
        <f>IF(TRIM(J2881)="","",H2881)</f>
        <v>The identifying name of the text layer.</v>
      </c>
      <c r="C2881" s="5" t="str">
        <f>LEFT(F2881,FIND(".",F2881,6))</f>
        <v>Xmp.photoshop.</v>
      </c>
      <c r="D2881" s="5" t="str">
        <f>VLOOKUP(C2881,PrefixUebersetzung,2,FALSE)</f>
        <v>Xmp.photoshop.</v>
      </c>
      <c r="E2881" s="5" t="str">
        <f>MID(F2881,FIND(".",F2881,6)+1,99)</f>
        <v>LayerName</v>
      </c>
      <c r="F2881" s="2" t="s">
        <v>8507</v>
      </c>
      <c r="G2881" s="5" t="s">
        <v>9678</v>
      </c>
      <c r="H2881" s="3" t="s">
        <v>8508</v>
      </c>
      <c r="I2881" s="7" t="s">
        <v>8969</v>
      </c>
      <c r="J2881" s="8" t="s">
        <v>8814</v>
      </c>
      <c r="K2881" s="26"/>
      <c r="N2881" s="6"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c r="O2881" s="6" t="s">
        <v>8574</v>
      </c>
      <c r="P2881" s="6" t="s">
        <v>8574</v>
      </c>
      <c r="Q2881" s="6" t="s">
        <v>4178</v>
      </c>
    </row>
    <row r="2882" spans="1:17" x14ac:dyDescent="0.25">
      <c r="A2882" s="5" t="str">
        <f>IF(TRIM(I2882)="","",E2882)</f>
        <v>LayerText</v>
      </c>
      <c r="B2882" s="5" t="str">
        <f>IF(TRIM(J2882)="","",H2882)</f>
        <v>The text content of the text layer.</v>
      </c>
      <c r="C2882" s="5" t="str">
        <f>LEFT(F2882,FIND(".",F2882,6))</f>
        <v>Xmp.photoshop.</v>
      </c>
      <c r="D2882" s="5" t="str">
        <f>VLOOKUP(C2882,PrefixUebersetzung,2,FALSE)</f>
        <v>Xmp.photoshop.</v>
      </c>
      <c r="E2882" s="5" t="str">
        <f>MID(F2882,FIND(".",F2882,6)+1,99)</f>
        <v>LayerText</v>
      </c>
      <c r="F2882" s="2" t="s">
        <v>8509</v>
      </c>
      <c r="G2882" s="5" t="s">
        <v>9678</v>
      </c>
      <c r="H2882" s="3" t="s">
        <v>8510</v>
      </c>
      <c r="I2882" s="7" t="s">
        <v>8970</v>
      </c>
      <c r="J2882" s="8" t="s">
        <v>8815</v>
      </c>
      <c r="K2882" s="26"/>
      <c r="N2882" s="6"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c>
      <c r="O2882" s="6" t="s">
        <v>8574</v>
      </c>
      <c r="P2882" s="6" t="s">
        <v>8574</v>
      </c>
      <c r="Q2882" s="6" t="s">
        <v>9530</v>
      </c>
    </row>
    <row r="2883" spans="1:17" x14ac:dyDescent="0.25">
      <c r="A2883" s="5" t="str">
        <f>IF(TRIM(I2883)="","",E2883)</f>
        <v/>
      </c>
      <c r="B2883" s="5" t="str">
        <f>IF(TRIM(J2883)="","",H2883)</f>
        <v/>
      </c>
      <c r="C2883" s="5" t="str">
        <f>LEFT(F2883,FIND(".",F2883,6))</f>
        <v>Xmp.photoshop.</v>
      </c>
      <c r="D2883" s="5" t="str">
        <f>VLOOKUP(C2883,PrefixUebersetzung,2,FALSE)</f>
        <v>Xmp.photoshop.</v>
      </c>
      <c r="E2883" s="5" t="str">
        <f>MID(F2883,FIND(".",F2883,6)+1,99)</f>
        <v>LegacyIPTCDigest</v>
      </c>
      <c r="F2883" s="2" t="s">
        <v>8511</v>
      </c>
      <c r="G2883" s="5" t="s">
        <v>9678</v>
      </c>
      <c r="H2883" s="3" t="s">
        <v>8512</v>
      </c>
      <c r="I2883" s="7"/>
      <c r="K2883" s="26"/>
      <c r="N2883" s="6"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xml:space="preserve">Suffix not translated Description not translated </v>
      </c>
      <c r="O2883" s="6" t="s">
        <v>8574</v>
      </c>
      <c r="P2883" s="6" t="s">
        <v>8574</v>
      </c>
    </row>
    <row r="2884" spans="1:17" x14ac:dyDescent="0.25">
      <c r="A2884" s="5" t="str">
        <f>IF(TRIM(I2884)="","",E2884)</f>
        <v/>
      </c>
      <c r="B2884" s="5" t="str">
        <f>IF(TRIM(J2884)="","",H2884)</f>
        <v>Filename extension of associated image file.</v>
      </c>
      <c r="C2884" s="5" t="str">
        <f>LEFT(F2884,FIND(".",F2884,6))</f>
        <v>Xmp.photoshop.</v>
      </c>
      <c r="D2884" s="5" t="str">
        <f>VLOOKUP(C2884,PrefixUebersetzung,2,FALSE)</f>
        <v>Xmp.photoshop.</v>
      </c>
      <c r="E2884" s="5" t="str">
        <f>MID(F2884,FIND(".",F2884,6)+1,99)</f>
        <v>SidecarForExtension</v>
      </c>
      <c r="F2884" s="2" t="s">
        <v>8513</v>
      </c>
      <c r="G2884" s="5" t="s">
        <v>9678</v>
      </c>
      <c r="H2884" s="3" t="s">
        <v>8514</v>
      </c>
      <c r="I2884" s="7"/>
      <c r="J2884" s="8" t="s">
        <v>8853</v>
      </c>
      <c r="K2884" s="26"/>
      <c r="N2884" s="6"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v>
      </c>
      <c r="O2884" s="6" t="s">
        <v>8574</v>
      </c>
      <c r="P2884" s="6" t="s">
        <v>8574</v>
      </c>
    </row>
    <row r="2885" spans="1:17" x14ac:dyDescent="0.25">
      <c r="A2885" s="5" t="str">
        <f>IF(TRIM(I2885)="","",E2885)</f>
        <v/>
      </c>
      <c r="B2885" s="5" t="str">
        <f>IF(TRIM(J2885)="","",H2885)</f>
        <v>Source.</v>
      </c>
      <c r="C2885" s="5" t="str">
        <f>LEFT(F2885,FIND(".",F2885,6))</f>
        <v>Xmp.photoshop.</v>
      </c>
      <c r="D2885" s="5" t="str">
        <f>VLOOKUP(C2885,PrefixUebersetzung,2,FALSE)</f>
        <v>Xmp.photoshop.</v>
      </c>
      <c r="E2885" s="5" t="str">
        <f>MID(F2885,FIND(".",F2885,6)+1,99)</f>
        <v>Source</v>
      </c>
      <c r="F2885" s="5" t="s">
        <v>1925</v>
      </c>
      <c r="G2885" s="5" t="s">
        <v>9678</v>
      </c>
      <c r="H2885" s="6" t="s">
        <v>3512</v>
      </c>
      <c r="I2885" s="7"/>
      <c r="J2885" s="14" t="s">
        <v>4487</v>
      </c>
      <c r="K2885" s="26"/>
      <c r="L2885" s="6" t="str">
        <f>IFERROR(VLOOKUP(E2885,A:I,9, FALSE),"")</f>
        <v>Quelle</v>
      </c>
      <c r="M2885" s="6" t="str">
        <f>IFERROR(VLOOKUP(H2885,B:J,9,FALSE),"")</f>
        <v>Quelle</v>
      </c>
      <c r="N2885" s="6"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c>
      <c r="P2885" s="6" t="s">
        <v>8574</v>
      </c>
      <c r="Q2885" s="6" t="s">
        <v>9492</v>
      </c>
    </row>
    <row r="2886" spans="1:17" x14ac:dyDescent="0.25">
      <c r="A2886" s="5" t="str">
        <f>IF(TRIM(I2886)="","",E2886)</f>
        <v/>
      </c>
      <c r="B2886" s="5" t="str">
        <f>IF(TRIM(J2886)="","",H2886)</f>
        <v>Province/state.</v>
      </c>
      <c r="C2886" s="5" t="str">
        <f>LEFT(F2886,FIND(".",F2886,6))</f>
        <v>Xmp.photoshop.</v>
      </c>
      <c r="D2886" s="5" t="str">
        <f>VLOOKUP(C2886,PrefixUebersetzung,2,FALSE)</f>
        <v>Xmp.photoshop.</v>
      </c>
      <c r="E2886" s="5" t="str">
        <f>MID(F2886,FIND(".",F2886,6)+1,99)</f>
        <v>State</v>
      </c>
      <c r="F2886" s="5" t="s">
        <v>1926</v>
      </c>
      <c r="G2886" s="5" t="s">
        <v>9678</v>
      </c>
      <c r="H2886" s="6" t="s">
        <v>3513</v>
      </c>
      <c r="I2886" s="7"/>
      <c r="J2886" s="14" t="s">
        <v>4139</v>
      </c>
      <c r="K2886" s="26"/>
      <c r="L2886" s="6" t="str">
        <f>IFERROR(VLOOKUP(E2886,A:I,9, FALSE),"")</f>
        <v>Staat</v>
      </c>
      <c r="N2886" s="6"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c>
      <c r="P2886" s="6" t="s">
        <v>8574</v>
      </c>
      <c r="Q2886" s="6" t="s">
        <v>9460</v>
      </c>
    </row>
    <row r="2887" spans="1:17" x14ac:dyDescent="0.25">
      <c r="A2887" s="5" t="str">
        <f>IF(TRIM(I2887)="","",E2887)</f>
        <v>SupplementalCategories</v>
      </c>
      <c r="B2887" s="5" t="str">
        <f>IF(TRIM(J2887)="","",H2887)</f>
        <v>Supplemental category.</v>
      </c>
      <c r="C2887" s="5" t="str">
        <f>LEFT(F2887,FIND(".",F2887,6))</f>
        <v>Xmp.photoshop.</v>
      </c>
      <c r="D2887" s="5" t="str">
        <f>VLOOKUP(C2887,PrefixUebersetzung,2,FALSE)</f>
        <v>Xmp.photoshop.</v>
      </c>
      <c r="E2887" s="5" t="str">
        <f>MID(F2887,FIND(".",F2887,6)+1,99)</f>
        <v>SupplementalCategories</v>
      </c>
      <c r="F2887" s="5" t="s">
        <v>1927</v>
      </c>
      <c r="G2887" s="5" t="s">
        <v>9679</v>
      </c>
      <c r="H2887" s="6" t="s">
        <v>3514</v>
      </c>
      <c r="I2887" s="7" t="s">
        <v>4986</v>
      </c>
      <c r="J2887" s="14" t="s">
        <v>6697</v>
      </c>
      <c r="K2887" s="26"/>
      <c r="N2887" s="6"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c>
      <c r="O2887" s="6" t="s">
        <v>8574</v>
      </c>
      <c r="P2887" s="6" t="s">
        <v>8574</v>
      </c>
      <c r="Q2887" s="6" t="s">
        <v>9503</v>
      </c>
    </row>
    <row r="2888" spans="1:17" ht="30" x14ac:dyDescent="0.25">
      <c r="A2888" s="5" t="str">
        <f>IF(TRIM(I2888)="","",E2888)</f>
        <v>TextLayers</v>
      </c>
      <c r="B2888" s="5" t="str">
        <f>IF(TRIM(J2888)="","",H2888)</f>
        <v>If a document has text layers, this property caches the text for each layer.</v>
      </c>
      <c r="C2888" s="5" t="str">
        <f>LEFT(F2888,FIND(".",F2888,6))</f>
        <v>Xmp.photoshop.</v>
      </c>
      <c r="D2888" s="5" t="str">
        <f>VLOOKUP(C2888,PrefixUebersetzung,2,FALSE)</f>
        <v>Xmp.photoshop.</v>
      </c>
      <c r="E2888" s="5" t="str">
        <f>MID(F2888,FIND(".",F2888,6)+1,99)</f>
        <v>TextLayers</v>
      </c>
      <c r="F2888" s="2" t="s">
        <v>8515</v>
      </c>
      <c r="G2888" s="5" t="s">
        <v>9680</v>
      </c>
      <c r="H2888" s="3" t="s">
        <v>8516</v>
      </c>
      <c r="I2888" s="7" t="s">
        <v>8971</v>
      </c>
      <c r="J2888" s="13" t="s">
        <v>8856</v>
      </c>
      <c r="K2888" s="26"/>
      <c r="N2888" s="6"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c>
      <c r="O2888" s="6" t="s">
        <v>8574</v>
      </c>
      <c r="P2888" s="6" t="s">
        <v>8574</v>
      </c>
    </row>
    <row r="2889" spans="1:17" x14ac:dyDescent="0.25">
      <c r="A2889" s="5" t="str">
        <f>IF(TRIM(I2889)="","",E2889)</f>
        <v/>
      </c>
      <c r="B2889" s="5" t="str">
        <f>IF(TRIM(J2889)="","",H2889)</f>
        <v>Original transmission reference.</v>
      </c>
      <c r="C2889" s="5" t="str">
        <f>LEFT(F2889,FIND(".",F2889,6))</f>
        <v>Xmp.photoshop.</v>
      </c>
      <c r="D2889" s="5" t="str">
        <f>VLOOKUP(C2889,PrefixUebersetzung,2,FALSE)</f>
        <v>Xmp.photoshop.</v>
      </c>
      <c r="E2889" s="5" t="str">
        <f>MID(F2889,FIND(".",F2889,6)+1,99)</f>
        <v>TransmissionReference</v>
      </c>
      <c r="F2889" s="5" t="s">
        <v>1928</v>
      </c>
      <c r="G2889" s="5" t="s">
        <v>9678</v>
      </c>
      <c r="H2889" s="6" t="s">
        <v>3515</v>
      </c>
      <c r="I2889" s="24"/>
      <c r="J2889" s="14" t="s">
        <v>6698</v>
      </c>
      <c r="K2889" s="26"/>
      <c r="L2889" s="6" t="str">
        <f>IFERROR(VLOOKUP(E2889,A:I,9, FALSE),"")</f>
        <v>Übertragungsreferenz</v>
      </c>
      <c r="N2889" s="6"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c>
      <c r="P2889" s="6" t="s">
        <v>8574</v>
      </c>
      <c r="Q2889" s="6" t="s">
        <v>9437</v>
      </c>
    </row>
    <row r="2890" spans="1:17" ht="30" x14ac:dyDescent="0.25">
      <c r="A2890" s="5" t="str">
        <f>IF(TRIM(I2890)="","",E2890)</f>
        <v/>
      </c>
      <c r="B2890" s="5" t="str">
        <f>IF(TRIM(J2890)="","",H2890)</f>
        <v>Urgency. Valid range is 1-8.</v>
      </c>
      <c r="C2890" s="5" t="str">
        <f>LEFT(F2890,FIND(".",F2890,6))</f>
        <v>Xmp.photoshop.</v>
      </c>
      <c r="D2890" s="5" t="str">
        <f>VLOOKUP(C2890,PrefixUebersetzung,2,FALSE)</f>
        <v>Xmp.photoshop.</v>
      </c>
      <c r="E2890" s="5" t="str">
        <f>MID(F2890,FIND(".",F2890,6)+1,99)</f>
        <v>Urgency</v>
      </c>
      <c r="F2890" s="5" t="s">
        <v>1929</v>
      </c>
      <c r="G2890" s="5" t="s">
        <v>9678</v>
      </c>
      <c r="H2890" s="6" t="s">
        <v>3516</v>
      </c>
      <c r="I2890" s="7"/>
      <c r="J2890" s="14" t="s">
        <v>4140</v>
      </c>
      <c r="K2890" s="26"/>
      <c r="L2890" s="6" t="str">
        <f>IFERROR(VLOOKUP(E2890,A:I,9, FALSE),"")</f>
        <v>Dringlichkeit</v>
      </c>
      <c r="N2890" s="6"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c>
      <c r="P2890" s="6" t="s">
        <v>8574</v>
      </c>
      <c r="Q2890" s="6" t="s">
        <v>9546</v>
      </c>
    </row>
    <row r="2891" spans="1:17" ht="30" x14ac:dyDescent="0.25">
      <c r="A2891" s="5" t="str">
        <f>IF(TRIM(I2891)="","",E2891)</f>
        <v>AdultContentWarning</v>
      </c>
      <c r="B2891" s="5" t="str">
        <f>IF(TRIM(J2891)="","",H2891)</f>
        <v>Warning indicating the presence of content not suitable for minors.</v>
      </c>
      <c r="C2891" s="5" t="str">
        <f>LEFT(F2891,FIND(".",F2891,6))</f>
        <v>Xmp.plus.</v>
      </c>
      <c r="D2891" s="5" t="str">
        <f>VLOOKUP(C2891,PrefixUebersetzung,2,FALSE)</f>
        <v>Xmp.plus.</v>
      </c>
      <c r="E2891" s="5" t="str">
        <f>MID(F2891,FIND(".",F2891,6)+1,99)</f>
        <v>AdultContentWarning</v>
      </c>
      <c r="F2891" s="5" t="s">
        <v>1930</v>
      </c>
      <c r="G2891" s="5" t="s">
        <v>9678</v>
      </c>
      <c r="H2891" s="6" t="s">
        <v>3517</v>
      </c>
      <c r="I2891" s="7" t="s">
        <v>4574</v>
      </c>
      <c r="J2891" s="14" t="s">
        <v>5573</v>
      </c>
      <c r="K2891" s="26"/>
      <c r="N2891" s="6"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c r="O2891" s="6" t="s">
        <v>8574</v>
      </c>
      <c r="P2891" s="6" t="s">
        <v>8574</v>
      </c>
    </row>
    <row r="2892" spans="1:17" ht="30" x14ac:dyDescent="0.25">
      <c r="A2892" s="5" t="str">
        <f>IF(TRIM(I2892)="","",E2892)</f>
        <v>CopyrightOwner</v>
      </c>
      <c r="B2892" s="5" t="str">
        <f>IF(TRIM(J2892)="","",H2892)</f>
        <v>Owner or owners of the copyright in the licensed image.</v>
      </c>
      <c r="C2892" s="5" t="str">
        <f>LEFT(F2892,FIND(".",F2892,6))</f>
        <v>Xmp.plus.</v>
      </c>
      <c r="D2892" s="5" t="str">
        <f>VLOOKUP(C2892,PrefixUebersetzung,2,FALSE)</f>
        <v>Xmp.plus.</v>
      </c>
      <c r="E2892" s="5" t="str">
        <f>MID(F2892,FIND(".",F2892,6)+1,99)</f>
        <v>CopyrightOwner</v>
      </c>
      <c r="F2892" s="5" t="s">
        <v>1931</v>
      </c>
      <c r="G2892" s="5" t="s">
        <v>9680</v>
      </c>
      <c r="H2892" s="6" t="s">
        <v>3518</v>
      </c>
      <c r="I2892" s="7" t="s">
        <v>4575</v>
      </c>
      <c r="J2892" s="14" t="s">
        <v>5639</v>
      </c>
      <c r="K2892" s="26"/>
      <c r="N2892" s="6"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c>
      <c r="O2892" s="6" t="s">
        <v>8574</v>
      </c>
      <c r="P2892" s="6" t="s">
        <v>8574</v>
      </c>
    </row>
    <row r="2893" spans="1:17" x14ac:dyDescent="0.25">
      <c r="A2893" s="5" t="str">
        <f>IF(TRIM(I2893)="","",E2893)</f>
        <v>CopyrightOwnerID</v>
      </c>
      <c r="B2893" s="5" t="str">
        <f>IF(TRIM(J2893)="","",H2893)</f>
        <v>Optional PLUS-ID identifying each Copyright Owner.</v>
      </c>
      <c r="C2893" s="5" t="str">
        <f>LEFT(F2893,FIND(".",F2893,6))</f>
        <v>Xmp.plus.</v>
      </c>
      <c r="D2893" s="5" t="str">
        <f>VLOOKUP(C2893,PrefixUebersetzung,2,FALSE)</f>
        <v>Xmp.plus.</v>
      </c>
      <c r="E2893" s="5" t="str">
        <f>MID(F2893,FIND(".",F2893,6)+1,99)</f>
        <v>CopyrightOwnerID</v>
      </c>
      <c r="F2893" s="5" t="s">
        <v>1932</v>
      </c>
      <c r="G2893" s="5" t="s">
        <v>9678</v>
      </c>
      <c r="H2893" s="6" t="s">
        <v>3519</v>
      </c>
      <c r="I2893" s="7" t="s">
        <v>4576</v>
      </c>
      <c r="J2893" s="14" t="s">
        <v>5640</v>
      </c>
      <c r="K2893" s="26"/>
      <c r="N2893" s="6"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c r="O2893" s="6" t="s">
        <v>8574</v>
      </c>
      <c r="P2893" s="6" t="s">
        <v>8574</v>
      </c>
    </row>
    <row r="2894" spans="1:17" ht="30" x14ac:dyDescent="0.25">
      <c r="A2894" s="5" t="str">
        <f>IF(TRIM(I2894)="","",E2894)</f>
        <v>CopyrightOwnerImageID</v>
      </c>
      <c r="B2894" s="5" t="str">
        <f>IF(TRIM(J2894)="","",H2894)</f>
        <v>Optional identifier assigned by the Copyright Owner to the image.</v>
      </c>
      <c r="C2894" s="5" t="str">
        <f>LEFT(F2894,FIND(".",F2894,6))</f>
        <v>Xmp.plus.</v>
      </c>
      <c r="D2894" s="5" t="str">
        <f>VLOOKUP(C2894,PrefixUebersetzung,2,FALSE)</f>
        <v>Xmp.plus.</v>
      </c>
      <c r="E2894" s="5" t="str">
        <f>MID(F2894,FIND(".",F2894,6)+1,99)</f>
        <v>CopyrightOwnerImageID</v>
      </c>
      <c r="F2894" s="5" t="s">
        <v>1933</v>
      </c>
      <c r="G2894" s="5" t="s">
        <v>9678</v>
      </c>
      <c r="H2894" s="6" t="s">
        <v>3520</v>
      </c>
      <c r="I2894" s="7" t="s">
        <v>4988</v>
      </c>
      <c r="J2894" s="14" t="s">
        <v>5641</v>
      </c>
      <c r="K2894" s="26"/>
      <c r="N2894" s="6"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c>
      <c r="O2894" s="6" t="s">
        <v>8574</v>
      </c>
      <c r="P2894" s="6" t="s">
        <v>8574</v>
      </c>
    </row>
    <row r="2895" spans="1:17" x14ac:dyDescent="0.25">
      <c r="A2895" s="5" t="str">
        <f>IF(TRIM(I2895)="","",E2895)</f>
        <v>CopyrightOwnerName</v>
      </c>
      <c r="B2895" s="5" t="str">
        <f>IF(TRIM(J2895)="","",H2895)</f>
        <v>Name of Copyright Owner.</v>
      </c>
      <c r="C2895" s="5" t="str">
        <f>LEFT(F2895,FIND(".",F2895,6))</f>
        <v>Xmp.plus.</v>
      </c>
      <c r="D2895" s="5" t="str">
        <f>VLOOKUP(C2895,PrefixUebersetzung,2,FALSE)</f>
        <v>Xmp.plus.</v>
      </c>
      <c r="E2895" s="5" t="str">
        <f>MID(F2895,FIND(".",F2895,6)+1,99)</f>
        <v>CopyrightOwnerName</v>
      </c>
      <c r="F2895" s="5" t="s">
        <v>1934</v>
      </c>
      <c r="G2895" s="5" t="s">
        <v>9678</v>
      </c>
      <c r="H2895" s="6" t="s">
        <v>3521</v>
      </c>
      <c r="I2895" s="7" t="s">
        <v>4989</v>
      </c>
      <c r="J2895" s="14" t="s">
        <v>4141</v>
      </c>
      <c r="K2895" s="26"/>
      <c r="N2895" s="6"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c>
      <c r="O2895" s="6" t="s">
        <v>8574</v>
      </c>
      <c r="P2895" s="6" t="s">
        <v>8574</v>
      </c>
      <c r="Q2895" s="6" t="s">
        <v>4205</v>
      </c>
    </row>
    <row r="2896" spans="1:17" ht="30" x14ac:dyDescent="0.25">
      <c r="A2896" s="5" t="str">
        <f>IF(TRIM(I2896)="","",E2896)</f>
        <v>CopyrightRegistrationNumber</v>
      </c>
      <c r="B2896" s="5" t="str">
        <f>IF(TRIM(J2896)="","",H2896)</f>
        <v>Copyright Registration Number, if any, applying to the licensed image.</v>
      </c>
      <c r="C2896" s="5" t="str">
        <f>LEFT(F2896,FIND(".",F2896,6))</f>
        <v>Xmp.plus.</v>
      </c>
      <c r="D2896" s="5" t="str">
        <f>VLOOKUP(C2896,PrefixUebersetzung,2,FALSE)</f>
        <v>Xmp.plus.</v>
      </c>
      <c r="E2896" s="5" t="str">
        <f>MID(F2896,FIND(".",F2896,6)+1,99)</f>
        <v>CopyrightRegistrationNumber</v>
      </c>
      <c r="F2896" s="5" t="s">
        <v>1935</v>
      </c>
      <c r="G2896" s="5" t="s">
        <v>9678</v>
      </c>
      <c r="H2896" s="6" t="s">
        <v>3522</v>
      </c>
      <c r="I2896" s="7" t="s">
        <v>4577</v>
      </c>
      <c r="J2896" s="14" t="s">
        <v>5642</v>
      </c>
      <c r="K2896" s="26"/>
      <c r="N2896" s="6"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c r="O2896" s="6" t="s">
        <v>8574</v>
      </c>
      <c r="P2896" s="6" t="s">
        <v>8574</v>
      </c>
    </row>
    <row r="2897" spans="1:17" x14ac:dyDescent="0.25">
      <c r="A2897" s="5" t="str">
        <f>IF(TRIM(I2897)="","",E2897)</f>
        <v>CopyrightStatus</v>
      </c>
      <c r="B2897" s="5" t="str">
        <f>IF(TRIM(J2897)="","",H2897)</f>
        <v>Copyright status of the image.</v>
      </c>
      <c r="C2897" s="5" t="str">
        <f>LEFT(F2897,FIND(".",F2897,6))</f>
        <v>Xmp.plus.</v>
      </c>
      <c r="D2897" s="5" t="str">
        <f>VLOOKUP(C2897,PrefixUebersetzung,2,FALSE)</f>
        <v>Xmp.plus.</v>
      </c>
      <c r="E2897" s="5" t="str">
        <f>MID(F2897,FIND(".",F2897,6)+1,99)</f>
        <v>CopyrightStatus</v>
      </c>
      <c r="F2897" s="5" t="s">
        <v>1936</v>
      </c>
      <c r="G2897" s="5" t="s">
        <v>9678</v>
      </c>
      <c r="H2897" s="6" t="s">
        <v>3523</v>
      </c>
      <c r="I2897" s="7" t="s">
        <v>4578</v>
      </c>
      <c r="J2897" s="14" t="s">
        <v>4142</v>
      </c>
      <c r="K2897" s="26"/>
      <c r="N2897" s="6"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c>
      <c r="O2897" s="6" t="s">
        <v>8574</v>
      </c>
      <c r="P2897" s="6" t="s">
        <v>8574</v>
      </c>
      <c r="Q2897" s="6" t="s">
        <v>9136</v>
      </c>
    </row>
    <row r="2898" spans="1:17" x14ac:dyDescent="0.25">
      <c r="A2898" s="5" t="str">
        <f>IF(TRIM(I2898)="","",E2898)</f>
        <v>CreditLineRequired</v>
      </c>
      <c r="B2898" s="5" t="str">
        <f>IF(TRIM(J2898)="","",H2898)</f>
        <v>Attribution requirements, if any.</v>
      </c>
      <c r="C2898" s="5" t="str">
        <f>LEFT(F2898,FIND(".",F2898,6))</f>
        <v>Xmp.plus.</v>
      </c>
      <c r="D2898" s="5" t="str">
        <f>VLOOKUP(C2898,PrefixUebersetzung,2,FALSE)</f>
        <v>Xmp.plus.</v>
      </c>
      <c r="E2898" s="5" t="str">
        <f>MID(F2898,FIND(".",F2898,6)+1,99)</f>
        <v>CreditLineRequired</v>
      </c>
      <c r="F2898" s="5" t="s">
        <v>1937</v>
      </c>
      <c r="G2898" s="5" t="s">
        <v>9678</v>
      </c>
      <c r="H2898" s="6" t="s">
        <v>3524</v>
      </c>
      <c r="I2898" s="7" t="s">
        <v>4579</v>
      </c>
      <c r="J2898" s="14" t="s">
        <v>5587</v>
      </c>
      <c r="K2898" s="26"/>
      <c r="N2898" s="6"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c>
      <c r="O2898" s="6" t="s">
        <v>8574</v>
      </c>
      <c r="P2898" s="6" t="s">
        <v>8574</v>
      </c>
    </row>
    <row r="2899" spans="1:17" ht="45" x14ac:dyDescent="0.25">
      <c r="A2899" s="5" t="str">
        <f>IF(TRIM(I2899)="","",E2899)</f>
        <v>Custom1</v>
      </c>
      <c r="B2899" s="5" t="str">
        <f>IF(TRIM(J2899)="","",H2899)</f>
        <v>Optional field for use at Licensor's discretion.</v>
      </c>
      <c r="C2899" s="5" t="str">
        <f>LEFT(F2899,FIND(".",F2899,6))</f>
        <v>Xmp.plus.</v>
      </c>
      <c r="D2899" s="5" t="str">
        <f>VLOOKUP(C2899,PrefixUebersetzung,2,FALSE)</f>
        <v>Xmp.plus.</v>
      </c>
      <c r="E2899" s="5" t="str">
        <f>MID(F2899,FIND(".",F2899,6)+1,99)</f>
        <v>Custom1</v>
      </c>
      <c r="F2899" s="5" t="s">
        <v>1938</v>
      </c>
      <c r="G2899" s="5" t="s">
        <v>9679</v>
      </c>
      <c r="H2899" s="6" t="s">
        <v>3525</v>
      </c>
      <c r="I2899" s="7" t="s">
        <v>4580</v>
      </c>
      <c r="J2899" s="14" t="s">
        <v>5262</v>
      </c>
      <c r="K2899" s="26"/>
      <c r="M2899" s="6" t="str">
        <f>IFERROR(VLOOKUP(H2899,B:J,9,FALSE),"")</f>
        <v>Optionales Feld für die Benutzung durch den Lizenzgeber nach dessen eigenem Ermessen.</v>
      </c>
      <c r="N2899" s="6"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c r="O2899" s="6" t="s">
        <v>8574</v>
      </c>
      <c r="P2899" s="6" t="s">
        <v>8574</v>
      </c>
    </row>
    <row r="2900" spans="1:17" ht="45" x14ac:dyDescent="0.25">
      <c r="A2900" s="5" t="str">
        <f>IF(TRIM(I2900)="","",E2900)</f>
        <v>Custom10</v>
      </c>
      <c r="B2900" s="5" t="str">
        <f>IF(TRIM(J2900)="","",H2900)</f>
        <v>Optional field for use at Licensee's discretion.</v>
      </c>
      <c r="C2900" s="5" t="str">
        <f>LEFT(F2900,FIND(".",F2900,6))</f>
        <v>Xmp.plus.</v>
      </c>
      <c r="D2900" s="5" t="str">
        <f>VLOOKUP(C2900,PrefixUebersetzung,2,FALSE)</f>
        <v>Xmp.plus.</v>
      </c>
      <c r="E2900" s="5" t="str">
        <f>MID(F2900,FIND(".",F2900,6)+1,99)</f>
        <v>Custom10</v>
      </c>
      <c r="F2900" s="5" t="s">
        <v>1939</v>
      </c>
      <c r="G2900" s="5" t="s">
        <v>9679</v>
      </c>
      <c r="H2900" s="6" t="s">
        <v>3526</v>
      </c>
      <c r="I2900" s="7" t="s">
        <v>4581</v>
      </c>
      <c r="J2900" s="14" t="s">
        <v>5262</v>
      </c>
      <c r="K2900" s="26"/>
      <c r="M2900" s="6" t="str">
        <f>IFERROR(VLOOKUP(H2900,B:J,9,FALSE),"")</f>
        <v>Optionales Feld für die Benutzung durch den Lizenzgeber nach dessen eigenem Ermessen.</v>
      </c>
      <c r="N2900" s="6"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c r="O2900" s="6" t="s">
        <v>8574</v>
      </c>
      <c r="P2900" s="6" t="s">
        <v>8574</v>
      </c>
    </row>
    <row r="2901" spans="1:17" ht="45" x14ac:dyDescent="0.25">
      <c r="A2901" s="5" t="str">
        <f>IF(TRIM(I2901)="","",E2901)</f>
        <v>Custom2</v>
      </c>
      <c r="B2901" s="5" t="str">
        <f>IF(TRIM(J2901)="","",H2901)</f>
        <v/>
      </c>
      <c r="C2901" s="5" t="str">
        <f>LEFT(F2901,FIND(".",F2901,6))</f>
        <v>Xmp.plus.</v>
      </c>
      <c r="D2901" s="5" t="str">
        <f>VLOOKUP(C2901,PrefixUebersetzung,2,FALSE)</f>
        <v>Xmp.plus.</v>
      </c>
      <c r="E2901" s="5" t="str">
        <f>MID(F2901,FIND(".",F2901,6)+1,99)</f>
        <v>Custom2</v>
      </c>
      <c r="F2901" s="5" t="s">
        <v>1940</v>
      </c>
      <c r="G2901" s="5" t="s">
        <v>9679</v>
      </c>
      <c r="H2901" s="6" t="s">
        <v>3525</v>
      </c>
      <c r="I2901" s="7" t="s">
        <v>4582</v>
      </c>
      <c r="K2901" s="26"/>
      <c r="M2901" s="6" t="str">
        <f>IFERROR(VLOOKUP(H2901,B:J,9,FALSE),"")</f>
        <v>Optionales Feld für die Benutzung durch den Lizenzgeber nach dessen eigenem Ermessen.</v>
      </c>
      <c r="N2901" s="6"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c>
      <c r="O2901" s="6" t="s">
        <v>8574</v>
      </c>
    </row>
    <row r="2902" spans="1:17" ht="45" x14ac:dyDescent="0.25">
      <c r="A2902" s="5" t="str">
        <f>IF(TRIM(I2902)="","",E2902)</f>
        <v>Custom3</v>
      </c>
      <c r="B2902" s="5" t="str">
        <f>IF(TRIM(J2902)="","",H2902)</f>
        <v/>
      </c>
      <c r="C2902" s="5" t="str">
        <f>LEFT(F2902,FIND(".",F2902,6))</f>
        <v>Xmp.plus.</v>
      </c>
      <c r="D2902" s="5" t="str">
        <f>VLOOKUP(C2902,PrefixUebersetzung,2,FALSE)</f>
        <v>Xmp.plus.</v>
      </c>
      <c r="E2902" s="5" t="str">
        <f>MID(F2902,FIND(".",F2902,6)+1,99)</f>
        <v>Custom3</v>
      </c>
      <c r="F2902" s="5" t="s">
        <v>1941</v>
      </c>
      <c r="G2902" s="5" t="s">
        <v>9679</v>
      </c>
      <c r="H2902" s="6" t="s">
        <v>3525</v>
      </c>
      <c r="I2902" s="7" t="s">
        <v>4583</v>
      </c>
      <c r="K2902" s="26"/>
      <c r="M2902" s="6" t="str">
        <f>IFERROR(VLOOKUP(H2902,B:J,9,FALSE),"")</f>
        <v>Optionales Feld für die Benutzung durch den Lizenzgeber nach dessen eigenem Ermessen.</v>
      </c>
      <c r="N2902" s="6"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c>
      <c r="O2902" s="6" t="s">
        <v>8574</v>
      </c>
    </row>
    <row r="2903" spans="1:17" ht="45" x14ac:dyDescent="0.25">
      <c r="A2903" s="5" t="str">
        <f>IF(TRIM(I2903)="","",E2903)</f>
        <v>Custom4</v>
      </c>
      <c r="B2903" s="5" t="str">
        <f>IF(TRIM(J2903)="","",H2903)</f>
        <v/>
      </c>
      <c r="C2903" s="5" t="str">
        <f>LEFT(F2903,FIND(".",F2903,6))</f>
        <v>Xmp.plus.</v>
      </c>
      <c r="D2903" s="5" t="str">
        <f>VLOOKUP(C2903,PrefixUebersetzung,2,FALSE)</f>
        <v>Xmp.plus.</v>
      </c>
      <c r="E2903" s="5" t="str">
        <f>MID(F2903,FIND(".",F2903,6)+1,99)</f>
        <v>Custom4</v>
      </c>
      <c r="F2903" s="5" t="s">
        <v>1942</v>
      </c>
      <c r="G2903" s="5" t="s">
        <v>9679</v>
      </c>
      <c r="H2903" s="6" t="s">
        <v>3525</v>
      </c>
      <c r="I2903" s="7" t="s">
        <v>4584</v>
      </c>
      <c r="K2903" s="26"/>
      <c r="M2903" s="6" t="str">
        <f>IFERROR(VLOOKUP(H2903,B:J,9,FALSE),"")</f>
        <v>Optionales Feld für die Benutzung durch den Lizenzgeber nach dessen eigenem Ermessen.</v>
      </c>
      <c r="N2903" s="6"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c r="O2903" s="6" t="s">
        <v>8574</v>
      </c>
    </row>
    <row r="2904" spans="1:17" ht="45" x14ac:dyDescent="0.25">
      <c r="A2904" s="5" t="str">
        <f>IF(TRIM(I2904)="","",E2904)</f>
        <v>Custom5</v>
      </c>
      <c r="B2904" s="5" t="str">
        <f>IF(TRIM(J2904)="","",H2904)</f>
        <v/>
      </c>
      <c r="C2904" s="5" t="str">
        <f>LEFT(F2904,FIND(".",F2904,6))</f>
        <v>Xmp.plus.</v>
      </c>
      <c r="D2904" s="5" t="str">
        <f>VLOOKUP(C2904,PrefixUebersetzung,2,FALSE)</f>
        <v>Xmp.plus.</v>
      </c>
      <c r="E2904" s="5" t="str">
        <f>MID(F2904,FIND(".",F2904,6)+1,99)</f>
        <v>Custom5</v>
      </c>
      <c r="F2904" s="5" t="s">
        <v>1943</v>
      </c>
      <c r="G2904" s="5" t="s">
        <v>9679</v>
      </c>
      <c r="H2904" s="6" t="s">
        <v>3525</v>
      </c>
      <c r="I2904" s="7" t="s">
        <v>4585</v>
      </c>
      <c r="K2904" s="26"/>
      <c r="M2904" s="6" t="str">
        <f>IFERROR(VLOOKUP(H2904,B:J,9,FALSE),"")</f>
        <v>Optionales Feld für die Benutzung durch den Lizenzgeber nach dessen eigenem Ermessen.</v>
      </c>
      <c r="N2904" s="6"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c>
      <c r="O2904" s="6" t="s">
        <v>8574</v>
      </c>
    </row>
    <row r="2905" spans="1:17" ht="45" x14ac:dyDescent="0.25">
      <c r="A2905" s="5" t="str">
        <f>IF(TRIM(I2905)="","",E2905)</f>
        <v>Custom6</v>
      </c>
      <c r="B2905" s="5" t="str">
        <f>IF(TRIM(J2905)="","",H2905)</f>
        <v/>
      </c>
      <c r="C2905" s="5" t="str">
        <f>LEFT(F2905,FIND(".",F2905,6))</f>
        <v>Xmp.plus.</v>
      </c>
      <c r="D2905" s="5" t="str">
        <f>VLOOKUP(C2905,PrefixUebersetzung,2,FALSE)</f>
        <v>Xmp.plus.</v>
      </c>
      <c r="E2905" s="5" t="str">
        <f>MID(F2905,FIND(".",F2905,6)+1,99)</f>
        <v>Custom6</v>
      </c>
      <c r="F2905" s="5" t="s">
        <v>1944</v>
      </c>
      <c r="G2905" s="5" t="s">
        <v>9679</v>
      </c>
      <c r="H2905" s="6" t="s">
        <v>3526</v>
      </c>
      <c r="I2905" s="7" t="s">
        <v>4586</v>
      </c>
      <c r="K2905" s="26"/>
      <c r="M2905" s="6" t="str">
        <f>IFERROR(VLOOKUP(H2905,B:J,9,FALSE),"")</f>
        <v>Optionales Feld für die Benutzung durch den Lizenzgeber nach dessen eigenem Ermessen.</v>
      </c>
      <c r="N2905" s="6"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c r="O2905" s="6" t="s">
        <v>8574</v>
      </c>
    </row>
    <row r="2906" spans="1:17" ht="45" x14ac:dyDescent="0.25">
      <c r="A2906" s="5" t="str">
        <f>IF(TRIM(I2906)="","",E2906)</f>
        <v>Custom7</v>
      </c>
      <c r="B2906" s="5" t="str">
        <f>IF(TRIM(J2906)="","",H2906)</f>
        <v/>
      </c>
      <c r="C2906" s="5" t="str">
        <f>LEFT(F2906,FIND(".",F2906,6))</f>
        <v>Xmp.plus.</v>
      </c>
      <c r="D2906" s="5" t="str">
        <f>VLOOKUP(C2906,PrefixUebersetzung,2,FALSE)</f>
        <v>Xmp.plus.</v>
      </c>
      <c r="E2906" s="5" t="str">
        <f>MID(F2906,FIND(".",F2906,6)+1,99)</f>
        <v>Custom7</v>
      </c>
      <c r="F2906" s="5" t="s">
        <v>1945</v>
      </c>
      <c r="G2906" s="5" t="s">
        <v>9679</v>
      </c>
      <c r="H2906" s="6" t="s">
        <v>3526</v>
      </c>
      <c r="I2906" s="7" t="s">
        <v>4587</v>
      </c>
      <c r="K2906" s="26"/>
      <c r="M2906" s="6" t="str">
        <f>IFERROR(VLOOKUP(H2906,B:J,9,FALSE),"")</f>
        <v>Optionales Feld für die Benutzung durch den Lizenzgeber nach dessen eigenem Ermessen.</v>
      </c>
      <c r="N2906" s="6"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c>
      <c r="O2906" s="6" t="s">
        <v>8574</v>
      </c>
    </row>
    <row r="2907" spans="1:17" ht="45" x14ac:dyDescent="0.25">
      <c r="A2907" s="5" t="str">
        <f>IF(TRIM(I2907)="","",E2907)</f>
        <v>Custom8</v>
      </c>
      <c r="B2907" s="5" t="str">
        <f>IF(TRIM(J2907)="","",H2907)</f>
        <v/>
      </c>
      <c r="C2907" s="5" t="str">
        <f>LEFT(F2907,FIND(".",F2907,6))</f>
        <v>Xmp.plus.</v>
      </c>
      <c r="D2907" s="5" t="str">
        <f>VLOOKUP(C2907,PrefixUebersetzung,2,FALSE)</f>
        <v>Xmp.plus.</v>
      </c>
      <c r="E2907" s="5" t="str">
        <f>MID(F2907,FIND(".",F2907,6)+1,99)</f>
        <v>Custom8</v>
      </c>
      <c r="F2907" s="5" t="s">
        <v>1946</v>
      </c>
      <c r="G2907" s="5" t="s">
        <v>9679</v>
      </c>
      <c r="H2907" s="6" t="s">
        <v>3526</v>
      </c>
      <c r="I2907" s="7" t="s">
        <v>4588</v>
      </c>
      <c r="K2907" s="26"/>
      <c r="M2907" s="6" t="str">
        <f>IFERROR(VLOOKUP(H2907,B:J,9,FALSE),"")</f>
        <v>Optionales Feld für die Benutzung durch den Lizenzgeber nach dessen eigenem Ermessen.</v>
      </c>
      <c r="N2907" s="6"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c>
      <c r="O2907" s="6" t="s">
        <v>8574</v>
      </c>
    </row>
    <row r="2908" spans="1:17" ht="45" x14ac:dyDescent="0.25">
      <c r="A2908" s="5" t="str">
        <f>IF(TRIM(I2908)="","",E2908)</f>
        <v>Custom9</v>
      </c>
      <c r="B2908" s="5" t="str">
        <f>IF(TRIM(J2908)="","",H2908)</f>
        <v/>
      </c>
      <c r="C2908" s="5" t="str">
        <f>LEFT(F2908,FIND(".",F2908,6))</f>
        <v>Xmp.plus.</v>
      </c>
      <c r="D2908" s="5" t="str">
        <f>VLOOKUP(C2908,PrefixUebersetzung,2,FALSE)</f>
        <v>Xmp.plus.</v>
      </c>
      <c r="E2908" s="5" t="str">
        <f>MID(F2908,FIND(".",F2908,6)+1,99)</f>
        <v>Custom9</v>
      </c>
      <c r="F2908" s="5" t="s">
        <v>1947</v>
      </c>
      <c r="G2908" s="5" t="s">
        <v>9679</v>
      </c>
      <c r="H2908" s="6" t="s">
        <v>3526</v>
      </c>
      <c r="I2908" s="7" t="s">
        <v>4589</v>
      </c>
      <c r="K2908" s="26"/>
      <c r="M2908" s="6" t="str">
        <f>IFERROR(VLOOKUP(H2908,B:J,9,FALSE),"")</f>
        <v>Optionales Feld für die Benutzung durch den Lizenzgeber nach dessen eigenem Ermessen.</v>
      </c>
      <c r="N2908" s="6"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c r="O2908" s="6" t="s">
        <v>8574</v>
      </c>
    </row>
    <row r="2909" spans="1:17" ht="30" x14ac:dyDescent="0.25">
      <c r="A2909" s="5" t="str">
        <f>IF(TRIM(I2909)="","",E2909)</f>
        <v>EndUser</v>
      </c>
      <c r="B2909" s="5" t="str">
        <f>IF(TRIM(J2909)="","",H2909)</f>
        <v>Party or parties ultimately making use of the image under the license.</v>
      </c>
      <c r="C2909" s="5" t="str">
        <f>LEFT(F2909,FIND(".",F2909,6))</f>
        <v>Xmp.plus.</v>
      </c>
      <c r="D2909" s="5" t="str">
        <f>VLOOKUP(C2909,PrefixUebersetzung,2,FALSE)</f>
        <v>Xmp.plus.</v>
      </c>
      <c r="E2909" s="5" t="str">
        <f>MID(F2909,FIND(".",F2909,6)+1,99)</f>
        <v>EndUser</v>
      </c>
      <c r="F2909" s="5" t="s">
        <v>1948</v>
      </c>
      <c r="G2909" s="5" t="s">
        <v>9680</v>
      </c>
      <c r="H2909" s="6" t="s">
        <v>3527</v>
      </c>
      <c r="I2909" s="7" t="s">
        <v>4590</v>
      </c>
      <c r="J2909" s="14" t="s">
        <v>5588</v>
      </c>
      <c r="K2909" s="26"/>
      <c r="N2909" s="6"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c>
      <c r="O2909" s="6" t="s">
        <v>8574</v>
      </c>
      <c r="P2909" s="6" t="s">
        <v>8574</v>
      </c>
    </row>
    <row r="2910" spans="1:17" x14ac:dyDescent="0.25">
      <c r="A2910" s="5" t="str">
        <f>IF(TRIM(I2910)="","",E2910)</f>
        <v>EndUserID</v>
      </c>
      <c r="B2910" s="5" t="str">
        <f>IF(TRIM(J2910)="","",H2910)</f>
        <v>Optional PLUS-ID identifying each End User.</v>
      </c>
      <c r="C2910" s="5" t="str">
        <f>LEFT(F2910,FIND(".",F2910,6))</f>
        <v>Xmp.plus.</v>
      </c>
      <c r="D2910" s="5" t="str">
        <f>VLOOKUP(C2910,PrefixUebersetzung,2,FALSE)</f>
        <v>Xmp.plus.</v>
      </c>
      <c r="E2910" s="5" t="str">
        <f>MID(F2910,FIND(".",F2910,6)+1,99)</f>
        <v>EndUserID</v>
      </c>
      <c r="F2910" s="5" t="s">
        <v>1949</v>
      </c>
      <c r="G2910" s="5" t="s">
        <v>9678</v>
      </c>
      <c r="H2910" s="6" t="s">
        <v>3528</v>
      </c>
      <c r="I2910" s="7" t="s">
        <v>4991</v>
      </c>
      <c r="J2910" s="14" t="s">
        <v>5589</v>
      </c>
      <c r="K2910" s="26"/>
      <c r="N2910" s="6"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c r="O2910" s="6" t="s">
        <v>8574</v>
      </c>
      <c r="P2910" s="6" t="s">
        <v>8574</v>
      </c>
    </row>
    <row r="2911" spans="1:17" x14ac:dyDescent="0.25">
      <c r="A2911" s="5" t="str">
        <f>IF(TRIM(I2911)="","",E2911)</f>
        <v>EndUserName</v>
      </c>
      <c r="B2911" s="5" t="str">
        <f>IF(TRIM(J2911)="","",H2911)</f>
        <v>Name of each End User.</v>
      </c>
      <c r="C2911" s="5" t="str">
        <f>LEFT(F2911,FIND(".",F2911,6))</f>
        <v>Xmp.plus.</v>
      </c>
      <c r="D2911" s="5" t="str">
        <f>VLOOKUP(C2911,PrefixUebersetzung,2,FALSE)</f>
        <v>Xmp.plus.</v>
      </c>
      <c r="E2911" s="5" t="str">
        <f>MID(F2911,FIND(".",F2911,6)+1,99)</f>
        <v>EndUserName</v>
      </c>
      <c r="F2911" s="5" t="s">
        <v>1950</v>
      </c>
      <c r="G2911" s="5" t="s">
        <v>9678</v>
      </c>
      <c r="H2911" s="6" t="s">
        <v>3529</v>
      </c>
      <c r="I2911" s="7" t="s">
        <v>4990</v>
      </c>
      <c r="J2911" s="14" t="s">
        <v>4143</v>
      </c>
      <c r="K2911" s="26"/>
      <c r="N2911" s="6"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c>
      <c r="O2911" s="6" t="s">
        <v>8574</v>
      </c>
      <c r="P2911" s="6" t="s">
        <v>8574</v>
      </c>
      <c r="Q2911" s="6" t="s">
        <v>4178</v>
      </c>
    </row>
    <row r="2912" spans="1:17" ht="30" x14ac:dyDescent="0.25">
      <c r="A2912" s="5" t="str">
        <f>IF(TRIM(I2912)="","",E2912)</f>
        <v>FileNameAsDelivered</v>
      </c>
      <c r="B2912" s="5" t="str">
        <f>IF(TRIM(J2912)="","",H2912)</f>
        <v>Name of the image file delivered to the Licensee for use under the license.</v>
      </c>
      <c r="C2912" s="5" t="str">
        <f>LEFT(F2912,FIND(".",F2912,6))</f>
        <v>Xmp.plus.</v>
      </c>
      <c r="D2912" s="5" t="str">
        <f>VLOOKUP(C2912,PrefixUebersetzung,2,FALSE)</f>
        <v>Xmp.plus.</v>
      </c>
      <c r="E2912" s="5" t="str">
        <f>MID(F2912,FIND(".",F2912,6)+1,99)</f>
        <v>FileNameAsDelivered</v>
      </c>
      <c r="F2912" s="5" t="s">
        <v>1951</v>
      </c>
      <c r="G2912" s="5" t="s">
        <v>9678</v>
      </c>
      <c r="H2912" s="6" t="s">
        <v>3530</v>
      </c>
      <c r="I2912" s="7" t="s">
        <v>4591</v>
      </c>
      <c r="J2912" s="14" t="s">
        <v>5590</v>
      </c>
      <c r="K2912" s="26"/>
      <c r="N2912" s="6"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c>
      <c r="O2912" s="6" t="s">
        <v>8574</v>
      </c>
      <c r="P2912" s="6" t="s">
        <v>8574</v>
      </c>
    </row>
    <row r="2913" spans="1:17" ht="30" x14ac:dyDescent="0.25">
      <c r="A2913" s="5" t="str">
        <f>IF(TRIM(I2913)="","",E2913)</f>
        <v>FirstPublicationDate</v>
      </c>
      <c r="B2913" s="5" t="str">
        <f>IF(TRIM(J2913)="","",H2913)</f>
        <v>The date on which the image was first published.</v>
      </c>
      <c r="C2913" s="5" t="str">
        <f>LEFT(F2913,FIND(".",F2913,6))</f>
        <v>Xmp.plus.</v>
      </c>
      <c r="D2913" s="5" t="str">
        <f>VLOOKUP(C2913,PrefixUebersetzung,2,FALSE)</f>
        <v>Xmp.plus.</v>
      </c>
      <c r="E2913" s="5" t="str">
        <f>MID(F2913,FIND(".",F2913,6)+1,99)</f>
        <v>FirstPublicationDate</v>
      </c>
      <c r="F2913" s="5" t="s">
        <v>1952</v>
      </c>
      <c r="G2913" s="5" t="s">
        <v>9678</v>
      </c>
      <c r="H2913" s="6" t="s">
        <v>3531</v>
      </c>
      <c r="I2913" s="7" t="s">
        <v>4592</v>
      </c>
      <c r="J2913" s="14" t="s">
        <v>5591</v>
      </c>
      <c r="K2913" s="26"/>
      <c r="N2913" s="6"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c>
      <c r="O2913" s="6" t="s">
        <v>8574</v>
      </c>
      <c r="P2913" s="6" t="s">
        <v>8574</v>
      </c>
      <c r="Q2913" s="6" t="s">
        <v>9240</v>
      </c>
    </row>
    <row r="2914" spans="1:17" ht="45" x14ac:dyDescent="0.25">
      <c r="A2914" s="5" t="str">
        <f>IF(TRIM(I2914)="","",E2914)</f>
        <v>ImageAlterationConstraints</v>
      </c>
      <c r="B2914" s="5" t="str">
        <f>IF(TRIM(J2914)="","",H2914)</f>
        <v>Constraints on alteration of the image by cropping, flipping, retouching, colorization, de-colorization or merging.</v>
      </c>
      <c r="C2914" s="5" t="str">
        <f>LEFT(F2914,FIND(".",F2914,6))</f>
        <v>Xmp.plus.</v>
      </c>
      <c r="D2914" s="5" t="str">
        <f>VLOOKUP(C2914,PrefixUebersetzung,2,FALSE)</f>
        <v>Xmp.plus.</v>
      </c>
      <c r="E2914" s="5" t="str">
        <f>MID(F2914,FIND(".",F2914,6)+1,99)</f>
        <v>ImageAlterationConstraints</v>
      </c>
      <c r="F2914" s="5" t="s">
        <v>1953</v>
      </c>
      <c r="G2914" s="5" t="s">
        <v>9679</v>
      </c>
      <c r="H2914" s="6" t="s">
        <v>3532</v>
      </c>
      <c r="I2914" s="7" t="s">
        <v>4593</v>
      </c>
      <c r="J2914" s="14" t="s">
        <v>5643</v>
      </c>
      <c r="K2914" s="26"/>
      <c r="N2914" s="6"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c>
      <c r="O2914" s="6" t="s">
        <v>8574</v>
      </c>
      <c r="P2914" s="6" t="s">
        <v>8574</v>
      </c>
    </row>
    <row r="2915" spans="1:17" x14ac:dyDescent="0.25">
      <c r="A2915" s="5" t="str">
        <f>IF(TRIM(I2915)="","",E2915)</f>
        <v>ImageCreator</v>
      </c>
      <c r="B2915" s="5" t="str">
        <f>IF(TRIM(J2915)="","",H2915)</f>
        <v>Creator/s of the image.</v>
      </c>
      <c r="C2915" s="5" t="str">
        <f>LEFT(F2915,FIND(".",F2915,6))</f>
        <v>Xmp.plus.</v>
      </c>
      <c r="D2915" s="5" t="str">
        <f>VLOOKUP(C2915,PrefixUebersetzung,2,FALSE)</f>
        <v>Xmp.plus.</v>
      </c>
      <c r="E2915" s="5" t="str">
        <f>MID(F2915,FIND(".",F2915,6)+1,99)</f>
        <v>ImageCreator</v>
      </c>
      <c r="F2915" s="5" t="s">
        <v>1954</v>
      </c>
      <c r="G2915" s="5" t="s">
        <v>9680</v>
      </c>
      <c r="H2915" s="6" t="s">
        <v>3533</v>
      </c>
      <c r="I2915" s="7" t="s">
        <v>4992</v>
      </c>
      <c r="J2915" s="14" t="s">
        <v>5592</v>
      </c>
      <c r="K2915" s="26"/>
      <c r="N2915" s="6"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c r="O2915" s="6" t="s">
        <v>8574</v>
      </c>
      <c r="P2915" s="6" t="s">
        <v>8574</v>
      </c>
      <c r="Q2915" s="6" t="s">
        <v>9097</v>
      </c>
    </row>
    <row r="2916" spans="1:17" x14ac:dyDescent="0.25">
      <c r="A2916" s="5" t="str">
        <f>IF(TRIM(I2916)="","",E2916)</f>
        <v>ImageCreatorID</v>
      </c>
      <c r="B2916" s="5" t="str">
        <f>IF(TRIM(J2916)="","",H2916)</f>
        <v>Optional PLUS-ID identifying each Image Creator.</v>
      </c>
      <c r="C2916" s="5" t="str">
        <f>LEFT(F2916,FIND(".",F2916,6))</f>
        <v>Xmp.plus.</v>
      </c>
      <c r="D2916" s="5" t="str">
        <f>VLOOKUP(C2916,PrefixUebersetzung,2,FALSE)</f>
        <v>Xmp.plus.</v>
      </c>
      <c r="E2916" s="5" t="str">
        <f>MID(F2916,FIND(".",F2916,6)+1,99)</f>
        <v>ImageCreatorID</v>
      </c>
      <c r="F2916" s="5" t="s">
        <v>1955</v>
      </c>
      <c r="G2916" s="5" t="s">
        <v>9678</v>
      </c>
      <c r="H2916" s="6" t="s">
        <v>3534</v>
      </c>
      <c r="I2916" s="7" t="s">
        <v>5065</v>
      </c>
      <c r="J2916" s="14" t="s">
        <v>5593</v>
      </c>
      <c r="K2916" s="26"/>
      <c r="N2916" s="6"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c r="O2916" s="6" t="s">
        <v>8574</v>
      </c>
      <c r="P2916" s="6" t="s">
        <v>8574</v>
      </c>
    </row>
    <row r="2917" spans="1:17" ht="30" x14ac:dyDescent="0.25">
      <c r="A2917" s="5" t="str">
        <f>IF(TRIM(I2917)="","",E2917)</f>
        <v>ImageCreatorImageID</v>
      </c>
      <c r="B2917" s="5" t="str">
        <f>IF(TRIM(J2917)="","",H2917)</f>
        <v>Optional identifier assigned by the Image Creator to the image.</v>
      </c>
      <c r="C2917" s="5" t="str">
        <f>LEFT(F2917,FIND(".",F2917,6))</f>
        <v>Xmp.plus.</v>
      </c>
      <c r="D2917" s="5" t="str">
        <f>VLOOKUP(C2917,PrefixUebersetzung,2,FALSE)</f>
        <v>Xmp.plus.</v>
      </c>
      <c r="E2917" s="5" t="str">
        <f>MID(F2917,FIND(".",F2917,6)+1,99)</f>
        <v>ImageCreatorImageID</v>
      </c>
      <c r="F2917" s="5" t="s">
        <v>1956</v>
      </c>
      <c r="G2917" s="5" t="s">
        <v>9678</v>
      </c>
      <c r="H2917" s="6" t="s">
        <v>3535</v>
      </c>
      <c r="I2917" s="7" t="s">
        <v>4993</v>
      </c>
      <c r="J2917" s="14" t="s">
        <v>5594</v>
      </c>
      <c r="K2917" s="26"/>
      <c r="N2917" s="6"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c>
      <c r="O2917" s="6" t="s">
        <v>8574</v>
      </c>
      <c r="P2917" s="6" t="s">
        <v>8574</v>
      </c>
    </row>
    <row r="2918" spans="1:17" x14ac:dyDescent="0.25">
      <c r="A2918" s="5" t="str">
        <f>IF(TRIM(I2918)="","",E2918)</f>
        <v>ImageCreatorName</v>
      </c>
      <c r="B2918" s="5" t="str">
        <f>IF(TRIM(J2918)="","",H2918)</f>
        <v>Name of Image Creator.</v>
      </c>
      <c r="C2918" s="5" t="str">
        <f>LEFT(F2918,FIND(".",F2918,6))</f>
        <v>Xmp.plus.</v>
      </c>
      <c r="D2918" s="5" t="str">
        <f>VLOOKUP(C2918,PrefixUebersetzung,2,FALSE)</f>
        <v>Xmp.plus.</v>
      </c>
      <c r="E2918" s="5" t="str">
        <f>MID(F2918,FIND(".",F2918,6)+1,99)</f>
        <v>ImageCreatorName</v>
      </c>
      <c r="F2918" s="5" t="s">
        <v>1957</v>
      </c>
      <c r="G2918" s="5" t="s">
        <v>9678</v>
      </c>
      <c r="H2918" s="6" t="s">
        <v>3536</v>
      </c>
      <c r="I2918" s="7" t="s">
        <v>4994</v>
      </c>
      <c r="J2918" s="14" t="s">
        <v>5595</v>
      </c>
      <c r="K2918" s="26"/>
      <c r="N2918" s="6"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c r="O2918" s="6" t="s">
        <v>8574</v>
      </c>
      <c r="P2918" s="6" t="s">
        <v>8574</v>
      </c>
      <c r="Q2918" s="6" t="s">
        <v>9404</v>
      </c>
    </row>
    <row r="2919" spans="1:17" ht="30" x14ac:dyDescent="0.25">
      <c r="A2919" s="5" t="str">
        <f>IF(TRIM(I2919)="","",E2919)</f>
        <v>ImageDuplicationConstraints</v>
      </c>
      <c r="B2919" s="5" t="str">
        <f>IF(TRIM(J2919)="","",H2919)</f>
        <v>Constraints on the creation of duplicates of the image.</v>
      </c>
      <c r="C2919" s="5" t="str">
        <f>LEFT(F2919,FIND(".",F2919,6))</f>
        <v>Xmp.plus.</v>
      </c>
      <c r="D2919" s="5" t="str">
        <f>VLOOKUP(C2919,PrefixUebersetzung,2,FALSE)</f>
        <v>Xmp.plus.</v>
      </c>
      <c r="E2919" s="5" t="str">
        <f>MID(F2919,FIND(".",F2919,6)+1,99)</f>
        <v>ImageDuplicationConstraints</v>
      </c>
      <c r="F2919" s="5" t="s">
        <v>1958</v>
      </c>
      <c r="G2919" s="5" t="s">
        <v>9678</v>
      </c>
      <c r="H2919" s="6" t="s">
        <v>3537</v>
      </c>
      <c r="I2919" s="7" t="s">
        <v>4594</v>
      </c>
      <c r="J2919" s="14" t="s">
        <v>4144</v>
      </c>
      <c r="K2919" s="26"/>
      <c r="N2919" s="6"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c r="O2919" s="6" t="s">
        <v>8574</v>
      </c>
      <c r="P2919" s="6" t="s">
        <v>8574</v>
      </c>
    </row>
    <row r="2920" spans="1:17" ht="30" x14ac:dyDescent="0.25">
      <c r="A2920" s="5" t="str">
        <f>IF(TRIM(I2920)="","",E2920)</f>
        <v>ImageFileConstraints</v>
      </c>
      <c r="B2920" s="5" t="str">
        <f>IF(TRIM(J2920)="","",H2920)</f>
        <v>Constraints on the changing of the image file name, metadata or file type.</v>
      </c>
      <c r="C2920" s="5" t="str">
        <f>LEFT(F2920,FIND(".",F2920,6))</f>
        <v>Xmp.plus.</v>
      </c>
      <c r="D2920" s="5" t="str">
        <f>VLOOKUP(C2920,PrefixUebersetzung,2,FALSE)</f>
        <v>Xmp.plus.</v>
      </c>
      <c r="E2920" s="5" t="str">
        <f>MID(F2920,FIND(".",F2920,6)+1,99)</f>
        <v>ImageFileConstraints</v>
      </c>
      <c r="F2920" s="5" t="s">
        <v>1959</v>
      </c>
      <c r="G2920" s="5" t="s">
        <v>9679</v>
      </c>
      <c r="H2920" s="6" t="s">
        <v>3538</v>
      </c>
      <c r="I2920" s="7" t="s">
        <v>4595</v>
      </c>
      <c r="J2920" s="14" t="s">
        <v>4145</v>
      </c>
      <c r="K2920" s="26"/>
      <c r="N2920" s="6"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c r="O2920" s="6" t="s">
        <v>8574</v>
      </c>
      <c r="P2920" s="6" t="s">
        <v>8574</v>
      </c>
    </row>
    <row r="2921" spans="1:17" ht="30" x14ac:dyDescent="0.25">
      <c r="A2921" s="5" t="str">
        <f>IF(TRIM(I2921)="","",E2921)</f>
        <v>ImageFileFormatAsDelivered</v>
      </c>
      <c r="B2921" s="5" t="str">
        <f>IF(TRIM(J2921)="","",H2921)</f>
        <v>File format of the image file delivered to the Licensee for use under the license.</v>
      </c>
      <c r="C2921" s="5" t="str">
        <f>LEFT(F2921,FIND(".",F2921,6))</f>
        <v>Xmp.plus.</v>
      </c>
      <c r="D2921" s="5" t="str">
        <f>VLOOKUP(C2921,PrefixUebersetzung,2,FALSE)</f>
        <v>Xmp.plus.</v>
      </c>
      <c r="E2921" s="5" t="str">
        <f>MID(F2921,FIND(".",F2921,6)+1,99)</f>
        <v>ImageFileFormatAsDelivered</v>
      </c>
      <c r="F2921" s="5" t="s">
        <v>1960</v>
      </c>
      <c r="G2921" s="5" t="s">
        <v>9678</v>
      </c>
      <c r="H2921" s="6" t="s">
        <v>3539</v>
      </c>
      <c r="I2921" s="7" t="s">
        <v>4596</v>
      </c>
      <c r="J2921" s="14" t="s">
        <v>5596</v>
      </c>
      <c r="K2921" s="26"/>
      <c r="N2921" s="6"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c r="O2921" s="6" t="s">
        <v>8574</v>
      </c>
      <c r="P2921" s="6" t="s">
        <v>8574</v>
      </c>
    </row>
    <row r="2922" spans="1:17" ht="30" x14ac:dyDescent="0.25">
      <c r="A2922" s="5" t="str">
        <f>IF(TRIM(I2922)="","",E2922)</f>
        <v>ImageFileSizeAsDelivered</v>
      </c>
      <c r="B2922" s="5" t="str">
        <f>IF(TRIM(J2922)="","",H2922)</f>
        <v>Size of the image file delivered to the Licensee.</v>
      </c>
      <c r="C2922" s="5" t="str">
        <f>LEFT(F2922,FIND(".",F2922,6))</f>
        <v>Xmp.plus.</v>
      </c>
      <c r="D2922" s="5" t="str">
        <f>VLOOKUP(C2922,PrefixUebersetzung,2,FALSE)</f>
        <v>Xmp.plus.</v>
      </c>
      <c r="E2922" s="5" t="str">
        <f>MID(F2922,FIND(".",F2922,6)+1,99)</f>
        <v>ImageFileSizeAsDelivered</v>
      </c>
      <c r="F2922" s="5" t="s">
        <v>1961</v>
      </c>
      <c r="G2922" s="5" t="s">
        <v>9678</v>
      </c>
      <c r="H2922" s="6" t="s">
        <v>3540</v>
      </c>
      <c r="I2922" s="7" t="s">
        <v>4597</v>
      </c>
      <c r="J2922" s="14" t="s">
        <v>5597</v>
      </c>
      <c r="K2922" s="26"/>
      <c r="N2922" s="6"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c>
      <c r="O2922" s="6" t="s">
        <v>8574</v>
      </c>
      <c r="P2922" s="6" t="s">
        <v>8574</v>
      </c>
    </row>
    <row r="2923" spans="1:17" x14ac:dyDescent="0.25">
      <c r="A2923" s="5" t="str">
        <f>IF(TRIM(I2923)="","",E2923)</f>
        <v>ImageSupplierID</v>
      </c>
      <c r="B2923" s="5" t="str">
        <f>IF(TRIM(J2923)="","",H2923)</f>
        <v>Optional PLUS-ID identifying the Image Supplier.</v>
      </c>
      <c r="C2923" s="5" t="str">
        <f>LEFT(F2923,FIND(".",F2923,6))</f>
        <v>Xmp.plus.</v>
      </c>
      <c r="D2923" s="5" t="str">
        <f>VLOOKUP(C2923,PrefixUebersetzung,2,FALSE)</f>
        <v>Xmp.plus.</v>
      </c>
      <c r="E2923" s="5" t="str">
        <f>MID(F2923,FIND(".",F2923,6)+1,99)</f>
        <v>ImageSupplierID</v>
      </c>
      <c r="F2923" s="5" t="s">
        <v>1962</v>
      </c>
      <c r="G2923" s="5" t="s">
        <v>9678</v>
      </c>
      <c r="H2923" s="6" t="s">
        <v>3541</v>
      </c>
      <c r="I2923" s="7" t="s">
        <v>4996</v>
      </c>
      <c r="J2923" s="14" t="s">
        <v>5598</v>
      </c>
      <c r="K2923" s="26"/>
      <c r="N2923" s="6"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c r="O2923" s="6" t="s">
        <v>8574</v>
      </c>
      <c r="P2923" s="6" t="s">
        <v>8574</v>
      </c>
    </row>
    <row r="2924" spans="1:17" ht="30" x14ac:dyDescent="0.25">
      <c r="A2924" s="5" t="str">
        <f>IF(TRIM(I2924)="","",E2924)</f>
        <v>ImageSupplierImageID</v>
      </c>
      <c r="B2924" s="5" t="str">
        <f>IF(TRIM(J2924)="","",H2924)</f>
        <v>Optional identifier assigned by the Image Supplier to the image.</v>
      </c>
      <c r="C2924" s="5" t="str">
        <f>LEFT(F2924,FIND(".",F2924,6))</f>
        <v>Xmp.plus.</v>
      </c>
      <c r="D2924" s="5" t="str">
        <f>VLOOKUP(C2924,PrefixUebersetzung,2,FALSE)</f>
        <v>Xmp.plus.</v>
      </c>
      <c r="E2924" s="5" t="str">
        <f>MID(F2924,FIND(".",F2924,6)+1,99)</f>
        <v>ImageSupplierImageID</v>
      </c>
      <c r="F2924" s="5" t="s">
        <v>1963</v>
      </c>
      <c r="G2924" s="5" t="s">
        <v>9678</v>
      </c>
      <c r="H2924" s="6" t="s">
        <v>3542</v>
      </c>
      <c r="I2924" s="7" t="s">
        <v>4995</v>
      </c>
      <c r="J2924" s="14" t="s">
        <v>5599</v>
      </c>
      <c r="K2924" s="26"/>
      <c r="N2924" s="6"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c r="O2924" s="6" t="s">
        <v>8574</v>
      </c>
      <c r="P2924" s="6" t="s">
        <v>8574</v>
      </c>
    </row>
    <row r="2925" spans="1:17" x14ac:dyDescent="0.25">
      <c r="A2925" s="5" t="str">
        <f>IF(TRIM(I2925)="","",E2925)</f>
        <v>ImageSupplierName</v>
      </c>
      <c r="B2925" s="5" t="str">
        <f>IF(TRIM(J2925)="","",H2925)</f>
        <v>Name of Image Supplier.</v>
      </c>
      <c r="C2925" s="5" t="str">
        <f>LEFT(F2925,FIND(".",F2925,6))</f>
        <v>Xmp.plus.</v>
      </c>
      <c r="D2925" s="5" t="str">
        <f>VLOOKUP(C2925,PrefixUebersetzung,2,FALSE)</f>
        <v>Xmp.plus.</v>
      </c>
      <c r="E2925" s="5" t="str">
        <f>MID(F2925,FIND(".",F2925,6)+1,99)</f>
        <v>ImageSupplierName</v>
      </c>
      <c r="F2925" s="5" t="s">
        <v>1964</v>
      </c>
      <c r="G2925" s="5" t="s">
        <v>9678</v>
      </c>
      <c r="H2925" s="6" t="s">
        <v>3543</v>
      </c>
      <c r="I2925" s="7" t="s">
        <v>4997</v>
      </c>
      <c r="J2925" s="14" t="s">
        <v>5600</v>
      </c>
      <c r="K2925" s="26"/>
      <c r="N2925" s="6"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c r="O2925" s="6" t="s">
        <v>8574</v>
      </c>
      <c r="P2925" s="6" t="s">
        <v>8574</v>
      </c>
      <c r="Q2925" s="6" t="s">
        <v>9404</v>
      </c>
    </row>
    <row r="2926" spans="1:17" ht="30" x14ac:dyDescent="0.25">
      <c r="A2926" s="5" t="str">
        <f>IF(TRIM(I2926)="","",E2926)</f>
        <v/>
      </c>
      <c r="B2926" s="5" t="str">
        <f>IF(TRIM(J2926)="","",H2926)</f>
        <v>Identifies the type of image delivered.</v>
      </c>
      <c r="C2926" s="5" t="str">
        <f>LEFT(F2926,FIND(".",F2926,6))</f>
        <v>Xmp.plus.</v>
      </c>
      <c r="D2926" s="5" t="str">
        <f>VLOOKUP(C2926,PrefixUebersetzung,2,FALSE)</f>
        <v>Xmp.plus.</v>
      </c>
      <c r="E2926" s="5" t="str">
        <f>MID(F2926,FIND(".",F2926,6)+1,99)</f>
        <v>ImageType</v>
      </c>
      <c r="F2926" s="5" t="s">
        <v>1965</v>
      </c>
      <c r="G2926" s="5" t="s">
        <v>9678</v>
      </c>
      <c r="H2926" s="6" t="s">
        <v>3544</v>
      </c>
      <c r="I2926" s="7"/>
      <c r="J2926" s="30" t="s">
        <v>5406</v>
      </c>
      <c r="K2926" s="26"/>
      <c r="L2926" s="6" t="str">
        <f>IFERROR(VLOOKUP(E2926,A:I,9, FALSE),"")</f>
        <v>Bildtyp</v>
      </c>
      <c r="N2926" s="6"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c r="P2926" s="6" t="s">
        <v>8574</v>
      </c>
      <c r="Q2926" s="6" t="s">
        <v>9351</v>
      </c>
    </row>
    <row r="2927" spans="1:17" ht="45" x14ac:dyDescent="0.25">
      <c r="A2927" s="5" t="str">
        <f>IF(TRIM(I2927)="","",E2927)</f>
        <v>Licensee</v>
      </c>
      <c r="B2927" s="5" t="str">
        <f>IF(TRIM(J2927)="","",H2927)</f>
        <v>Party or parties to whom the license is granted by the Licensor/s under the license transaction.</v>
      </c>
      <c r="C2927" s="5" t="str">
        <f>LEFT(F2927,FIND(".",F2927,6))</f>
        <v>Xmp.plus.</v>
      </c>
      <c r="D2927" s="5" t="str">
        <f>VLOOKUP(C2927,PrefixUebersetzung,2,FALSE)</f>
        <v>Xmp.plus.</v>
      </c>
      <c r="E2927" s="5" t="str">
        <f>MID(F2927,FIND(".",F2927,6)+1,99)</f>
        <v>Licensee</v>
      </c>
      <c r="F2927" s="5" t="s">
        <v>1966</v>
      </c>
      <c r="G2927" s="5" t="s">
        <v>9680</v>
      </c>
      <c r="H2927" s="6" t="s">
        <v>3545</v>
      </c>
      <c r="I2927" s="7" t="s">
        <v>4598</v>
      </c>
      <c r="J2927" s="14" t="s">
        <v>5601</v>
      </c>
      <c r="K2927" s="26"/>
      <c r="N2927" s="6"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c r="O2927" s="6" t="s">
        <v>8574</v>
      </c>
      <c r="P2927" s="6" t="s">
        <v>8574</v>
      </c>
    </row>
    <row r="2928" spans="1:17" x14ac:dyDescent="0.25">
      <c r="A2928" s="5" t="str">
        <f>IF(TRIM(I2928)="","",E2928)</f>
        <v>LicenseeID</v>
      </c>
      <c r="B2928" s="5" t="str">
        <f>IF(TRIM(J2928)="","",H2928)</f>
        <v>Optional PLUS-ID identifying each Licensee.</v>
      </c>
      <c r="C2928" s="5" t="str">
        <f>LEFT(F2928,FIND(".",F2928,6))</f>
        <v>Xmp.plus.</v>
      </c>
      <c r="D2928" s="5" t="str">
        <f>VLOOKUP(C2928,PrefixUebersetzung,2,FALSE)</f>
        <v>Xmp.plus.</v>
      </c>
      <c r="E2928" s="5" t="str">
        <f>MID(F2928,FIND(".",F2928,6)+1,99)</f>
        <v>LicenseeID</v>
      </c>
      <c r="F2928" s="5" t="s">
        <v>1967</v>
      </c>
      <c r="G2928" s="5" t="s">
        <v>9678</v>
      </c>
      <c r="H2928" s="6" t="s">
        <v>3546</v>
      </c>
      <c r="I2928" s="7" t="s">
        <v>4998</v>
      </c>
      <c r="J2928" s="14" t="s">
        <v>5602</v>
      </c>
      <c r="K2928" s="26"/>
      <c r="N2928" s="6"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c r="O2928" s="6" t="s">
        <v>8574</v>
      </c>
      <c r="P2928" s="6" t="s">
        <v>8574</v>
      </c>
    </row>
    <row r="2929" spans="1:17" ht="30" x14ac:dyDescent="0.25">
      <c r="A2929" s="5" t="str">
        <f>IF(TRIM(I2929)="","",E2929)</f>
        <v>LicenseeImageID</v>
      </c>
      <c r="B2929" s="5" t="str">
        <f>IF(TRIM(J2929)="","",H2929)</f>
        <v>Optional identifier assigned by the Licensee to the image.</v>
      </c>
      <c r="C2929" s="5" t="str">
        <f>LEFT(F2929,FIND(".",F2929,6))</f>
        <v>Xmp.plus.</v>
      </c>
      <c r="D2929" s="5" t="str">
        <f>VLOOKUP(C2929,PrefixUebersetzung,2,FALSE)</f>
        <v>Xmp.plus.</v>
      </c>
      <c r="E2929" s="5" t="str">
        <f>MID(F2929,FIND(".",F2929,6)+1,99)</f>
        <v>LicenseeImageID</v>
      </c>
      <c r="F2929" s="5" t="s">
        <v>1968</v>
      </c>
      <c r="G2929" s="5" t="s">
        <v>9678</v>
      </c>
      <c r="H2929" s="6" t="s">
        <v>3547</v>
      </c>
      <c r="I2929" s="7" t="s">
        <v>4999</v>
      </c>
      <c r="J2929" s="14" t="s">
        <v>5603</v>
      </c>
      <c r="K2929" s="26"/>
      <c r="N2929" s="6"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c r="O2929" s="6" t="s">
        <v>8574</v>
      </c>
      <c r="P2929" s="6" t="s">
        <v>8574</v>
      </c>
    </row>
    <row r="2930" spans="1:17" x14ac:dyDescent="0.25">
      <c r="A2930" s="5" t="str">
        <f>IF(TRIM(I2930)="","",E2930)</f>
        <v>LicenseeImageNotes</v>
      </c>
      <c r="B2930" s="5" t="str">
        <f>IF(TRIM(J2930)="","",H2930)</f>
        <v>Notes added by Licensee.</v>
      </c>
      <c r="C2930" s="5" t="str">
        <f>LEFT(F2930,FIND(".",F2930,6))</f>
        <v>Xmp.plus.</v>
      </c>
      <c r="D2930" s="5" t="str">
        <f>VLOOKUP(C2930,PrefixUebersetzung,2,FALSE)</f>
        <v>Xmp.plus.</v>
      </c>
      <c r="E2930" s="5" t="str">
        <f>MID(F2930,FIND(".",F2930,6)+1,99)</f>
        <v>LicenseeImageNotes</v>
      </c>
      <c r="F2930" s="5" t="s">
        <v>1969</v>
      </c>
      <c r="G2930" s="5" t="s">
        <v>9681</v>
      </c>
      <c r="H2930" s="6" t="s">
        <v>3548</v>
      </c>
      <c r="I2930" s="7" t="s">
        <v>5000</v>
      </c>
      <c r="J2930" s="14" t="s">
        <v>5604</v>
      </c>
      <c r="K2930" s="26"/>
      <c r="N2930" s="6"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c r="O2930" s="6" t="s">
        <v>8574</v>
      </c>
      <c r="P2930" s="6" t="s">
        <v>8574</v>
      </c>
      <c r="Q2930" s="6" t="s">
        <v>4178</v>
      </c>
    </row>
    <row r="2931" spans="1:17" x14ac:dyDescent="0.25">
      <c r="A2931" s="5" t="str">
        <f>IF(TRIM(I2931)="","",E2931)</f>
        <v>LicenseeName</v>
      </c>
      <c r="B2931" s="5" t="str">
        <f>IF(TRIM(J2931)="","",H2931)</f>
        <v>Name of each Licensee.</v>
      </c>
      <c r="C2931" s="5" t="str">
        <f>LEFT(F2931,FIND(".",F2931,6))</f>
        <v>Xmp.plus.</v>
      </c>
      <c r="D2931" s="5" t="str">
        <f>VLOOKUP(C2931,PrefixUebersetzung,2,FALSE)</f>
        <v>Xmp.plus.</v>
      </c>
      <c r="E2931" s="5" t="str">
        <f>MID(F2931,FIND(".",F2931,6)+1,99)</f>
        <v>LicenseeName</v>
      </c>
      <c r="F2931" s="5" t="s">
        <v>1970</v>
      </c>
      <c r="G2931" s="5" t="s">
        <v>9678</v>
      </c>
      <c r="H2931" s="6" t="s">
        <v>3549</v>
      </c>
      <c r="I2931" s="7" t="s">
        <v>5001</v>
      </c>
      <c r="J2931" s="14" t="s">
        <v>4146</v>
      </c>
      <c r="K2931" s="26"/>
      <c r="N2931" s="6"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c>
      <c r="O2931" s="6" t="s">
        <v>8574</v>
      </c>
      <c r="P2931" s="6" t="s">
        <v>8574</v>
      </c>
      <c r="Q2931" s="6" t="s">
        <v>4178</v>
      </c>
    </row>
    <row r="2932" spans="1:17" x14ac:dyDescent="0.25">
      <c r="A2932" s="5" t="str">
        <f>IF(TRIM(I2932)="","",E2932)</f>
        <v>LicenseEndDate</v>
      </c>
      <c r="B2932" s="5" t="str">
        <f>IF(TRIM(J2932)="","",H2932)</f>
        <v>The date on which the license expires.</v>
      </c>
      <c r="C2932" s="5" t="str">
        <f>LEFT(F2932,FIND(".",F2932,6))</f>
        <v>Xmp.plus.</v>
      </c>
      <c r="D2932" s="5" t="str">
        <f>VLOOKUP(C2932,PrefixUebersetzung,2,FALSE)</f>
        <v>Xmp.plus.</v>
      </c>
      <c r="E2932" s="5" t="str">
        <f>MID(F2932,FIND(".",F2932,6)+1,99)</f>
        <v>LicenseEndDate</v>
      </c>
      <c r="F2932" s="5" t="s">
        <v>1971</v>
      </c>
      <c r="G2932" s="5" t="s">
        <v>9678</v>
      </c>
      <c r="H2932" s="6" t="s">
        <v>3550</v>
      </c>
      <c r="I2932" s="7" t="s">
        <v>4599</v>
      </c>
      <c r="J2932" s="14" t="s">
        <v>4147</v>
      </c>
      <c r="K2932" s="26"/>
      <c r="N2932" s="6"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c r="O2932" s="6" t="s">
        <v>8574</v>
      </c>
      <c r="P2932" s="6" t="s">
        <v>8574</v>
      </c>
      <c r="Q2932" s="6" t="s">
        <v>4178</v>
      </c>
    </row>
    <row r="2933" spans="1:17" ht="30" x14ac:dyDescent="0.25">
      <c r="A2933" s="5" t="str">
        <f>IF(TRIM(I2933)="","",E2933)</f>
        <v>LicenseeProjectReference</v>
      </c>
      <c r="B2933" s="5" t="str">
        <f>IF(TRIM(J2933)="","",H2933)</f>
        <v>Project reference name or description assigned by Licensee.</v>
      </c>
      <c r="C2933" s="5" t="str">
        <f>LEFT(F2933,FIND(".",F2933,6))</f>
        <v>Xmp.plus.</v>
      </c>
      <c r="D2933" s="5" t="str">
        <f>VLOOKUP(C2933,PrefixUebersetzung,2,FALSE)</f>
        <v>Xmp.plus.</v>
      </c>
      <c r="E2933" s="5" t="str">
        <f>MID(F2933,FIND(".",F2933,6)+1,99)</f>
        <v>LicenseeProjectReference</v>
      </c>
      <c r="F2933" s="5" t="s">
        <v>1972</v>
      </c>
      <c r="G2933" s="5" t="s">
        <v>9679</v>
      </c>
      <c r="H2933" s="6" t="s">
        <v>3551</v>
      </c>
      <c r="I2933" s="7" t="s">
        <v>5002</v>
      </c>
      <c r="J2933" s="14" t="s">
        <v>5605</v>
      </c>
      <c r="K2933" s="26"/>
      <c r="N2933" s="6"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c>
      <c r="O2933" s="6" t="s">
        <v>8574</v>
      </c>
      <c r="P2933" s="6" t="s">
        <v>8574</v>
      </c>
    </row>
    <row r="2934" spans="1:17" ht="45" x14ac:dyDescent="0.25">
      <c r="A2934" s="5" t="str">
        <f>IF(TRIM(I2934)="","",E2934)</f>
        <v>LicenseeTransactionID</v>
      </c>
      <c r="B2934" s="5" t="str">
        <f>IF(TRIM(J2934)="","",H2934)</f>
        <v>Identifier assigned by Licensee for Licensee's reference and internal use.</v>
      </c>
      <c r="C2934" s="5" t="str">
        <f>LEFT(F2934,FIND(".",F2934,6))</f>
        <v>Xmp.plus.</v>
      </c>
      <c r="D2934" s="5" t="str">
        <f>VLOOKUP(C2934,PrefixUebersetzung,2,FALSE)</f>
        <v>Xmp.plus.</v>
      </c>
      <c r="E2934" s="5" t="str">
        <f>MID(F2934,FIND(".",F2934,6)+1,99)</f>
        <v>LicenseeTransactionID</v>
      </c>
      <c r="F2934" s="5" t="s">
        <v>1973</v>
      </c>
      <c r="G2934" s="5" t="s">
        <v>9679</v>
      </c>
      <c r="H2934" s="6" t="s">
        <v>3552</v>
      </c>
      <c r="I2934" s="7" t="s">
        <v>5003</v>
      </c>
      <c r="J2934" s="14" t="s">
        <v>6700</v>
      </c>
      <c r="K2934" s="26"/>
      <c r="N2934" s="6"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c r="O2934" s="6" t="s">
        <v>8574</v>
      </c>
      <c r="P2934" s="6" t="s">
        <v>8574</v>
      </c>
    </row>
    <row r="2935" spans="1:17" ht="30" x14ac:dyDescent="0.25">
      <c r="A2935" s="5" t="str">
        <f>IF(TRIM(I2935)="","",E2935)</f>
        <v>LicenseID</v>
      </c>
      <c r="B2935" s="5" t="str">
        <f>IF(TRIM(J2935)="","",H2935)</f>
        <v>Optional PLUS-ID assigned by the Licensor to the License.</v>
      </c>
      <c r="C2935" s="5" t="str">
        <f>LEFT(F2935,FIND(".",F2935,6))</f>
        <v>Xmp.plus.</v>
      </c>
      <c r="D2935" s="5" t="str">
        <f>VLOOKUP(C2935,PrefixUebersetzung,2,FALSE)</f>
        <v>Xmp.plus.</v>
      </c>
      <c r="E2935" s="5" t="str">
        <f>MID(F2935,FIND(".",F2935,6)+1,99)</f>
        <v>LicenseID</v>
      </c>
      <c r="F2935" s="5" t="s">
        <v>1974</v>
      </c>
      <c r="G2935" s="5" t="s">
        <v>9678</v>
      </c>
      <c r="H2935" s="6" t="s">
        <v>3553</v>
      </c>
      <c r="I2935" s="7" t="s">
        <v>4600</v>
      </c>
      <c r="J2935" s="14" t="s">
        <v>5606</v>
      </c>
      <c r="K2935" s="26"/>
      <c r="N2935" s="6"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c r="O2935" s="6" t="s">
        <v>8574</v>
      </c>
      <c r="P2935" s="6" t="s">
        <v>8574</v>
      </c>
    </row>
    <row r="2936" spans="1:17" ht="30" x14ac:dyDescent="0.25">
      <c r="A2936" s="5" t="str">
        <f>IF(TRIM(I2936)="","",E2936)</f>
        <v>LicenseStartDate</v>
      </c>
      <c r="B2936" s="5" t="str">
        <f>IF(TRIM(J2936)="","",H2936)</f>
        <v>The date on which the license takes effect.</v>
      </c>
      <c r="C2936" s="5" t="str">
        <f>LEFT(F2936,FIND(".",F2936,6))</f>
        <v>Xmp.plus.</v>
      </c>
      <c r="D2936" s="5" t="str">
        <f>VLOOKUP(C2936,PrefixUebersetzung,2,FALSE)</f>
        <v>Xmp.plus.</v>
      </c>
      <c r="E2936" s="5" t="str">
        <f>MID(F2936,FIND(".",F2936,6)+1,99)</f>
        <v>LicenseStartDate</v>
      </c>
      <c r="F2936" s="5" t="s">
        <v>1975</v>
      </c>
      <c r="G2936" s="5" t="s">
        <v>9678</v>
      </c>
      <c r="H2936" s="6" t="s">
        <v>3554</v>
      </c>
      <c r="I2936" s="7" t="s">
        <v>4601</v>
      </c>
      <c r="J2936" s="14" t="s">
        <v>4148</v>
      </c>
      <c r="K2936" s="26"/>
      <c r="N2936" s="6"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c>
      <c r="O2936" s="6" t="s">
        <v>8574</v>
      </c>
      <c r="P2936" s="6" t="s">
        <v>8574</v>
      </c>
      <c r="Q2936" s="6" t="s">
        <v>9527</v>
      </c>
    </row>
    <row r="2937" spans="1:17" x14ac:dyDescent="0.25">
      <c r="A2937" s="5" t="str">
        <f>IF(TRIM(I2937)="","",E2937)</f>
        <v>LicenseTransactionDate</v>
      </c>
      <c r="B2937" s="5" t="str">
        <f>IF(TRIM(J2937)="","",H2937)</f>
        <v>The date of the License Transaction.</v>
      </c>
      <c r="C2937" s="5" t="str">
        <f>LEFT(F2937,FIND(".",F2937,6))</f>
        <v>Xmp.plus.</v>
      </c>
      <c r="D2937" s="5" t="str">
        <f>VLOOKUP(C2937,PrefixUebersetzung,2,FALSE)</f>
        <v>Xmp.plus.</v>
      </c>
      <c r="E2937" s="5" t="str">
        <f>MID(F2937,FIND(".",F2937,6)+1,99)</f>
        <v>LicenseTransactionDate</v>
      </c>
      <c r="F2937" s="5" t="s">
        <v>1976</v>
      </c>
      <c r="G2937" s="5" t="s">
        <v>9678</v>
      </c>
      <c r="H2937" s="6" t="s">
        <v>3555</v>
      </c>
      <c r="I2937" s="7" t="s">
        <v>4602</v>
      </c>
      <c r="J2937" s="14" t="s">
        <v>5607</v>
      </c>
      <c r="K2937" s="26"/>
      <c r="N2937" s="6"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c r="O2937" s="6" t="s">
        <v>8574</v>
      </c>
      <c r="P2937" s="6" t="s">
        <v>8574</v>
      </c>
      <c r="Q2937" s="6" t="s">
        <v>4178</v>
      </c>
    </row>
    <row r="2938" spans="1:17" ht="30" x14ac:dyDescent="0.25">
      <c r="A2938" s="5" t="str">
        <f>IF(TRIM(I2938)="","",E2938)</f>
        <v>Licensor</v>
      </c>
      <c r="B2938" s="5" t="str">
        <f>IF(TRIM(J2938)="","",H2938)</f>
        <v>Party or parties granting the license to the Licensee.</v>
      </c>
      <c r="C2938" s="5" t="str">
        <f>LEFT(F2938,FIND(".",F2938,6))</f>
        <v>Xmp.plus.</v>
      </c>
      <c r="D2938" s="5" t="str">
        <f>VLOOKUP(C2938,PrefixUebersetzung,2,FALSE)</f>
        <v>Xmp.plus.</v>
      </c>
      <c r="E2938" s="5" t="str">
        <f>MID(F2938,FIND(".",F2938,6)+1,99)</f>
        <v>Licensor</v>
      </c>
      <c r="F2938" s="5" t="s">
        <v>1977</v>
      </c>
      <c r="G2938" s="5" t="s">
        <v>9680</v>
      </c>
      <c r="H2938" s="6" t="s">
        <v>3556</v>
      </c>
      <c r="I2938" s="7" t="s">
        <v>4603</v>
      </c>
      <c r="J2938" s="14" t="s">
        <v>5608</v>
      </c>
      <c r="K2938" s="26"/>
      <c r="N2938" s="6"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c r="O2938" s="6" t="s">
        <v>8574</v>
      </c>
      <c r="P2938" s="6" t="s">
        <v>8574</v>
      </c>
    </row>
    <row r="2939" spans="1:17" x14ac:dyDescent="0.25">
      <c r="A2939" s="5" t="str">
        <f>IF(TRIM(I2939)="","",E2939)</f>
        <v>LicensorCity</v>
      </c>
      <c r="B2939" s="5" t="str">
        <f>IF(TRIM(J2939)="","",H2939)</f>
        <v>Licensor City name.</v>
      </c>
      <c r="C2939" s="5" t="str">
        <f>LEFT(F2939,FIND(".",F2939,6))</f>
        <v>Xmp.plus.</v>
      </c>
      <c r="D2939" s="5" t="str">
        <f>VLOOKUP(C2939,PrefixUebersetzung,2,FALSE)</f>
        <v>Xmp.plus.</v>
      </c>
      <c r="E2939" s="5" t="str">
        <f>MID(F2939,FIND(".",F2939,6)+1,99)</f>
        <v>LicensorCity</v>
      </c>
      <c r="F2939" s="5" t="s">
        <v>1978</v>
      </c>
      <c r="G2939" s="5" t="s">
        <v>9678</v>
      </c>
      <c r="H2939" s="6" t="s">
        <v>3557</v>
      </c>
      <c r="I2939" s="7" t="s">
        <v>5004</v>
      </c>
      <c r="J2939" s="14" t="s">
        <v>4149</v>
      </c>
      <c r="K2939" s="26"/>
      <c r="N2939" s="6"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c r="O2939" s="6" t="s">
        <v>8574</v>
      </c>
      <c r="P2939" s="6" t="s">
        <v>8574</v>
      </c>
      <c r="Q2939" s="6" t="s">
        <v>9192</v>
      </c>
    </row>
    <row r="2940" spans="1:17" x14ac:dyDescent="0.25">
      <c r="A2940" s="5" t="str">
        <f>IF(TRIM(I2940)="","",E2940)</f>
        <v>LicensorCountry</v>
      </c>
      <c r="B2940" s="5" t="str">
        <f>IF(TRIM(J2940)="","",H2940)</f>
        <v>Licensor Country name.</v>
      </c>
      <c r="C2940" s="5" t="str">
        <f>LEFT(F2940,FIND(".",F2940,6))</f>
        <v>Xmp.plus.</v>
      </c>
      <c r="D2940" s="5" t="str">
        <f>VLOOKUP(C2940,PrefixUebersetzung,2,FALSE)</f>
        <v>Xmp.plus.</v>
      </c>
      <c r="E2940" s="5" t="str">
        <f>MID(F2940,FIND(".",F2940,6)+1,99)</f>
        <v>LicensorCountry</v>
      </c>
      <c r="F2940" s="5" t="s">
        <v>1979</v>
      </c>
      <c r="G2940" s="5" t="s">
        <v>9678</v>
      </c>
      <c r="H2940" s="6" t="s">
        <v>3558</v>
      </c>
      <c r="I2940" s="7" t="s">
        <v>5005</v>
      </c>
      <c r="J2940" s="14" t="s">
        <v>5579</v>
      </c>
      <c r="K2940" s="26"/>
      <c r="N2940" s="6"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c r="O2940" s="6" t="s">
        <v>8574</v>
      </c>
      <c r="P2940" s="6" t="s">
        <v>8574</v>
      </c>
      <c r="Q2940" s="6" t="s">
        <v>9192</v>
      </c>
    </row>
    <row r="2941" spans="1:17" x14ac:dyDescent="0.25">
      <c r="A2941" s="5" t="str">
        <f>IF(TRIM(I2941)="","",E2941)</f>
        <v>LicensorEmail</v>
      </c>
      <c r="B2941" s="5" t="str">
        <f>IF(TRIM(J2941)="","",H2941)</f>
        <v>Licensor Email address.</v>
      </c>
      <c r="C2941" s="5" t="str">
        <f>LEFT(F2941,FIND(".",F2941,6))</f>
        <v>Xmp.plus.</v>
      </c>
      <c r="D2941" s="5" t="str">
        <f>VLOOKUP(C2941,PrefixUebersetzung,2,FALSE)</f>
        <v>Xmp.plus.</v>
      </c>
      <c r="E2941" s="5" t="str">
        <f>MID(F2941,FIND(".",F2941,6)+1,99)</f>
        <v>LicensorEmail</v>
      </c>
      <c r="F2941" s="5" t="s">
        <v>1980</v>
      </c>
      <c r="G2941" s="5" t="s">
        <v>9678</v>
      </c>
      <c r="H2941" s="6" t="s">
        <v>3559</v>
      </c>
      <c r="I2941" s="7" t="s">
        <v>5006</v>
      </c>
      <c r="J2941" s="14" t="s">
        <v>4150</v>
      </c>
      <c r="K2941" s="26"/>
      <c r="N2941" s="6"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c r="O2941" s="6" t="s">
        <v>8574</v>
      </c>
      <c r="P2941" s="6" t="s">
        <v>8574</v>
      </c>
      <c r="Q2941" s="6" t="s">
        <v>9214</v>
      </c>
    </row>
    <row r="2942" spans="1:17" x14ac:dyDescent="0.25">
      <c r="A2942" s="5" t="str">
        <f>IF(TRIM(I2942)="","",E2942)</f>
        <v>LicensorExtendedAddress</v>
      </c>
      <c r="B2942" s="5" t="str">
        <f>IF(TRIM(J2942)="","",H2942)</f>
        <v>Additional Licensor mailing address details.</v>
      </c>
      <c r="C2942" s="5" t="str">
        <f>LEFT(F2942,FIND(".",F2942,6))</f>
        <v>Xmp.plus.</v>
      </c>
      <c r="D2942" s="5" t="str">
        <f>VLOOKUP(C2942,PrefixUebersetzung,2,FALSE)</f>
        <v>Xmp.plus.</v>
      </c>
      <c r="E2942" s="5" t="str">
        <f>MID(F2942,FIND(".",F2942,6)+1,99)</f>
        <v>LicensorExtendedAddress</v>
      </c>
      <c r="F2942" s="5" t="s">
        <v>1981</v>
      </c>
      <c r="G2942" s="5" t="s">
        <v>9678</v>
      </c>
      <c r="H2942" s="6" t="s">
        <v>3560</v>
      </c>
      <c r="I2942" s="7" t="s">
        <v>5007</v>
      </c>
      <c r="J2942" s="14" t="s">
        <v>6699</v>
      </c>
      <c r="K2942" s="26"/>
      <c r="N2942" s="6"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c r="O2942" s="6" t="s">
        <v>8574</v>
      </c>
      <c r="P2942" s="6" t="s">
        <v>8574</v>
      </c>
      <c r="Q2942" s="6" t="s">
        <v>9120</v>
      </c>
    </row>
    <row r="2943" spans="1:17" ht="30" x14ac:dyDescent="0.25">
      <c r="A2943" s="5" t="str">
        <f>IF(TRIM(I2943)="","",E2943)</f>
        <v>LicensorID</v>
      </c>
      <c r="B2943" s="5" t="str">
        <f>IF(TRIM(J2943)="","",H2943)</f>
        <v>Optional PLUS-ID identifying each Licensor.</v>
      </c>
      <c r="C2943" s="5" t="str">
        <f>LEFT(F2943,FIND(".",F2943,6))</f>
        <v>Xmp.plus.</v>
      </c>
      <c r="D2943" s="5" t="str">
        <f>VLOOKUP(C2943,PrefixUebersetzung,2,FALSE)</f>
        <v>Xmp.plus.</v>
      </c>
      <c r="E2943" s="5" t="str">
        <f>MID(F2943,FIND(".",F2943,6)+1,99)</f>
        <v>LicensorID</v>
      </c>
      <c r="F2943" s="5" t="s">
        <v>1982</v>
      </c>
      <c r="G2943" s="5" t="s">
        <v>9678</v>
      </c>
      <c r="H2943" s="6" t="s">
        <v>3561</v>
      </c>
      <c r="I2943" s="7" t="s">
        <v>5008</v>
      </c>
      <c r="J2943" s="14" t="s">
        <v>5580</v>
      </c>
      <c r="K2943" s="26"/>
      <c r="N2943" s="6"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c r="O2943" s="6" t="s">
        <v>8574</v>
      </c>
      <c r="P2943" s="6" t="s">
        <v>8574</v>
      </c>
    </row>
    <row r="2944" spans="1:17" ht="30" x14ac:dyDescent="0.25">
      <c r="A2944" s="5" t="str">
        <f>IF(TRIM(I2944)="","",E2944)</f>
        <v>LicensorImageID</v>
      </c>
      <c r="B2944" s="5" t="str">
        <f>IF(TRIM(J2944)="","",H2944)</f>
        <v>Optional identifier assigned by the Licensor to the image.</v>
      </c>
      <c r="C2944" s="5" t="str">
        <f>LEFT(F2944,FIND(".",F2944,6))</f>
        <v>Xmp.plus.</v>
      </c>
      <c r="D2944" s="5" t="str">
        <f>VLOOKUP(C2944,PrefixUebersetzung,2,FALSE)</f>
        <v>Xmp.plus.</v>
      </c>
      <c r="E2944" s="5" t="str">
        <f>MID(F2944,FIND(".",F2944,6)+1,99)</f>
        <v>LicensorImageID</v>
      </c>
      <c r="F2944" s="5" t="s">
        <v>1983</v>
      </c>
      <c r="G2944" s="5" t="s">
        <v>9678</v>
      </c>
      <c r="H2944" s="6" t="s">
        <v>3562</v>
      </c>
      <c r="I2944" s="7" t="s">
        <v>5009</v>
      </c>
      <c r="J2944" s="14" t="s">
        <v>5609</v>
      </c>
      <c r="K2944" s="26"/>
      <c r="N2944" s="6"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c r="O2944" s="6" t="s">
        <v>8574</v>
      </c>
      <c r="P2944" s="6" t="s">
        <v>8574</v>
      </c>
    </row>
    <row r="2945" spans="1:17" x14ac:dyDescent="0.25">
      <c r="A2945" s="5" t="str">
        <f>IF(TRIM(I2945)="","",E2945)</f>
        <v>LicensorName</v>
      </c>
      <c r="B2945" s="5" t="str">
        <f>IF(TRIM(J2945)="","",H2945)</f>
        <v>Name of each Licensor.</v>
      </c>
      <c r="C2945" s="5" t="str">
        <f>LEFT(F2945,FIND(".",F2945,6))</f>
        <v>Xmp.plus.</v>
      </c>
      <c r="D2945" s="5" t="str">
        <f>VLOOKUP(C2945,PrefixUebersetzung,2,FALSE)</f>
        <v>Xmp.plus.</v>
      </c>
      <c r="E2945" s="5" t="str">
        <f>MID(F2945,FIND(".",F2945,6)+1,99)</f>
        <v>LicensorName</v>
      </c>
      <c r="F2945" s="5" t="s">
        <v>1984</v>
      </c>
      <c r="G2945" s="5" t="s">
        <v>9678</v>
      </c>
      <c r="H2945" s="6" t="s">
        <v>3563</v>
      </c>
      <c r="I2945" s="7" t="s">
        <v>5010</v>
      </c>
      <c r="J2945" s="14" t="s">
        <v>4151</v>
      </c>
      <c r="K2945" s="26"/>
      <c r="N2945" s="6"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c r="O2945" s="6" t="s">
        <v>8574</v>
      </c>
      <c r="P2945" s="6" t="s">
        <v>8574</v>
      </c>
      <c r="Q2945" s="6" t="s">
        <v>4178</v>
      </c>
    </row>
    <row r="2946" spans="1:17" ht="30" x14ac:dyDescent="0.25">
      <c r="A2946" s="5" t="str">
        <f>IF(TRIM(I2946)="","",E2946)</f>
        <v>LicensorNotes</v>
      </c>
      <c r="B2946" s="5" t="str">
        <f>IF(TRIM(J2946)="","",H2946)</f>
        <v>Supplemental information for use in identifying and contacting the Licensor/s.</v>
      </c>
      <c r="C2946" s="5" t="str">
        <f>LEFT(F2946,FIND(".",F2946,6))</f>
        <v>Xmp.plus.</v>
      </c>
      <c r="D2946" s="5" t="str">
        <f>VLOOKUP(C2946,PrefixUebersetzung,2,FALSE)</f>
        <v>Xmp.plus.</v>
      </c>
      <c r="E2946" s="5" t="str">
        <f>MID(F2946,FIND(".",F2946,6)+1,99)</f>
        <v>LicensorNotes</v>
      </c>
      <c r="F2946" s="5" t="s">
        <v>1985</v>
      </c>
      <c r="G2946" s="5" t="s">
        <v>9681</v>
      </c>
      <c r="H2946" s="6" t="s">
        <v>3564</v>
      </c>
      <c r="I2946" s="7" t="s">
        <v>5011</v>
      </c>
      <c r="J2946" s="14" t="s">
        <v>5610</v>
      </c>
      <c r="K2946" s="26"/>
      <c r="N2946" s="6"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c>
      <c r="O2946" s="6" t="s">
        <v>8574</v>
      </c>
      <c r="P2946" s="6" t="s">
        <v>8574</v>
      </c>
    </row>
    <row r="2947" spans="1:17" x14ac:dyDescent="0.25">
      <c r="A2947" s="5" t="str">
        <f>IF(TRIM(I2947)="","",E2947)</f>
        <v>LicensorPostalCode</v>
      </c>
      <c r="B2947" s="5" t="str">
        <f>IF(TRIM(J2947)="","",H2947)</f>
        <v>Licensor Postal Code or Zip Code.</v>
      </c>
      <c r="C2947" s="5" t="str">
        <f>LEFT(F2947,FIND(".",F2947,6))</f>
        <v>Xmp.plus.</v>
      </c>
      <c r="D2947" s="5" t="str">
        <f>VLOOKUP(C2947,PrefixUebersetzung,2,FALSE)</f>
        <v>Xmp.plus.</v>
      </c>
      <c r="E2947" s="5" t="str">
        <f>MID(F2947,FIND(".",F2947,6)+1,99)</f>
        <v>LicensorPostalCode</v>
      </c>
      <c r="F2947" s="5" t="s">
        <v>1986</v>
      </c>
      <c r="G2947" s="5" t="s">
        <v>9678</v>
      </c>
      <c r="H2947" s="6" t="s">
        <v>3565</v>
      </c>
      <c r="I2947" s="7" t="s">
        <v>5012</v>
      </c>
      <c r="J2947" s="14" t="s">
        <v>5611</v>
      </c>
      <c r="K2947" s="26"/>
      <c r="N2947" s="6"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c r="O2947" s="6" t="s">
        <v>8574</v>
      </c>
      <c r="P2947" s="6" t="s">
        <v>8574</v>
      </c>
      <c r="Q2947" s="6" t="s">
        <v>9214</v>
      </c>
    </row>
    <row r="2948" spans="1:17" x14ac:dyDescent="0.25">
      <c r="A2948" s="5" t="str">
        <f>IF(TRIM(I2948)="","",E2948)</f>
        <v>LicensorRegion</v>
      </c>
      <c r="B2948" s="5" t="str">
        <f>IF(TRIM(J2948)="","",H2948)</f>
        <v>Licensor State or Province name.</v>
      </c>
      <c r="C2948" s="5" t="str">
        <f>LEFT(F2948,FIND(".",F2948,6))</f>
        <v>Xmp.plus.</v>
      </c>
      <c r="D2948" s="5" t="str">
        <f>VLOOKUP(C2948,PrefixUebersetzung,2,FALSE)</f>
        <v>Xmp.plus.</v>
      </c>
      <c r="E2948" s="5" t="str">
        <f>MID(F2948,FIND(".",F2948,6)+1,99)</f>
        <v>LicensorRegion</v>
      </c>
      <c r="F2948" s="5" t="s">
        <v>1987</v>
      </c>
      <c r="G2948" s="5" t="s">
        <v>9678</v>
      </c>
      <c r="H2948" s="6" t="s">
        <v>3566</v>
      </c>
      <c r="I2948" s="7" t="s">
        <v>5013</v>
      </c>
      <c r="J2948" s="14" t="s">
        <v>4152</v>
      </c>
      <c r="K2948" s="26"/>
      <c r="N2948" s="6"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c>
      <c r="O2948" s="6" t="s">
        <v>8574</v>
      </c>
      <c r="P2948" s="6" t="s">
        <v>8574</v>
      </c>
      <c r="Q2948" s="6" t="s">
        <v>9401</v>
      </c>
    </row>
    <row r="2949" spans="1:17" x14ac:dyDescent="0.25">
      <c r="A2949" s="5" t="str">
        <f>IF(TRIM(I2949)="","",E2949)</f>
        <v>LicensorStreetAddress</v>
      </c>
      <c r="B2949" s="5" t="str">
        <f>IF(TRIM(J2949)="","",H2949)</f>
        <v>Licensor street address.</v>
      </c>
      <c r="C2949" s="5" t="str">
        <f>LEFT(F2949,FIND(".",F2949,6))</f>
        <v>Xmp.plus.</v>
      </c>
      <c r="D2949" s="5" t="str">
        <f>VLOOKUP(C2949,PrefixUebersetzung,2,FALSE)</f>
        <v>Xmp.plus.</v>
      </c>
      <c r="E2949" s="5" t="str">
        <f>MID(F2949,FIND(".",F2949,6)+1,99)</f>
        <v>LicensorStreetAddress</v>
      </c>
      <c r="F2949" s="5" t="s">
        <v>1988</v>
      </c>
      <c r="G2949" s="5" t="s">
        <v>9678</v>
      </c>
      <c r="H2949" s="6" t="s">
        <v>3567</v>
      </c>
      <c r="I2949" s="7" t="s">
        <v>5014</v>
      </c>
      <c r="J2949" s="14" t="s">
        <v>5014</v>
      </c>
      <c r="K2949" s="26"/>
      <c r="N2949" s="6"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c r="O2949" s="6" t="s">
        <v>8574</v>
      </c>
      <c r="P2949" s="6" t="s">
        <v>8574</v>
      </c>
      <c r="Q2949" s="6" t="s">
        <v>9192</v>
      </c>
    </row>
    <row r="2950" spans="1:17" x14ac:dyDescent="0.25">
      <c r="A2950" s="5" t="str">
        <f>IF(TRIM(I2950)="","",E2950)</f>
        <v>LicensorTelephone1</v>
      </c>
      <c r="B2950" s="5" t="str">
        <f>IF(TRIM(J2950)="","",H2950)</f>
        <v>Licensor Telephone number 1.</v>
      </c>
      <c r="C2950" s="5" t="str">
        <f>LEFT(F2950,FIND(".",F2950,6))</f>
        <v>Xmp.plus.</v>
      </c>
      <c r="D2950" s="5" t="str">
        <f>VLOOKUP(C2950,PrefixUebersetzung,2,FALSE)</f>
        <v>Xmp.plus.</v>
      </c>
      <c r="E2950" s="5" t="str">
        <f>MID(F2950,FIND(".",F2950,6)+1,99)</f>
        <v>LicensorTelephone1</v>
      </c>
      <c r="F2950" s="5" t="s">
        <v>1989</v>
      </c>
      <c r="G2950" s="5" t="s">
        <v>9678</v>
      </c>
      <c r="H2950" s="6" t="s">
        <v>3568</v>
      </c>
      <c r="I2950" s="7" t="s">
        <v>5015</v>
      </c>
      <c r="J2950" s="14" t="s">
        <v>5581</v>
      </c>
      <c r="K2950" s="26"/>
      <c r="N2950" s="6"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c r="O2950" s="6" t="s">
        <v>8574</v>
      </c>
      <c r="P2950" s="6" t="s">
        <v>8574</v>
      </c>
      <c r="Q2950" s="6" t="s">
        <v>9393</v>
      </c>
    </row>
    <row r="2951" spans="1:17" x14ac:dyDescent="0.25">
      <c r="A2951" s="5" t="str">
        <f>IF(TRIM(I2951)="","",E2951)</f>
        <v>LicensorTelephone2</v>
      </c>
      <c r="B2951" s="5" t="str">
        <f>IF(TRIM(J2951)="","",H2951)</f>
        <v>Licensor Telephone number 2.</v>
      </c>
      <c r="C2951" s="5" t="str">
        <f>LEFT(F2951,FIND(".",F2951,6))</f>
        <v>Xmp.plus.</v>
      </c>
      <c r="D2951" s="5" t="str">
        <f>VLOOKUP(C2951,PrefixUebersetzung,2,FALSE)</f>
        <v>Xmp.plus.</v>
      </c>
      <c r="E2951" s="5" t="str">
        <f>MID(F2951,FIND(".",F2951,6)+1,99)</f>
        <v>LicensorTelephone2</v>
      </c>
      <c r="F2951" s="5" t="s">
        <v>1990</v>
      </c>
      <c r="G2951" s="5" t="s">
        <v>9678</v>
      </c>
      <c r="H2951" s="6" t="s">
        <v>3569</v>
      </c>
      <c r="I2951" s="7" t="s">
        <v>5016</v>
      </c>
      <c r="J2951" s="14" t="s">
        <v>5582</v>
      </c>
      <c r="K2951" s="26"/>
      <c r="N2951" s="6"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O2951" s="6" t="s">
        <v>8574</v>
      </c>
      <c r="P2951" s="6" t="s">
        <v>8574</v>
      </c>
      <c r="Q2951" s="6" t="s">
        <v>9393</v>
      </c>
    </row>
    <row r="2952" spans="1:17" x14ac:dyDescent="0.25">
      <c r="A2952" s="5" t="str">
        <f>IF(TRIM(I2952)="","",E2952)</f>
        <v>LicensorTelephoneType1</v>
      </c>
      <c r="B2952" s="5" t="str">
        <f>IF(TRIM(J2952)="","",H2952)</f>
        <v>Licensor Telephone Type 1.</v>
      </c>
      <c r="C2952" s="5" t="str">
        <f>LEFT(F2952,FIND(".",F2952,6))</f>
        <v>Xmp.plus.</v>
      </c>
      <c r="D2952" s="5" t="str">
        <f>VLOOKUP(C2952,PrefixUebersetzung,2,FALSE)</f>
        <v>Xmp.plus.</v>
      </c>
      <c r="E2952" s="5" t="str">
        <f>MID(F2952,FIND(".",F2952,6)+1,99)</f>
        <v>LicensorTelephoneType1</v>
      </c>
      <c r="F2952" s="5" t="s">
        <v>1991</v>
      </c>
      <c r="G2952" s="5" t="s">
        <v>9678</v>
      </c>
      <c r="H2952" s="6" t="s">
        <v>3570</v>
      </c>
      <c r="I2952" s="7" t="s">
        <v>5017</v>
      </c>
      <c r="J2952" s="14" t="s">
        <v>4153</v>
      </c>
      <c r="K2952" s="26"/>
      <c r="N2952" s="6"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6" t="s">
        <v>8574</v>
      </c>
      <c r="P2952" s="6" t="s">
        <v>8574</v>
      </c>
      <c r="Q2952" s="6" t="s">
        <v>9393</v>
      </c>
    </row>
    <row r="2953" spans="1:17" x14ac:dyDescent="0.25">
      <c r="A2953" s="5" t="str">
        <f>IF(TRIM(I2953)="","",E2953)</f>
        <v>LicensorTelephoneType2</v>
      </c>
      <c r="B2953" s="5" t="str">
        <f>IF(TRIM(J2953)="","",H2953)</f>
        <v>Licensor Telephone Type 2.</v>
      </c>
      <c r="C2953" s="5" t="str">
        <f>LEFT(F2953,FIND(".",F2953,6))</f>
        <v>Xmp.plus.</v>
      </c>
      <c r="D2953" s="5" t="str">
        <f>VLOOKUP(C2953,PrefixUebersetzung,2,FALSE)</f>
        <v>Xmp.plus.</v>
      </c>
      <c r="E2953" s="5" t="str">
        <f>MID(F2953,FIND(".",F2953,6)+1,99)</f>
        <v>LicensorTelephoneType2</v>
      </c>
      <c r="F2953" s="5" t="s">
        <v>1992</v>
      </c>
      <c r="G2953" s="5" t="s">
        <v>9678</v>
      </c>
      <c r="H2953" s="6" t="s">
        <v>3571</v>
      </c>
      <c r="I2953" s="7" t="s">
        <v>5018</v>
      </c>
      <c r="J2953" s="14" t="s">
        <v>4154</v>
      </c>
      <c r="K2953" s="26"/>
      <c r="N2953" s="6"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c r="O2953" s="6" t="s">
        <v>8574</v>
      </c>
      <c r="P2953" s="6" t="s">
        <v>8574</v>
      </c>
      <c r="Q2953" s="6" t="s">
        <v>9393</v>
      </c>
    </row>
    <row r="2954" spans="1:17" ht="30" x14ac:dyDescent="0.25">
      <c r="A2954" s="5" t="str">
        <f>IF(TRIM(I2954)="","",E2954)</f>
        <v>LicensorTransactionID</v>
      </c>
      <c r="B2954" s="5" t="str">
        <f>IF(TRIM(J2954)="","",H2954)</f>
        <v>Identifier assigned by Licensor for Licensor's reference and internal use.</v>
      </c>
      <c r="C2954" s="5" t="str">
        <f>LEFT(F2954,FIND(".",F2954,6))</f>
        <v>Xmp.plus.</v>
      </c>
      <c r="D2954" s="5" t="str">
        <f>VLOOKUP(C2954,PrefixUebersetzung,2,FALSE)</f>
        <v>Xmp.plus.</v>
      </c>
      <c r="E2954" s="5" t="str">
        <f>MID(F2954,FIND(".",F2954,6)+1,99)</f>
        <v>LicensorTransactionID</v>
      </c>
      <c r="F2954" s="5" t="s">
        <v>1993</v>
      </c>
      <c r="G2954" s="5" t="s">
        <v>9679</v>
      </c>
      <c r="H2954" s="6" t="s">
        <v>3572</v>
      </c>
      <c r="I2954" s="7" t="s">
        <v>5019</v>
      </c>
      <c r="J2954" s="14" t="s">
        <v>6701</v>
      </c>
      <c r="K2954" s="26"/>
      <c r="N2954" s="6"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c r="O2954" s="6" t="s">
        <v>8574</v>
      </c>
      <c r="P2954" s="6" t="s">
        <v>8574</v>
      </c>
    </row>
    <row r="2955" spans="1:17" x14ac:dyDescent="0.25">
      <c r="A2955" s="5" t="str">
        <f>IF(TRIM(I2955)="","",E2955)</f>
        <v>LicensorURL</v>
      </c>
      <c r="B2955" s="5" t="str">
        <f>IF(TRIM(J2955)="","",H2955)</f>
        <v>Licensor world wide web address.</v>
      </c>
      <c r="C2955" s="5" t="str">
        <f>LEFT(F2955,FIND(".",F2955,6))</f>
        <v>Xmp.plus.</v>
      </c>
      <c r="D2955" s="5" t="str">
        <f>VLOOKUP(C2955,PrefixUebersetzung,2,FALSE)</f>
        <v>Xmp.plus.</v>
      </c>
      <c r="E2955" s="5" t="str">
        <f>MID(F2955,FIND(".",F2955,6)+1,99)</f>
        <v>LicensorURL</v>
      </c>
      <c r="F2955" s="5" t="s">
        <v>1994</v>
      </c>
      <c r="G2955" s="5" t="s">
        <v>9678</v>
      </c>
      <c r="H2955" s="6" t="s">
        <v>3573</v>
      </c>
      <c r="I2955" s="7" t="s">
        <v>5020</v>
      </c>
      <c r="J2955" s="14" t="s">
        <v>4155</v>
      </c>
      <c r="K2955" s="26"/>
      <c r="N2955" s="6"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c r="O2955" s="6" t="s">
        <v>8574</v>
      </c>
      <c r="P2955" s="6" t="s">
        <v>8574</v>
      </c>
    </row>
    <row r="2956" spans="1:17" ht="75" x14ac:dyDescent="0.25">
      <c r="A2956" s="5" t="str">
        <f>IF(TRIM(I2956)="","",E2956)</f>
        <v>MediaConstraints</v>
      </c>
      <c r="B2956" s="5" t="str">
        <f>IF(TRIM(J2956)="","",H2956)</f>
        <v>Constraints limiting the scope of PLUS Media Usage/s included in the license to particular named media or to media not yet specifically defined in the PLUS Media Matrix.</v>
      </c>
      <c r="C2956" s="5" t="str">
        <f>LEFT(F2956,FIND(".",F2956,6))</f>
        <v>Xmp.plus.</v>
      </c>
      <c r="D2956" s="5" t="str">
        <f>VLOOKUP(C2956,PrefixUebersetzung,2,FALSE)</f>
        <v>Xmp.plus.</v>
      </c>
      <c r="E2956" s="5" t="str">
        <f>MID(F2956,FIND(".",F2956,6)+1,99)</f>
        <v>MediaConstraints</v>
      </c>
      <c r="F2956" s="5" t="s">
        <v>1995</v>
      </c>
      <c r="G2956" s="5" t="s">
        <v>9681</v>
      </c>
      <c r="H2956" s="6" t="s">
        <v>3574</v>
      </c>
      <c r="I2956" s="7" t="s">
        <v>5021</v>
      </c>
      <c r="J2956" s="14" t="s">
        <v>6702</v>
      </c>
      <c r="K2956" s="26"/>
      <c r="N2956" s="6"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c r="O2956" s="6" t="s">
        <v>8574</v>
      </c>
      <c r="P2956" s="6" t="s">
        <v>8574</v>
      </c>
    </row>
    <row r="2957" spans="1:17" ht="45" x14ac:dyDescent="0.25">
      <c r="A2957" s="5" t="str">
        <f>IF(TRIM(I2957)="","",E2957)</f>
        <v>MediaSummaryCode</v>
      </c>
      <c r="B2957" s="5" t="str">
        <f>IF(TRIM(J2957)="","",H2957)</f>
        <v>A PLUS-standardized alphanumeric code string summarizing the media usages included in the license.</v>
      </c>
      <c r="C2957" s="5" t="str">
        <f>LEFT(F2957,FIND(".",F2957,6))</f>
        <v>Xmp.plus.</v>
      </c>
      <c r="D2957" s="5" t="str">
        <f>VLOOKUP(C2957,PrefixUebersetzung,2,FALSE)</f>
        <v>Xmp.plus.</v>
      </c>
      <c r="E2957" s="5" t="str">
        <f>MID(F2957,FIND(".",F2957,6)+1,99)</f>
        <v>MediaSummaryCode</v>
      </c>
      <c r="F2957" s="5" t="s">
        <v>1996</v>
      </c>
      <c r="G2957" s="5" t="s">
        <v>9678</v>
      </c>
      <c r="H2957" s="6" t="s">
        <v>3575</v>
      </c>
      <c r="I2957" s="7" t="s">
        <v>5022</v>
      </c>
      <c r="J2957" s="14" t="s">
        <v>5644</v>
      </c>
      <c r="K2957" s="26"/>
      <c r="N2957" s="6"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c r="O2957" s="6" t="s">
        <v>8574</v>
      </c>
      <c r="P2957" s="6" t="s">
        <v>8574</v>
      </c>
    </row>
    <row r="2958" spans="1:17" ht="30" x14ac:dyDescent="0.25">
      <c r="A2958" s="5" t="str">
        <f>IF(TRIM(I2958)="","",E2958)</f>
        <v>MinorModelAgeDisclosure</v>
      </c>
      <c r="B2958" s="5" t="str">
        <f>IF(TRIM(J2958)="","",H2958)</f>
        <v>Age of the youngest model pictured in the image, at the time that the image was made.</v>
      </c>
      <c r="C2958" s="5" t="str">
        <f>LEFT(F2958,FIND(".",F2958,6))</f>
        <v>Xmp.plus.</v>
      </c>
      <c r="D2958" s="5" t="str">
        <f>VLOOKUP(C2958,PrefixUebersetzung,2,FALSE)</f>
        <v>Xmp.plus.</v>
      </c>
      <c r="E2958" s="5" t="str">
        <f>MID(F2958,FIND(".",F2958,6)+1,99)</f>
        <v>MinorModelAgeDisclosure</v>
      </c>
      <c r="F2958" s="5" t="s">
        <v>1997</v>
      </c>
      <c r="G2958" s="5" t="s">
        <v>9678</v>
      </c>
      <c r="H2958" s="6" t="s">
        <v>3576</v>
      </c>
      <c r="I2958" s="7" t="s">
        <v>5102</v>
      </c>
      <c r="J2958" s="14" t="s">
        <v>5583</v>
      </c>
      <c r="K2958" s="26"/>
      <c r="N2958" s="6"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c r="O2958" s="6" t="s">
        <v>8574</v>
      </c>
      <c r="P2958" s="6" t="s">
        <v>8574</v>
      </c>
    </row>
    <row r="2959" spans="1:17" ht="30" x14ac:dyDescent="0.25">
      <c r="A2959" s="5" t="str">
        <f>IF(TRIM(I2959)="","",E2959)</f>
        <v>ModelReleaseID</v>
      </c>
      <c r="B2959" s="5" t="str">
        <f>IF(TRIM(J2959)="","",H2959)</f>
        <v>Optional identifier associated with each Model Release.</v>
      </c>
      <c r="C2959" s="5" t="str">
        <f>LEFT(F2959,FIND(".",F2959,6))</f>
        <v>Xmp.plus.</v>
      </c>
      <c r="D2959" s="5" t="str">
        <f>VLOOKUP(C2959,PrefixUebersetzung,2,FALSE)</f>
        <v>Xmp.plus.</v>
      </c>
      <c r="E2959" s="5" t="str">
        <f>MID(F2959,FIND(".",F2959,6)+1,99)</f>
        <v>ModelReleaseID</v>
      </c>
      <c r="F2959" s="5" t="s">
        <v>1998</v>
      </c>
      <c r="G2959" s="5" t="s">
        <v>9679</v>
      </c>
      <c r="H2959" s="6" t="s">
        <v>3577</v>
      </c>
      <c r="I2959" s="7" t="s">
        <v>5023</v>
      </c>
      <c r="J2959" s="14" t="s">
        <v>6703</v>
      </c>
      <c r="K2959" s="26"/>
      <c r="N2959" s="6"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c r="O2959" s="6" t="s">
        <v>8574</v>
      </c>
      <c r="P2959" s="6" t="s">
        <v>8574</v>
      </c>
    </row>
    <row r="2960" spans="1:17" ht="60" x14ac:dyDescent="0.25">
      <c r="A2960" s="5" t="str">
        <f>IF(TRIM(I2960)="","",E2960)</f>
        <v>ModelReleaseStatus</v>
      </c>
      <c r="B2960" s="5" t="str">
        <f>IF(TRIM(J2960)="","",H2960)</f>
        <v>Summarizes the availability and scope of model releases authorizing usage of the likenesses of persons appearing in the photograph.</v>
      </c>
      <c r="C2960" s="5" t="str">
        <f>LEFT(F2960,FIND(".",F2960,6))</f>
        <v>Xmp.plus.</v>
      </c>
      <c r="D2960" s="5" t="str">
        <f>VLOOKUP(C2960,PrefixUebersetzung,2,FALSE)</f>
        <v>Xmp.plus.</v>
      </c>
      <c r="E2960" s="5" t="str">
        <f>MID(F2960,FIND(".",F2960,6)+1,99)</f>
        <v>ModelReleaseStatus</v>
      </c>
      <c r="F2960" s="5" t="s">
        <v>1999</v>
      </c>
      <c r="G2960" s="5" t="s">
        <v>9678</v>
      </c>
      <c r="H2960" s="6" t="s">
        <v>3578</v>
      </c>
      <c r="I2960" s="7" t="s">
        <v>5024</v>
      </c>
      <c r="J2960" s="14" t="s">
        <v>5570</v>
      </c>
      <c r="K2960" s="26"/>
      <c r="N2960" s="6"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c r="O2960" s="6" t="s">
        <v>8574</v>
      </c>
      <c r="P2960" s="6" t="s">
        <v>8574</v>
      </c>
    </row>
    <row r="2961" spans="1:17" x14ac:dyDescent="0.25">
      <c r="A2961" s="5" t="str">
        <f>IF(TRIM(I2961)="","",E2961)</f>
        <v>OtherConditions</v>
      </c>
      <c r="B2961" s="5" t="str">
        <f>IF(TRIM(J2961)="","",H2961)</f>
        <v>Additional license conditions.</v>
      </c>
      <c r="C2961" s="5" t="str">
        <f>LEFT(F2961,FIND(".",F2961,6))</f>
        <v>Xmp.plus.</v>
      </c>
      <c r="D2961" s="5" t="str">
        <f>VLOOKUP(C2961,PrefixUebersetzung,2,FALSE)</f>
        <v>Xmp.plus.</v>
      </c>
      <c r="E2961" s="5" t="str">
        <f>MID(F2961,FIND(".",F2961,6)+1,99)</f>
        <v>OtherConditions</v>
      </c>
      <c r="F2961" s="5" t="s">
        <v>2000</v>
      </c>
      <c r="G2961" s="5" t="s">
        <v>9681</v>
      </c>
      <c r="H2961" s="6" t="s">
        <v>3579</v>
      </c>
      <c r="I2961" s="7" t="s">
        <v>5106</v>
      </c>
      <c r="J2961" s="14" t="s">
        <v>4156</v>
      </c>
      <c r="K2961" s="26"/>
      <c r="N2961" s="6"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c r="O2961" s="6" t="s">
        <v>8574</v>
      </c>
      <c r="P2961" s="6" t="s">
        <v>8574</v>
      </c>
      <c r="Q2961" s="6" t="s">
        <v>9120</v>
      </c>
    </row>
    <row r="2962" spans="1:17" ht="30" x14ac:dyDescent="0.25">
      <c r="A2962" s="5" t="str">
        <f>IF(TRIM(I2962)="","",E2962)</f>
        <v>OtherConstraints</v>
      </c>
      <c r="B2962" s="5" t="str">
        <f>IF(TRIM(J2962)="","",H2962)</f>
        <v>Additional constraints on the license.</v>
      </c>
      <c r="C2962" s="5" t="str">
        <f>LEFT(F2962,FIND(".",F2962,6))</f>
        <v>Xmp.plus.</v>
      </c>
      <c r="D2962" s="5" t="str">
        <f>VLOOKUP(C2962,PrefixUebersetzung,2,FALSE)</f>
        <v>Xmp.plus.</v>
      </c>
      <c r="E2962" s="5" t="str">
        <f>MID(F2962,FIND(".",F2962,6)+1,99)</f>
        <v>OtherConstraints</v>
      </c>
      <c r="F2962" s="5" t="s">
        <v>2001</v>
      </c>
      <c r="G2962" s="5" t="s">
        <v>9681</v>
      </c>
      <c r="H2962" s="6" t="s">
        <v>3580</v>
      </c>
      <c r="I2962" s="7" t="s">
        <v>5107</v>
      </c>
      <c r="J2962" s="14" t="s">
        <v>4157</v>
      </c>
      <c r="K2962" s="26"/>
      <c r="N2962" s="6"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c r="O2962" s="6" t="s">
        <v>8574</v>
      </c>
      <c r="P2962" s="6" t="s">
        <v>8574</v>
      </c>
      <c r="Q2962" s="6" t="s">
        <v>9126</v>
      </c>
    </row>
    <row r="2963" spans="1:17" x14ac:dyDescent="0.25">
      <c r="A2963" s="5" t="str">
        <f>IF(TRIM(I2963)="","",E2963)</f>
        <v>OtherImageInfo</v>
      </c>
      <c r="B2963" s="5" t="str">
        <f>IF(TRIM(J2963)="","",H2963)</f>
        <v>Additional image information.</v>
      </c>
      <c r="C2963" s="5" t="str">
        <f>LEFT(F2963,FIND(".",F2963,6))</f>
        <v>Xmp.plus.</v>
      </c>
      <c r="D2963" s="5" t="str">
        <f>VLOOKUP(C2963,PrefixUebersetzung,2,FALSE)</f>
        <v>Xmp.plus.</v>
      </c>
      <c r="E2963" s="5" t="str">
        <f>MID(F2963,FIND(".",F2963,6)+1,99)</f>
        <v>OtherImageInfo</v>
      </c>
      <c r="F2963" s="5" t="s">
        <v>2002</v>
      </c>
      <c r="G2963" s="5" t="s">
        <v>9681</v>
      </c>
      <c r="H2963" s="6" t="s">
        <v>3581</v>
      </c>
      <c r="I2963" s="7" t="s">
        <v>5108</v>
      </c>
      <c r="J2963" s="14" t="s">
        <v>4158</v>
      </c>
      <c r="K2963" s="26"/>
      <c r="N2963" s="6"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c r="O2963" s="6" t="s">
        <v>8574</v>
      </c>
      <c r="P2963" s="6" t="s">
        <v>8574</v>
      </c>
      <c r="Q2963" s="6" t="s">
        <v>9120</v>
      </c>
    </row>
    <row r="2964" spans="1:17" ht="30" x14ac:dyDescent="0.25">
      <c r="A2964" s="5" t="str">
        <f>IF(TRIM(I2964)="","",E2964)</f>
        <v>OtherLicenseDocuments</v>
      </c>
      <c r="B2964" s="5" t="str">
        <f>IF(TRIM(J2964)="","",H2964)</f>
        <v>Reference information for additional documents associated with the license.</v>
      </c>
      <c r="C2964" s="5" t="str">
        <f>LEFT(F2964,FIND(".",F2964,6))</f>
        <v>Xmp.plus.</v>
      </c>
      <c r="D2964" s="5" t="str">
        <f>VLOOKUP(C2964,PrefixUebersetzung,2,FALSE)</f>
        <v>Xmp.plus.</v>
      </c>
      <c r="E2964" s="5" t="str">
        <f>MID(F2964,FIND(".",F2964,6)+1,99)</f>
        <v>OtherLicenseDocuments</v>
      </c>
      <c r="F2964" s="5" t="s">
        <v>2003</v>
      </c>
      <c r="G2964" s="5" t="s">
        <v>9679</v>
      </c>
      <c r="H2964" s="6" t="s">
        <v>3582</v>
      </c>
      <c r="I2964" s="7" t="s">
        <v>5109</v>
      </c>
      <c r="J2964" s="14" t="s">
        <v>5584</v>
      </c>
      <c r="K2964" s="26"/>
      <c r="N2964" s="6"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c r="O2964" s="6" t="s">
        <v>8574</v>
      </c>
      <c r="P2964" s="6" t="s">
        <v>8574</v>
      </c>
    </row>
    <row r="2965" spans="1:17" x14ac:dyDescent="0.25">
      <c r="A2965" s="5" t="str">
        <f>IF(TRIM(I2965)="","",E2965)</f>
        <v>OtherLicenseInfo</v>
      </c>
      <c r="B2965" s="5" t="str">
        <f>IF(TRIM(J2965)="","",H2965)</f>
        <v>Additional license information.</v>
      </c>
      <c r="C2965" s="5" t="str">
        <f>LEFT(F2965,FIND(".",F2965,6))</f>
        <v>Xmp.plus.</v>
      </c>
      <c r="D2965" s="5" t="str">
        <f>VLOOKUP(C2965,PrefixUebersetzung,2,FALSE)</f>
        <v>Xmp.plus.</v>
      </c>
      <c r="E2965" s="5" t="str">
        <f>MID(F2965,FIND(".",F2965,6)+1,99)</f>
        <v>OtherLicenseInfo</v>
      </c>
      <c r="F2965" s="5" t="s">
        <v>2004</v>
      </c>
      <c r="G2965" s="5" t="s">
        <v>9681</v>
      </c>
      <c r="H2965" s="6" t="s">
        <v>3583</v>
      </c>
      <c r="I2965" s="7" t="s">
        <v>5110</v>
      </c>
      <c r="J2965" s="14" t="s">
        <v>4159</v>
      </c>
      <c r="K2965" s="26"/>
      <c r="N2965" s="6"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c>
      <c r="O2965" s="6" t="s">
        <v>8574</v>
      </c>
      <c r="P2965" s="6" t="s">
        <v>8574</v>
      </c>
      <c r="Q2965" s="6" t="s">
        <v>9120</v>
      </c>
    </row>
    <row r="2966" spans="1:17" x14ac:dyDescent="0.25">
      <c r="A2966" s="5" t="str">
        <f>IF(TRIM(I2966)="","",E2966)</f>
        <v>OtherLicenseRequirements</v>
      </c>
      <c r="B2966" s="5" t="str">
        <f>IF(TRIM(J2966)="","",H2966)</f>
        <v>Additional license requirements.</v>
      </c>
      <c r="C2966" s="5" t="str">
        <f>LEFT(F2966,FIND(".",F2966,6))</f>
        <v>Xmp.plus.</v>
      </c>
      <c r="D2966" s="5" t="str">
        <f>VLOOKUP(C2966,PrefixUebersetzung,2,FALSE)</f>
        <v>Xmp.plus.</v>
      </c>
      <c r="E2966" s="5" t="str">
        <f>MID(F2966,FIND(".",F2966,6)+1,99)</f>
        <v>OtherLicenseRequirements</v>
      </c>
      <c r="F2966" s="5" t="s">
        <v>2005</v>
      </c>
      <c r="G2966" s="5" t="s">
        <v>9681</v>
      </c>
      <c r="H2966" s="6" t="s">
        <v>3584</v>
      </c>
      <c r="I2966" s="7" t="s">
        <v>5111</v>
      </c>
      <c r="J2966" s="14" t="s">
        <v>4160</v>
      </c>
      <c r="K2966" s="26"/>
      <c r="N2966" s="6"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c r="O2966" s="6" t="s">
        <v>8574</v>
      </c>
      <c r="P2966" s="6" t="s">
        <v>8574</v>
      </c>
      <c r="Q2966" s="6" t="s">
        <v>9120</v>
      </c>
    </row>
    <row r="2967" spans="1:17" ht="45" x14ac:dyDescent="0.25">
      <c r="A2967" s="5" t="str">
        <f>IF(TRIM(I2967)="","",E2967)</f>
        <v>ProductOrServiceConstraints</v>
      </c>
      <c r="B2967" s="5" t="str">
        <f>IF(TRIM(J2967)="","",H2967)</f>
        <v>Constraints limiting usage of the image to promotion of/association with a named product or service.</v>
      </c>
      <c r="C2967" s="5" t="str">
        <f>LEFT(F2967,FIND(".",F2967,6))</f>
        <v>Xmp.plus.</v>
      </c>
      <c r="D2967" s="5" t="str">
        <f>VLOOKUP(C2967,PrefixUebersetzung,2,FALSE)</f>
        <v>Xmp.plus.</v>
      </c>
      <c r="E2967" s="5" t="str">
        <f>MID(F2967,FIND(".",F2967,6)+1,99)</f>
        <v>ProductOrServiceConstraints</v>
      </c>
      <c r="F2967" s="5" t="s">
        <v>2006</v>
      </c>
      <c r="G2967" s="5" t="s">
        <v>9681</v>
      </c>
      <c r="H2967" s="6" t="s">
        <v>3585</v>
      </c>
      <c r="I2967" s="7" t="s">
        <v>4604</v>
      </c>
      <c r="J2967" s="14" t="s">
        <v>6704</v>
      </c>
      <c r="K2967" s="26"/>
      <c r="N2967" s="6"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c r="O2967" s="6" t="s">
        <v>8574</v>
      </c>
      <c r="P2967" s="6" t="s">
        <v>8574</v>
      </c>
    </row>
    <row r="2968" spans="1:17" ht="30" x14ac:dyDescent="0.25">
      <c r="A2968" s="5" t="str">
        <f>IF(TRIM(I2968)="","",E2968)</f>
        <v>PropertyReleaseID</v>
      </c>
      <c r="B2968" s="5" t="str">
        <f>IF(TRIM(J2968)="","",H2968)</f>
        <v>Optional identifier associated with each Property Release.</v>
      </c>
      <c r="C2968" s="5" t="str">
        <f>LEFT(F2968,FIND(".",F2968,6))</f>
        <v>Xmp.plus.</v>
      </c>
      <c r="D2968" s="5" t="str">
        <f>VLOOKUP(C2968,PrefixUebersetzung,2,FALSE)</f>
        <v>Xmp.plus.</v>
      </c>
      <c r="E2968" s="5" t="str">
        <f>MID(F2968,FIND(".",F2968,6)+1,99)</f>
        <v>PropertyReleaseID</v>
      </c>
      <c r="F2968" s="5" t="s">
        <v>2007</v>
      </c>
      <c r="G2968" s="5" t="s">
        <v>9679</v>
      </c>
      <c r="H2968" s="6" t="s">
        <v>3586</v>
      </c>
      <c r="I2968" s="7" t="s">
        <v>4605</v>
      </c>
      <c r="J2968" s="14" t="s">
        <v>5585</v>
      </c>
      <c r="K2968" s="26"/>
      <c r="N2968" s="6"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c r="O2968" s="6" t="s">
        <v>8574</v>
      </c>
      <c r="P2968" s="6" t="s">
        <v>8574</v>
      </c>
    </row>
    <row r="2969" spans="1:17" ht="45" x14ac:dyDescent="0.25">
      <c r="A2969" s="5" t="str">
        <f>IF(TRIM(I2969)="","",E2969)</f>
        <v>PropertyReleaseStatus</v>
      </c>
      <c r="B2969" s="5" t="str">
        <f>IF(TRIM(J2969)="","",H2969)</f>
        <v>Summarizes the availability and scope of property releases authorizing usage of the properties appearing in the photograph.</v>
      </c>
      <c r="C2969" s="5" t="str">
        <f>LEFT(F2969,FIND(".",F2969,6))</f>
        <v>Xmp.plus.</v>
      </c>
      <c r="D2969" s="5" t="str">
        <f>VLOOKUP(C2969,PrefixUebersetzung,2,FALSE)</f>
        <v>Xmp.plus.</v>
      </c>
      <c r="E2969" s="5" t="str">
        <f>MID(F2969,FIND(".",F2969,6)+1,99)</f>
        <v>PropertyReleaseStatus</v>
      </c>
      <c r="F2969" s="5" t="s">
        <v>2008</v>
      </c>
      <c r="G2969" s="5" t="s">
        <v>9678</v>
      </c>
      <c r="H2969" s="6" t="s">
        <v>3587</v>
      </c>
      <c r="I2969" s="7" t="s">
        <v>4606</v>
      </c>
      <c r="J2969" s="14" t="s">
        <v>5586</v>
      </c>
      <c r="K2969" s="26"/>
      <c r="N2969" s="6"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c r="O2969" s="6" t="s">
        <v>8574</v>
      </c>
      <c r="P2969" s="6" t="s">
        <v>8574</v>
      </c>
    </row>
    <row r="2970" spans="1:17" ht="75" x14ac:dyDescent="0.25">
      <c r="A2970" s="5" t="str">
        <f>IF(TRIM(I2970)="","",E2970)</f>
        <v>RegionConstraints</v>
      </c>
      <c r="B2970" s="5" t="str">
        <f>IF(TRIM(J2970)="","",H2970)</f>
        <v>Constraints limiting the scope of geographic distribution to specific cities, states, provinces or other areas to be included in or excluded from the PLUS Regions specified in the Media Usages specified in the license.</v>
      </c>
      <c r="C2970" s="5" t="str">
        <f>LEFT(F2970,FIND(".",F2970,6))</f>
        <v>Xmp.plus.</v>
      </c>
      <c r="D2970" s="5" t="str">
        <f>VLOOKUP(C2970,PrefixUebersetzung,2,FALSE)</f>
        <v>Xmp.plus.</v>
      </c>
      <c r="E2970" s="5" t="str">
        <f>MID(F2970,FIND(".",F2970,6)+1,99)</f>
        <v>RegionConstraints</v>
      </c>
      <c r="F2970" s="5" t="s">
        <v>2009</v>
      </c>
      <c r="G2970" s="5" t="s">
        <v>9681</v>
      </c>
      <c r="H2970" s="6" t="s">
        <v>3588</v>
      </c>
      <c r="I2970" s="7" t="s">
        <v>5025</v>
      </c>
      <c r="J2970" s="14" t="s">
        <v>6705</v>
      </c>
      <c r="K2970" s="26"/>
      <c r="N2970" s="6"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c r="O2970" s="6" t="s">
        <v>8574</v>
      </c>
      <c r="P2970" s="6" t="s">
        <v>8574</v>
      </c>
    </row>
    <row r="2971" spans="1:17" ht="60" x14ac:dyDescent="0.25">
      <c r="A2971" s="5" t="str">
        <f>IF(TRIM(I2971)="","",E2971)</f>
        <v>Reuse</v>
      </c>
      <c r="B2971" s="5" t="str">
        <f>IF(TRIM(J2971)="","",H2971)</f>
        <v>Indicates whether a license is a repeat or an initial license.  Reuse may require that licenses stored in files previously delivered to the customer be updated.</v>
      </c>
      <c r="C2971" s="5" t="str">
        <f>LEFT(F2971,FIND(".",F2971,6))</f>
        <v>Xmp.plus.</v>
      </c>
      <c r="D2971" s="5" t="str">
        <f>VLOOKUP(C2971,PrefixUebersetzung,2,FALSE)</f>
        <v>Xmp.plus.</v>
      </c>
      <c r="E2971" s="5" t="str">
        <f>MID(F2971,FIND(".",F2971,6)+1,99)</f>
        <v>Reuse</v>
      </c>
      <c r="F2971" s="5" t="s">
        <v>2010</v>
      </c>
      <c r="G2971" s="5" t="s">
        <v>9678</v>
      </c>
      <c r="H2971" s="6" t="s">
        <v>3589</v>
      </c>
      <c r="I2971" s="7" t="s">
        <v>4607</v>
      </c>
      <c r="J2971" s="14" t="s">
        <v>6706</v>
      </c>
      <c r="K2971" s="26"/>
      <c r="N2971" s="6"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c r="O2971" s="6" t="s">
        <v>8574</v>
      </c>
      <c r="P2971" s="6" t="s">
        <v>8574</v>
      </c>
    </row>
    <row r="2972" spans="1:17" ht="30" x14ac:dyDescent="0.25">
      <c r="A2972" s="5" t="str">
        <f>IF(TRIM(I2972)="","",E2972)</f>
        <v>TermsAndConditionsText</v>
      </c>
      <c r="B2972" s="5" t="str">
        <f>IF(TRIM(J2972)="","",H2972)</f>
        <v>Terms and Conditions applying to the license.</v>
      </c>
      <c r="C2972" s="5" t="str">
        <f>LEFT(F2972,FIND(".",F2972,6))</f>
        <v>Xmp.plus.</v>
      </c>
      <c r="D2972" s="5" t="str">
        <f>VLOOKUP(C2972,PrefixUebersetzung,2,FALSE)</f>
        <v>Xmp.plus.</v>
      </c>
      <c r="E2972" s="5" t="str">
        <f>MID(F2972,FIND(".",F2972,6)+1,99)</f>
        <v>TermsAndConditionsText</v>
      </c>
      <c r="F2972" s="5" t="s">
        <v>2011</v>
      </c>
      <c r="G2972" s="5" t="s">
        <v>9681</v>
      </c>
      <c r="H2972" s="6" t="s">
        <v>3590</v>
      </c>
      <c r="I2972" s="7" t="s">
        <v>5066</v>
      </c>
      <c r="J2972" s="14" t="s">
        <v>4161</v>
      </c>
      <c r="K2972" s="26"/>
      <c r="N2972" s="6"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c r="O2972" s="6" t="s">
        <v>8574</v>
      </c>
      <c r="P2972" s="6" t="s">
        <v>8574</v>
      </c>
      <c r="Q2972" s="6" t="s">
        <v>9126</v>
      </c>
    </row>
    <row r="2973" spans="1:17" x14ac:dyDescent="0.25">
      <c r="A2973" s="5" t="str">
        <f>IF(TRIM(I2973)="","",E2973)</f>
        <v>TermsAndConditionsURL</v>
      </c>
      <c r="B2973" s="5" t="str">
        <f>IF(TRIM(J2973)="","",H2973)</f>
        <v>URL for Terms and Conditions applying to the license.</v>
      </c>
      <c r="C2973" s="5" t="str">
        <f>LEFT(F2973,FIND(".",F2973,6))</f>
        <v>Xmp.plus.</v>
      </c>
      <c r="D2973" s="5" t="str">
        <f>VLOOKUP(C2973,PrefixUebersetzung,2,FALSE)</f>
        <v>Xmp.plus.</v>
      </c>
      <c r="E2973" s="5" t="str">
        <f>MID(F2973,FIND(".",F2973,6)+1,99)</f>
        <v>TermsAndConditionsURL</v>
      </c>
      <c r="F2973" s="5" t="s">
        <v>2012</v>
      </c>
      <c r="G2973" s="5" t="s">
        <v>9678</v>
      </c>
      <c r="H2973" s="6" t="s">
        <v>3591</v>
      </c>
      <c r="I2973" s="7" t="s">
        <v>5067</v>
      </c>
      <c r="J2973" s="14" t="s">
        <v>4162</v>
      </c>
      <c r="K2973" s="26"/>
      <c r="N2973" s="6"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c>
      <c r="O2973" s="6" t="s">
        <v>8574</v>
      </c>
      <c r="P2973" s="6" t="s">
        <v>8574</v>
      </c>
    </row>
    <row r="2974" spans="1:17" ht="30" x14ac:dyDescent="0.25">
      <c r="A2974" s="5" t="str">
        <f>IF(TRIM(I2974)="","",E2974)</f>
        <v/>
      </c>
      <c r="B2974" s="5" t="str">
        <f>IF(TRIM(J2974)="","",H2974)</f>
        <v>The version number of the PLUS standards in place at the time of the transaction.</v>
      </c>
      <c r="C2974" s="5" t="str">
        <f>LEFT(F2974,FIND(".",F2974,6))</f>
        <v>Xmp.plus.</v>
      </c>
      <c r="D2974" s="5" t="str">
        <f>VLOOKUP(C2974,PrefixUebersetzung,2,FALSE)</f>
        <v>Xmp.plus.</v>
      </c>
      <c r="E2974" s="5" t="str">
        <f>MID(F2974,FIND(".",F2974,6)+1,99)</f>
        <v>Version</v>
      </c>
      <c r="F2974" s="5" t="s">
        <v>2013</v>
      </c>
      <c r="G2974" s="5" t="s">
        <v>9678</v>
      </c>
      <c r="H2974" s="6" t="s">
        <v>3592</v>
      </c>
      <c r="I2974" s="7"/>
      <c r="J2974" s="14" t="s">
        <v>5407</v>
      </c>
      <c r="K2974" s="26"/>
      <c r="L2974" s="6" t="str">
        <f>IFERROR(VLOOKUP(E2974,A:I,9, FALSE),"")</f>
        <v>Version</v>
      </c>
      <c r="N2974" s="6"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c r="P2974" s="6" t="s">
        <v>8574</v>
      </c>
    </row>
    <row r="2975" spans="1:17" ht="45" x14ac:dyDescent="0.25">
      <c r="A2975" s="5" t="str">
        <f>IF(TRIM(I2975)="","",E2975)</f>
        <v/>
      </c>
      <c r="B2975" s="5" t="str">
        <f>IF(TRIM(J2975)="","",H2975)</f>
        <v>TIFF tag 315, 0x13B. Camera owner, photographer or image creator. Note: This property is stored in XMP as the first item in the dc:creator array.</v>
      </c>
      <c r="C2975" s="5" t="str">
        <f>LEFT(F2975,FIND(".",F2975,6))</f>
        <v>Xmp.tiff.</v>
      </c>
      <c r="D2975" s="5" t="str">
        <f>VLOOKUP(C2975,PrefixUebersetzung,2,FALSE)</f>
        <v>Xmp.tiff.</v>
      </c>
      <c r="E2975" s="5" t="str">
        <f>MID(F2975,FIND(".",F2975,6)+1,99)</f>
        <v>Artist</v>
      </c>
      <c r="F2975" s="5" t="s">
        <v>2014</v>
      </c>
      <c r="G2975" s="5" t="s">
        <v>9678</v>
      </c>
      <c r="H2975" s="6" t="s">
        <v>3593</v>
      </c>
      <c r="I2975" s="7"/>
      <c r="J2975" s="14" t="s">
        <v>6707</v>
      </c>
      <c r="K2975" s="26"/>
      <c r="L2975" s="6" t="str">
        <f>IFERROR(VLOOKUP(E2975,A:I,9, FALSE),"")</f>
        <v>Künstler</v>
      </c>
      <c r="N2975" s="6"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c>
      <c r="P2975" s="6" t="s">
        <v>8574</v>
      </c>
    </row>
    <row r="2976" spans="1:17" ht="30" x14ac:dyDescent="0.25">
      <c r="A2976" s="5" t="str">
        <f>IF(TRIM(I2976)="","",E2976)</f>
        <v/>
      </c>
      <c r="B2976" s="5" t="str">
        <f>IF(TRIM(J2976)="","",H2976)</f>
        <v>TIFF tag 258, 0x102. Number of bits per component in each channel.</v>
      </c>
      <c r="C2976" s="5" t="str">
        <f>LEFT(F2976,FIND(".",F2976,6))</f>
        <v>Xmp.tiff.</v>
      </c>
      <c r="D2976" s="5" t="str">
        <f>VLOOKUP(C2976,PrefixUebersetzung,2,FALSE)</f>
        <v>Xmp.tiff.</v>
      </c>
      <c r="E2976" s="5" t="str">
        <f>MID(F2976,FIND(".",F2976,6)+1,99)</f>
        <v>BitsPerSample</v>
      </c>
      <c r="F2976" s="5" t="s">
        <v>2015</v>
      </c>
      <c r="G2976" s="5" t="s">
        <v>9680</v>
      </c>
      <c r="H2976" s="6" t="s">
        <v>3594</v>
      </c>
      <c r="I2976" s="23"/>
      <c r="J2976" s="14" t="s">
        <v>4163</v>
      </c>
      <c r="K2976" s="26"/>
      <c r="L2976" s="6" t="str">
        <f>IFERROR(VLOOKUP(E2976,A:I,9, FALSE),"")</f>
        <v>Bits pro Probe</v>
      </c>
      <c r="N2976" s="6"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P2976" s="6" t="s">
        <v>8574</v>
      </c>
      <c r="Q2976" s="6" t="s">
        <v>9506</v>
      </c>
    </row>
    <row r="2977" spans="1:17" ht="30" x14ac:dyDescent="0.25">
      <c r="A2977" s="5" t="str">
        <f>IF(TRIM(I2977)="","",E2977)</f>
        <v/>
      </c>
      <c r="B2977" s="5" t="str">
        <f>IF(TRIM(J2977)="","",H2977)</f>
        <v>TIFF tag 259, 0x103. Compression scheme: 1 = uncompressed; 6 = JPEG.</v>
      </c>
      <c r="C2977" s="5" t="str">
        <f>LEFT(F2977,FIND(".",F2977,6))</f>
        <v>Xmp.tiff.</v>
      </c>
      <c r="D2977" s="5" t="str">
        <f>VLOOKUP(C2977,PrefixUebersetzung,2,FALSE)</f>
        <v>Xmp.tiff.</v>
      </c>
      <c r="E2977" s="5" t="str">
        <f>MID(F2977,FIND(".",F2977,6)+1,99)</f>
        <v>Compression</v>
      </c>
      <c r="F2977" s="5" t="s">
        <v>2016</v>
      </c>
      <c r="G2977" s="5" t="s">
        <v>9678</v>
      </c>
      <c r="H2977" s="6" t="s">
        <v>3595</v>
      </c>
      <c r="I2977" s="7"/>
      <c r="J2977" s="14" t="s">
        <v>5408</v>
      </c>
      <c r="K2977" s="26"/>
      <c r="L2977" s="6" t="str">
        <f>IFERROR(VLOOKUP(E2977,A:I,9, FALSE),"")</f>
        <v>Komprimierung</v>
      </c>
      <c r="N2977" s="6"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P2977" s="6" t="s">
        <v>8574</v>
      </c>
    </row>
    <row r="2978" spans="1:17" ht="45" x14ac:dyDescent="0.25">
      <c r="A2978" s="5" t="str">
        <f>IF(TRIM(I2978)="","",E2978)</f>
        <v/>
      </c>
      <c r="B2978" s="5" t="str">
        <f>IF(TRIM(J2978)="","",H2978)</f>
        <v>TIFF tag 33432, 0x8298. Copyright information. Note: This property is stored in XMP as dc:rights.</v>
      </c>
      <c r="C2978" s="5" t="str">
        <f>LEFT(F2978,FIND(".",F2978,6))</f>
        <v>Xmp.tiff.</v>
      </c>
      <c r="D2978" s="5" t="str">
        <f>VLOOKUP(C2978,PrefixUebersetzung,2,FALSE)</f>
        <v>Xmp.tiff.</v>
      </c>
      <c r="E2978" s="5" t="str">
        <f>MID(F2978,FIND(".",F2978,6)+1,99)</f>
        <v>Copyright</v>
      </c>
      <c r="F2978" s="5" t="s">
        <v>2017</v>
      </c>
      <c r="G2978" s="5" t="s">
        <v>9681</v>
      </c>
      <c r="H2978" s="6" t="s">
        <v>3596</v>
      </c>
      <c r="I2978" s="7"/>
      <c r="J2978" s="14" t="s">
        <v>5409</v>
      </c>
      <c r="K2978" s="26"/>
      <c r="L2978" s="6" t="str">
        <f>IFERROR(VLOOKUP(E2978,A:I,9, FALSE),"")</f>
        <v>Copyright</v>
      </c>
      <c r="N2978" s="6"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P2978" s="6" t="s">
        <v>8574</v>
      </c>
    </row>
    <row r="2979" spans="1:17" ht="105" x14ac:dyDescent="0.25">
      <c r="A2979" s="5" t="str">
        <f>IF(TRIM(I2979)="","",E2979)</f>
        <v/>
      </c>
      <c r="B2979" s="5" t="str">
        <f>IF(TRIM(J2979)="","",H2979)</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2979" s="5" t="str">
        <f>LEFT(F2979,FIND(".",F2979,6))</f>
        <v>Xmp.tiff.</v>
      </c>
      <c r="D2979" s="5" t="str">
        <f>VLOOKUP(C2979,PrefixUebersetzung,2,FALSE)</f>
        <v>Xmp.tiff.</v>
      </c>
      <c r="E2979" s="5" t="str">
        <f>MID(F2979,FIND(".",F2979,6)+1,99)</f>
        <v>DateTime</v>
      </c>
      <c r="F2979" s="5" t="s">
        <v>2018</v>
      </c>
      <c r="G2979" s="5" t="s">
        <v>9678</v>
      </c>
      <c r="H2979" s="6" t="s">
        <v>3597</v>
      </c>
      <c r="I2979" s="7"/>
      <c r="J2979" s="14" t="s">
        <v>9601</v>
      </c>
      <c r="K2979" s="26"/>
      <c r="L2979" s="6" t="str">
        <f>IFERROR(VLOOKUP(E2979,A:I,9, FALSE),"")</f>
        <v>Datum/Zeit</v>
      </c>
      <c r="N2979" s="6"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P2979" s="6" t="s">
        <v>8574</v>
      </c>
    </row>
    <row r="2980" spans="1:17" ht="45" x14ac:dyDescent="0.25">
      <c r="A2980" s="5" t="str">
        <f>IF(TRIM(I2980)="","",E2980)</f>
        <v/>
      </c>
      <c r="B2980" s="5" t="str">
        <f>IF(TRIM(J2980)="","",H2980)</f>
        <v>TIFF tag 270, 0x10E. Description of the image. Note: This property is stored in XMP as dc:description.</v>
      </c>
      <c r="C2980" s="5" t="str">
        <f>LEFT(F2980,FIND(".",F2980,6))</f>
        <v>Xmp.tiff.</v>
      </c>
      <c r="D2980" s="5" t="str">
        <f>VLOOKUP(C2980,PrefixUebersetzung,2,FALSE)</f>
        <v>Xmp.tiff.</v>
      </c>
      <c r="E2980" s="5" t="str">
        <f>MID(F2980,FIND(".",F2980,6)+1,99)</f>
        <v>ImageDescription</v>
      </c>
      <c r="F2980" s="5" t="s">
        <v>2019</v>
      </c>
      <c r="G2980" s="5" t="s">
        <v>9681</v>
      </c>
      <c r="H2980" s="6" t="s">
        <v>3598</v>
      </c>
      <c r="I2980" s="7"/>
      <c r="J2980" s="14" t="s">
        <v>5410</v>
      </c>
      <c r="K2980" s="26"/>
      <c r="L2980" s="6" t="str">
        <f>IFERROR(VLOOKUP(E2980,A:I,9, FALSE),"")</f>
        <v>Bildbeschreibung</v>
      </c>
      <c r="N2980" s="6"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P2980" s="6" t="s">
        <v>8574</v>
      </c>
    </row>
    <row r="2981" spans="1:17" ht="30" x14ac:dyDescent="0.25">
      <c r="A2981" s="5" t="str">
        <f>IF(TRIM(I2981)="","",E2981)</f>
        <v/>
      </c>
      <c r="B2981" s="5" t="str">
        <f>IF(TRIM(J2981)="","",H2981)</f>
        <v>TIFF tag 257, 0x101. Image height in pixels.</v>
      </c>
      <c r="C2981" s="5" t="str">
        <f>LEFT(F2981,FIND(".",F2981,6))</f>
        <v>Xmp.tiff.</v>
      </c>
      <c r="D2981" s="5" t="str">
        <f>VLOOKUP(C2981,PrefixUebersetzung,2,FALSE)</f>
        <v>Xmp.tiff.</v>
      </c>
      <c r="E2981" s="5" t="str">
        <f>MID(F2981,FIND(".",F2981,6)+1,99)</f>
        <v>ImageLength</v>
      </c>
      <c r="F2981" s="5" t="s">
        <v>2020</v>
      </c>
      <c r="G2981" s="5" t="s">
        <v>9678</v>
      </c>
      <c r="H2981" s="6" t="s">
        <v>3599</v>
      </c>
      <c r="I2981" s="7"/>
      <c r="J2981" s="14" t="s">
        <v>4164</v>
      </c>
      <c r="K2981" s="26"/>
      <c r="L2981" s="6" t="str">
        <f>IFERROR(VLOOKUP(E2981,A:I,9, FALSE),"")</f>
        <v>Bildlänge</v>
      </c>
      <c r="N2981" s="6"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P2981" s="6" t="s">
        <v>8574</v>
      </c>
      <c r="Q2981" s="6" t="s">
        <v>9505</v>
      </c>
    </row>
    <row r="2982" spans="1:17" ht="30" x14ac:dyDescent="0.25">
      <c r="A2982" s="5" t="str">
        <f>IF(TRIM(I2982)="","",E2982)</f>
        <v/>
      </c>
      <c r="B2982" s="5" t="str">
        <f>IF(TRIM(J2982)="","",H2982)</f>
        <v>TIFF tag 256, 0x100. Image width in pixels.</v>
      </c>
      <c r="C2982" s="5" t="str">
        <f>LEFT(F2982,FIND(".",F2982,6))</f>
        <v>Xmp.tiff.</v>
      </c>
      <c r="D2982" s="5" t="str">
        <f>VLOOKUP(C2982,PrefixUebersetzung,2,FALSE)</f>
        <v>Xmp.tiff.</v>
      </c>
      <c r="E2982" s="5" t="str">
        <f>MID(F2982,FIND(".",F2982,6)+1,99)</f>
        <v>ImageWidth</v>
      </c>
      <c r="F2982" s="5" t="s">
        <v>2021</v>
      </c>
      <c r="G2982" s="5" t="s">
        <v>9678</v>
      </c>
      <c r="H2982" s="6" t="s">
        <v>3600</v>
      </c>
      <c r="I2982" s="7"/>
      <c r="J2982" s="14" t="s">
        <v>4165</v>
      </c>
      <c r="K2982" s="26"/>
      <c r="L2982" s="6" t="str">
        <f>IFERROR(VLOOKUP(E2982,A:I,9, FALSE),"")</f>
        <v>Bildbreite</v>
      </c>
      <c r="N2982" s="6"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c r="P2982" s="6" t="s">
        <v>8574</v>
      </c>
      <c r="Q2982" s="6" t="s">
        <v>9504</v>
      </c>
    </row>
    <row r="2983" spans="1:17" ht="30" x14ac:dyDescent="0.25">
      <c r="A2983" s="5" t="str">
        <f>IF(TRIM(I2983)="","",E2983)</f>
        <v/>
      </c>
      <c r="B2983" s="5" t="str">
        <f>IF(TRIM(J2983)="","",H2983)</f>
        <v>TIFF tag 271, 0x10F. Manufacturer of recording equipment.</v>
      </c>
      <c r="C2983" s="5" t="str">
        <f>LEFT(F2983,FIND(".",F2983,6))</f>
        <v>Xmp.tiff.</v>
      </c>
      <c r="D2983" s="5" t="str">
        <f>VLOOKUP(C2983,PrefixUebersetzung,2,FALSE)</f>
        <v>Xmp.tiff.</v>
      </c>
      <c r="E2983" s="5" t="str">
        <f>MID(F2983,FIND(".",F2983,6)+1,99)</f>
        <v>Make</v>
      </c>
      <c r="F2983" s="5" t="s">
        <v>2022</v>
      </c>
      <c r="G2983" s="5" t="s">
        <v>9678</v>
      </c>
      <c r="H2983" s="6" t="s">
        <v>3601</v>
      </c>
      <c r="I2983" s="7"/>
      <c r="J2983" s="14" t="s">
        <v>6708</v>
      </c>
      <c r="K2983" s="26"/>
      <c r="L2983" s="6" t="str">
        <f>IFERROR(VLOOKUP(E2983,A:I,9, FALSE),"")</f>
        <v>Hersteller</v>
      </c>
      <c r="N2983" s="6"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c r="P2983" s="6" t="s">
        <v>8574</v>
      </c>
      <c r="Q2983" s="6" t="s">
        <v>9414</v>
      </c>
    </row>
    <row r="2984" spans="1:17" ht="30" x14ac:dyDescent="0.25">
      <c r="A2984" s="5" t="str">
        <f>IF(TRIM(I2984)="","",E2984)</f>
        <v/>
      </c>
      <c r="B2984" s="5" t="str">
        <f>IF(TRIM(J2984)="","",H2984)</f>
        <v>TIFF tag 272, 0x110. Model name or number of equipment.</v>
      </c>
      <c r="C2984" s="5" t="str">
        <f>LEFT(F2984,FIND(".",F2984,6))</f>
        <v>Xmp.tiff.</v>
      </c>
      <c r="D2984" s="5" t="str">
        <f>VLOOKUP(C2984,PrefixUebersetzung,2,FALSE)</f>
        <v>Xmp.tiff.</v>
      </c>
      <c r="E2984" s="5" t="str">
        <f>MID(F2984,FIND(".",F2984,6)+1,99)</f>
        <v>Model</v>
      </c>
      <c r="F2984" s="5" t="s">
        <v>2023</v>
      </c>
      <c r="G2984" s="5" t="s">
        <v>9678</v>
      </c>
      <c r="H2984" s="6" t="s">
        <v>3602</v>
      </c>
      <c r="I2984" s="7"/>
      <c r="J2984" s="14" t="s">
        <v>5411</v>
      </c>
      <c r="K2984" s="26"/>
      <c r="L2984" s="6" t="str">
        <f>IFERROR(VLOOKUP(E2984,A:I,9, FALSE),"")</f>
        <v>Modell</v>
      </c>
      <c r="N2984" s="6"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P2984" s="6" t="s">
        <v>8574</v>
      </c>
      <c r="Q2984" s="6" t="s">
        <v>9425</v>
      </c>
    </row>
    <row r="2985" spans="1:17" ht="105" x14ac:dyDescent="0.25">
      <c r="A2985" s="5" t="str">
        <f>IF(TRIM(I2985)="","",E2985)</f>
        <v/>
      </c>
      <c r="B2985" s="5" t="str">
        <f>IF(TRIM(J2985)="","",H2985)</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2985" s="5" t="str">
        <f>LEFT(F2985,FIND(".",F2985,6))</f>
        <v>Xmp.tiff.</v>
      </c>
      <c r="D2985" s="5" t="str">
        <f>VLOOKUP(C2985,PrefixUebersetzung,2,FALSE)</f>
        <v>Xmp.tiff.</v>
      </c>
      <c r="E2985" s="5" t="str">
        <f>MID(F2985,FIND(".",F2985,6)+1,99)</f>
        <v>Orientation</v>
      </c>
      <c r="F2985" s="5" t="s">
        <v>2024</v>
      </c>
      <c r="G2985" s="5" t="s">
        <v>9678</v>
      </c>
      <c r="H2985" s="6" t="s">
        <v>3603</v>
      </c>
      <c r="I2985" s="7"/>
      <c r="J2985" s="14" t="s">
        <v>5412</v>
      </c>
      <c r="K2985" s="26"/>
      <c r="L2985" s="6" t="str">
        <f>IFERROR(VLOOKUP(E2985,A:I,9, FALSE),"")</f>
        <v>Ausrichtung</v>
      </c>
      <c r="N2985" s="6"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P2985" s="6" t="s">
        <v>8574</v>
      </c>
    </row>
    <row r="2986" spans="1:17" ht="30" x14ac:dyDescent="0.25">
      <c r="A2986" s="5" t="str">
        <f>IF(TRIM(I2986)="","",E2986)</f>
        <v/>
      </c>
      <c r="B2986" s="5" t="str">
        <f>IF(TRIM(J2986)="","",H2986)</f>
        <v>TIFF tag 262, 0x106. Pixel Composition: 2 = RGB; 6 = YCbCr.</v>
      </c>
      <c r="C2986" s="5" t="str">
        <f>LEFT(F2986,FIND(".",F2986,6))</f>
        <v>Xmp.tiff.</v>
      </c>
      <c r="D2986" s="5" t="str">
        <f>VLOOKUP(C2986,PrefixUebersetzung,2,FALSE)</f>
        <v>Xmp.tiff.</v>
      </c>
      <c r="E2986" s="5" t="str">
        <f>MID(F2986,FIND(".",F2986,6)+1,99)</f>
        <v>PhotometricInterpretation</v>
      </c>
      <c r="F2986" s="5" t="s">
        <v>2025</v>
      </c>
      <c r="G2986" s="5" t="s">
        <v>9678</v>
      </c>
      <c r="H2986" s="6" t="s">
        <v>3604</v>
      </c>
      <c r="I2986" s="7"/>
      <c r="J2986" s="6" t="s">
        <v>9507</v>
      </c>
      <c r="K2986" s="26"/>
      <c r="L2986" s="6" t="str">
        <f>IFERROR(VLOOKUP(E2986,A:I,9, FALSE),"")</f>
        <v/>
      </c>
      <c r="N2986" s="6"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xml:space="preserve">Suffix not translated </v>
      </c>
      <c r="P2986" s="6" t="s">
        <v>8574</v>
      </c>
    </row>
    <row r="2987" spans="1:17" ht="30" x14ac:dyDescent="0.25">
      <c r="A2987" s="5" t="str">
        <f>IF(TRIM(I2987)="","",E2987)</f>
        <v/>
      </c>
      <c r="B2987" s="5" t="str">
        <f>IF(TRIM(J2987)="","",H2987)</f>
        <v>TIFF tag 284, 0x11C. Data layout:1 = chunky; 2 = planar.</v>
      </c>
      <c r="C2987" s="5" t="str">
        <f>LEFT(F2987,FIND(".",F2987,6))</f>
        <v>Xmp.tiff.</v>
      </c>
      <c r="D2987" s="5" t="str">
        <f>VLOOKUP(C2987,PrefixUebersetzung,2,FALSE)</f>
        <v>Xmp.tiff.</v>
      </c>
      <c r="E2987" s="5" t="str">
        <f>MID(F2987,FIND(".",F2987,6)+1,99)</f>
        <v>PlanarConfiguration</v>
      </c>
      <c r="F2987" s="5" t="s">
        <v>2026</v>
      </c>
      <c r="G2987" s="5" t="s">
        <v>9678</v>
      </c>
      <c r="H2987" s="6" t="s">
        <v>3605</v>
      </c>
      <c r="I2987" s="7"/>
      <c r="J2987" s="6" t="s">
        <v>9509</v>
      </c>
      <c r="K2987" s="26"/>
      <c r="L2987" s="6" t="str">
        <f>IFERROR(VLOOKUP(E2987,A:I,9, FALSE),"")</f>
        <v/>
      </c>
      <c r="N2987" s="6"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xml:space="preserve">Suffix not translated </v>
      </c>
      <c r="P2987" s="6" t="s">
        <v>8574</v>
      </c>
    </row>
    <row r="2988" spans="1:17" ht="30" x14ac:dyDescent="0.25">
      <c r="A2988" s="5" t="str">
        <f>IF(TRIM(I2988)="","",E2988)</f>
        <v/>
      </c>
      <c r="B2988" s="5" t="str">
        <f>IF(TRIM(J2988)="","",H2988)</f>
        <v>TIFF tag 319, 0x13F. Chromaticity of the three primary colors.</v>
      </c>
      <c r="C2988" s="5" t="str">
        <f>LEFT(F2988,FIND(".",F2988,6))</f>
        <v>Xmp.tiff.</v>
      </c>
      <c r="D2988" s="5" t="str">
        <f>VLOOKUP(C2988,PrefixUebersetzung,2,FALSE)</f>
        <v>Xmp.tiff.</v>
      </c>
      <c r="E2988" s="5" t="str">
        <f>MID(F2988,FIND(".",F2988,6)+1,99)</f>
        <v>PrimaryChromaticities</v>
      </c>
      <c r="F2988" s="5" t="s">
        <v>2027</v>
      </c>
      <c r="G2988" s="5" t="s">
        <v>9680</v>
      </c>
      <c r="H2988" s="6" t="s">
        <v>3606</v>
      </c>
      <c r="I2988" s="7"/>
      <c r="J2988" s="14" t="s">
        <v>4166</v>
      </c>
      <c r="K2988" s="26"/>
      <c r="L2988" s="6" t="str">
        <f>IFERROR(VLOOKUP(E2988,A:I,9, FALSE),"")</f>
        <v>Primäre Farbigkeit</v>
      </c>
      <c r="N2988" s="6"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c>
      <c r="P2988" s="6" t="s">
        <v>8574</v>
      </c>
      <c r="Q2988" s="6" t="s">
        <v>9511</v>
      </c>
    </row>
    <row r="2989" spans="1:17" ht="30" x14ac:dyDescent="0.25">
      <c r="A2989" s="5" t="str">
        <f>IF(TRIM(I2989)="","",E2989)</f>
        <v/>
      </c>
      <c r="B2989" s="5" t="str">
        <f>IF(TRIM(J2989)="","",H2989)</f>
        <v>TIFF tag 532, 0x214. Reference black and white point values.</v>
      </c>
      <c r="C2989" s="5" t="str">
        <f>LEFT(F2989,FIND(".",F2989,6))</f>
        <v>Xmp.tiff.</v>
      </c>
      <c r="D2989" s="5" t="str">
        <f>VLOOKUP(C2989,PrefixUebersetzung,2,FALSE)</f>
        <v>Xmp.tiff.</v>
      </c>
      <c r="E2989" s="5" t="str">
        <f>MID(F2989,FIND(".",F2989,6)+1,99)</f>
        <v>ReferenceBlackWhite</v>
      </c>
      <c r="F2989" s="5" t="s">
        <v>2028</v>
      </c>
      <c r="G2989" s="5" t="s">
        <v>9680</v>
      </c>
      <c r="H2989" s="6" t="s">
        <v>3607</v>
      </c>
      <c r="I2989" s="7"/>
      <c r="J2989" s="14" t="s">
        <v>4167</v>
      </c>
      <c r="K2989" s="26"/>
      <c r="L2989" s="6" t="str">
        <f>IFERROR(VLOOKUP(E2989,A:I,9, FALSE),"")</f>
        <v>Referenz Schwarz/Weiß</v>
      </c>
      <c r="N2989" s="6"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P2989" s="6" t="s">
        <v>8574</v>
      </c>
      <c r="Q2989" s="6" t="s">
        <v>9510</v>
      </c>
    </row>
    <row r="2990" spans="1:17" ht="45" x14ac:dyDescent="0.25">
      <c r="A2990" s="5" t="str">
        <f>IF(TRIM(I2990)="","",E2990)</f>
        <v/>
      </c>
      <c r="B2990" s="5" t="str">
        <f>IF(TRIM(J2990)="","",H2990)</f>
        <v>TIFF tag 296, 0x128. Unit used for XResolution and YResolution. Value is one of: 2 = inches; 3 = centimeters.</v>
      </c>
      <c r="C2990" s="5" t="str">
        <f>LEFT(F2990,FIND(".",F2990,6))</f>
        <v>Xmp.tiff.</v>
      </c>
      <c r="D2990" s="5" t="str">
        <f>VLOOKUP(C2990,PrefixUebersetzung,2,FALSE)</f>
        <v>Xmp.tiff.</v>
      </c>
      <c r="E2990" s="5" t="str">
        <f>MID(F2990,FIND(".",F2990,6)+1,99)</f>
        <v>ResolutionUnit</v>
      </c>
      <c r="F2990" s="5" t="s">
        <v>2029</v>
      </c>
      <c r="G2990" s="5" t="s">
        <v>9678</v>
      </c>
      <c r="H2990" s="6" t="s">
        <v>3608</v>
      </c>
      <c r="I2990" s="7"/>
      <c r="J2990" s="14" t="s">
        <v>5413</v>
      </c>
      <c r="K2990" s="26"/>
      <c r="L2990" s="6" t="str">
        <f>IFERROR(VLOOKUP(E2990,A:I,9, FALSE),"")</f>
        <v>Auflösung Einheit</v>
      </c>
      <c r="N2990" s="6"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P2990" s="6" t="s">
        <v>8574</v>
      </c>
    </row>
    <row r="2991" spans="1:17" ht="30" x14ac:dyDescent="0.25">
      <c r="A2991" s="5" t="str">
        <f>IF(TRIM(I2991)="","",E2991)</f>
        <v/>
      </c>
      <c r="B2991" s="5" t="str">
        <f>IF(TRIM(J2991)="","",H2991)</f>
        <v>TIFF tag 277, 0x115. Number of components per pixel.</v>
      </c>
      <c r="C2991" s="5" t="str">
        <f>LEFT(F2991,FIND(".",F2991,6))</f>
        <v>Xmp.tiff.</v>
      </c>
      <c r="D2991" s="5" t="str">
        <f>VLOOKUP(C2991,PrefixUebersetzung,2,FALSE)</f>
        <v>Xmp.tiff.</v>
      </c>
      <c r="E2991" s="5" t="str">
        <f>MID(F2991,FIND(".",F2991,6)+1,99)</f>
        <v>SamplesPerPixel</v>
      </c>
      <c r="F2991" s="5" t="s">
        <v>2030</v>
      </c>
      <c r="G2991" s="5" t="s">
        <v>9678</v>
      </c>
      <c r="H2991" s="6" t="s">
        <v>3609</v>
      </c>
      <c r="I2991" s="7"/>
      <c r="J2991" s="6" t="s">
        <v>9508</v>
      </c>
      <c r="K2991" s="26"/>
      <c r="L2991" s="6" t="str">
        <f>IFERROR(VLOOKUP(E2991,A:I,9, FALSE),"")</f>
        <v/>
      </c>
      <c r="N2991" s="6"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xml:space="preserve">Suffix not translated </v>
      </c>
      <c r="P2991" s="6" t="s">
        <v>8574</v>
      </c>
    </row>
    <row r="2992" spans="1:17" ht="60" x14ac:dyDescent="0.25">
      <c r="A2992" s="5" t="str">
        <f>IF(TRIM(I2992)="","",E2992)</f>
        <v/>
      </c>
      <c r="B2992" s="5" t="str">
        <f>IF(TRIM(J2992)="","",H2992)</f>
        <v xml:space="preserve">TIFF tag 305, 0x131. Software or firmware used to generate image. Note: This property is stored in XMP as xmp:CreatorTool. </v>
      </c>
      <c r="C2992" s="5" t="str">
        <f>LEFT(F2992,FIND(".",F2992,6))</f>
        <v>Xmp.tiff.</v>
      </c>
      <c r="D2992" s="5" t="str">
        <f>VLOOKUP(C2992,PrefixUebersetzung,2,FALSE)</f>
        <v>Xmp.tiff.</v>
      </c>
      <c r="E2992" s="5" t="str">
        <f>MID(F2992,FIND(".",F2992,6)+1,99)</f>
        <v>Software</v>
      </c>
      <c r="F2992" s="5" t="s">
        <v>2031</v>
      </c>
      <c r="G2992" s="5" t="s">
        <v>9678</v>
      </c>
      <c r="H2992" s="6" t="s">
        <v>3610</v>
      </c>
      <c r="I2992" s="7"/>
      <c r="J2992" s="14" t="s">
        <v>5414</v>
      </c>
      <c r="K2992" s="26"/>
      <c r="L2992" s="6" t="str">
        <f>IFERROR(VLOOKUP(E2992,A:I,9, FALSE),"")</f>
        <v>Software</v>
      </c>
      <c r="N2992" s="6"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c>
      <c r="P2992" s="6" t="s">
        <v>8574</v>
      </c>
    </row>
    <row r="2993" spans="1:17" ht="45" x14ac:dyDescent="0.25">
      <c r="A2993" s="5" t="str">
        <f>IF(TRIM(I2993)="","",E2993)</f>
        <v/>
      </c>
      <c r="B2993" s="5" t="str">
        <f>IF(TRIM(J2993)="","",H2993)</f>
        <v>TIFF tag 301, 0x12D. Transfer function for image described in tabular style with 3 * 256 entries.</v>
      </c>
      <c r="C2993" s="5" t="str">
        <f>LEFT(F2993,FIND(".",F2993,6))</f>
        <v>Xmp.tiff.</v>
      </c>
      <c r="D2993" s="5" t="str">
        <f>VLOOKUP(C2993,PrefixUebersetzung,2,FALSE)</f>
        <v>Xmp.tiff.</v>
      </c>
      <c r="E2993" s="5" t="str">
        <f>MID(F2993,FIND(".",F2993,6)+1,99)</f>
        <v>TransferFunction</v>
      </c>
      <c r="F2993" s="5" t="s">
        <v>2032</v>
      </c>
      <c r="G2993" s="5" t="s">
        <v>9680</v>
      </c>
      <c r="H2993" s="6" t="s">
        <v>3611</v>
      </c>
      <c r="I2993" s="7"/>
      <c r="J2993" s="14" t="s">
        <v>5415</v>
      </c>
      <c r="K2993" s="26"/>
      <c r="L2993" s="6" t="str">
        <f>IFERROR(VLOOKUP(E2993,A:I,9, FALSE),"")</f>
        <v>Übertragungsfunktion</v>
      </c>
      <c r="N2993" s="6"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P2993" s="6" t="s">
        <v>8574</v>
      </c>
    </row>
    <row r="2994" spans="1:17" ht="30" x14ac:dyDescent="0.25">
      <c r="A2994" s="5" t="str">
        <f>IF(TRIM(I2994)="","",E2994)</f>
        <v/>
      </c>
      <c r="B2994" s="5" t="str">
        <f>IF(TRIM(J2994)="","",H2994)</f>
        <v>TIFF tag 318, 0x13E. Chromaticity of white point.</v>
      </c>
      <c r="C2994" s="5" t="str">
        <f>LEFT(F2994,FIND(".",F2994,6))</f>
        <v>Xmp.tiff.</v>
      </c>
      <c r="D2994" s="5" t="str">
        <f>VLOOKUP(C2994,PrefixUebersetzung,2,FALSE)</f>
        <v>Xmp.tiff.</v>
      </c>
      <c r="E2994" s="5" t="str">
        <f>MID(F2994,FIND(".",F2994,6)+1,99)</f>
        <v>WhitePoint</v>
      </c>
      <c r="F2994" s="5" t="s">
        <v>2033</v>
      </c>
      <c r="G2994" s="5" t="s">
        <v>9680</v>
      </c>
      <c r="H2994" s="6" t="s">
        <v>3612</v>
      </c>
      <c r="I2994" s="7"/>
      <c r="J2994" s="14" t="s">
        <v>5416</v>
      </c>
      <c r="K2994" s="26"/>
      <c r="L2994" s="6" t="str">
        <f>IFERROR(VLOOKUP(E2994,A:I,9, FALSE),"")</f>
        <v>Weißpunkt</v>
      </c>
      <c r="N2994" s="6"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P2994" s="6" t="s">
        <v>8574</v>
      </c>
      <c r="Q2994" s="6" t="s">
        <v>9510</v>
      </c>
    </row>
    <row r="2995" spans="1:17" ht="30" x14ac:dyDescent="0.25">
      <c r="A2995" s="5" t="str">
        <f>IF(TRIM(I2995)="","",E2995)</f>
        <v/>
      </c>
      <c r="B2995" s="5" t="str">
        <f>IF(TRIM(J2995)="","",H2995)</f>
        <v>TIFF tag 282, 0x11A. Horizontal resolution in pixels per unit.</v>
      </c>
      <c r="C2995" s="5" t="str">
        <f>LEFT(F2995,FIND(".",F2995,6))</f>
        <v>Xmp.tiff.</v>
      </c>
      <c r="D2995" s="5" t="str">
        <f>VLOOKUP(C2995,PrefixUebersetzung,2,FALSE)</f>
        <v>Xmp.tiff.</v>
      </c>
      <c r="E2995" s="5" t="str">
        <f>MID(F2995,FIND(".",F2995,6)+1,99)</f>
        <v>XResolution</v>
      </c>
      <c r="F2995" s="5" t="s">
        <v>2034</v>
      </c>
      <c r="G2995" s="5" t="s">
        <v>9678</v>
      </c>
      <c r="H2995" s="6" t="s">
        <v>3613</v>
      </c>
      <c r="I2995" s="7"/>
      <c r="J2995" s="14" t="s">
        <v>4168</v>
      </c>
      <c r="K2995" s="26"/>
      <c r="L2995" s="6" t="str">
        <f>IFERROR(VLOOKUP(E2995,A:I,9, FALSE),"")</f>
        <v>Auflösung X</v>
      </c>
      <c r="N2995" s="6"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P2995" s="6" t="s">
        <v>8574</v>
      </c>
      <c r="Q2995" s="6" t="s">
        <v>9274</v>
      </c>
    </row>
    <row r="2996" spans="1:17" ht="30" x14ac:dyDescent="0.25">
      <c r="A2996" s="5" t="str">
        <f>IF(TRIM(I2996)="","",E2996)</f>
        <v/>
      </c>
      <c r="B2996" s="5" t="str">
        <f>IF(TRIM(J2996)="","",H2996)</f>
        <v>TIFF tag 529, 0x211. Matrix coefficients for RGB to YCbCr transformation.</v>
      </c>
      <c r="C2996" s="5" t="str">
        <f>LEFT(F2996,FIND(".",F2996,6))</f>
        <v>Xmp.tiff.</v>
      </c>
      <c r="D2996" s="5" t="str">
        <f>VLOOKUP(C2996,PrefixUebersetzung,2,FALSE)</f>
        <v>Xmp.tiff.</v>
      </c>
      <c r="E2996" s="5" t="str">
        <f>MID(F2996,FIND(".",F2996,6)+1,99)</f>
        <v>YCbCrCoefficients</v>
      </c>
      <c r="F2996" s="5" t="s">
        <v>2035</v>
      </c>
      <c r="G2996" s="5" t="s">
        <v>9680</v>
      </c>
      <c r="H2996" s="6" t="s">
        <v>3614</v>
      </c>
      <c r="I2996" s="7"/>
      <c r="J2996" s="14" t="s">
        <v>4169</v>
      </c>
      <c r="K2996" s="26"/>
      <c r="L2996" s="6" t="str">
        <f>IFERROR(VLOOKUP(E2996,A:I,9, FALSE),"")</f>
        <v>YCbCr Koeffizienten</v>
      </c>
      <c r="N2996" s="6"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P2996" s="6" t="s">
        <v>8574</v>
      </c>
    </row>
    <row r="2997" spans="1:17" ht="30" x14ac:dyDescent="0.25">
      <c r="A2997" s="5" t="str">
        <f>IF(TRIM(I2997)="","",E2997)</f>
        <v/>
      </c>
      <c r="B2997" s="5" t="str">
        <f>IF(TRIM(J2997)="","",H2997)</f>
        <v>TIFF tag 531, 0x213. Position of chrominance vs. luminance components: 1 = centered; 2 = co-sited.</v>
      </c>
      <c r="C2997" s="5" t="str">
        <f>LEFT(F2997,FIND(".",F2997,6))</f>
        <v>Xmp.tiff.</v>
      </c>
      <c r="D2997" s="5" t="str">
        <f>VLOOKUP(C2997,PrefixUebersetzung,2,FALSE)</f>
        <v>Xmp.tiff.</v>
      </c>
      <c r="E2997" s="5" t="str">
        <f>MID(F2997,FIND(".",F2997,6)+1,99)</f>
        <v>YCbCrPositioning</v>
      </c>
      <c r="F2997" s="5" t="s">
        <v>2036</v>
      </c>
      <c r="G2997" s="5" t="s">
        <v>9678</v>
      </c>
      <c r="H2997" s="6" t="s">
        <v>3615</v>
      </c>
      <c r="I2997" s="7"/>
      <c r="J2997" s="14" t="s">
        <v>5417</v>
      </c>
      <c r="K2997" s="26"/>
      <c r="L2997" s="6" t="str">
        <f>IFERROR(VLOOKUP(E2997,A:I,9, FALSE),"")</f>
        <v>YCbCr Positionierung</v>
      </c>
      <c r="N2997" s="6"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P2997" s="6" t="s">
        <v>8574</v>
      </c>
    </row>
    <row r="2998" spans="1:17" ht="45" x14ac:dyDescent="0.25">
      <c r="A2998" s="5" t="str">
        <f>IF(TRIM(I2998)="","",E2998)</f>
        <v/>
      </c>
      <c r="B2998" s="5" t="str">
        <f>IF(TRIM(J2998)="","",H2998)</f>
        <v>TIFF tag 530, 0x212. Sampling ratio of chrominance components: [2, 1] = YCbCr4:2:2; [2, 2] = YCbCr4:2:0</v>
      </c>
      <c r="C2998" s="5" t="str">
        <f>LEFT(F2998,FIND(".",F2998,6))</f>
        <v>Xmp.tiff.</v>
      </c>
      <c r="D2998" s="5" t="str">
        <f>VLOOKUP(C2998,PrefixUebersetzung,2,FALSE)</f>
        <v>Xmp.tiff.</v>
      </c>
      <c r="E2998" s="5" t="str">
        <f>MID(F2998,FIND(".",F2998,6)+1,99)</f>
        <v>YCbCrSubSampling</v>
      </c>
      <c r="F2998" s="5" t="s">
        <v>2037</v>
      </c>
      <c r="G2998" s="5" t="s">
        <v>9680</v>
      </c>
      <c r="H2998" s="6" t="s">
        <v>3616</v>
      </c>
      <c r="I2998" s="7"/>
      <c r="J2998" s="14" t="s">
        <v>4170</v>
      </c>
      <c r="K2998" s="26"/>
      <c r="L2998" s="6" t="str">
        <f>IFERROR(VLOOKUP(E2998,A:I,9, FALSE),"")</f>
        <v>YCbCr Unterabtastung</v>
      </c>
      <c r="N2998" s="6"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P2998" s="6" t="s">
        <v>8574</v>
      </c>
    </row>
    <row r="2999" spans="1:17" ht="30" x14ac:dyDescent="0.25">
      <c r="A2999" s="5" t="str">
        <f>IF(TRIM(I2999)="","",E2999)</f>
        <v/>
      </c>
      <c r="B2999" s="5" t="str">
        <f>IF(TRIM(J2999)="","",H2999)</f>
        <v>TIFF tag 283, 0x11B. Vertical resolution in pixels per unit.</v>
      </c>
      <c r="C2999" s="5" t="str">
        <f>LEFT(F2999,FIND(".",F2999,6))</f>
        <v>Xmp.tiff.</v>
      </c>
      <c r="D2999" s="5" t="str">
        <f>VLOOKUP(C2999,PrefixUebersetzung,2,FALSE)</f>
        <v>Xmp.tiff.</v>
      </c>
      <c r="E2999" s="5" t="str">
        <f>MID(F2999,FIND(".",F2999,6)+1,99)</f>
        <v>YResolution</v>
      </c>
      <c r="F2999" s="5" t="s">
        <v>2038</v>
      </c>
      <c r="G2999" s="5" t="s">
        <v>9678</v>
      </c>
      <c r="H2999" s="6" t="s">
        <v>3617</v>
      </c>
      <c r="I2999" s="7"/>
      <c r="J2999" s="14" t="s">
        <v>4171</v>
      </c>
      <c r="K2999" s="26"/>
      <c r="L2999" s="6" t="str">
        <f>IFERROR(VLOOKUP(E2999,A:I,9, FALSE),"")</f>
        <v>Auflösung Y</v>
      </c>
      <c r="N2999" s="6"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P2999" s="6" t="s">
        <v>8574</v>
      </c>
      <c r="Q2999" s="6" t="s">
        <v>9275</v>
      </c>
    </row>
    <row r="3000" spans="1:17" x14ac:dyDescent="0.25">
      <c r="A3000" s="5" t="str">
        <f>IF(TRIM(I3000)="","",E3000)</f>
        <v>Album</v>
      </c>
      <c r="B3000" s="5" t="str">
        <f>IF(TRIM(J3000)="","",H3000)</f>
        <v>The name of the album.</v>
      </c>
      <c r="C3000" s="5" t="str">
        <f>LEFT(F3000,FIND(".",F3000,6))</f>
        <v>Xmp.video.</v>
      </c>
      <c r="D3000" s="5" t="str">
        <f>VLOOKUP(C3000,PrefixUebersetzung,2,FALSE)</f>
        <v>Xmp.video.</v>
      </c>
      <c r="E3000" s="5" t="str">
        <f>MID(F3000,FIND(".",F3000,6)+1,99)</f>
        <v>Album</v>
      </c>
      <c r="F3000" s="23" t="s">
        <v>5759</v>
      </c>
      <c r="G3000" s="5" t="s">
        <v>9678</v>
      </c>
      <c r="H3000" s="10" t="s">
        <v>3631</v>
      </c>
      <c r="I3000" s="7" t="s">
        <v>4617</v>
      </c>
      <c r="J3000" s="8" t="s">
        <v>4172</v>
      </c>
      <c r="K3000" s="26"/>
      <c r="L3000" s="6" t="str">
        <f>IFERROR(VLOOKUP(E3000,A:I,9, FALSE),"")</f>
        <v>Album</v>
      </c>
      <c r="M3000" s="6" t="str">
        <f>IFERROR(VLOOKUP(H3000,B:J,9,FALSE),"")</f>
        <v>Der Name des Albums.</v>
      </c>
      <c r="N3000" s="6"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6" t="s">
        <v>8574</v>
      </c>
      <c r="P3000" s="6" t="s">
        <v>8574</v>
      </c>
      <c r="Q3000" s="6" t="s">
        <v>4172</v>
      </c>
    </row>
    <row r="3001" spans="1:17" x14ac:dyDescent="0.25">
      <c r="A3001" s="5" t="str">
        <f>IF(TRIM(I3001)="","",E3001)</f>
        <v>ArchivalLocation</v>
      </c>
      <c r="B3001" s="5" t="str">
        <f>IF(TRIM(J3001)="","",H3001)</f>
        <v>Information about the Archival Location.</v>
      </c>
      <c r="C3001" s="5" t="str">
        <f>LEFT(F3001,FIND(".",F3001,6))</f>
        <v>Xmp.video.</v>
      </c>
      <c r="D3001" s="5" t="str">
        <f>VLOOKUP(C3001,PrefixUebersetzung,2,FALSE)</f>
        <v>Xmp.video.</v>
      </c>
      <c r="E3001" s="5" t="str">
        <f>MID(F3001,FIND(".",F3001,6)+1,99)</f>
        <v>ArchivalLocation</v>
      </c>
      <c r="F3001" s="23" t="s">
        <v>5760</v>
      </c>
      <c r="G3001" s="5" t="s">
        <v>9678</v>
      </c>
      <c r="H3001" s="10" t="s">
        <v>5761</v>
      </c>
      <c r="I3001" s="7" t="s">
        <v>6485</v>
      </c>
      <c r="J3001" s="8" t="s">
        <v>6786</v>
      </c>
      <c r="K3001" s="26"/>
      <c r="N3001" s="6"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6" t="s">
        <v>8574</v>
      </c>
      <c r="P3001" s="6" t="s">
        <v>8574</v>
      </c>
    </row>
    <row r="3002" spans="1:17" x14ac:dyDescent="0.25">
      <c r="A3002" s="5" t="str">
        <f>IF(TRIM(I3002)="","",E3002)</f>
        <v>Arranger</v>
      </c>
      <c r="B3002" s="5" t="str">
        <f>IF(TRIM(J3002)="","",H3002)</f>
        <v>Information about the Arranger.</v>
      </c>
      <c r="C3002" s="5" t="str">
        <f>LEFT(F3002,FIND(".",F3002,6))</f>
        <v>Xmp.video.</v>
      </c>
      <c r="D3002" s="5" t="str">
        <f>VLOOKUP(C3002,PrefixUebersetzung,2,FALSE)</f>
        <v>Xmp.video.</v>
      </c>
      <c r="E3002" s="5" t="str">
        <f>MID(F3002,FIND(".",F3002,6)+1,99)</f>
        <v>Arranger</v>
      </c>
      <c r="F3002" s="23" t="s">
        <v>5762</v>
      </c>
      <c r="G3002" s="5" t="s">
        <v>9678</v>
      </c>
      <c r="H3002" s="10" t="s">
        <v>5763</v>
      </c>
      <c r="I3002" s="7" t="s">
        <v>6486</v>
      </c>
      <c r="J3002" s="8" t="s">
        <v>6787</v>
      </c>
      <c r="K3002" s="26"/>
      <c r="N3002" s="6"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6" t="s">
        <v>8574</v>
      </c>
      <c r="P3002" s="6" t="s">
        <v>8574</v>
      </c>
    </row>
    <row r="3003" spans="1:17" x14ac:dyDescent="0.25">
      <c r="A3003" s="5" t="str">
        <f>IF(TRIM(I3003)="","",E3003)</f>
        <v>ArrangerKeywords</v>
      </c>
      <c r="B3003" s="5" t="str">
        <f>IF(TRIM(J3003)="","",H3003)</f>
        <v>Information about the Arranger Keywords.</v>
      </c>
      <c r="C3003" s="5" t="str">
        <f>LEFT(F3003,FIND(".",F3003,6))</f>
        <v>Xmp.video.</v>
      </c>
      <c r="D3003" s="5" t="str">
        <f>VLOOKUP(C3003,PrefixUebersetzung,2,FALSE)</f>
        <v>Xmp.video.</v>
      </c>
      <c r="E3003" s="5" t="str">
        <f>MID(F3003,FIND(".",F3003,6)+1,99)</f>
        <v>ArrangerKeywords</v>
      </c>
      <c r="F3003" s="23" t="s">
        <v>5764</v>
      </c>
      <c r="G3003" s="5" t="s">
        <v>9678</v>
      </c>
      <c r="H3003" s="10" t="s">
        <v>5765</v>
      </c>
      <c r="I3003" s="7" t="s">
        <v>6487</v>
      </c>
      <c r="J3003" s="8" t="s">
        <v>6788</v>
      </c>
      <c r="K3003" s="26"/>
      <c r="N3003" s="6"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O3003" s="6" t="s">
        <v>8574</v>
      </c>
      <c r="P3003" s="6" t="s">
        <v>8574</v>
      </c>
    </row>
    <row r="3004" spans="1:17" ht="30" x14ac:dyDescent="0.25">
      <c r="A3004" s="5" t="str">
        <f>IF(TRIM(I3004)="","",E3004)</f>
        <v/>
      </c>
      <c r="B3004" s="5" t="str">
        <f>IF(TRIM(J3004)="","",H3004)</f>
        <v>The name of the artist or artists.</v>
      </c>
      <c r="C3004" s="5" t="str">
        <f>LEFT(F3004,FIND(".",F3004,6))</f>
        <v>Xmp.video.</v>
      </c>
      <c r="D3004" s="5" t="str">
        <f>VLOOKUP(C3004,PrefixUebersetzung,2,FALSE)</f>
        <v>Xmp.video.</v>
      </c>
      <c r="E3004" s="5" t="str">
        <f>MID(F3004,FIND(".",F3004,6)+1,99)</f>
        <v>Artist</v>
      </c>
      <c r="F3004" s="23" t="s">
        <v>5766</v>
      </c>
      <c r="G3004" s="5" t="s">
        <v>9678</v>
      </c>
      <c r="H3004" s="10" t="s">
        <v>3634</v>
      </c>
      <c r="I3004" s="7"/>
      <c r="J3004" s="8" t="s">
        <v>5418</v>
      </c>
      <c r="K3004" s="26"/>
      <c r="L3004" s="6" t="str">
        <f>IFERROR(VLOOKUP(E3004,A:I,9, FALSE),"")</f>
        <v>Künstler</v>
      </c>
      <c r="M3004" s="6" t="str">
        <f>IFERROR(VLOOKUP(H3004,B:J,9,FALSE),"")</f>
        <v>Der Name des Künstlers oder der Künstler.</v>
      </c>
      <c r="N3004" s="6"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P3004" s="6" t="s">
        <v>8574</v>
      </c>
      <c r="Q3004" s="6" t="s">
        <v>9428</v>
      </c>
    </row>
    <row r="3005" spans="1:17" ht="45" x14ac:dyDescent="0.25">
      <c r="A3005" s="5" t="str">
        <f>IF(TRIM(I3005)="","",E3005)</f>
        <v/>
      </c>
      <c r="B3005" s="5" t="str">
        <f>IF(TRIM(J3005)="","",H3005)</f>
        <v>Ratio of Width:Height, helps to determine how a video would be displayed on a screen</v>
      </c>
      <c r="C3005" s="5" t="str">
        <f>LEFT(F3005,FIND(".",F3005,6))</f>
        <v>Xmp.video.</v>
      </c>
      <c r="D3005" s="5" t="str">
        <f>VLOOKUP(C3005,PrefixUebersetzung,2,FALSE)</f>
        <v>Xmp.video.</v>
      </c>
      <c r="E3005" s="5" t="str">
        <f>MID(F3005,FIND(".",F3005,6)+1,99)</f>
        <v>AspectRatio</v>
      </c>
      <c r="F3005" s="23" t="s">
        <v>5767</v>
      </c>
      <c r="G3005" s="5" t="s">
        <v>9678</v>
      </c>
      <c r="H3005" s="10" t="s">
        <v>5768</v>
      </c>
      <c r="I3005" s="7"/>
      <c r="J3005" s="8" t="s">
        <v>6789</v>
      </c>
      <c r="K3005" s="26"/>
      <c r="L3005" s="6" t="str">
        <f>IFERROR(VLOOKUP(E3005,A:I,9, FALSE),"")</f>
        <v>Seitenverhältnis</v>
      </c>
      <c r="N3005" s="6"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P3005" s="6" t="s">
        <v>8574</v>
      </c>
    </row>
    <row r="3006" spans="1:17" x14ac:dyDescent="0.25">
      <c r="A3006" s="5" t="str">
        <f>IF(TRIM(I3006)="","",E3006)</f>
        <v/>
      </c>
      <c r="B3006" s="5" t="str">
        <f>IF(TRIM(J3006)="","",H3006)</f>
        <v>Aspect Ratio Type. Eg - Free-Resizing or Fixed</v>
      </c>
      <c r="C3006" s="5" t="str">
        <f>LEFT(F3006,FIND(".",F3006,6))</f>
        <v>Xmp.video.</v>
      </c>
      <c r="D3006" s="5" t="str">
        <f>VLOOKUP(C3006,PrefixUebersetzung,2,FALSE)</f>
        <v>Xmp.video.</v>
      </c>
      <c r="E3006" s="5" t="str">
        <f>MID(F3006,FIND(".",F3006,6)+1,99)</f>
        <v>AspectRatioType</v>
      </c>
      <c r="F3006" s="23" t="s">
        <v>5769</v>
      </c>
      <c r="G3006" s="5" t="s">
        <v>9678</v>
      </c>
      <c r="H3006" s="10" t="s">
        <v>5770</v>
      </c>
      <c r="I3006" s="7"/>
      <c r="J3006" s="8" t="s">
        <v>6790</v>
      </c>
      <c r="K3006" s="26"/>
      <c r="N3006" s="6"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xml:space="preserve">Suffix not translated </v>
      </c>
      <c r="O3006" s="6" t="s">
        <v>8574</v>
      </c>
      <c r="P3006" s="6" t="s">
        <v>8574</v>
      </c>
    </row>
    <row r="3007" spans="1:17" x14ac:dyDescent="0.25">
      <c r="A3007" s="5" t="str">
        <f>IF(TRIM(I3007)="","",E3007)</f>
        <v>AttachFileData</v>
      </c>
      <c r="B3007" s="5" t="str">
        <f>IF(TRIM(J3007)="","",H3007)</f>
        <v>Attached File Data</v>
      </c>
      <c r="C3007" s="5" t="str">
        <f>LEFT(F3007,FIND(".",F3007,6))</f>
        <v>Xmp.video.</v>
      </c>
      <c r="D3007" s="5" t="str">
        <f>VLOOKUP(C3007,PrefixUebersetzung,2,FALSE)</f>
        <v>Xmp.video.</v>
      </c>
      <c r="E3007" s="5" t="str">
        <f>MID(F3007,FIND(".",F3007,6)+1,99)</f>
        <v>AttachFileData</v>
      </c>
      <c r="F3007" s="23" t="s">
        <v>5771</v>
      </c>
      <c r="G3007" s="5" t="s">
        <v>9678</v>
      </c>
      <c r="H3007" s="10" t="s">
        <v>5772</v>
      </c>
      <c r="I3007" s="7" t="s">
        <v>6488</v>
      </c>
      <c r="J3007" s="14" t="s">
        <v>6488</v>
      </c>
      <c r="K3007" s="26"/>
      <c r="N3007" s="6"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O3007" s="6" t="s">
        <v>8574</v>
      </c>
      <c r="P3007" s="6" t="s">
        <v>8574</v>
      </c>
    </row>
    <row r="3008" spans="1:17" x14ac:dyDescent="0.25">
      <c r="A3008" s="5" t="str">
        <f>IF(TRIM(I3008)="","",E3008)</f>
        <v>AttachFileDesc</v>
      </c>
      <c r="B3008" s="5" t="str">
        <f>IF(TRIM(J3008)="","",H3008)</f>
        <v>Attached File Description</v>
      </c>
      <c r="C3008" s="5" t="str">
        <f>LEFT(F3008,FIND(".",F3008,6))</f>
        <v>Xmp.video.</v>
      </c>
      <c r="D3008" s="5" t="str">
        <f>VLOOKUP(C3008,PrefixUebersetzung,2,FALSE)</f>
        <v>Xmp.video.</v>
      </c>
      <c r="E3008" s="5" t="str">
        <f>MID(F3008,FIND(".",F3008,6)+1,99)</f>
        <v>AttachFileDesc</v>
      </c>
      <c r="F3008" s="23" t="s">
        <v>5773</v>
      </c>
      <c r="G3008" s="5" t="s">
        <v>9678</v>
      </c>
      <c r="H3008" s="10" t="s">
        <v>5774</v>
      </c>
      <c r="I3008" s="7" t="s">
        <v>6489</v>
      </c>
      <c r="J3008" s="14" t="s">
        <v>6489</v>
      </c>
      <c r="K3008" s="26"/>
      <c r="N3008" s="6"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O3008" s="6" t="s">
        <v>8574</v>
      </c>
      <c r="P3008" s="6" t="s">
        <v>8574</v>
      </c>
      <c r="Q3008" s="6" t="s">
        <v>4266</v>
      </c>
    </row>
    <row r="3009" spans="1:17" x14ac:dyDescent="0.25">
      <c r="A3009" s="5" t="str">
        <f>IF(TRIM(I3009)="","",E3009)</f>
        <v>AttachFileMIME</v>
      </c>
      <c r="B3009" s="5" t="str">
        <f>IF(TRIM(J3009)="","",H3009)</f>
        <v>Attached File MIME Type</v>
      </c>
      <c r="C3009" s="5" t="str">
        <f>LEFT(F3009,FIND(".",F3009,6))</f>
        <v>Xmp.video.</v>
      </c>
      <c r="D3009" s="5" t="str">
        <f>VLOOKUP(C3009,PrefixUebersetzung,2,FALSE)</f>
        <v>Xmp.video.</v>
      </c>
      <c r="E3009" s="5" t="str">
        <f>MID(F3009,FIND(".",F3009,6)+1,99)</f>
        <v>AttachFileMIME</v>
      </c>
      <c r="F3009" s="23" t="s">
        <v>5775</v>
      </c>
      <c r="G3009" s="5" t="s">
        <v>9678</v>
      </c>
      <c r="H3009" s="10" t="s">
        <v>5776</v>
      </c>
      <c r="I3009" s="7" t="s">
        <v>6490</v>
      </c>
      <c r="J3009" s="14" t="s">
        <v>6490</v>
      </c>
      <c r="K3009" s="26"/>
      <c r="N3009" s="6"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O3009" s="6" t="s">
        <v>8574</v>
      </c>
      <c r="P3009" s="6" t="s">
        <v>8574</v>
      </c>
    </row>
    <row r="3010" spans="1:17" x14ac:dyDescent="0.25">
      <c r="A3010" s="5" t="str">
        <f>IF(TRIM(I3010)="","",E3010)</f>
        <v>AttachFileName</v>
      </c>
      <c r="B3010" s="5" t="str">
        <f>IF(TRIM(J3010)="","",H3010)</f>
        <v>Attached File Name</v>
      </c>
      <c r="C3010" s="5" t="str">
        <f>LEFT(F3010,FIND(".",F3010,6))</f>
        <v>Xmp.video.</v>
      </c>
      <c r="D3010" s="5" t="str">
        <f>VLOOKUP(C3010,PrefixUebersetzung,2,FALSE)</f>
        <v>Xmp.video.</v>
      </c>
      <c r="E3010" s="5" t="str">
        <f>MID(F3010,FIND(".",F3010,6)+1,99)</f>
        <v>AttachFileName</v>
      </c>
      <c r="F3010" s="23" t="s">
        <v>5777</v>
      </c>
      <c r="G3010" s="5" t="s">
        <v>9678</v>
      </c>
      <c r="H3010" s="10" t="s">
        <v>5778</v>
      </c>
      <c r="I3010" s="7" t="s">
        <v>6491</v>
      </c>
      <c r="J3010" s="14" t="s">
        <v>6491</v>
      </c>
      <c r="K3010" s="26"/>
      <c r="N3010" s="6"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O3010" s="6" t="s">
        <v>8574</v>
      </c>
      <c r="P3010" s="6" t="s">
        <v>8574</v>
      </c>
      <c r="Q3010" s="6" t="s">
        <v>9138</v>
      </c>
    </row>
    <row r="3011" spans="1:17" x14ac:dyDescent="0.25">
      <c r="A3011" s="5" t="str">
        <f>IF(TRIM(I3011)="","",E3011)</f>
        <v>AttachFileUID</v>
      </c>
      <c r="B3011" s="5" t="str">
        <f>IF(TRIM(J3011)="","",H3011)</f>
        <v>Attached File Universal ID</v>
      </c>
      <c r="C3011" s="5" t="str">
        <f>LEFT(F3011,FIND(".",F3011,6))</f>
        <v>Xmp.video.</v>
      </c>
      <c r="D3011" s="5" t="str">
        <f>VLOOKUP(C3011,PrefixUebersetzung,2,FALSE)</f>
        <v>Xmp.video.</v>
      </c>
      <c r="E3011" s="5" t="str">
        <f>MID(F3011,FIND(".",F3011,6)+1,99)</f>
        <v>AttachFileUID</v>
      </c>
      <c r="F3011" s="23" t="s">
        <v>5779</v>
      </c>
      <c r="G3011" s="5" t="s">
        <v>9678</v>
      </c>
      <c r="H3011" s="10" t="s">
        <v>5780</v>
      </c>
      <c r="I3011" s="7" t="s">
        <v>6492</v>
      </c>
      <c r="J3011" s="14" t="s">
        <v>6492</v>
      </c>
      <c r="K3011" s="26"/>
      <c r="N3011" s="6"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6" t="s">
        <v>8574</v>
      </c>
      <c r="P3011" s="6" t="s">
        <v>8574</v>
      </c>
    </row>
    <row r="3012" spans="1:17" x14ac:dyDescent="0.25">
      <c r="A3012" s="5" t="str">
        <f>IF(TRIM(I3012)="","",E3012)</f>
        <v>BaseURL</v>
      </c>
      <c r="B3012" s="5" t="str">
        <f>IF(TRIM(J3012)="","",H3012)</f>
        <v>A C string that specifies a Base URL.</v>
      </c>
      <c r="C3012" s="5" t="str">
        <f>LEFT(F3012,FIND(".",F3012,6))</f>
        <v>Xmp.video.</v>
      </c>
      <c r="D3012" s="5" t="str">
        <f>VLOOKUP(C3012,PrefixUebersetzung,2,FALSE)</f>
        <v>Xmp.video.</v>
      </c>
      <c r="E3012" s="5" t="str">
        <f>MID(F3012,FIND(".",F3012,6)+1,99)</f>
        <v>BaseURL</v>
      </c>
      <c r="F3012" s="23" t="s">
        <v>5781</v>
      </c>
      <c r="G3012" s="5" t="s">
        <v>9678</v>
      </c>
      <c r="H3012" s="10" t="s">
        <v>5782</v>
      </c>
      <c r="I3012" s="7" t="s">
        <v>4609</v>
      </c>
      <c r="J3012" s="8" t="s">
        <v>6346</v>
      </c>
      <c r="K3012" s="26"/>
      <c r="L3012" s="6" t="str">
        <f>IFERROR(VLOOKUP(E3012,A:I,9, FALSE),"")</f>
        <v>Basis-URL</v>
      </c>
      <c r="N3012" s="6"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O3012" s="6" t="s">
        <v>8574</v>
      </c>
      <c r="P3012" s="6" t="s">
        <v>8574</v>
      </c>
    </row>
    <row r="3013" spans="1:17" ht="45" x14ac:dyDescent="0.25">
      <c r="A3013" s="5" t="str">
        <f>IF(TRIM(I3013)="","",E3013)</f>
        <v>BitDepth</v>
      </c>
      <c r="B3013" s="5" t="str">
        <f>IF(TRIM(J3013)="","",H3013)</f>
        <v>A 16-bit integer that indicates the pixel depth of the compressed image. Values of 1, 2, 4, 8 , 16, 24, and 32 indicate the depth of color images</v>
      </c>
      <c r="C3013" s="5" t="str">
        <f>LEFT(F3013,FIND(".",F3013,6))</f>
        <v>Xmp.video.</v>
      </c>
      <c r="D3013" s="5" t="str">
        <f>VLOOKUP(C3013,PrefixUebersetzung,2,FALSE)</f>
        <v>Xmp.video.</v>
      </c>
      <c r="E3013" s="5" t="str">
        <f>MID(F3013,FIND(".",F3013,6)+1,99)</f>
        <v>BitDepth</v>
      </c>
      <c r="F3013" s="23" t="s">
        <v>5783</v>
      </c>
      <c r="G3013" s="5" t="s">
        <v>9678</v>
      </c>
      <c r="H3013" s="10" t="s">
        <v>5784</v>
      </c>
      <c r="I3013" s="7" t="s">
        <v>6493</v>
      </c>
      <c r="J3013" s="8" t="s">
        <v>6347</v>
      </c>
      <c r="K3013" s="26"/>
      <c r="N3013" s="6"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6" t="s">
        <v>8574</v>
      </c>
      <c r="P3013" s="6" t="s">
        <v>8574</v>
      </c>
    </row>
    <row r="3014" spans="1:17" x14ac:dyDescent="0.25">
      <c r="A3014" s="5" t="str">
        <f>IF(TRIM(I3014)="","",E3014)</f>
        <v/>
      </c>
      <c r="B3014" s="5" t="str">
        <f>IF(TRIM(J3014)="","",H3014)</f>
        <v>Brightness setting.</v>
      </c>
      <c r="C3014" s="5" t="str">
        <f>LEFT(F3014,FIND(".",F3014,6))</f>
        <v>Xmp.video.</v>
      </c>
      <c r="D3014" s="5" t="str">
        <f>VLOOKUP(C3014,PrefixUebersetzung,2,FALSE)</f>
        <v>Xmp.video.</v>
      </c>
      <c r="E3014" s="5" t="str">
        <f>MID(F3014,FIND(".",F3014,6)+1,99)</f>
        <v>Brightness</v>
      </c>
      <c r="F3014" s="23" t="s">
        <v>5785</v>
      </c>
      <c r="G3014" s="5" t="s">
        <v>9678</v>
      </c>
      <c r="H3014" s="10" t="s">
        <v>5786</v>
      </c>
      <c r="J3014" s="8" t="s">
        <v>6348</v>
      </c>
      <c r="K3014" s="26"/>
      <c r="L3014" s="6" t="str">
        <f>IFERROR(VLOOKUP(E3014,A:I,9, FALSE),"")</f>
        <v>Bildhelligkeit</v>
      </c>
      <c r="N3014" s="6"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P3014" s="6" t="s">
        <v>8574</v>
      </c>
      <c r="Q3014" s="6" t="s">
        <v>9168</v>
      </c>
    </row>
    <row r="3015" spans="1:17" ht="30" x14ac:dyDescent="0.25">
      <c r="A3015" s="5" t="str">
        <f>IF(TRIM(I3015)="","",E3015)</f>
        <v>CameraByteOrder</v>
      </c>
      <c r="B3015" s="5" t="str">
        <f>IF(TRIM(J3015)="","",H3015)</f>
        <v>Byte Order used by the Video Capturing device.</v>
      </c>
      <c r="C3015" s="5" t="str">
        <f>LEFT(F3015,FIND(".",F3015,6))</f>
        <v>Xmp.video.</v>
      </c>
      <c r="D3015" s="5" t="str">
        <f>VLOOKUP(C3015,PrefixUebersetzung,2,FALSE)</f>
        <v>Xmp.video.</v>
      </c>
      <c r="E3015" s="5" t="str">
        <f>MID(F3015,FIND(".",F3015,6)+1,99)</f>
        <v>CameraByteOrder</v>
      </c>
      <c r="F3015" s="23" t="s">
        <v>5787</v>
      </c>
      <c r="G3015" s="5" t="s">
        <v>9678</v>
      </c>
      <c r="H3015" s="10" t="s">
        <v>5788</v>
      </c>
      <c r="I3015" s="7" t="s">
        <v>6494</v>
      </c>
      <c r="J3015" s="8" t="s">
        <v>6791</v>
      </c>
      <c r="K3015" s="26"/>
      <c r="N3015" s="6"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O3015" s="6" t="s">
        <v>8574</v>
      </c>
      <c r="P3015" s="6" t="s">
        <v>8574</v>
      </c>
    </row>
    <row r="3016" spans="1:17" x14ac:dyDescent="0.25">
      <c r="A3016" s="5" t="str">
        <f>IF(TRIM(I3016)="","",E3016)</f>
        <v>Cinematographer</v>
      </c>
      <c r="B3016" s="5" t="str">
        <f>IF(TRIM(J3016)="","",H3016)</f>
        <v>The video Cinematographer information.</v>
      </c>
      <c r="C3016" s="5" t="str">
        <f>LEFT(F3016,FIND(".",F3016,6))</f>
        <v>Xmp.video.</v>
      </c>
      <c r="D3016" s="5" t="str">
        <f>VLOOKUP(C3016,PrefixUebersetzung,2,FALSE)</f>
        <v>Xmp.video.</v>
      </c>
      <c r="E3016" s="5" t="str">
        <f>MID(F3016,FIND(".",F3016,6)+1,99)</f>
        <v>Cinematographer</v>
      </c>
      <c r="F3016" s="23" t="s">
        <v>5789</v>
      </c>
      <c r="G3016" s="5" t="s">
        <v>9678</v>
      </c>
      <c r="H3016" s="10" t="s">
        <v>5790</v>
      </c>
      <c r="I3016" s="7" t="s">
        <v>6495</v>
      </c>
      <c r="J3016" s="8" t="s">
        <v>6349</v>
      </c>
      <c r="K3016" s="26"/>
      <c r="N3016" s="6"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O3016" s="6" t="s">
        <v>8574</v>
      </c>
      <c r="P3016" s="6" t="s">
        <v>8574</v>
      </c>
      <c r="Q3016" s="6" t="s">
        <v>9539</v>
      </c>
    </row>
    <row r="3017" spans="1:17" ht="30" x14ac:dyDescent="0.25">
      <c r="A3017" s="5" t="str">
        <f>IF(TRIM(I3017)="","",E3017)</f>
        <v/>
      </c>
      <c r="B3017" s="5" t="str">
        <f>IF(TRIM(J3017)="","",H3017)</f>
        <v>Clean aperture height in pixels</v>
      </c>
      <c r="C3017" s="5" t="str">
        <f>LEFT(F3017,FIND(".",F3017,6))</f>
        <v>Xmp.video.</v>
      </c>
      <c r="D3017" s="5" t="str">
        <f>VLOOKUP(C3017,PrefixUebersetzung,2,FALSE)</f>
        <v>Xmp.video.</v>
      </c>
      <c r="E3017" s="5" t="str">
        <f>MID(F3017,FIND(".",F3017,6)+1,99)</f>
        <v>CleanApertureHeight</v>
      </c>
      <c r="F3017" s="23" t="s">
        <v>5791</v>
      </c>
      <c r="G3017" s="5" t="s">
        <v>9678</v>
      </c>
      <c r="H3017" s="10" t="s">
        <v>5792</v>
      </c>
      <c r="I3017" s="7"/>
      <c r="J3017" s="8" t="s">
        <v>6350</v>
      </c>
      <c r="K3017" s="26"/>
      <c r="N3017" s="6"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xml:space="preserve">Suffix not translated </v>
      </c>
      <c r="O3017" s="6" t="s">
        <v>8574</v>
      </c>
      <c r="P3017" s="6" t="s">
        <v>8574</v>
      </c>
      <c r="Q3017" s="6" t="s">
        <v>9200</v>
      </c>
    </row>
    <row r="3018" spans="1:17" ht="30" x14ac:dyDescent="0.25">
      <c r="A3018" s="5" t="str">
        <f>IF(TRIM(I3018)="","",E3018)</f>
        <v/>
      </c>
      <c r="B3018" s="5" t="str">
        <f>IF(TRIM(J3018)="","",H3018)</f>
        <v>Clean aperture width in pixels</v>
      </c>
      <c r="C3018" s="5" t="str">
        <f>LEFT(F3018,FIND(".",F3018,6))</f>
        <v>Xmp.video.</v>
      </c>
      <c r="D3018" s="5" t="str">
        <f>VLOOKUP(C3018,PrefixUebersetzung,2,FALSE)</f>
        <v>Xmp.video.</v>
      </c>
      <c r="E3018" s="5" t="str">
        <f>MID(F3018,FIND(".",F3018,6)+1,99)</f>
        <v>CleanApertureWidth</v>
      </c>
      <c r="F3018" s="23" t="s">
        <v>5793</v>
      </c>
      <c r="G3018" s="5" t="s">
        <v>9678</v>
      </c>
      <c r="H3018" s="10" t="s">
        <v>5794</v>
      </c>
      <c r="I3018" s="7"/>
      <c r="J3018" s="8" t="s">
        <v>6351</v>
      </c>
      <c r="K3018" s="26"/>
      <c r="N3018" s="6"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xml:space="preserve">Suffix not translated </v>
      </c>
      <c r="O3018" s="6" t="s">
        <v>8574</v>
      </c>
      <c r="P3018" s="6" t="s">
        <v>8574</v>
      </c>
      <c r="Q3018" s="6" t="s">
        <v>9200</v>
      </c>
    </row>
    <row r="3019" spans="1:17" ht="45" x14ac:dyDescent="0.25">
      <c r="A3019" s="5" t="str">
        <f>IF(TRIM(I3019)="","",E3019)</f>
        <v/>
      </c>
      <c r="B3019" s="5" t="str">
        <f>IF(TRIM(J3019)="","",H3019)</f>
        <v>The video codec information. Informs about the encoding algorithm of video. Codec Info is required for video playback.</v>
      </c>
      <c r="C3019" s="5" t="str">
        <f>LEFT(F3019,FIND(".",F3019,6))</f>
        <v>Xmp.video.</v>
      </c>
      <c r="D3019" s="5" t="str">
        <f>VLOOKUP(C3019,PrefixUebersetzung,2,FALSE)</f>
        <v>Xmp.video.</v>
      </c>
      <c r="E3019" s="5" t="str">
        <f>MID(F3019,FIND(".",F3019,6)+1,99)</f>
        <v>Codec</v>
      </c>
      <c r="F3019" s="23" t="s">
        <v>5795</v>
      </c>
      <c r="G3019" s="5" t="s">
        <v>9678</v>
      </c>
      <c r="H3019" s="10" t="s">
        <v>5796</v>
      </c>
      <c r="I3019" s="7"/>
      <c r="J3019" s="8" t="s">
        <v>6792</v>
      </c>
      <c r="K3019" s="26"/>
      <c r="L3019" s="6" t="str">
        <f>IFERROR(VLOOKUP(E3019,A:I,9, FALSE),"")</f>
        <v>Codec</v>
      </c>
      <c r="N3019" s="6"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P3019" s="6" t="s">
        <v>8574</v>
      </c>
    </row>
    <row r="3020" spans="1:17" ht="30" x14ac:dyDescent="0.25">
      <c r="A3020" s="5" t="str">
        <f>IF(TRIM(I3020)="","",E3020)</f>
        <v/>
      </c>
      <c r="B3020" s="5" t="str">
        <f>IF(TRIM(J3020)="","",H3020)</f>
        <v>Contains information the video Codec Decode All, i.e. Enabled/Disabled</v>
      </c>
      <c r="C3020" s="5" t="str">
        <f>LEFT(F3020,FIND(".",F3020,6))</f>
        <v>Xmp.video.</v>
      </c>
      <c r="D3020" s="5" t="str">
        <f>VLOOKUP(C3020,PrefixUebersetzung,2,FALSE)</f>
        <v>Xmp.video.</v>
      </c>
      <c r="E3020" s="5" t="str">
        <f>MID(F3020,FIND(".",F3020,6)+1,99)</f>
        <v>CodecDecodeAll</v>
      </c>
      <c r="F3020" s="23" t="s">
        <v>5797</v>
      </c>
      <c r="G3020" s="5" t="s">
        <v>9678</v>
      </c>
      <c r="H3020" s="10" t="s">
        <v>5798</v>
      </c>
      <c r="I3020" s="7"/>
      <c r="J3020" s="8" t="s">
        <v>6795</v>
      </c>
      <c r="K3020" s="26"/>
      <c r="L3020" s="6" t="str">
        <f>IFERROR(VLOOKUP(E3020,A:I,9, FALSE),"")</f>
        <v/>
      </c>
      <c r="N3020" s="6"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v>
      </c>
      <c r="P3020" s="6" t="s">
        <v>8574</v>
      </c>
    </row>
    <row r="3021" spans="1:17" x14ac:dyDescent="0.25">
      <c r="A3021" s="5" t="str">
        <f>IF(TRIM(I3021)="","",E3021)</f>
        <v/>
      </c>
      <c r="B3021" s="5" t="str">
        <f>IF(TRIM(J3021)="","",H3021)</f>
        <v/>
      </c>
      <c r="C3021" s="5" t="str">
        <f>LEFT(F3021,FIND(".",F3021,6))</f>
        <v>Xmp.video.</v>
      </c>
      <c r="D3021" s="5" t="str">
        <f>VLOOKUP(C3021,PrefixUebersetzung,2,FALSE)</f>
        <v>Xmp.video.</v>
      </c>
      <c r="E3021" s="5" t="str">
        <f>MID(F3021,FIND(".",F3021,6)+1,99)</f>
        <v>CodecDescription</v>
      </c>
      <c r="F3021" s="23" t="s">
        <v>5799</v>
      </c>
      <c r="G3021" s="5" t="s">
        <v>9678</v>
      </c>
      <c r="H3021" s="10" t="s">
        <v>5686</v>
      </c>
      <c r="I3021" s="7"/>
      <c r="J3021" s="8"/>
      <c r="K3021" s="26"/>
      <c r="L3021" s="6" t="str">
        <f>IFERROR(VLOOKUP(E3021,A:I,9, FALSE),"")</f>
        <v>Codec Beschreibung</v>
      </c>
      <c r="M3021" s="6" t="str">
        <f>IFERROR(VLOOKUP(H3021,B:J,9,FALSE),"")</f>
        <v>Enthält Beschreibung des Codecs.</v>
      </c>
      <c r="N3021" s="6"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row>
    <row r="3022" spans="1:17" ht="30" x14ac:dyDescent="0.25">
      <c r="A3022" s="5" t="str">
        <f>IF(TRIM(I3022)="","",E3022)</f>
        <v/>
      </c>
      <c r="B3022" s="5" t="str">
        <f>IF(TRIM(J3022)="","",H3022)</f>
        <v>Video Codec Download URL.</v>
      </c>
      <c r="C3022" s="5" t="str">
        <f>LEFT(F3022,FIND(".",F3022,6))</f>
        <v>Xmp.video.</v>
      </c>
      <c r="D3022" s="5" t="str">
        <f>VLOOKUP(C3022,PrefixUebersetzung,2,FALSE)</f>
        <v>Xmp.video.</v>
      </c>
      <c r="E3022" s="5" t="str">
        <f>MID(F3022,FIND(".",F3022,6)+1,99)</f>
        <v>CodecDownloadUrl</v>
      </c>
      <c r="F3022" s="23" t="s">
        <v>5800</v>
      </c>
      <c r="G3022" s="5" t="s">
        <v>9678</v>
      </c>
      <c r="H3022" s="10" t="s">
        <v>5801</v>
      </c>
      <c r="I3022" s="7"/>
      <c r="J3022" s="8" t="s">
        <v>6352</v>
      </c>
      <c r="K3022" s="26"/>
      <c r="L3022" s="6" t="str">
        <f>IFERROR(VLOOKUP(E3022,A:I,9, FALSE),"")</f>
        <v>Audio-Codec-Download-URL</v>
      </c>
      <c r="N3022" s="6"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P3022" s="6" t="s">
        <v>8574</v>
      </c>
    </row>
    <row r="3023" spans="1:17" ht="30" x14ac:dyDescent="0.25">
      <c r="A3023" s="5" t="str">
        <f>IF(TRIM(I3023)="","",E3023)</f>
        <v/>
      </c>
      <c r="B3023" s="5" t="str">
        <f>IF(TRIM(J3023)="","",H3023)</f>
        <v>Contains information the codec needs before decoding can be started.</v>
      </c>
      <c r="C3023" s="5" t="str">
        <f>LEFT(F3023,FIND(".",F3023,6))</f>
        <v>Xmp.video.</v>
      </c>
      <c r="D3023" s="5" t="str">
        <f>VLOOKUP(C3023,PrefixUebersetzung,2,FALSE)</f>
        <v>Xmp.video.</v>
      </c>
      <c r="E3023" s="5" t="str">
        <f>MID(F3023,FIND(".",F3023,6)+1,99)</f>
        <v>CodecInfo</v>
      </c>
      <c r="F3023" s="23" t="s">
        <v>5802</v>
      </c>
      <c r="G3023" s="5" t="s">
        <v>9678</v>
      </c>
      <c r="H3023" s="10" t="s">
        <v>5803</v>
      </c>
      <c r="I3023" s="7"/>
      <c r="J3023" s="8" t="s">
        <v>6797</v>
      </c>
      <c r="K3023" s="26"/>
      <c r="L3023" s="6" t="str">
        <f>IFERROR(VLOOKUP(E3023,A:I,9, FALSE),"")</f>
        <v>Codec Info</v>
      </c>
      <c r="N3023" s="6"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P3023" s="6" t="s">
        <v>8574</v>
      </c>
    </row>
    <row r="3024" spans="1:17" ht="45" x14ac:dyDescent="0.25">
      <c r="A3024" s="5" t="str">
        <f>IF(TRIM(I3024)="","",E3024)</f>
        <v/>
      </c>
      <c r="B3024" s="5" t="str">
        <f>IF(TRIM(J3024)="","",H3024)</f>
        <v/>
      </c>
      <c r="C3024" s="5" t="str">
        <f>LEFT(F3024,FIND(".",F3024,6))</f>
        <v>Xmp.video.</v>
      </c>
      <c r="D3024" s="5" t="str">
        <f>VLOOKUP(C3024,PrefixUebersetzung,2,FALSE)</f>
        <v>Xmp.video.</v>
      </c>
      <c r="E3024" s="5" t="str">
        <f>MID(F3024,FIND(".",F3024,6)+1,99)</f>
        <v>CodecSettings</v>
      </c>
      <c r="F3024" s="23" t="s">
        <v>5804</v>
      </c>
      <c r="G3024" s="5" t="s">
        <v>9678</v>
      </c>
      <c r="H3024" s="10" t="s">
        <v>5692</v>
      </c>
      <c r="I3024" s="7"/>
      <c r="J3024" s="8"/>
      <c r="K3024" s="26"/>
      <c r="L3024" s="6" t="str">
        <f>IFERROR(VLOOKUP(E3024,A:I,9, FALSE),"")</f>
        <v>Codec Einstellungen</v>
      </c>
      <c r="M3024" s="6" t="str">
        <f>IFERROR(VLOOKUP(H3024,B:J,9,FALSE),"")</f>
        <v>Enthält Einstellungen, die der Codec benötigt, bevor die Decodierung gestartet werden kann.</v>
      </c>
      <c r="N3024" s="6"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row>
    <row r="3025" spans="1:17" x14ac:dyDescent="0.25">
      <c r="A3025" s="5" t="str">
        <f>IF(TRIM(I3025)="","",E3025)</f>
        <v/>
      </c>
      <c r="B3025" s="5" t="str">
        <f>IF(TRIM(J3025)="","",H3025)</f>
        <v/>
      </c>
      <c r="C3025" s="5" t="str">
        <f>LEFT(F3025,FIND(".",F3025,6))</f>
        <v>Xmp.video.</v>
      </c>
      <c r="D3025" s="5" t="str">
        <f>VLOOKUP(C3025,PrefixUebersetzung,2,FALSE)</f>
        <v>Xmp.video.</v>
      </c>
      <c r="E3025" s="5" t="str">
        <f>MID(F3025,FIND(".",F3025,6)+1,99)</f>
        <v>ColorMode</v>
      </c>
      <c r="F3025" s="23" t="s">
        <v>5805</v>
      </c>
      <c r="G3025" s="5" t="s">
        <v>9678</v>
      </c>
      <c r="H3025" s="10" t="s">
        <v>3136</v>
      </c>
      <c r="I3025" s="7"/>
      <c r="J3025" s="8"/>
      <c r="K3025" s="26"/>
      <c r="L3025" s="6" t="str">
        <f>IFERROR(VLOOKUP(E3025,A:I,9, FALSE),"")</f>
        <v>Farbmodus</v>
      </c>
      <c r="M3025" s="6" t="str">
        <f>IFERROR(VLOOKUP(H3025,B:J,9,FALSE),"")</f>
        <v>Farbmodus</v>
      </c>
      <c r="N3025" s="6"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row>
    <row r="3026" spans="1:17" ht="30" x14ac:dyDescent="0.25">
      <c r="A3026" s="5" t="str">
        <f>IF(TRIM(I3026)="","",E3026)</f>
        <v/>
      </c>
      <c r="B3026" s="5" t="str">
        <f>IF(TRIM(J3026)="","",H3026)</f>
        <v/>
      </c>
      <c r="C3026" s="5" t="str">
        <f>LEFT(F3026,FIND(".",F3026,6))</f>
        <v>Xmp.video.</v>
      </c>
      <c r="D3026" s="5" t="str">
        <f>VLOOKUP(C3026,PrefixUebersetzung,2,FALSE)</f>
        <v>Xmp.video.</v>
      </c>
      <c r="E3026" s="5" t="str">
        <f>MID(F3026,FIND(".",F3026,6)+1,99)</f>
        <v>ColorNoiseReduction</v>
      </c>
      <c r="F3026" s="23" t="s">
        <v>5806</v>
      </c>
      <c r="G3026" s="5" t="s">
        <v>9678</v>
      </c>
      <c r="H3026" s="10" t="s">
        <v>9693</v>
      </c>
      <c r="I3026" s="7"/>
      <c r="J3026" s="8"/>
      <c r="K3026" s="26"/>
      <c r="L3026" s="6" t="str">
        <f>IFERROR(VLOOKUP(E3026,A:I,9, FALSE),"")</f>
        <v>Farbrauschenreduktion</v>
      </c>
      <c r="M3026" s="6" t="str">
        <f>IFERROR(VLOOKUP(H3026,B:J,9,FALSE),"")</f>
        <v>Farbrauschen-Reduktions-Einstellung. Bereich 0-100.</v>
      </c>
      <c r="N3026" s="6"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row>
    <row r="3027" spans="1:17" ht="45" x14ac:dyDescent="0.25">
      <c r="A3027" s="5" t="str">
        <f>IF(TRIM(I3027)="","",E3027)</f>
        <v/>
      </c>
      <c r="B3027" s="5" t="str">
        <f>IF(TRIM(J3027)="","",H3027)</f>
        <v>The color space. One of: sRGB (used by Photoshop), CCIR-601 (used for NTSC), CCIR-709 (used for HD).</v>
      </c>
      <c r="C3027" s="5" t="str">
        <f>LEFT(F3027,FIND(".",F3027,6))</f>
        <v>Xmp.video.</v>
      </c>
      <c r="D3027" s="5" t="str">
        <f>VLOOKUP(C3027,PrefixUebersetzung,2,FALSE)</f>
        <v>Xmp.video.</v>
      </c>
      <c r="E3027" s="5" t="str">
        <f>MID(F3027,FIND(".",F3027,6)+1,99)</f>
        <v>ColorSpace</v>
      </c>
      <c r="F3027" s="23" t="s">
        <v>5807</v>
      </c>
      <c r="G3027" s="5" t="s">
        <v>9678</v>
      </c>
      <c r="H3027" s="10" t="s">
        <v>3674</v>
      </c>
      <c r="I3027" s="7"/>
      <c r="J3027" s="8" t="s">
        <v>5427</v>
      </c>
      <c r="K3027" s="26"/>
      <c r="L3027" s="6" t="str">
        <f>IFERROR(VLOOKUP(E3027,A:I,9, FALSE),"")</f>
        <v>Farbraum</v>
      </c>
      <c r="M3027" s="6" t="str">
        <f>IFERROR(VLOOKUP(H3027,B:J,9,FALSE),"")</f>
        <v>Der Farbraum. Gültige Werte: sRGB (verwendet von Photoshop), CCIR-601 (für NTSC), CCIR-709 (für HD).</v>
      </c>
      <c r="N3027" s="6"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P3027" s="6" t="s">
        <v>8574</v>
      </c>
    </row>
    <row r="3028" spans="1:17" x14ac:dyDescent="0.25">
      <c r="A3028" s="5" t="str">
        <f>IF(TRIM(I3028)="","",E3028)</f>
        <v>Comment</v>
      </c>
      <c r="B3028" s="5" t="str">
        <f>IF(TRIM(J3028)="","",H3028)</f>
        <v>Information about the Comment.</v>
      </c>
      <c r="C3028" s="5" t="str">
        <f>LEFT(F3028,FIND(".",F3028,6))</f>
        <v>Xmp.video.</v>
      </c>
      <c r="D3028" s="5" t="str">
        <f>VLOOKUP(C3028,PrefixUebersetzung,2,FALSE)</f>
        <v>Xmp.video.</v>
      </c>
      <c r="E3028" s="5" t="str">
        <f>MID(F3028,FIND(".",F3028,6)+1,99)</f>
        <v>Comment</v>
      </c>
      <c r="F3028" s="23" t="s">
        <v>5808</v>
      </c>
      <c r="G3028" s="5" t="s">
        <v>9678</v>
      </c>
      <c r="H3028" s="10" t="s">
        <v>5809</v>
      </c>
      <c r="I3028" s="7" t="s">
        <v>6496</v>
      </c>
      <c r="J3028" s="8" t="s">
        <v>6353</v>
      </c>
      <c r="K3028" s="26"/>
      <c r="L3028" s="6" t="str">
        <f>IFERROR(VLOOKUP(E3028,A:I,9, FALSE),"")</f>
        <v>Kommentar</v>
      </c>
      <c r="N3028" s="6"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O3028" s="6" t="s">
        <v>8574</v>
      </c>
      <c r="P3028" s="6" t="s">
        <v>8574</v>
      </c>
    </row>
    <row r="3029" spans="1:17" x14ac:dyDescent="0.25">
      <c r="A3029" s="5" t="str">
        <f>IF(TRIM(I3029)="","",E3029)</f>
        <v>Commissioned</v>
      </c>
      <c r="B3029" s="5" t="str">
        <f>IF(TRIM(J3029)="","",H3029)</f>
        <v>Commissioned.</v>
      </c>
      <c r="C3029" s="5" t="str">
        <f>LEFT(F3029,FIND(".",F3029,6))</f>
        <v>Xmp.video.</v>
      </c>
      <c r="D3029" s="5" t="str">
        <f>VLOOKUP(C3029,PrefixUebersetzung,2,FALSE)</f>
        <v>Xmp.video.</v>
      </c>
      <c r="E3029" s="5" t="str">
        <f>MID(F3029,FIND(".",F3029,6)+1,99)</f>
        <v>Commissioned</v>
      </c>
      <c r="F3029" s="23" t="s">
        <v>5810</v>
      </c>
      <c r="G3029" s="5" t="s">
        <v>9678</v>
      </c>
      <c r="H3029" s="10" t="s">
        <v>5811</v>
      </c>
      <c r="I3029" s="7" t="s">
        <v>6497</v>
      </c>
      <c r="J3029" s="8" t="s">
        <v>6354</v>
      </c>
      <c r="K3029" s="26"/>
      <c r="N3029" s="6"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c>
      <c r="O3029" s="6" t="s">
        <v>8574</v>
      </c>
      <c r="P3029" s="6" t="s">
        <v>8574</v>
      </c>
      <c r="Q3029" s="6" t="s">
        <v>9211</v>
      </c>
    </row>
    <row r="3030" spans="1:17" x14ac:dyDescent="0.25">
      <c r="A3030" s="5" t="str">
        <f>IF(TRIM(I3030)="","",E3030)</f>
        <v/>
      </c>
      <c r="B3030" s="5" t="str">
        <f>IF(TRIM(J3030)="","",H3030)</f>
        <v>Other QuickTime Compatible FileType Brand</v>
      </c>
      <c r="C3030" s="5" t="str">
        <f>LEFT(F3030,FIND(".",F3030,6))</f>
        <v>Xmp.video.</v>
      </c>
      <c r="D3030" s="5" t="str">
        <f>VLOOKUP(C3030,PrefixUebersetzung,2,FALSE)</f>
        <v>Xmp.video.</v>
      </c>
      <c r="E3030" s="5" t="str">
        <f>MID(F3030,FIND(".",F3030,6)+1,99)</f>
        <v>CompatibleBrands</v>
      </c>
      <c r="F3030" s="23" t="s">
        <v>5812</v>
      </c>
      <c r="G3030" s="5" t="s">
        <v>9678</v>
      </c>
      <c r="H3030" s="10" t="s">
        <v>5813</v>
      </c>
      <c r="I3030" s="7"/>
      <c r="J3030" s="8" t="s">
        <v>6798</v>
      </c>
      <c r="K3030" s="26"/>
      <c r="N3030" s="6"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v>
      </c>
      <c r="O3030" s="6" t="s">
        <v>8574</v>
      </c>
      <c r="P3030" s="6" t="s">
        <v>8574</v>
      </c>
    </row>
    <row r="3031" spans="1:17" x14ac:dyDescent="0.25">
      <c r="A3031" s="5" t="str">
        <f>IF(TRIM(I3031)="","",E3031)</f>
        <v>Composer</v>
      </c>
      <c r="B3031" s="5" t="str">
        <f>IF(TRIM(J3031)="","",H3031)</f>
        <v>Information about the Composer.</v>
      </c>
      <c r="C3031" s="5" t="str">
        <f>LEFT(F3031,FIND(".",F3031,6))</f>
        <v>Xmp.video.</v>
      </c>
      <c r="D3031" s="5" t="str">
        <f>VLOOKUP(C3031,PrefixUebersetzung,2,FALSE)</f>
        <v>Xmp.video.</v>
      </c>
      <c r="E3031" s="5" t="str">
        <f>MID(F3031,FIND(".",F3031,6)+1,99)</f>
        <v>Composer</v>
      </c>
      <c r="F3031" s="23" t="s">
        <v>5814</v>
      </c>
      <c r="G3031" s="5" t="s">
        <v>9678</v>
      </c>
      <c r="H3031" s="10" t="s">
        <v>5815</v>
      </c>
      <c r="I3031" s="7" t="s">
        <v>4618</v>
      </c>
      <c r="J3031" s="8" t="s">
        <v>6355</v>
      </c>
      <c r="K3031" s="26"/>
      <c r="L3031" s="6" t="str">
        <f>IFERROR(VLOOKUP(E3031,A:I,9, FALSE),"")</f>
        <v>Komponist</v>
      </c>
      <c r="N3031" s="6"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O3031" s="6" t="s">
        <v>8574</v>
      </c>
      <c r="P3031" s="6" t="s">
        <v>8574</v>
      </c>
    </row>
    <row r="3032" spans="1:17" x14ac:dyDescent="0.25">
      <c r="A3032" s="5" t="str">
        <f>IF(TRIM(I3032)="","",E3032)</f>
        <v>ComposerKeywords</v>
      </c>
      <c r="B3032" s="5" t="str">
        <f>IF(TRIM(J3032)="","",H3032)</f>
        <v>Information about the Composer Keywords.</v>
      </c>
      <c r="C3032" s="5" t="str">
        <f>LEFT(F3032,FIND(".",F3032,6))</f>
        <v>Xmp.video.</v>
      </c>
      <c r="D3032" s="5" t="str">
        <f>VLOOKUP(C3032,PrefixUebersetzung,2,FALSE)</f>
        <v>Xmp.video.</v>
      </c>
      <c r="E3032" s="5" t="str">
        <f>MID(F3032,FIND(".",F3032,6)+1,99)</f>
        <v>ComposerKeywords</v>
      </c>
      <c r="F3032" s="23" t="s">
        <v>5816</v>
      </c>
      <c r="G3032" s="5" t="s">
        <v>9678</v>
      </c>
      <c r="H3032" s="10" t="s">
        <v>5817</v>
      </c>
      <c r="I3032" s="7" t="s">
        <v>6498</v>
      </c>
      <c r="J3032" s="8" t="s">
        <v>6799</v>
      </c>
      <c r="K3032" s="26"/>
      <c r="N3032" s="6"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6" t="s">
        <v>8574</v>
      </c>
      <c r="P3032" s="6" t="s">
        <v>8574</v>
      </c>
    </row>
    <row r="3033" spans="1:17" x14ac:dyDescent="0.25">
      <c r="A3033" s="5" t="str">
        <f>IF(TRIM(I3033)="","",E3033)</f>
        <v/>
      </c>
      <c r="B3033" s="5" t="str">
        <f>IF(TRIM(J3033)="","",H3033)</f>
        <v>Video Compression Library Used</v>
      </c>
      <c r="C3033" s="5" t="str">
        <f>LEFT(F3033,FIND(".",F3033,6))</f>
        <v>Xmp.video.</v>
      </c>
      <c r="D3033" s="5" t="str">
        <f>VLOOKUP(C3033,PrefixUebersetzung,2,FALSE)</f>
        <v>Xmp.video.</v>
      </c>
      <c r="E3033" s="5" t="str">
        <f>MID(F3033,FIND(".",F3033,6)+1,99)</f>
        <v>Compressor</v>
      </c>
      <c r="F3033" s="23" t="s">
        <v>5818</v>
      </c>
      <c r="G3033" s="5" t="s">
        <v>9678</v>
      </c>
      <c r="H3033" s="10" t="s">
        <v>5819</v>
      </c>
      <c r="I3033" s="24"/>
      <c r="J3033" s="8" t="s">
        <v>6851</v>
      </c>
      <c r="K3033" s="26"/>
      <c r="L3033" s="6" t="str">
        <f>IFERROR(VLOOKUP(E3033,A:I,9, FALSE),"")</f>
        <v>Komprimierer</v>
      </c>
      <c r="N3033" s="6"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P3033" s="6" t="s">
        <v>8574</v>
      </c>
      <c r="Q3033" s="6" t="s">
        <v>9551</v>
      </c>
    </row>
    <row r="3034" spans="1:17" ht="30" x14ac:dyDescent="0.25">
      <c r="A3034" s="5" t="str">
        <f>IF(TRIM(I3034)="","",E3034)</f>
        <v>CompressorID</v>
      </c>
      <c r="B3034" s="5" t="str">
        <f>IF(TRIM(J3034)="","",H3034)</f>
        <v>Video Compression ID of Technology/Codec Used</v>
      </c>
      <c r="C3034" s="5" t="str">
        <f>LEFT(F3034,FIND(".",F3034,6))</f>
        <v>Xmp.video.</v>
      </c>
      <c r="D3034" s="5" t="str">
        <f>VLOOKUP(C3034,PrefixUebersetzung,2,FALSE)</f>
        <v>Xmp.video.</v>
      </c>
      <c r="E3034" s="5" t="str">
        <f>MID(F3034,FIND(".",F3034,6)+1,99)</f>
        <v>CompressorID</v>
      </c>
      <c r="F3034" s="23" t="s">
        <v>5820</v>
      </c>
      <c r="G3034" s="5" t="s">
        <v>9678</v>
      </c>
      <c r="H3034" s="10" t="s">
        <v>5821</v>
      </c>
      <c r="I3034" s="24" t="s">
        <v>6855</v>
      </c>
      <c r="J3034" s="8" t="s">
        <v>6852</v>
      </c>
      <c r="K3034" s="26"/>
      <c r="N3034" s="6"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O3034" s="6" t="s">
        <v>8574</v>
      </c>
      <c r="P3034" s="6" t="s">
        <v>8574</v>
      </c>
    </row>
    <row r="3035" spans="1:17" x14ac:dyDescent="0.25">
      <c r="A3035" s="5" t="str">
        <f>IF(TRIM(I3035)="","",E3035)</f>
        <v>CompressorVersion</v>
      </c>
      <c r="B3035" s="5" t="str">
        <f>IF(TRIM(J3035)="","",H3035)</f>
        <v>Information about the Compressor Version.</v>
      </c>
      <c r="C3035" s="5" t="str">
        <f>LEFT(F3035,FIND(".",F3035,6))</f>
        <v>Xmp.video.</v>
      </c>
      <c r="D3035" s="5" t="str">
        <f>VLOOKUP(C3035,PrefixUebersetzung,2,FALSE)</f>
        <v>Xmp.video.</v>
      </c>
      <c r="E3035" s="5" t="str">
        <f>MID(F3035,FIND(".",F3035,6)+1,99)</f>
        <v>CompressorVersion</v>
      </c>
      <c r="F3035" s="23" t="s">
        <v>5822</v>
      </c>
      <c r="G3035" s="5" t="s">
        <v>9678</v>
      </c>
      <c r="H3035" s="10" t="s">
        <v>5823</v>
      </c>
      <c r="I3035" s="24" t="s">
        <v>6854</v>
      </c>
      <c r="J3035" s="8" t="s">
        <v>6853</v>
      </c>
      <c r="K3035" s="26"/>
      <c r="N3035" s="6"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c>
      <c r="O3035" s="6" t="s">
        <v>8574</v>
      </c>
      <c r="P3035" s="6" t="s">
        <v>8574</v>
      </c>
    </row>
    <row r="3036" spans="1:17" x14ac:dyDescent="0.25">
      <c r="A3036" s="5" t="str">
        <f>IF(TRIM(I3036)="","",E3036)</f>
        <v>Container</v>
      </c>
      <c r="B3036" s="5" t="str">
        <f>IF(TRIM(J3036)="","",H3036)</f>
        <v>Primary Metadata Container</v>
      </c>
      <c r="C3036" s="5" t="str">
        <f>LEFT(F3036,FIND(".",F3036,6))</f>
        <v>Xmp.video.</v>
      </c>
      <c r="D3036" s="5" t="str">
        <f>VLOOKUP(C3036,PrefixUebersetzung,2,FALSE)</f>
        <v>Xmp.video.</v>
      </c>
      <c r="E3036" s="5" t="str">
        <f>MID(F3036,FIND(".",F3036,6)+1,99)</f>
        <v>Container</v>
      </c>
      <c r="F3036" s="23" t="s">
        <v>5824</v>
      </c>
      <c r="G3036" s="5" t="s">
        <v>9678</v>
      </c>
      <c r="H3036" s="10" t="s">
        <v>5825</v>
      </c>
      <c r="I3036" s="7" t="s">
        <v>6499</v>
      </c>
      <c r="J3036" s="13" t="s">
        <v>6800</v>
      </c>
      <c r="K3036" s="26"/>
      <c r="N3036" s="6"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c>
      <c r="O3036" s="6" t="s">
        <v>8574</v>
      </c>
      <c r="P3036" s="6" t="s">
        <v>8574</v>
      </c>
    </row>
    <row r="3037" spans="1:17" x14ac:dyDescent="0.25">
      <c r="A3037" s="5" t="str">
        <f>IF(TRIM(I3037)="","",E3037)</f>
        <v/>
      </c>
      <c r="B3037" s="5" t="str">
        <f>IF(TRIM(J3037)="","",H3037)</f>
        <v>Content Compression Algorithm. Eg: zlib</v>
      </c>
      <c r="C3037" s="5" t="str">
        <f>LEFT(F3037,FIND(".",F3037,6))</f>
        <v>Xmp.video.</v>
      </c>
      <c r="D3037" s="5" t="str">
        <f>VLOOKUP(C3037,PrefixUebersetzung,2,FALSE)</f>
        <v>Xmp.video.</v>
      </c>
      <c r="E3037" s="5" t="str">
        <f>MID(F3037,FIND(".",F3037,6)+1,99)</f>
        <v>ContentCompressAlgo</v>
      </c>
      <c r="F3037" s="23" t="s">
        <v>5826</v>
      </c>
      <c r="G3037" s="5" t="s">
        <v>9678</v>
      </c>
      <c r="H3037" s="10" t="s">
        <v>5827</v>
      </c>
      <c r="I3037" s="7"/>
      <c r="J3037" s="8" t="s">
        <v>6801</v>
      </c>
      <c r="K3037" s="26"/>
      <c r="N3037" s="6"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xml:space="preserve">Suffix not translated </v>
      </c>
      <c r="O3037" s="6" t="s">
        <v>8574</v>
      </c>
      <c r="P3037" s="6" t="s">
        <v>8574</v>
      </c>
    </row>
    <row r="3038" spans="1:17" ht="30" x14ac:dyDescent="0.25">
      <c r="A3038" s="5" t="str">
        <f>IF(TRIM(I3038)="","",E3038)</f>
        <v/>
      </c>
      <c r="B3038" s="5" t="str">
        <f>IF(TRIM(J3038)="","",H3038)</f>
        <v>Content Encoding Type. Eg: Encryption or Compression</v>
      </c>
      <c r="C3038" s="5" t="str">
        <f>LEFT(F3038,FIND(".",F3038,6))</f>
        <v>Xmp.video.</v>
      </c>
      <c r="D3038" s="5" t="str">
        <f>VLOOKUP(C3038,PrefixUebersetzung,2,FALSE)</f>
        <v>Xmp.video.</v>
      </c>
      <c r="E3038" s="5" t="str">
        <f>MID(F3038,FIND(".",F3038,6)+1,99)</f>
        <v>ContentEncodingType</v>
      </c>
      <c r="F3038" s="23" t="s">
        <v>5828</v>
      </c>
      <c r="G3038" s="5" t="s">
        <v>9678</v>
      </c>
      <c r="H3038" s="10" t="s">
        <v>5829</v>
      </c>
      <c r="I3038" s="7"/>
      <c r="J3038" s="8" t="s">
        <v>6802</v>
      </c>
      <c r="K3038" s="26"/>
      <c r="N3038" s="6"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v>
      </c>
      <c r="O3038" s="6" t="s">
        <v>8574</v>
      </c>
      <c r="P3038" s="6" t="s">
        <v>8574</v>
      </c>
    </row>
    <row r="3039" spans="1:17" x14ac:dyDescent="0.25">
      <c r="A3039" s="5" t="str">
        <f>IF(TRIM(I3039)="","",E3039)</f>
        <v/>
      </c>
      <c r="B3039" s="5" t="str">
        <f>IF(TRIM(J3039)="","",H3039)</f>
        <v>Content Encryption Algorithm. Eg: Blowfish</v>
      </c>
      <c r="C3039" s="5" t="str">
        <f>LEFT(F3039,FIND(".",F3039,6))</f>
        <v>Xmp.video.</v>
      </c>
      <c r="D3039" s="5" t="str">
        <f>VLOOKUP(C3039,PrefixUebersetzung,2,FALSE)</f>
        <v>Xmp.video.</v>
      </c>
      <c r="E3039" s="5" t="str">
        <f>MID(F3039,FIND(".",F3039,6)+1,99)</f>
        <v>ContentEncryptAlgo</v>
      </c>
      <c r="F3039" s="23" t="s">
        <v>5830</v>
      </c>
      <c r="G3039" s="5" t="s">
        <v>9678</v>
      </c>
      <c r="H3039" s="10" t="s">
        <v>5831</v>
      </c>
      <c r="I3039" s="7"/>
      <c r="J3039" s="8" t="s">
        <v>6803</v>
      </c>
      <c r="K3039" s="26"/>
      <c r="N3039" s="6"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v>
      </c>
      <c r="O3039" s="6" t="s">
        <v>8574</v>
      </c>
      <c r="P3039" s="6" t="s">
        <v>8574</v>
      </c>
    </row>
    <row r="3040" spans="1:17" x14ac:dyDescent="0.25">
      <c r="A3040" s="5" t="str">
        <f>IF(TRIM(I3040)="","",E3040)</f>
        <v/>
      </c>
      <c r="B3040" s="5" t="str">
        <f>IF(TRIM(J3040)="","",H3040)</f>
        <v>Content Signature Algorithm. Eg: RSA</v>
      </c>
      <c r="C3040" s="5" t="str">
        <f>LEFT(F3040,FIND(".",F3040,6))</f>
        <v>Xmp.video.</v>
      </c>
      <c r="D3040" s="5" t="str">
        <f>VLOOKUP(C3040,PrefixUebersetzung,2,FALSE)</f>
        <v>Xmp.video.</v>
      </c>
      <c r="E3040" s="5" t="str">
        <f>MID(F3040,FIND(".",F3040,6)+1,99)</f>
        <v>ContentSignAlgo</v>
      </c>
      <c r="F3040" s="23" t="s">
        <v>5832</v>
      </c>
      <c r="G3040" s="5" t="s">
        <v>9678</v>
      </c>
      <c r="H3040" s="10" t="s">
        <v>5833</v>
      </c>
      <c r="I3040" s="7"/>
      <c r="J3040" s="8" t="s">
        <v>6804</v>
      </c>
      <c r="K3040" s="26"/>
      <c r="N3040" s="6"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xml:space="preserve">Suffix not translated </v>
      </c>
      <c r="O3040" s="6" t="s">
        <v>8574</v>
      </c>
      <c r="P3040" s="6" t="s">
        <v>8574</v>
      </c>
    </row>
    <row r="3041" spans="1:17" ht="30" x14ac:dyDescent="0.25">
      <c r="A3041" s="5" t="str">
        <f>IF(TRIM(I3041)="","",E3041)</f>
        <v/>
      </c>
      <c r="B3041" s="5" t="str">
        <f>IF(TRIM(J3041)="","",H3041)</f>
        <v>Content Signature Hash Algorithm. Eg: SHA1-160 or MD5</v>
      </c>
      <c r="C3041" s="5" t="str">
        <f>LEFT(F3041,FIND(".",F3041,6))</f>
        <v>Xmp.video.</v>
      </c>
      <c r="D3041" s="5" t="str">
        <f>VLOOKUP(C3041,PrefixUebersetzung,2,FALSE)</f>
        <v>Xmp.video.</v>
      </c>
      <c r="E3041" s="5" t="str">
        <f>MID(F3041,FIND(".",F3041,6)+1,99)</f>
        <v>ContentSignHashAlgo</v>
      </c>
      <c r="F3041" s="23" t="s">
        <v>5834</v>
      </c>
      <c r="G3041" s="5" t="s">
        <v>9678</v>
      </c>
      <c r="H3041" s="10" t="s">
        <v>5835</v>
      </c>
      <c r="I3041" s="7"/>
      <c r="J3041" s="8" t="s">
        <v>6805</v>
      </c>
      <c r="K3041" s="26"/>
      <c r="N3041" s="6"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xml:space="preserve">Suffix not translated </v>
      </c>
      <c r="O3041" s="6" t="s">
        <v>8574</v>
      </c>
      <c r="P3041" s="6" t="s">
        <v>8574</v>
      </c>
    </row>
    <row r="3042" spans="1:17" ht="30" x14ac:dyDescent="0.25">
      <c r="A3042" s="5" t="str">
        <f>IF(TRIM(I3042)="","",E3042)</f>
        <v/>
      </c>
      <c r="B3042" s="5" t="str">
        <f>IF(TRIM(J3042)="","",H3042)</f>
        <v>Indicates the direction of contrast processing applied by the camera.</v>
      </c>
      <c r="C3042" s="5" t="str">
        <f>LEFT(F3042,FIND(".",F3042,6))</f>
        <v>Xmp.video.</v>
      </c>
      <c r="D3042" s="5" t="str">
        <f>VLOOKUP(C3042,PrefixUebersetzung,2,FALSE)</f>
        <v>Xmp.video.</v>
      </c>
      <c r="E3042" s="5" t="str">
        <f>MID(F3042,FIND(".",F3042,6)+1,99)</f>
        <v>Contrast</v>
      </c>
      <c r="F3042" s="23" t="s">
        <v>5836</v>
      </c>
      <c r="G3042" s="5" t="s">
        <v>9678</v>
      </c>
      <c r="H3042" s="10" t="s">
        <v>5837</v>
      </c>
      <c r="I3042" s="7"/>
      <c r="J3042" s="8" t="s">
        <v>6806</v>
      </c>
      <c r="K3042" s="26"/>
      <c r="L3042" s="6" t="str">
        <f>IFERROR(VLOOKUP(E3042,A:I,9, FALSE),"")</f>
        <v>Kontrast</v>
      </c>
      <c r="N3042" s="6"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P3042" s="6" t="s">
        <v>8574</v>
      </c>
    </row>
    <row r="3043" spans="1:17" ht="30" x14ac:dyDescent="0.25">
      <c r="A3043" s="5" t="str">
        <f>IF(TRIM(I3043)="","",E3043)</f>
        <v/>
      </c>
      <c r="B3043" s="5" t="str">
        <f>IF(TRIM(J3043)="","",H3043)</f>
        <v>Copyright, can be name of an organization or an individual.</v>
      </c>
      <c r="C3043" s="5" t="str">
        <f>LEFT(F3043,FIND(".",F3043,6))</f>
        <v>Xmp.video.</v>
      </c>
      <c r="D3043" s="5" t="str">
        <f>VLOOKUP(C3043,PrefixUebersetzung,2,FALSE)</f>
        <v>Xmp.video.</v>
      </c>
      <c r="E3043" s="5" t="str">
        <f>MID(F3043,FIND(".",F3043,6)+1,99)</f>
        <v>Copyright</v>
      </c>
      <c r="F3043" s="23" t="s">
        <v>5838</v>
      </c>
      <c r="G3043" s="5" t="s">
        <v>9678</v>
      </c>
      <c r="H3043" s="10" t="s">
        <v>5839</v>
      </c>
      <c r="I3043" s="7"/>
      <c r="J3043" s="8" t="s">
        <v>6356</v>
      </c>
      <c r="K3043" s="26"/>
      <c r="L3043" s="6" t="str">
        <f>IFERROR(VLOOKUP(E3043,A:I,9, FALSE),"")</f>
        <v>Copyright</v>
      </c>
      <c r="N3043" s="6"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P3043" s="6" t="s">
        <v>8574</v>
      </c>
    </row>
    <row r="3044" spans="1:17" x14ac:dyDescent="0.25">
      <c r="A3044" s="5" t="str">
        <f>IF(TRIM(I3044)="","",E3044)</f>
        <v>CostumeDesigner</v>
      </c>
      <c r="B3044" s="5" t="str">
        <f>IF(TRIM(J3044)="","",H3044)</f>
        <v>Costume Designer associated with the video.</v>
      </c>
      <c r="C3044" s="5" t="str">
        <f>LEFT(F3044,FIND(".",F3044,6))</f>
        <v>Xmp.video.</v>
      </c>
      <c r="D3044" s="5" t="str">
        <f>VLOOKUP(C3044,PrefixUebersetzung,2,FALSE)</f>
        <v>Xmp.video.</v>
      </c>
      <c r="E3044" s="5" t="str">
        <f>MID(F3044,FIND(".",F3044,6)+1,99)</f>
        <v>CostumeDesigner</v>
      </c>
      <c r="F3044" s="23" t="s">
        <v>5840</v>
      </c>
      <c r="G3044" s="5" t="s">
        <v>9678</v>
      </c>
      <c r="H3044" s="10" t="s">
        <v>5841</v>
      </c>
      <c r="I3044" s="7" t="s">
        <v>6500</v>
      </c>
      <c r="J3044" s="8" t="s">
        <v>6807</v>
      </c>
      <c r="K3044" s="26"/>
      <c r="N3044" s="6"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O3044" s="6" t="s">
        <v>8574</v>
      </c>
      <c r="P3044" s="6" t="s">
        <v>8574</v>
      </c>
    </row>
    <row r="3045" spans="1:17" ht="30" x14ac:dyDescent="0.25">
      <c r="A3045" s="5" t="str">
        <f>IF(TRIM(I3045)="","",E3045)</f>
        <v/>
      </c>
      <c r="B3045" s="5" t="str">
        <f>IF(TRIM(J3045)="","",H3045)</f>
        <v>Name of the country where the video was created.</v>
      </c>
      <c r="C3045" s="5" t="str">
        <f>LEFT(F3045,FIND(".",F3045,6))</f>
        <v>Xmp.video.</v>
      </c>
      <c r="D3045" s="5" t="str">
        <f>VLOOKUP(C3045,PrefixUebersetzung,2,FALSE)</f>
        <v>Xmp.video.</v>
      </c>
      <c r="E3045" s="5" t="str">
        <f>MID(F3045,FIND(".",F3045,6)+1,99)</f>
        <v>Country</v>
      </c>
      <c r="F3045" s="23" t="s">
        <v>5842</v>
      </c>
      <c r="G3045" s="5" t="s">
        <v>9678</v>
      </c>
      <c r="H3045" s="10" t="s">
        <v>5843</v>
      </c>
      <c r="I3045" s="7"/>
      <c r="J3045" s="8" t="s">
        <v>6357</v>
      </c>
      <c r="K3045" s="26"/>
      <c r="L3045" s="6" t="str">
        <f>IFERROR(VLOOKUP(E3045,A:I,9, FALSE),"")</f>
        <v>Land</v>
      </c>
      <c r="N3045" s="6"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6" t="s">
        <v>8574</v>
      </c>
      <c r="Q3045" s="6" t="s">
        <v>9429</v>
      </c>
    </row>
    <row r="3046" spans="1:17" ht="75" x14ac:dyDescent="0.25">
      <c r="A3046" s="5" t="str">
        <f>IF(TRIM(I3046)="","",E3046)</f>
        <v>CreationDate</v>
      </c>
      <c r="B3046" s="5" t="str">
        <f>IF(TRIM(J3046)="","",H3046)</f>
        <v>Specifies the date and time of the initial creation of the file. The value is given as the number of 100-nanosecond intervals since January 1, 1601, according to Coordinated Universal Time (Greenwich Mean Time).</v>
      </c>
      <c r="C3046" s="5" t="str">
        <f>LEFT(F3046,FIND(".",F3046,6))</f>
        <v>Xmp.video.</v>
      </c>
      <c r="D3046" s="5" t="str">
        <f>VLOOKUP(C3046,PrefixUebersetzung,2,FALSE)</f>
        <v>Xmp.video.</v>
      </c>
      <c r="E3046" s="5" t="str">
        <f>MID(F3046,FIND(".",F3046,6)+1,99)</f>
        <v>CreationDate</v>
      </c>
      <c r="F3046" s="23" t="s">
        <v>5844</v>
      </c>
      <c r="G3046" s="5" t="s">
        <v>9678</v>
      </c>
      <c r="H3046" s="10" t="s">
        <v>5845</v>
      </c>
      <c r="I3046" s="7" t="s">
        <v>4610</v>
      </c>
      <c r="J3046" s="8" t="s">
        <v>6808</v>
      </c>
      <c r="K3046" s="26"/>
      <c r="N3046" s="6"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6" t="s">
        <v>8574</v>
      </c>
      <c r="P3046" s="6" t="s">
        <v>8574</v>
      </c>
    </row>
    <row r="3047" spans="1:17" x14ac:dyDescent="0.25">
      <c r="A3047" s="5" t="str">
        <f>IF(TRIM(I3047)="","",E3047)</f>
        <v/>
      </c>
      <c r="B3047" s="5" t="str">
        <f>IF(TRIM(J3047)="","",H3047)</f>
        <v>Number of Pixels to be cropped from the bottom.</v>
      </c>
      <c r="C3047" s="5" t="str">
        <f>LEFT(F3047,FIND(".",F3047,6))</f>
        <v>Xmp.video.</v>
      </c>
      <c r="D3047" s="5" t="str">
        <f>VLOOKUP(C3047,PrefixUebersetzung,2,FALSE)</f>
        <v>Xmp.video.</v>
      </c>
      <c r="E3047" s="5" t="str">
        <f>MID(F3047,FIND(".",F3047,6)+1,99)</f>
        <v>CropBottom</v>
      </c>
      <c r="F3047" s="23" t="s">
        <v>5846</v>
      </c>
      <c r="G3047" s="5" t="s">
        <v>9678</v>
      </c>
      <c r="H3047" s="10" t="s">
        <v>5847</v>
      </c>
      <c r="I3047" s="7"/>
      <c r="J3047" s="8" t="s">
        <v>6809</v>
      </c>
      <c r="K3047" s="26"/>
      <c r="L3047" s="6" t="str">
        <f>IFERROR(VLOOKUP(E3047,A:I,9, FALSE),"")</f>
        <v>Crop unten</v>
      </c>
      <c r="N3047" s="6"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P3047" s="6" t="s">
        <v>8574</v>
      </c>
    </row>
    <row r="3048" spans="1:17" x14ac:dyDescent="0.25">
      <c r="A3048" s="5" t="str">
        <f>IF(TRIM(I3048)="","",E3048)</f>
        <v/>
      </c>
      <c r="B3048" s="5" t="str">
        <f>IF(TRIM(J3048)="","",H3048)</f>
        <v>Number of Pixels to be cropped from the left.</v>
      </c>
      <c r="C3048" s="5" t="str">
        <f>LEFT(F3048,FIND(".",F3048,6))</f>
        <v>Xmp.video.</v>
      </c>
      <c r="D3048" s="5" t="str">
        <f>VLOOKUP(C3048,PrefixUebersetzung,2,FALSE)</f>
        <v>Xmp.video.</v>
      </c>
      <c r="E3048" s="5" t="str">
        <f>MID(F3048,FIND(".",F3048,6)+1,99)</f>
        <v>CropLeft</v>
      </c>
      <c r="F3048" s="23" t="s">
        <v>5848</v>
      </c>
      <c r="G3048" s="5" t="s">
        <v>9678</v>
      </c>
      <c r="H3048" s="10" t="s">
        <v>5849</v>
      </c>
      <c r="I3048" s="7"/>
      <c r="J3048" s="8" t="s">
        <v>6812</v>
      </c>
      <c r="K3048" s="26"/>
      <c r="L3048" s="6" t="str">
        <f>IFERROR(VLOOKUP(E3048,A:I,9, FALSE),"")</f>
        <v>Crop links</v>
      </c>
      <c r="N3048" s="6"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P3048" s="6" t="s">
        <v>8574</v>
      </c>
    </row>
    <row r="3049" spans="1:17" x14ac:dyDescent="0.25">
      <c r="A3049" s="5" t="str">
        <f>IF(TRIM(I3049)="","",E3049)</f>
        <v>Cropped</v>
      </c>
      <c r="B3049" s="5" t="str">
        <f>IF(TRIM(J3049)="","",H3049)</f>
        <v>Field that indicates if a video is cropped.</v>
      </c>
      <c r="C3049" s="5" t="str">
        <f>LEFT(F3049,FIND(".",F3049,6))</f>
        <v>Xmp.video.</v>
      </c>
      <c r="D3049" s="5" t="str">
        <f>VLOOKUP(C3049,PrefixUebersetzung,2,FALSE)</f>
        <v>Xmp.video.</v>
      </c>
      <c r="E3049" s="5" t="str">
        <f>MID(F3049,FIND(".",F3049,6)+1,99)</f>
        <v>Cropped</v>
      </c>
      <c r="F3049" s="23" t="s">
        <v>5850</v>
      </c>
      <c r="G3049" s="5" t="s">
        <v>9678</v>
      </c>
      <c r="H3049" s="10" t="s">
        <v>5851</v>
      </c>
      <c r="I3049" s="7" t="s">
        <v>6501</v>
      </c>
      <c r="J3049" s="8" t="s">
        <v>6810</v>
      </c>
      <c r="K3049" s="26"/>
      <c r="N3049" s="6"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O3049" s="6" t="s">
        <v>8574</v>
      </c>
      <c r="P3049" s="6" t="s">
        <v>8574</v>
      </c>
    </row>
    <row r="3050" spans="1:17" x14ac:dyDescent="0.25">
      <c r="A3050" s="5" t="str">
        <f>IF(TRIM(I3050)="","",E3050)</f>
        <v/>
      </c>
      <c r="B3050" s="5" t="str">
        <f>IF(TRIM(J3050)="","",H3050)</f>
        <v>Number of Pixels to be cropped from the right.</v>
      </c>
      <c r="C3050" s="5" t="str">
        <f>LEFT(F3050,FIND(".",F3050,6))</f>
        <v>Xmp.video.</v>
      </c>
      <c r="D3050" s="5" t="str">
        <f>VLOOKUP(C3050,PrefixUebersetzung,2,FALSE)</f>
        <v>Xmp.video.</v>
      </c>
      <c r="E3050" s="5" t="str">
        <f>MID(F3050,FIND(".",F3050,6)+1,99)</f>
        <v>CropRight</v>
      </c>
      <c r="F3050" s="23" t="s">
        <v>5852</v>
      </c>
      <c r="G3050" s="5" t="s">
        <v>9678</v>
      </c>
      <c r="H3050" s="10" t="s">
        <v>5853</v>
      </c>
      <c r="I3050" s="7"/>
      <c r="J3050" s="8" t="s">
        <v>6811</v>
      </c>
      <c r="K3050" s="26"/>
      <c r="L3050" s="6" t="str">
        <f>IFERROR(VLOOKUP(E3050,A:I,9, FALSE),"")</f>
        <v>Crop rechts</v>
      </c>
      <c r="N3050" s="6"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P3050" s="6" t="s">
        <v>8574</v>
      </c>
    </row>
    <row r="3051" spans="1:17" x14ac:dyDescent="0.25">
      <c r="A3051" s="5" t="str">
        <f>IF(TRIM(I3051)="","",E3051)</f>
        <v/>
      </c>
      <c r="B3051" s="5" t="str">
        <f>IF(TRIM(J3051)="","",H3051)</f>
        <v>Number of Pixels to be cropped from the top.</v>
      </c>
      <c r="C3051" s="5" t="str">
        <f>LEFT(F3051,FIND(".",F3051,6))</f>
        <v>Xmp.video.</v>
      </c>
      <c r="D3051" s="5" t="str">
        <f>VLOOKUP(C3051,PrefixUebersetzung,2,FALSE)</f>
        <v>Xmp.video.</v>
      </c>
      <c r="E3051" s="5" t="str">
        <f>MID(F3051,FIND(".",F3051,6)+1,99)</f>
        <v>CropTop</v>
      </c>
      <c r="F3051" s="23" t="s">
        <v>5854</v>
      </c>
      <c r="G3051" s="5" t="s">
        <v>9678</v>
      </c>
      <c r="H3051" s="10" t="s">
        <v>5855</v>
      </c>
      <c r="I3051" s="7"/>
      <c r="J3051" s="8" t="s">
        <v>6813</v>
      </c>
      <c r="K3051" s="26"/>
      <c r="L3051" s="6" t="str">
        <f>IFERROR(VLOOKUP(E3051,A:I,9, FALSE),"")</f>
        <v>Crop oben</v>
      </c>
      <c r="N3051" s="6"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P3051" s="6" t="s">
        <v>8574</v>
      </c>
    </row>
    <row r="3052" spans="1:17" ht="30" x14ac:dyDescent="0.25">
      <c r="A3052" s="5" t="str">
        <f>IF(TRIM(I3052)="","",E3052)</f>
        <v>CurrentTime</v>
      </c>
      <c r="B3052" s="5" t="str">
        <f>IF(TRIM(J3052)="","",H3052)</f>
        <v>The time value for current time position within the movie.</v>
      </c>
      <c r="C3052" s="5" t="str">
        <f>LEFT(F3052,FIND(".",F3052,6))</f>
        <v>Xmp.video.</v>
      </c>
      <c r="D3052" s="5" t="str">
        <f>VLOOKUP(C3052,PrefixUebersetzung,2,FALSE)</f>
        <v>Xmp.video.</v>
      </c>
      <c r="E3052" s="5" t="str">
        <f>MID(F3052,FIND(".",F3052,6)+1,99)</f>
        <v>CurrentTime</v>
      </c>
      <c r="F3052" s="23" t="s">
        <v>5856</v>
      </c>
      <c r="G3052" s="5" t="s">
        <v>9678</v>
      </c>
      <c r="H3052" s="10" t="s">
        <v>5857</v>
      </c>
      <c r="I3052" s="7" t="s">
        <v>6502</v>
      </c>
      <c r="J3052" s="8" t="s">
        <v>6814</v>
      </c>
      <c r="K3052" s="26"/>
      <c r="N3052" s="6"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6" t="s">
        <v>8574</v>
      </c>
      <c r="P3052" s="6" t="s">
        <v>8574</v>
      </c>
    </row>
    <row r="3053" spans="1:17" ht="30" x14ac:dyDescent="0.25">
      <c r="A3053" s="5" t="str">
        <f>IF(TRIM(I3053)="","",E3053)</f>
        <v>DataPackets</v>
      </c>
      <c r="B3053" s="5" t="str">
        <f>IF(TRIM(J3053)="","",H3053)</f>
        <v>Specifies the number of Data Packet entries that exist within the Data Object.</v>
      </c>
      <c r="C3053" s="5" t="str">
        <f>LEFT(F3053,FIND(".",F3053,6))</f>
        <v>Xmp.video.</v>
      </c>
      <c r="D3053" s="5" t="str">
        <f>VLOOKUP(C3053,PrefixUebersetzung,2,FALSE)</f>
        <v>Xmp.video.</v>
      </c>
      <c r="E3053" s="5" t="str">
        <f>MID(F3053,FIND(".",F3053,6)+1,99)</f>
        <v>DataPackets</v>
      </c>
      <c r="F3053" s="23" t="s">
        <v>5858</v>
      </c>
      <c r="G3053" s="5" t="s">
        <v>9678</v>
      </c>
      <c r="H3053" s="10" t="s">
        <v>5859</v>
      </c>
      <c r="I3053" s="7" t="s">
        <v>6503</v>
      </c>
      <c r="J3053" s="8" t="s">
        <v>6815</v>
      </c>
      <c r="K3053" s="26"/>
      <c r="N3053" s="6"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6" t="s">
        <v>8574</v>
      </c>
      <c r="P3053" s="6" t="s">
        <v>8574</v>
      </c>
    </row>
    <row r="3054" spans="1:17" ht="75" x14ac:dyDescent="0.25">
      <c r="A3054" s="5" t="str">
        <f>IF(TRIM(I3054)="","",E3054)</f>
        <v/>
      </c>
      <c r="B3054" s="5" t="str">
        <f>IF(TRIM(J3054)="","",H3054)</f>
        <v>Date and time when video was stored as digital data, can be the same as DateTimeOriginal if originally stored in digital form. Stored in ISO 8601 format.</v>
      </c>
      <c r="C3054" s="5" t="str">
        <f>LEFT(F3054,FIND(".",F3054,6))</f>
        <v>Xmp.video.</v>
      </c>
      <c r="D3054" s="5" t="str">
        <f>VLOOKUP(C3054,PrefixUebersetzung,2,FALSE)</f>
        <v>Xmp.video.</v>
      </c>
      <c r="E3054" s="5" t="str">
        <f>MID(F3054,FIND(".",F3054,6)+1,99)</f>
        <v>DateTimeDigitized</v>
      </c>
      <c r="F3054" s="23" t="s">
        <v>5860</v>
      </c>
      <c r="G3054" s="5" t="s">
        <v>9678</v>
      </c>
      <c r="H3054" s="10" t="s">
        <v>5861</v>
      </c>
      <c r="I3054" s="7"/>
      <c r="J3054" s="8" t="s">
        <v>6816</v>
      </c>
      <c r="K3054" s="26"/>
      <c r="L3054" s="6" t="str">
        <f>IFERROR(VLOOKUP(E3054,A:I,9, FALSE),"")</f>
        <v>Datum/Zeit Digitalisiert</v>
      </c>
      <c r="N3054" s="6"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P3054" s="6" t="s">
        <v>8574</v>
      </c>
    </row>
    <row r="3055" spans="1:17" ht="30" x14ac:dyDescent="0.25">
      <c r="A3055" s="5" t="str">
        <f>IF(TRIM(I3055)="","",E3055)</f>
        <v/>
      </c>
      <c r="B3055" s="5" t="str">
        <f>IF(TRIM(J3055)="","",H3055)</f>
        <v xml:space="preserve">Date and time when original video was generated, in ISO 8601 format. </v>
      </c>
      <c r="C3055" s="5" t="str">
        <f>LEFT(F3055,FIND(".",F3055,6))</f>
        <v>Xmp.video.</v>
      </c>
      <c r="D3055" s="5" t="str">
        <f>VLOOKUP(C3055,PrefixUebersetzung,2,FALSE)</f>
        <v>Xmp.video.</v>
      </c>
      <c r="E3055" s="5" t="str">
        <f>MID(F3055,FIND(".",F3055,6)+1,99)</f>
        <v>DateTimeOriginal</v>
      </c>
      <c r="F3055" s="23" t="s">
        <v>5862</v>
      </c>
      <c r="G3055" s="5" t="s">
        <v>9678</v>
      </c>
      <c r="H3055" s="10" t="s">
        <v>5863</v>
      </c>
      <c r="I3055" s="7"/>
      <c r="J3055" s="8" t="s">
        <v>6817</v>
      </c>
      <c r="K3055" s="26"/>
      <c r="L3055" s="6" t="str">
        <f>IFERROR(VLOOKUP(E3055,A:I,9, FALSE),"")</f>
        <v>Datum/Zeit original</v>
      </c>
      <c r="N3055" s="6"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P3055" s="6" t="s">
        <v>8574</v>
      </c>
      <c r="Q3055" s="6" t="s">
        <v>9091</v>
      </c>
    </row>
    <row r="3056" spans="1:17" x14ac:dyDescent="0.25">
      <c r="A3056" s="5" t="str">
        <f>IF(TRIM(I3056)="","",E3056)</f>
        <v>DateUTC</v>
      </c>
      <c r="B3056" s="5" t="str">
        <f>IF(TRIM(J3056)="","",H3056)</f>
        <v>Contains the production date</v>
      </c>
      <c r="C3056" s="5" t="str">
        <f>LEFT(F3056,FIND(".",F3056,6))</f>
        <v>Xmp.video.</v>
      </c>
      <c r="D3056" s="5" t="str">
        <f>VLOOKUP(C3056,PrefixUebersetzung,2,FALSE)</f>
        <v>Xmp.video.</v>
      </c>
      <c r="E3056" s="5" t="str">
        <f>MID(F3056,FIND(".",F3056,6)+1,99)</f>
        <v>DateUTC</v>
      </c>
      <c r="F3056" s="23" t="s">
        <v>5864</v>
      </c>
      <c r="G3056" s="5" t="s">
        <v>9678</v>
      </c>
      <c r="H3056" s="10" t="s">
        <v>5865</v>
      </c>
      <c r="I3056" s="7" t="s">
        <v>6504</v>
      </c>
      <c r="J3056" s="8" t="s">
        <v>6358</v>
      </c>
      <c r="K3056" s="26"/>
      <c r="N3056" s="6"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6" t="s">
        <v>8574</v>
      </c>
      <c r="P3056" s="6" t="s">
        <v>8574</v>
      </c>
      <c r="Q3056" s="6" t="s">
        <v>9165</v>
      </c>
    </row>
    <row r="3057" spans="1:17" x14ac:dyDescent="0.25">
      <c r="A3057" s="5" t="str">
        <f>IF(TRIM(I3057)="","",E3057)</f>
        <v/>
      </c>
      <c r="B3057" s="5" t="str">
        <f>IF(TRIM(J3057)="","",H3057)</f>
        <v>Video Track Default On , i.e. Enabled/Disabled</v>
      </c>
      <c r="C3057" s="5" t="str">
        <f>LEFT(F3057,FIND(".",F3057,6))</f>
        <v>Xmp.video.</v>
      </c>
      <c r="D3057" s="5" t="str">
        <f>VLOOKUP(C3057,PrefixUebersetzung,2,FALSE)</f>
        <v>Xmp.video.</v>
      </c>
      <c r="E3057" s="5" t="str">
        <f>MID(F3057,FIND(".",F3057,6)+1,99)</f>
        <v>DefaultOn</v>
      </c>
      <c r="F3057" s="23" t="s">
        <v>5866</v>
      </c>
      <c r="G3057" s="5" t="s">
        <v>9678</v>
      </c>
      <c r="H3057" s="10" t="s">
        <v>5867</v>
      </c>
      <c r="I3057" s="7"/>
      <c r="J3057" s="8" t="s">
        <v>6793</v>
      </c>
      <c r="K3057" s="26"/>
      <c r="L3057" s="6" t="str">
        <f>IFERROR(VLOOKUP(E3057,A:I,9, FALSE),"")</f>
        <v>Standard Ein</v>
      </c>
      <c r="N3057" s="6"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P3057" s="6" t="s">
        <v>8574</v>
      </c>
    </row>
    <row r="3058" spans="1:17" ht="30" x14ac:dyDescent="0.25">
      <c r="A3058" s="5" t="str">
        <f>IF(TRIM(I3058)="","",E3058)</f>
        <v/>
      </c>
      <c r="B3058" s="5" t="str">
        <f>IF(TRIM(J3058)="","",H3058)</f>
        <v>Indicates the digital zoom ratio when the video was shot.</v>
      </c>
      <c r="C3058" s="5" t="str">
        <f>LEFT(F3058,FIND(".",F3058,6))</f>
        <v>Xmp.video.</v>
      </c>
      <c r="D3058" s="5" t="str">
        <f>VLOOKUP(C3058,PrefixUebersetzung,2,FALSE)</f>
        <v>Xmp.video.</v>
      </c>
      <c r="E3058" s="5" t="str">
        <f>MID(F3058,FIND(".",F3058,6)+1,99)</f>
        <v>DigitalZoomRatio</v>
      </c>
      <c r="F3058" s="23" t="s">
        <v>5868</v>
      </c>
      <c r="G3058" s="5" t="s">
        <v>9678</v>
      </c>
      <c r="H3058" s="10" t="s">
        <v>5869</v>
      </c>
      <c r="I3058" s="7"/>
      <c r="J3058" s="8" t="s">
        <v>6818</v>
      </c>
      <c r="K3058" s="26"/>
      <c r="L3058" s="6" t="str">
        <f>IFERROR(VLOOKUP(E3058,A:I,9, FALSE),"")</f>
        <v>Digital-Zoom-Faktor</v>
      </c>
      <c r="N3058" s="6"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P3058" s="6" t="s">
        <v>8574</v>
      </c>
    </row>
    <row r="3059" spans="1:17" x14ac:dyDescent="0.25">
      <c r="A3059" s="5" t="str">
        <f>IF(TRIM(I3059)="","",E3059)</f>
        <v>Dimensions</v>
      </c>
      <c r="B3059" s="5" t="str">
        <f>IF(TRIM(J3059)="","",H3059)</f>
        <v>Information about the Dimensions of the video frame.</v>
      </c>
      <c r="C3059" s="5" t="str">
        <f>LEFT(F3059,FIND(".",F3059,6))</f>
        <v>Xmp.video.</v>
      </c>
      <c r="D3059" s="5" t="str">
        <f>VLOOKUP(C3059,PrefixUebersetzung,2,FALSE)</f>
        <v>Xmp.video.</v>
      </c>
      <c r="E3059" s="5" t="str">
        <f>MID(F3059,FIND(".",F3059,6)+1,99)</f>
        <v>Dimensions</v>
      </c>
      <c r="F3059" s="23" t="s">
        <v>5870</v>
      </c>
      <c r="G3059" s="5" t="s">
        <v>9678</v>
      </c>
      <c r="H3059" s="10" t="s">
        <v>5871</v>
      </c>
      <c r="I3059" s="7" t="s">
        <v>6505</v>
      </c>
      <c r="J3059" s="8" t="s">
        <v>6359</v>
      </c>
      <c r="K3059" s="26"/>
      <c r="N3059" s="6"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6" t="s">
        <v>8574</v>
      </c>
      <c r="P3059" s="6" t="s">
        <v>8574</v>
      </c>
    </row>
    <row r="3060" spans="1:17" x14ac:dyDescent="0.25">
      <c r="A3060" s="5" t="str">
        <f>IF(TRIM(I3060)="","",E3060)</f>
        <v>Director</v>
      </c>
      <c r="B3060" s="5" t="str">
        <f>IF(TRIM(J3060)="","",H3060)</f>
        <v>Information about the Director.</v>
      </c>
      <c r="C3060" s="5" t="str">
        <f>LEFT(F3060,FIND(".",F3060,6))</f>
        <v>Xmp.video.</v>
      </c>
      <c r="D3060" s="5" t="str">
        <f>VLOOKUP(C3060,PrefixUebersetzung,2,FALSE)</f>
        <v>Xmp.video.</v>
      </c>
      <c r="E3060" s="5" t="str">
        <f>MID(F3060,FIND(".",F3060,6)+1,99)</f>
        <v>Director</v>
      </c>
      <c r="F3060" s="23" t="s">
        <v>5872</v>
      </c>
      <c r="G3060" s="5" t="s">
        <v>9678</v>
      </c>
      <c r="H3060" s="10" t="s">
        <v>5873</v>
      </c>
      <c r="I3060" s="7" t="s">
        <v>6506</v>
      </c>
      <c r="J3060" s="8" t="s">
        <v>6819</v>
      </c>
      <c r="K3060" s="26"/>
      <c r="L3060" s="6" t="str">
        <f>IFERROR(VLOOKUP(E3060,A:I,9, FALSE),"")</f>
        <v>Regisseur</v>
      </c>
      <c r="N3060" s="6"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6" t="s">
        <v>8574</v>
      </c>
      <c r="P3060" s="6" t="s">
        <v>8574</v>
      </c>
    </row>
    <row r="3061" spans="1:17" x14ac:dyDescent="0.25">
      <c r="A3061" s="5" t="str">
        <f>IF(TRIM(I3061)="","",E3061)</f>
        <v>DisplayUnit</v>
      </c>
      <c r="B3061" s="5" t="str">
        <f>IF(TRIM(J3061)="","",H3061)</f>
        <v>Video display unit. Eg - cm, pixels, inch</v>
      </c>
      <c r="C3061" s="5" t="str">
        <f>LEFT(F3061,FIND(".",F3061,6))</f>
        <v>Xmp.video.</v>
      </c>
      <c r="D3061" s="5" t="str">
        <f>VLOOKUP(C3061,PrefixUebersetzung,2,FALSE)</f>
        <v>Xmp.video.</v>
      </c>
      <c r="E3061" s="5" t="str">
        <f>MID(F3061,FIND(".",F3061,6)+1,99)</f>
        <v>DisplayUnit</v>
      </c>
      <c r="F3061" s="23" t="s">
        <v>5874</v>
      </c>
      <c r="G3061" s="5" t="s">
        <v>9678</v>
      </c>
      <c r="H3061" s="10" t="s">
        <v>5875</v>
      </c>
      <c r="I3061" s="7" t="s">
        <v>6507</v>
      </c>
      <c r="J3061" s="8" t="s">
        <v>6820</v>
      </c>
      <c r="K3061" s="26"/>
      <c r="N3061" s="6"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6" t="s">
        <v>8574</v>
      </c>
      <c r="P3061" s="6" t="s">
        <v>8574</v>
      </c>
    </row>
    <row r="3062" spans="1:17" ht="30" x14ac:dyDescent="0.25">
      <c r="A3062" s="5" t="str">
        <f>IF(TRIM(I3062)="","",E3062)</f>
        <v>DistributedBy</v>
      </c>
      <c r="B3062" s="5" t="str">
        <f>IF(TRIM(J3062)="","",H3062)</f>
        <v>Distributed By, i.e. name of person or organization.</v>
      </c>
      <c r="C3062" s="5" t="str">
        <f>LEFT(F3062,FIND(".",F3062,6))</f>
        <v>Xmp.video.</v>
      </c>
      <c r="D3062" s="5" t="str">
        <f>VLOOKUP(C3062,PrefixUebersetzung,2,FALSE)</f>
        <v>Xmp.video.</v>
      </c>
      <c r="E3062" s="5" t="str">
        <f>MID(F3062,FIND(".",F3062,6)+1,99)</f>
        <v>DistributedBy</v>
      </c>
      <c r="F3062" s="23" t="s">
        <v>5876</v>
      </c>
      <c r="G3062" s="5" t="s">
        <v>9678</v>
      </c>
      <c r="H3062" s="10" t="s">
        <v>5877</v>
      </c>
      <c r="I3062" s="7" t="s">
        <v>6508</v>
      </c>
      <c r="J3062" s="8" t="s">
        <v>6821</v>
      </c>
      <c r="K3062" s="26"/>
      <c r="N3062" s="6"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6" t="s">
        <v>8574</v>
      </c>
      <c r="P3062" s="6" t="s">
        <v>8574</v>
      </c>
    </row>
    <row r="3063" spans="1:17" ht="30" x14ac:dyDescent="0.25">
      <c r="A3063" s="5" t="str">
        <f>IF(TRIM(I3063)="","",E3063)</f>
        <v/>
      </c>
      <c r="B3063" s="5" t="str">
        <f>IF(TRIM(J3063)="","",H3063)</f>
        <v>Describes the contents of the file. In the case of a MATROSKA file, its value is 'matroska'</v>
      </c>
      <c r="C3063" s="5" t="str">
        <f>LEFT(F3063,FIND(".",F3063,6))</f>
        <v>Xmp.video.</v>
      </c>
      <c r="D3063" s="5" t="str">
        <f>VLOOKUP(C3063,PrefixUebersetzung,2,FALSE)</f>
        <v>Xmp.video.</v>
      </c>
      <c r="E3063" s="5" t="str">
        <f>MID(F3063,FIND(".",F3063,6)+1,99)</f>
        <v>DocType</v>
      </c>
      <c r="F3063" s="23" t="s">
        <v>5878</v>
      </c>
      <c r="G3063" s="5" t="s">
        <v>9678</v>
      </c>
      <c r="H3063" s="10" t="s">
        <v>5879</v>
      </c>
      <c r="I3063" s="7"/>
      <c r="J3063" s="8" t="s">
        <v>6822</v>
      </c>
      <c r="K3063" s="26"/>
      <c r="N3063" s="6"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xml:space="preserve">Suffix not translated </v>
      </c>
      <c r="O3063" s="6" t="s">
        <v>8574</v>
      </c>
      <c r="P3063" s="6" t="s">
        <v>8574</v>
      </c>
    </row>
    <row r="3064" spans="1:17" ht="45" x14ac:dyDescent="0.25">
      <c r="A3064" s="5" t="str">
        <f>IF(TRIM(I3064)="","",E3064)</f>
        <v/>
      </c>
      <c r="B3064" s="5" t="str">
        <f>IF(TRIM(J3064)="","",H3064)</f>
        <v>A Matroska video specific property, helps in determining the compatibility of file with a particular version of a video player</v>
      </c>
      <c r="C3064" s="5" t="str">
        <f>LEFT(F3064,FIND(".",F3064,6))</f>
        <v>Xmp.video.</v>
      </c>
      <c r="D3064" s="5" t="str">
        <f>VLOOKUP(C3064,PrefixUebersetzung,2,FALSE)</f>
        <v>Xmp.video.</v>
      </c>
      <c r="E3064" s="5" t="str">
        <f>MID(F3064,FIND(".",F3064,6)+1,99)</f>
        <v>DocTypeReadVersion</v>
      </c>
      <c r="F3064" s="23" t="s">
        <v>5880</v>
      </c>
      <c r="G3064" s="5" t="s">
        <v>9678</v>
      </c>
      <c r="H3064" s="10" t="s">
        <v>5881</v>
      </c>
      <c r="I3064" s="7"/>
      <c r="J3064" s="8" t="s">
        <v>6823</v>
      </c>
      <c r="K3064" s="26"/>
      <c r="N3064" s="6"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xml:space="preserve">Suffix not translated </v>
      </c>
      <c r="O3064" s="6" t="s">
        <v>8574</v>
      </c>
      <c r="P3064" s="6" t="s">
        <v>8574</v>
      </c>
    </row>
    <row r="3065" spans="1:17" ht="45" x14ac:dyDescent="0.25">
      <c r="A3065" s="5" t="str">
        <f>IF(TRIM(I3065)="","",E3065)</f>
        <v/>
      </c>
      <c r="B3065" s="5" t="str">
        <f>IF(TRIM(J3065)="","",H3065)</f>
        <v>A Matroska video specific property, indicated the version of filetype, helps in determining the compatibility</v>
      </c>
      <c r="C3065" s="5" t="str">
        <f>LEFT(F3065,FIND(".",F3065,6))</f>
        <v>Xmp.video.</v>
      </c>
      <c r="D3065" s="5" t="str">
        <f>VLOOKUP(C3065,PrefixUebersetzung,2,FALSE)</f>
        <v>Xmp.video.</v>
      </c>
      <c r="E3065" s="5" t="str">
        <f>MID(F3065,FIND(".",F3065,6)+1,99)</f>
        <v>DocTypeVersion</v>
      </c>
      <c r="F3065" s="23" t="s">
        <v>5882</v>
      </c>
      <c r="G3065" s="5" t="s">
        <v>9678</v>
      </c>
      <c r="H3065" s="10" t="s">
        <v>5883</v>
      </c>
      <c r="I3065" s="7"/>
      <c r="J3065" s="8" t="s">
        <v>6824</v>
      </c>
      <c r="K3065" s="26"/>
      <c r="N3065" s="6"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xml:space="preserve">Suffix not translated </v>
      </c>
      <c r="O3065" s="6" t="s">
        <v>8574</v>
      </c>
      <c r="P3065" s="6" t="s">
        <v>8574</v>
      </c>
    </row>
    <row r="3066" spans="1:17" x14ac:dyDescent="0.25">
      <c r="A3066" s="5" t="str">
        <f>IF(TRIM(I3066)="","",E3066)</f>
        <v>DotsPerInch</v>
      </c>
      <c r="B3066" s="5" t="str">
        <f>IF(TRIM(J3066)="","",H3066)</f>
        <v>Dots Per Inch</v>
      </c>
      <c r="C3066" s="5" t="str">
        <f>LEFT(F3066,FIND(".",F3066,6))</f>
        <v>Xmp.video.</v>
      </c>
      <c r="D3066" s="5" t="str">
        <f>VLOOKUP(C3066,PrefixUebersetzung,2,FALSE)</f>
        <v>Xmp.video.</v>
      </c>
      <c r="E3066" s="5" t="str">
        <f>MID(F3066,FIND(".",F3066,6)+1,99)</f>
        <v>DotsPerInch</v>
      </c>
      <c r="F3066" s="23" t="s">
        <v>5884</v>
      </c>
      <c r="G3066" s="5" t="s">
        <v>9678</v>
      </c>
      <c r="H3066" s="10" t="s">
        <v>5885</v>
      </c>
      <c r="I3066" s="7" t="s">
        <v>6509</v>
      </c>
      <c r="J3066" s="8" t="s">
        <v>6360</v>
      </c>
      <c r="K3066" s="26"/>
      <c r="N3066" s="6"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6" t="s">
        <v>8574</v>
      </c>
      <c r="P3066" s="6" t="s">
        <v>8574</v>
      </c>
    </row>
    <row r="3067" spans="1:17" ht="30" x14ac:dyDescent="0.25">
      <c r="A3067" s="5" t="str">
        <f>IF(TRIM(I3067)="","",E3067)</f>
        <v>duration</v>
      </c>
      <c r="B3067" s="5" t="str">
        <f>IF(TRIM(J3067)="","",H3067)</f>
        <v>The duration of the media file. Measured in milli-seconds.</v>
      </c>
      <c r="C3067" s="5" t="str">
        <f>LEFT(F3067,FIND(".",F3067,6))</f>
        <v>Xmp.video.</v>
      </c>
      <c r="D3067" s="5" t="str">
        <f>VLOOKUP(C3067,PrefixUebersetzung,2,FALSE)</f>
        <v>Xmp.video.</v>
      </c>
      <c r="E3067" s="5" t="str">
        <f>MID(F3067,FIND(".",F3067,6)+1,99)</f>
        <v>duration</v>
      </c>
      <c r="F3067" s="23" t="s">
        <v>5886</v>
      </c>
      <c r="G3067" s="5" t="s">
        <v>9678</v>
      </c>
      <c r="H3067" s="10" t="s">
        <v>5887</v>
      </c>
      <c r="I3067" s="7" t="s">
        <v>4620</v>
      </c>
      <c r="J3067" s="8" t="s">
        <v>6361</v>
      </c>
      <c r="K3067" s="26"/>
      <c r="L3067" s="6" t="str">
        <f>IFERROR(VLOOKUP(E3067,A:I,9, FALSE),"")</f>
        <v>Dauer</v>
      </c>
      <c r="N3067" s="6"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6" t="s">
        <v>8574</v>
      </c>
      <c r="P3067" s="6" t="s">
        <v>8574</v>
      </c>
      <c r="Q3067" s="6" t="s">
        <v>9530</v>
      </c>
    </row>
    <row r="3068" spans="1:17" x14ac:dyDescent="0.25">
      <c r="A3068" s="5" t="str">
        <f>IF(TRIM(I3068)="","",E3068)</f>
        <v/>
      </c>
      <c r="B3068" s="5" t="str">
        <f>IF(TRIM(J3068)="","",H3068)</f>
        <v>Extensible Binary Meta Language Read Version</v>
      </c>
      <c r="C3068" s="5" t="str">
        <f>LEFT(F3068,FIND(".",F3068,6))</f>
        <v>Xmp.video.</v>
      </c>
      <c r="D3068" s="5" t="str">
        <f>VLOOKUP(C3068,PrefixUebersetzung,2,FALSE)</f>
        <v>Xmp.video.</v>
      </c>
      <c r="E3068" s="5" t="str">
        <f>MID(F3068,FIND(".",F3068,6)+1,99)</f>
        <v>EBMLReadVersion</v>
      </c>
      <c r="F3068" s="23" t="s">
        <v>5888</v>
      </c>
      <c r="G3068" s="5" t="s">
        <v>9678</v>
      </c>
      <c r="H3068" s="10" t="s">
        <v>5889</v>
      </c>
      <c r="I3068" s="7"/>
      <c r="J3068" s="8" t="s">
        <v>6825</v>
      </c>
      <c r="K3068" s="26"/>
      <c r="N3068" s="6"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xml:space="preserve">Suffix not translated </v>
      </c>
      <c r="O3068" s="6" t="s">
        <v>8574</v>
      </c>
      <c r="P3068" s="6" t="s">
        <v>8574</v>
      </c>
    </row>
    <row r="3069" spans="1:17" x14ac:dyDescent="0.25">
      <c r="A3069" s="5" t="str">
        <f>IF(TRIM(I3069)="","",E3069)</f>
        <v/>
      </c>
      <c r="B3069" s="5" t="str">
        <f>IF(TRIM(J3069)="","",H3069)</f>
        <v>Extensible Binary Meta Language Version</v>
      </c>
      <c r="C3069" s="5" t="str">
        <f>LEFT(F3069,FIND(".",F3069,6))</f>
        <v>Xmp.video.</v>
      </c>
      <c r="D3069" s="5" t="str">
        <f>VLOOKUP(C3069,PrefixUebersetzung,2,FALSE)</f>
        <v>Xmp.video.</v>
      </c>
      <c r="E3069" s="5" t="str">
        <f>MID(F3069,FIND(".",F3069,6)+1,99)</f>
        <v>EBMLVersion</v>
      </c>
      <c r="F3069" s="23" t="s">
        <v>5890</v>
      </c>
      <c r="G3069" s="5" t="s">
        <v>9678</v>
      </c>
      <c r="H3069" s="10" t="s">
        <v>5891</v>
      </c>
      <c r="I3069" s="7"/>
      <c r="J3069" s="8" t="s">
        <v>6362</v>
      </c>
      <c r="K3069" s="26"/>
      <c r="N3069" s="6"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xml:space="preserve">Suffix not translated </v>
      </c>
      <c r="O3069" s="6" t="s">
        <v>8574</v>
      </c>
      <c r="P3069" s="6" t="s">
        <v>8574</v>
      </c>
    </row>
    <row r="3070" spans="1:17" ht="30" x14ac:dyDescent="0.25">
      <c r="A3070" s="5" t="str">
        <f>IF(TRIM(I3070)="","",E3070)</f>
        <v>Edit1</v>
      </c>
      <c r="B3070" s="5" t="str">
        <f>IF(TRIM(J3070)="","",H3070)</f>
        <v>Information about the Edit / Language.</v>
      </c>
      <c r="C3070" s="5" t="str">
        <f>LEFT(F3070,FIND(".",F3070,6))</f>
        <v>Xmp.video.</v>
      </c>
      <c r="D3070" s="5" t="str">
        <f>VLOOKUP(C3070,PrefixUebersetzung,2,FALSE)</f>
        <v>Xmp.video.</v>
      </c>
      <c r="E3070" s="5" t="str">
        <f>MID(F3070,FIND(".",F3070,6)+1,99)</f>
        <v>Edit1</v>
      </c>
      <c r="F3070" s="23" t="s">
        <v>5892</v>
      </c>
      <c r="G3070" s="5" t="s">
        <v>9678</v>
      </c>
      <c r="H3070" s="10" t="s">
        <v>5893</v>
      </c>
      <c r="I3070" s="7" t="s">
        <v>6510</v>
      </c>
      <c r="J3070" s="8" t="s">
        <v>6826</v>
      </c>
      <c r="K3070" s="26"/>
      <c r="M3070" s="6" t="str">
        <f>IFERROR(VLOOKUP(H3070,B:J,9,FALSE),"")</f>
        <v>Informationen über Bearbeiten / Sprache.</v>
      </c>
      <c r="N3070" s="6"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6" t="s">
        <v>8574</v>
      </c>
      <c r="P3070" s="6" t="s">
        <v>8574</v>
      </c>
    </row>
    <row r="3071" spans="1:17" ht="30" x14ac:dyDescent="0.25">
      <c r="A3071" s="5" t="str">
        <f>IF(TRIM(I3071)="","",E3071)</f>
        <v>Edit2</v>
      </c>
      <c r="B3071" s="5" t="str">
        <f>IF(TRIM(J3071)="","",H3071)</f>
        <v/>
      </c>
      <c r="C3071" s="5" t="str">
        <f>LEFT(F3071,FIND(".",F3071,6))</f>
        <v>Xmp.video.</v>
      </c>
      <c r="D3071" s="5" t="str">
        <f>VLOOKUP(C3071,PrefixUebersetzung,2,FALSE)</f>
        <v>Xmp.video.</v>
      </c>
      <c r="E3071" s="5" t="str">
        <f>MID(F3071,FIND(".",F3071,6)+1,99)</f>
        <v>Edit2</v>
      </c>
      <c r="F3071" s="23" t="s">
        <v>5894</v>
      </c>
      <c r="G3071" s="5" t="s">
        <v>9678</v>
      </c>
      <c r="H3071" s="10" t="s">
        <v>5893</v>
      </c>
      <c r="I3071" s="7" t="s">
        <v>6511</v>
      </c>
      <c r="J3071" s="8"/>
      <c r="K3071" s="26"/>
      <c r="M3071" s="6" t="str">
        <f>IFERROR(VLOOKUP(H3071,B:J,9,FALSE),"")</f>
        <v>Informationen über Bearbeiten / Sprache.</v>
      </c>
      <c r="N3071" s="6"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6" t="s">
        <v>8574</v>
      </c>
    </row>
    <row r="3072" spans="1:17" ht="30" x14ac:dyDescent="0.25">
      <c r="A3072" s="5" t="str">
        <f>IF(TRIM(I3072)="","",E3072)</f>
        <v>Edit3</v>
      </c>
      <c r="B3072" s="5" t="str">
        <f>IF(TRIM(J3072)="","",H3072)</f>
        <v/>
      </c>
      <c r="C3072" s="5" t="str">
        <f>LEFT(F3072,FIND(".",F3072,6))</f>
        <v>Xmp.video.</v>
      </c>
      <c r="D3072" s="5" t="str">
        <f>VLOOKUP(C3072,PrefixUebersetzung,2,FALSE)</f>
        <v>Xmp.video.</v>
      </c>
      <c r="E3072" s="5" t="str">
        <f>MID(F3072,FIND(".",F3072,6)+1,99)</f>
        <v>Edit3</v>
      </c>
      <c r="F3072" s="23" t="s">
        <v>5895</v>
      </c>
      <c r="G3072" s="5" t="s">
        <v>9678</v>
      </c>
      <c r="H3072" s="10" t="s">
        <v>5893</v>
      </c>
      <c r="I3072" s="7" t="s">
        <v>6512</v>
      </c>
      <c r="J3072" s="8"/>
      <c r="K3072" s="26"/>
      <c r="M3072" s="6" t="str">
        <f>IFERROR(VLOOKUP(H3072,B:J,9,FALSE),"")</f>
        <v>Informationen über Bearbeiten / Sprache.</v>
      </c>
      <c r="N3072" s="6"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6" t="s">
        <v>8574</v>
      </c>
    </row>
    <row r="3073" spans="1:17" ht="30" x14ac:dyDescent="0.25">
      <c r="A3073" s="5" t="str">
        <f>IF(TRIM(I3073)="","",E3073)</f>
        <v>Edit4</v>
      </c>
      <c r="B3073" s="5" t="str">
        <f>IF(TRIM(J3073)="","",H3073)</f>
        <v/>
      </c>
      <c r="C3073" s="5" t="str">
        <f>LEFT(F3073,FIND(".",F3073,6))</f>
        <v>Xmp.video.</v>
      </c>
      <c r="D3073" s="5" t="str">
        <f>VLOOKUP(C3073,PrefixUebersetzung,2,FALSE)</f>
        <v>Xmp.video.</v>
      </c>
      <c r="E3073" s="5" t="str">
        <f>MID(F3073,FIND(".",F3073,6)+1,99)</f>
        <v>Edit4</v>
      </c>
      <c r="F3073" s="23" t="s">
        <v>5896</v>
      </c>
      <c r="G3073" s="5" t="s">
        <v>9678</v>
      </c>
      <c r="H3073" s="10" t="s">
        <v>5893</v>
      </c>
      <c r="I3073" s="7" t="s">
        <v>6513</v>
      </c>
      <c r="J3073" s="8"/>
      <c r="K3073" s="26"/>
      <c r="M3073" s="6" t="str">
        <f>IFERROR(VLOOKUP(H3073,B:J,9,FALSE),"")</f>
        <v>Informationen über Bearbeiten / Sprache.</v>
      </c>
      <c r="N3073" s="6"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6" t="s">
        <v>8574</v>
      </c>
    </row>
    <row r="3074" spans="1:17" ht="30" x14ac:dyDescent="0.25">
      <c r="A3074" s="5" t="str">
        <f>IF(TRIM(I3074)="","",E3074)</f>
        <v>Edit5</v>
      </c>
      <c r="B3074" s="5" t="str">
        <f>IF(TRIM(J3074)="","",H3074)</f>
        <v/>
      </c>
      <c r="C3074" s="5" t="str">
        <f>LEFT(F3074,FIND(".",F3074,6))</f>
        <v>Xmp.video.</v>
      </c>
      <c r="D3074" s="5" t="str">
        <f>VLOOKUP(C3074,PrefixUebersetzung,2,FALSE)</f>
        <v>Xmp.video.</v>
      </c>
      <c r="E3074" s="5" t="str">
        <f>MID(F3074,FIND(".",F3074,6)+1,99)</f>
        <v>Edit5</v>
      </c>
      <c r="F3074" s="23" t="s">
        <v>5897</v>
      </c>
      <c r="G3074" s="5" t="s">
        <v>9678</v>
      </c>
      <c r="H3074" s="10" t="s">
        <v>5893</v>
      </c>
      <c r="I3074" s="7" t="s">
        <v>6514</v>
      </c>
      <c r="J3074" s="8"/>
      <c r="K3074" s="26"/>
      <c r="M3074" s="6" t="str">
        <f>IFERROR(VLOOKUP(H3074,B:J,9,FALSE),"")</f>
        <v>Informationen über Bearbeiten / Sprache.</v>
      </c>
      <c r="N3074" s="6"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6" t="s">
        <v>8574</v>
      </c>
    </row>
    <row r="3075" spans="1:17" ht="30" x14ac:dyDescent="0.25">
      <c r="A3075" s="5" t="str">
        <f>IF(TRIM(I3075)="","",E3075)</f>
        <v>Edit6</v>
      </c>
      <c r="B3075" s="5" t="str">
        <f>IF(TRIM(J3075)="","",H3075)</f>
        <v/>
      </c>
      <c r="C3075" s="5" t="str">
        <f>LEFT(F3075,FIND(".",F3075,6))</f>
        <v>Xmp.video.</v>
      </c>
      <c r="D3075" s="5" t="str">
        <f>VLOOKUP(C3075,PrefixUebersetzung,2,FALSE)</f>
        <v>Xmp.video.</v>
      </c>
      <c r="E3075" s="5" t="str">
        <f>MID(F3075,FIND(".",F3075,6)+1,99)</f>
        <v>Edit6</v>
      </c>
      <c r="F3075" s="23" t="s">
        <v>5898</v>
      </c>
      <c r="G3075" s="5" t="s">
        <v>9678</v>
      </c>
      <c r="H3075" s="10" t="s">
        <v>5893</v>
      </c>
      <c r="I3075" s="7" t="s">
        <v>6515</v>
      </c>
      <c r="J3075" s="8"/>
      <c r="K3075" s="26"/>
      <c r="M3075" s="6" t="str">
        <f>IFERROR(VLOOKUP(H3075,B:J,9,FALSE),"")</f>
        <v>Informationen über Bearbeiten / Sprache.</v>
      </c>
      <c r="N3075" s="6"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6" t="s">
        <v>8574</v>
      </c>
    </row>
    <row r="3076" spans="1:17" ht="30" x14ac:dyDescent="0.25">
      <c r="A3076" s="5" t="str">
        <f>IF(TRIM(I3076)="","",E3076)</f>
        <v>Edit7</v>
      </c>
      <c r="B3076" s="5" t="str">
        <f>IF(TRIM(J3076)="","",H3076)</f>
        <v/>
      </c>
      <c r="C3076" s="5" t="str">
        <f>LEFT(F3076,FIND(".",F3076,6))</f>
        <v>Xmp.video.</v>
      </c>
      <c r="D3076" s="5" t="str">
        <f>VLOOKUP(C3076,PrefixUebersetzung,2,FALSE)</f>
        <v>Xmp.video.</v>
      </c>
      <c r="E3076" s="5" t="str">
        <f>MID(F3076,FIND(".",F3076,6)+1,99)</f>
        <v>Edit7</v>
      </c>
      <c r="F3076" s="23" t="s">
        <v>5899</v>
      </c>
      <c r="G3076" s="5" t="s">
        <v>9678</v>
      </c>
      <c r="H3076" s="10" t="s">
        <v>5893</v>
      </c>
      <c r="I3076" s="7" t="s">
        <v>6516</v>
      </c>
      <c r="J3076" s="8"/>
      <c r="K3076" s="26"/>
      <c r="M3076" s="6" t="str">
        <f>IFERROR(VLOOKUP(H3076,B:J,9,FALSE),"")</f>
        <v>Informationen über Bearbeiten / Sprache.</v>
      </c>
      <c r="N3076" s="6"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6" t="s">
        <v>8574</v>
      </c>
    </row>
    <row r="3077" spans="1:17" ht="30" x14ac:dyDescent="0.25">
      <c r="A3077" s="5" t="str">
        <f>IF(TRIM(I3077)="","",E3077)</f>
        <v>Edit8</v>
      </c>
      <c r="B3077" s="5" t="str">
        <f>IF(TRIM(J3077)="","",H3077)</f>
        <v/>
      </c>
      <c r="C3077" s="5" t="str">
        <f>LEFT(F3077,FIND(".",F3077,6))</f>
        <v>Xmp.video.</v>
      </c>
      <c r="D3077" s="5" t="str">
        <f>VLOOKUP(C3077,PrefixUebersetzung,2,FALSE)</f>
        <v>Xmp.video.</v>
      </c>
      <c r="E3077" s="5" t="str">
        <f>MID(F3077,FIND(".",F3077,6)+1,99)</f>
        <v>Edit8</v>
      </c>
      <c r="F3077" s="23" t="s">
        <v>5900</v>
      </c>
      <c r="G3077" s="5" t="s">
        <v>9678</v>
      </c>
      <c r="H3077" s="10" t="s">
        <v>5893</v>
      </c>
      <c r="I3077" s="7" t="s">
        <v>6517</v>
      </c>
      <c r="J3077" s="8"/>
      <c r="K3077" s="26"/>
      <c r="M3077" s="6" t="str">
        <f>IFERROR(VLOOKUP(H3077,B:J,9,FALSE),"")</f>
        <v>Informationen über Bearbeiten / Sprache.</v>
      </c>
      <c r="N3077" s="6"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6" t="s">
        <v>8574</v>
      </c>
    </row>
    <row r="3078" spans="1:17" ht="30" x14ac:dyDescent="0.25">
      <c r="A3078" s="5" t="str">
        <f>IF(TRIM(I3078)="","",E3078)</f>
        <v>Edit9</v>
      </c>
      <c r="B3078" s="5" t="str">
        <f>IF(TRIM(J3078)="","",H3078)</f>
        <v/>
      </c>
      <c r="C3078" s="5" t="str">
        <f>LEFT(F3078,FIND(".",F3078,6))</f>
        <v>Xmp.video.</v>
      </c>
      <c r="D3078" s="5" t="str">
        <f>VLOOKUP(C3078,PrefixUebersetzung,2,FALSE)</f>
        <v>Xmp.video.</v>
      </c>
      <c r="E3078" s="5" t="str">
        <f>MID(F3078,FIND(".",F3078,6)+1,99)</f>
        <v>Edit9</v>
      </c>
      <c r="F3078" s="23" t="s">
        <v>5901</v>
      </c>
      <c r="G3078" s="5" t="s">
        <v>9678</v>
      </c>
      <c r="H3078" s="10" t="s">
        <v>5893</v>
      </c>
      <c r="I3078" s="7" t="s">
        <v>6518</v>
      </c>
      <c r="J3078" s="8"/>
      <c r="K3078" s="26"/>
      <c r="M3078" s="6" t="str">
        <f>IFERROR(VLOOKUP(H3078,B:J,9,FALSE),"")</f>
        <v>Informationen über Bearbeiten / Sprache.</v>
      </c>
      <c r="N3078" s="6"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6" t="s">
        <v>8574</v>
      </c>
    </row>
    <row r="3079" spans="1:17" ht="30" x14ac:dyDescent="0.25">
      <c r="A3079" s="5" t="str">
        <f>IF(TRIM(I3079)="","",E3079)</f>
        <v>EditedBy</v>
      </c>
      <c r="B3079" s="5" t="str">
        <f>IF(TRIM(J3079)="","",H3079)</f>
        <v>Edited By, i.e. name of person or organization.</v>
      </c>
      <c r="C3079" s="5" t="str">
        <f>LEFT(F3079,FIND(".",F3079,6))</f>
        <v>Xmp.video.</v>
      </c>
      <c r="D3079" s="5" t="str">
        <f>VLOOKUP(C3079,PrefixUebersetzung,2,FALSE)</f>
        <v>Xmp.video.</v>
      </c>
      <c r="E3079" s="5" t="str">
        <f>MID(F3079,FIND(".",F3079,6)+1,99)</f>
        <v>EditedBy</v>
      </c>
      <c r="F3079" s="23" t="s">
        <v>5902</v>
      </c>
      <c r="G3079" s="5" t="s">
        <v>9678</v>
      </c>
      <c r="H3079" s="10" t="s">
        <v>5903</v>
      </c>
      <c r="I3079" s="7" t="s">
        <v>6519</v>
      </c>
      <c r="J3079" s="8" t="s">
        <v>6827</v>
      </c>
      <c r="K3079" s="26"/>
      <c r="N3079" s="6"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6" t="s">
        <v>8574</v>
      </c>
      <c r="P3079" s="6" t="s">
        <v>8574</v>
      </c>
    </row>
    <row r="3080" spans="1:17" x14ac:dyDescent="0.25">
      <c r="A3080" s="5" t="str">
        <f>IF(TRIM(I3080)="","",E3080)</f>
        <v/>
      </c>
      <c r="B3080" s="5" t="str">
        <f>IF(TRIM(J3080)="","",H3080)</f>
        <v>Status of Video Track, i.e. Enabled/Disabled</v>
      </c>
      <c r="C3080" s="5" t="str">
        <f>LEFT(F3080,FIND(".",F3080,6))</f>
        <v>Xmp.video.</v>
      </c>
      <c r="D3080" s="5" t="str">
        <f>VLOOKUP(C3080,PrefixUebersetzung,2,FALSE)</f>
        <v>Xmp.video.</v>
      </c>
      <c r="E3080" s="5" t="str">
        <f>MID(F3080,FIND(".",F3080,6)+1,99)</f>
        <v>Enabled</v>
      </c>
      <c r="F3080" s="23" t="s">
        <v>5904</v>
      </c>
      <c r="G3080" s="5" t="s">
        <v>9678</v>
      </c>
      <c r="H3080" s="10" t="s">
        <v>5905</v>
      </c>
      <c r="I3080" s="7"/>
      <c r="J3080" s="8" t="s">
        <v>6794</v>
      </c>
      <c r="K3080" s="26"/>
      <c r="L3080" s="6" t="str">
        <f>IFERROR(VLOOKUP(E3080,A:I,9, FALSE),"")</f>
        <v>Aktiviert</v>
      </c>
      <c r="N3080" s="6"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P3080" s="6" t="s">
        <v>8574</v>
      </c>
    </row>
    <row r="3081" spans="1:17" ht="30" x14ac:dyDescent="0.25">
      <c r="A3081" s="5" t="str">
        <f>IF(TRIM(I3081)="","",E3081)</f>
        <v>EncodedBy</v>
      </c>
      <c r="B3081" s="5" t="str">
        <f>IF(TRIM(J3081)="","",H3081)</f>
        <v>Encoded By, i.e. name of person or organization.</v>
      </c>
      <c r="C3081" s="5" t="str">
        <f>LEFT(F3081,FIND(".",F3081,6))</f>
        <v>Xmp.video.</v>
      </c>
      <c r="D3081" s="5" t="str">
        <f>VLOOKUP(C3081,PrefixUebersetzung,2,FALSE)</f>
        <v>Xmp.video.</v>
      </c>
      <c r="E3081" s="5" t="str">
        <f>MID(F3081,FIND(".",F3081,6)+1,99)</f>
        <v>EncodedBy</v>
      </c>
      <c r="F3081" s="23" t="s">
        <v>5906</v>
      </c>
      <c r="G3081" s="5" t="s">
        <v>9678</v>
      </c>
      <c r="H3081" s="10" t="s">
        <v>5907</v>
      </c>
      <c r="I3081" s="7" t="s">
        <v>8953</v>
      </c>
      <c r="J3081" s="8" t="s">
        <v>6828</v>
      </c>
      <c r="K3081" s="26"/>
      <c r="N3081" s="6"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6" t="s">
        <v>8574</v>
      </c>
      <c r="P3081" s="6" t="s">
        <v>8574</v>
      </c>
    </row>
    <row r="3082" spans="1:17" x14ac:dyDescent="0.25">
      <c r="A3082" s="5" t="str">
        <f>IF(TRIM(I3082)="","",E3082)</f>
        <v/>
      </c>
      <c r="B3082" s="5" t="str">
        <f>IF(TRIM(J3082)="","",H3082)</f>
        <v>Encoded Pixels height in pixels</v>
      </c>
      <c r="C3082" s="5" t="str">
        <f>LEFT(F3082,FIND(".",F3082,6))</f>
        <v>Xmp.video.</v>
      </c>
      <c r="D3082" s="5" t="str">
        <f>VLOOKUP(C3082,PrefixUebersetzung,2,FALSE)</f>
        <v>Xmp.video.</v>
      </c>
      <c r="E3082" s="5" t="str">
        <f>MID(F3082,FIND(".",F3082,6)+1,99)</f>
        <v>EncodedPixelsHeight</v>
      </c>
      <c r="F3082" s="23" t="s">
        <v>5908</v>
      </c>
      <c r="G3082" s="5" t="s">
        <v>9678</v>
      </c>
      <c r="H3082" s="10" t="s">
        <v>5909</v>
      </c>
      <c r="I3082" s="7"/>
      <c r="J3082" s="8" t="s">
        <v>6363</v>
      </c>
      <c r="K3082" s="26"/>
      <c r="N3082" s="6"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xml:space="preserve">Suffix not translated </v>
      </c>
      <c r="O3082" s="6" t="s">
        <v>8574</v>
      </c>
      <c r="P3082" s="6" t="s">
        <v>8574</v>
      </c>
    </row>
    <row r="3083" spans="1:17" x14ac:dyDescent="0.25">
      <c r="A3083" s="5" t="str">
        <f>IF(TRIM(I3083)="","",E3083)</f>
        <v/>
      </c>
      <c r="B3083" s="5" t="str">
        <f>IF(TRIM(J3083)="","",H3083)</f>
        <v>Encoded Pixels width in pixels</v>
      </c>
      <c r="C3083" s="5" t="str">
        <f>LEFT(F3083,FIND(".",F3083,6))</f>
        <v>Xmp.video.</v>
      </c>
      <c r="D3083" s="5" t="str">
        <f>VLOOKUP(C3083,PrefixUebersetzung,2,FALSE)</f>
        <v>Xmp.video.</v>
      </c>
      <c r="E3083" s="5" t="str">
        <f>MID(F3083,FIND(".",F3083,6)+1,99)</f>
        <v>EncodedPixelsWidth</v>
      </c>
      <c r="F3083" s="23" t="s">
        <v>5910</v>
      </c>
      <c r="G3083" s="5" t="s">
        <v>9678</v>
      </c>
      <c r="H3083" s="10" t="s">
        <v>5911</v>
      </c>
      <c r="I3083" s="7"/>
      <c r="J3083" s="8" t="s">
        <v>6364</v>
      </c>
      <c r="K3083" s="26"/>
      <c r="N3083" s="6"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xml:space="preserve">Suffix not translated </v>
      </c>
      <c r="O3083" s="6" t="s">
        <v>8574</v>
      </c>
      <c r="P3083" s="6" t="s">
        <v>8574</v>
      </c>
    </row>
    <row r="3084" spans="1:17" x14ac:dyDescent="0.25">
      <c r="A3084" s="5" t="str">
        <f>IF(TRIM(I3084)="","",E3084)</f>
        <v>Encoder</v>
      </c>
      <c r="B3084" s="5" t="str">
        <f>IF(TRIM(J3084)="","",H3084)</f>
        <v>Information about the Encoder.</v>
      </c>
      <c r="C3084" s="5" t="str">
        <f>LEFT(F3084,FIND(".",F3084,6))</f>
        <v>Xmp.video.</v>
      </c>
      <c r="D3084" s="5" t="str">
        <f>VLOOKUP(C3084,PrefixUebersetzung,2,FALSE)</f>
        <v>Xmp.video.</v>
      </c>
      <c r="E3084" s="5" t="str">
        <f>MID(F3084,FIND(".",F3084,6)+1,99)</f>
        <v>Encoder</v>
      </c>
      <c r="F3084" s="23" t="s">
        <v>5912</v>
      </c>
      <c r="G3084" s="5" t="s">
        <v>9678</v>
      </c>
      <c r="H3084" s="10" t="s">
        <v>5913</v>
      </c>
      <c r="I3084" s="7" t="s">
        <v>6520</v>
      </c>
      <c r="J3084" s="8" t="s">
        <v>6365</v>
      </c>
      <c r="K3084" s="26"/>
      <c r="N3084" s="6"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6" t="s">
        <v>8574</v>
      </c>
      <c r="P3084" s="6" t="s">
        <v>8574</v>
      </c>
    </row>
    <row r="3085" spans="1:17" x14ac:dyDescent="0.25">
      <c r="A3085" s="5" t="str">
        <f>IF(TRIM(I3085)="","",E3085)</f>
        <v>EndTimecode</v>
      </c>
      <c r="B3085" s="5" t="str">
        <f>IF(TRIM(J3085)="","",H3085)</f>
        <v>End Timecode</v>
      </c>
      <c r="C3085" s="5" t="str">
        <f>LEFT(F3085,FIND(".",F3085,6))</f>
        <v>Xmp.video.</v>
      </c>
      <c r="D3085" s="5" t="str">
        <f>VLOOKUP(C3085,PrefixUebersetzung,2,FALSE)</f>
        <v>Xmp.video.</v>
      </c>
      <c r="E3085" s="5" t="str">
        <f>MID(F3085,FIND(".",F3085,6)+1,99)</f>
        <v>EndTimecode</v>
      </c>
      <c r="F3085" s="23" t="s">
        <v>5914</v>
      </c>
      <c r="G3085" s="5" t="s">
        <v>9678</v>
      </c>
      <c r="H3085" s="10" t="s">
        <v>5915</v>
      </c>
      <c r="I3085" s="7" t="s">
        <v>6521</v>
      </c>
      <c r="J3085" s="8" t="s">
        <v>6829</v>
      </c>
      <c r="K3085" s="26"/>
      <c r="N3085" s="6"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6" t="s">
        <v>8574</v>
      </c>
      <c r="P3085" s="6" t="s">
        <v>8574</v>
      </c>
      <c r="Q3085" s="6" t="s">
        <v>9130</v>
      </c>
    </row>
    <row r="3086" spans="1:17" x14ac:dyDescent="0.25">
      <c r="A3086" s="5" t="str">
        <f>IF(TRIM(I3086)="","",E3086)</f>
        <v>Engineer</v>
      </c>
      <c r="B3086" s="5" t="str">
        <f>IF(TRIM(J3086)="","",H3086)</f>
        <v>Engineer, in most cases name of person.</v>
      </c>
      <c r="C3086" s="5" t="str">
        <f>LEFT(F3086,FIND(".",F3086,6))</f>
        <v>Xmp.video.</v>
      </c>
      <c r="D3086" s="5" t="str">
        <f>VLOOKUP(C3086,PrefixUebersetzung,2,FALSE)</f>
        <v>Xmp.video.</v>
      </c>
      <c r="E3086" s="5" t="str">
        <f>MID(F3086,FIND(".",F3086,6)+1,99)</f>
        <v>Engineer</v>
      </c>
      <c r="F3086" s="23" t="s">
        <v>5916</v>
      </c>
      <c r="G3086" s="5" t="s">
        <v>9678</v>
      </c>
      <c r="H3086" s="10" t="s">
        <v>5917</v>
      </c>
      <c r="I3086" s="7" t="s">
        <v>6925</v>
      </c>
      <c r="J3086" s="8" t="s">
        <v>6927</v>
      </c>
      <c r="K3086" s="26"/>
      <c r="L3086" s="6" t="str">
        <f>IFERROR(VLOOKUP(E3086,A:I,9, FALSE),"")</f>
        <v>Ingenieur</v>
      </c>
      <c r="N3086" s="6"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6" t="s">
        <v>8574</v>
      </c>
      <c r="P3086" s="6" t="s">
        <v>8574</v>
      </c>
    </row>
    <row r="3087" spans="1:17" ht="30" x14ac:dyDescent="0.25">
      <c r="A3087" s="5" t="str">
        <f>IF(TRIM(I3087)="","",E3087)</f>
        <v/>
      </c>
      <c r="B3087" s="5" t="str">
        <f>IF(TRIM(J3087)="","",H3087)</f>
        <v>Information about the Equipment used for recording Video.</v>
      </c>
      <c r="C3087" s="5" t="str">
        <f>LEFT(F3087,FIND(".",F3087,6))</f>
        <v>Xmp.video.</v>
      </c>
      <c r="D3087" s="5" t="str">
        <f>VLOOKUP(C3087,PrefixUebersetzung,2,FALSE)</f>
        <v>Xmp.video.</v>
      </c>
      <c r="E3087" s="5" t="str">
        <f>MID(F3087,FIND(".",F3087,6)+1,99)</f>
        <v>Equipment</v>
      </c>
      <c r="F3087" s="23" t="s">
        <v>5918</v>
      </c>
      <c r="G3087" s="5" t="s">
        <v>9678</v>
      </c>
      <c r="H3087" s="10" t="s">
        <v>5919</v>
      </c>
      <c r="I3087" s="7"/>
      <c r="J3087" s="8" t="s">
        <v>6830</v>
      </c>
      <c r="K3087" s="26"/>
      <c r="L3087" s="6" t="str">
        <f>IFERROR(VLOOKUP(E3087,A:I,9, FALSE),"")</f>
        <v>Ausrüstung</v>
      </c>
      <c r="N3087" s="6"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P3087" s="6" t="s">
        <v>8574</v>
      </c>
    </row>
    <row r="3088" spans="1:17" x14ac:dyDescent="0.25">
      <c r="A3088" s="5" t="str">
        <f>IF(TRIM(I3088)="","",E3088)</f>
        <v/>
      </c>
      <c r="B3088" s="5" t="str">
        <f>IF(TRIM(J3088)="","",H3088)</f>
        <v>Exposure Compensation Information.</v>
      </c>
      <c r="C3088" s="5" t="str">
        <f>LEFT(F3088,FIND(".",F3088,6))</f>
        <v>Xmp.video.</v>
      </c>
      <c r="D3088" s="5" t="str">
        <f>VLOOKUP(C3088,PrefixUebersetzung,2,FALSE)</f>
        <v>Xmp.video.</v>
      </c>
      <c r="E3088" s="5" t="str">
        <f>MID(F3088,FIND(".",F3088,6)+1,99)</f>
        <v>ExposureCompensation</v>
      </c>
      <c r="F3088" s="23" t="s">
        <v>5920</v>
      </c>
      <c r="G3088" s="5" t="s">
        <v>9678</v>
      </c>
      <c r="H3088" s="10" t="s">
        <v>5921</v>
      </c>
      <c r="I3088" s="7"/>
      <c r="J3088" s="8" t="s">
        <v>6366</v>
      </c>
      <c r="K3088" s="26"/>
      <c r="L3088" s="6" t="str">
        <f>IFERROR(VLOOKUP(E3088,A:I,9, FALSE),"")</f>
        <v>Belichtungskorrektur</v>
      </c>
      <c r="N3088" s="6"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c>
      <c r="P3088" s="6" t="s">
        <v>8574</v>
      </c>
      <c r="Q3088" s="6" t="s">
        <v>9171</v>
      </c>
    </row>
    <row r="3089" spans="1:17" x14ac:dyDescent="0.25">
      <c r="A3089" s="5" t="str">
        <f>IF(TRIM(I3089)="","",E3089)</f>
        <v/>
      </c>
      <c r="B3089" s="5" t="str">
        <f>IF(TRIM(J3089)="","",H3089)</f>
        <v>Exposure Program Information.</v>
      </c>
      <c r="C3089" s="5" t="str">
        <f>LEFT(F3089,FIND(".",F3089,6))</f>
        <v>Xmp.video.</v>
      </c>
      <c r="D3089" s="5" t="str">
        <f>VLOOKUP(C3089,PrefixUebersetzung,2,FALSE)</f>
        <v>Xmp.video.</v>
      </c>
      <c r="E3089" s="5" t="str">
        <f>MID(F3089,FIND(".",F3089,6)+1,99)</f>
        <v>ExposureProgram</v>
      </c>
      <c r="F3089" s="23" t="s">
        <v>5922</v>
      </c>
      <c r="G3089" s="5" t="s">
        <v>9678</v>
      </c>
      <c r="H3089" s="10" t="s">
        <v>5923</v>
      </c>
      <c r="I3089" s="7"/>
      <c r="J3089" s="8" t="s">
        <v>6367</v>
      </c>
      <c r="K3089" s="26"/>
      <c r="L3089" s="6" t="str">
        <f>IFERROR(VLOOKUP(E3089,A:I,9, FALSE),"")</f>
        <v>Belichtungsprogramm</v>
      </c>
      <c r="N3089" s="6"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P3089" s="6" t="s">
        <v>8574</v>
      </c>
      <c r="Q3089" s="6" t="s">
        <v>4087</v>
      </c>
    </row>
    <row r="3090" spans="1:17" x14ac:dyDescent="0.25">
      <c r="A3090" s="5" t="str">
        <f>IF(TRIM(I3090)="","",E3090)</f>
        <v/>
      </c>
      <c r="B3090" s="5" t="str">
        <f>IF(TRIM(J3090)="","",H3090)</f>
        <v>Exposure time in seconds.</v>
      </c>
      <c r="C3090" s="5" t="str">
        <f>LEFT(F3090,FIND(".",F3090,6))</f>
        <v>Xmp.video.</v>
      </c>
      <c r="D3090" s="5" t="str">
        <f>VLOOKUP(C3090,PrefixUebersetzung,2,FALSE)</f>
        <v>Xmp.video.</v>
      </c>
      <c r="E3090" s="5" t="str">
        <f>MID(F3090,FIND(".",F3090,6)+1,99)</f>
        <v>ExposureTime</v>
      </c>
      <c r="F3090" s="23" t="s">
        <v>5924</v>
      </c>
      <c r="G3090" s="5" t="s">
        <v>9678</v>
      </c>
      <c r="H3090" s="10" t="s">
        <v>5925</v>
      </c>
      <c r="I3090" s="7"/>
      <c r="J3090" s="8" t="s">
        <v>6368</v>
      </c>
      <c r="K3090" s="26"/>
      <c r="L3090" s="6" t="str">
        <f>IFERROR(VLOOKUP(E3090,A:I,9, FALSE),"")</f>
        <v>Belichtungszeit</v>
      </c>
      <c r="N3090" s="6"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P3090" s="6" t="s">
        <v>8574</v>
      </c>
      <c r="Q3090" s="6" t="s">
        <v>6368</v>
      </c>
    </row>
    <row r="3091" spans="1:17" ht="30" x14ac:dyDescent="0.25">
      <c r="A3091" s="5" t="str">
        <f>IF(TRIM(I3091)="","",E3091)</f>
        <v>ExtendedContentDescription</v>
      </c>
      <c r="B3091" s="5" t="str">
        <f>IF(TRIM(J3091)="","",H3091)</f>
        <v>Extended Content Description, usually found in ASF type files.</v>
      </c>
      <c r="C3091" s="5" t="str">
        <f>LEFT(F3091,FIND(".",F3091,6))</f>
        <v>Xmp.video.</v>
      </c>
      <c r="D3091" s="5" t="str">
        <f>VLOOKUP(C3091,PrefixUebersetzung,2,FALSE)</f>
        <v>Xmp.video.</v>
      </c>
      <c r="E3091" s="5" t="str">
        <f>MID(F3091,FIND(".",F3091,6)+1,99)</f>
        <v>ExtendedContentDescription</v>
      </c>
      <c r="F3091" s="23" t="s">
        <v>5926</v>
      </c>
      <c r="G3091" s="5" t="s">
        <v>9680</v>
      </c>
      <c r="H3091" s="10" t="s">
        <v>9709</v>
      </c>
      <c r="I3091" s="7" t="s">
        <v>6522</v>
      </c>
      <c r="J3091" s="8" t="s">
        <v>6831</v>
      </c>
      <c r="K3091" s="26"/>
      <c r="N3091" s="6"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6" t="s">
        <v>8574</v>
      </c>
      <c r="P3091" s="6" t="s">
        <v>8574</v>
      </c>
    </row>
    <row r="3092" spans="1:17" ht="45" x14ac:dyDescent="0.25">
      <c r="A3092" s="5" t="str">
        <f>IF(TRIM(I3092)="","",E3092)</f>
        <v>FileDataRate</v>
      </c>
      <c r="B3092" s="5" t="str">
        <f>IF(TRIM(J3092)="","",H3092)</f>
        <v>The file data rate in megabytes per second. For example: "36/10" = 3.6 MB/sec</v>
      </c>
      <c r="C3092" s="5" t="str">
        <f>LEFT(F3092,FIND(".",F3092,6))</f>
        <v>Xmp.video.</v>
      </c>
      <c r="D3092" s="5" t="str">
        <f>VLOOKUP(C3092,PrefixUebersetzung,2,FALSE)</f>
        <v>Xmp.video.</v>
      </c>
      <c r="E3092" s="5" t="str">
        <f>MID(F3092,FIND(".",F3092,6)+1,99)</f>
        <v>FileDataRate</v>
      </c>
      <c r="F3092" s="23" t="s">
        <v>5927</v>
      </c>
      <c r="G3092" s="5" t="s">
        <v>9678</v>
      </c>
      <c r="H3092" s="10" t="s">
        <v>3644</v>
      </c>
      <c r="I3092" s="7" t="s">
        <v>5120</v>
      </c>
      <c r="J3092" s="8" t="s">
        <v>6715</v>
      </c>
      <c r="K3092" s="26"/>
      <c r="L3092" s="6" t="str">
        <f>IFERROR(VLOOKUP(E3092,A:I,9, FALSE),"")</f>
        <v>Datei Datenrate</v>
      </c>
      <c r="M3092" s="6" t="str">
        <f>IFERROR(VLOOKUP(H3092,B:J,9,FALSE),"")</f>
        <v>Die Datei-Datenrate in Megabyte pro Sekunde. Zum Beispiel: "36/10" = 3,6 MB / sec</v>
      </c>
      <c r="N3092" s="6"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6" t="s">
        <v>8574</v>
      </c>
      <c r="P3092" s="6" t="s">
        <v>8574</v>
      </c>
    </row>
    <row r="3093" spans="1:17" x14ac:dyDescent="0.25">
      <c r="A3093" s="5" t="str">
        <f>IF(TRIM(I3093)="","",E3093)</f>
        <v>FileID</v>
      </c>
      <c r="B3093" s="5" t="str">
        <f>IF(TRIM(J3093)="","",H3093)</f>
        <v>File ID.</v>
      </c>
      <c r="C3093" s="5" t="str">
        <f>LEFT(F3093,FIND(".",F3093,6))</f>
        <v>Xmp.video.</v>
      </c>
      <c r="D3093" s="5" t="str">
        <f>VLOOKUP(C3093,PrefixUebersetzung,2,FALSE)</f>
        <v>Xmp.video.</v>
      </c>
      <c r="E3093" s="5" t="str">
        <f>MID(F3093,FIND(".",F3093,6)+1,99)</f>
        <v>FileID</v>
      </c>
      <c r="F3093" s="23" t="s">
        <v>5928</v>
      </c>
      <c r="G3093" s="5" t="s">
        <v>9678</v>
      </c>
      <c r="H3093" s="10" t="s">
        <v>5929</v>
      </c>
      <c r="I3093" s="7" t="s">
        <v>6523</v>
      </c>
      <c r="J3093" s="8" t="s">
        <v>6369</v>
      </c>
      <c r="K3093" s="26"/>
      <c r="N3093" s="6"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6" t="s">
        <v>8574</v>
      </c>
      <c r="P3093" s="6" t="s">
        <v>8574</v>
      </c>
      <c r="Q3093" s="6" t="s">
        <v>9297</v>
      </c>
    </row>
    <row r="3094" spans="1:17" x14ac:dyDescent="0.25">
      <c r="A3094" s="5" t="str">
        <f>IF(TRIM(I3094)="","",E3094)</f>
        <v>FileLength</v>
      </c>
      <c r="B3094" s="5" t="str">
        <f>IF(TRIM(J3094)="","",H3094)</f>
        <v>File length.</v>
      </c>
      <c r="C3094" s="5" t="str">
        <f>LEFT(F3094,FIND(".",F3094,6))</f>
        <v>Xmp.video.</v>
      </c>
      <c r="D3094" s="5" t="str">
        <f>VLOOKUP(C3094,PrefixUebersetzung,2,FALSE)</f>
        <v>Xmp.video.</v>
      </c>
      <c r="E3094" s="5" t="str">
        <f>MID(F3094,FIND(".",F3094,6)+1,99)</f>
        <v>FileLength</v>
      </c>
      <c r="F3094" s="23" t="s">
        <v>5930</v>
      </c>
      <c r="G3094" s="5" t="s">
        <v>9678</v>
      </c>
      <c r="H3094" s="10" t="s">
        <v>5931</v>
      </c>
      <c r="I3094" s="7" t="s">
        <v>6524</v>
      </c>
      <c r="J3094" s="8" t="s">
        <v>6370</v>
      </c>
      <c r="K3094" s="26"/>
      <c r="N3094" s="6"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6" t="s">
        <v>8574</v>
      </c>
      <c r="P3094" s="6" t="s">
        <v>8574</v>
      </c>
      <c r="Q3094" s="6" t="s">
        <v>9195</v>
      </c>
    </row>
    <row r="3095" spans="1:17" x14ac:dyDescent="0.25">
      <c r="A3095" s="5" t="str">
        <f>IF(TRIM(I3095)="","",E3095)</f>
        <v>FileName</v>
      </c>
      <c r="B3095" s="5" t="str">
        <f>IF(TRIM(J3095)="","",H3095)</f>
        <v>File Name or Absolute File Path</v>
      </c>
      <c r="C3095" s="5" t="str">
        <f>LEFT(F3095,FIND(".",F3095,6))</f>
        <v>Xmp.video.</v>
      </c>
      <c r="D3095" s="5" t="str">
        <f>VLOOKUP(C3095,PrefixUebersetzung,2,FALSE)</f>
        <v>Xmp.video.</v>
      </c>
      <c r="E3095" s="5" t="str">
        <f>MID(F3095,FIND(".",F3095,6)+1,99)</f>
        <v>FileName</v>
      </c>
      <c r="F3095" s="23" t="s">
        <v>5932</v>
      </c>
      <c r="G3095" s="5" t="s">
        <v>9678</v>
      </c>
      <c r="H3095" s="10" t="s">
        <v>5933</v>
      </c>
      <c r="I3095" s="7" t="s">
        <v>6525</v>
      </c>
      <c r="J3095" s="8" t="s">
        <v>6371</v>
      </c>
      <c r="K3095" s="26"/>
      <c r="N3095" s="6"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6" t="s">
        <v>8574</v>
      </c>
      <c r="P3095" s="6" t="s">
        <v>8574</v>
      </c>
    </row>
    <row r="3096" spans="1:17" x14ac:dyDescent="0.25">
      <c r="A3096" s="5" t="str">
        <f>IF(TRIM(I3096)="","",E3096)</f>
        <v>FileSize</v>
      </c>
      <c r="B3096" s="5" t="str">
        <f>IF(TRIM(J3096)="","",H3096)</f>
        <v>File Size, in MB</v>
      </c>
      <c r="C3096" s="5" t="str">
        <f>LEFT(F3096,FIND(".",F3096,6))</f>
        <v>Xmp.video.</v>
      </c>
      <c r="D3096" s="5" t="str">
        <f>VLOOKUP(C3096,PrefixUebersetzung,2,FALSE)</f>
        <v>Xmp.video.</v>
      </c>
      <c r="E3096" s="5" t="str">
        <f>MID(F3096,FIND(".",F3096,6)+1,99)</f>
        <v>FileSize</v>
      </c>
      <c r="F3096" s="23" t="s">
        <v>5934</v>
      </c>
      <c r="G3096" s="5" t="s">
        <v>9678</v>
      </c>
      <c r="H3096" s="10" t="s">
        <v>5935</v>
      </c>
      <c r="I3096" s="7" t="s">
        <v>6526</v>
      </c>
      <c r="J3096" s="8" t="s">
        <v>6372</v>
      </c>
      <c r="K3096" s="26"/>
      <c r="N3096" s="6"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O3096" s="6" t="s">
        <v>8574</v>
      </c>
      <c r="P3096" s="6" t="s">
        <v>8574</v>
      </c>
      <c r="Q3096" s="6" t="s">
        <v>9300</v>
      </c>
    </row>
    <row r="3097" spans="1:17" x14ac:dyDescent="0.25">
      <c r="A3097" s="5" t="str">
        <f>IF(TRIM(I3097)="","",E3097)</f>
        <v>FileType</v>
      </c>
      <c r="B3097" s="5" t="str">
        <f>IF(TRIM(J3097)="","",H3097)</f>
        <v>Extension of File or Type of File</v>
      </c>
      <c r="C3097" s="5" t="str">
        <f>LEFT(F3097,FIND(".",F3097,6))</f>
        <v>Xmp.video.</v>
      </c>
      <c r="D3097" s="5" t="str">
        <f>VLOOKUP(C3097,PrefixUebersetzung,2,FALSE)</f>
        <v>Xmp.video.</v>
      </c>
      <c r="E3097" s="5" t="str">
        <f>MID(F3097,FIND(".",F3097,6)+1,99)</f>
        <v>FileType</v>
      </c>
      <c r="F3097" s="23" t="s">
        <v>5936</v>
      </c>
      <c r="G3097" s="5" t="s">
        <v>9678</v>
      </c>
      <c r="H3097" s="10" t="s">
        <v>5937</v>
      </c>
      <c r="I3097" s="7" t="s">
        <v>6527</v>
      </c>
      <c r="J3097" s="8" t="s">
        <v>6832</v>
      </c>
      <c r="K3097" s="26"/>
      <c r="N3097" s="6"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O3097" s="6" t="s">
        <v>8574</v>
      </c>
      <c r="P3097" s="6" t="s">
        <v>8574</v>
      </c>
    </row>
    <row r="3098" spans="1:17" x14ac:dyDescent="0.25">
      <c r="A3098" s="5" t="str">
        <f>IF(TRIM(I3098)="","",E3098)</f>
        <v/>
      </c>
      <c r="B3098" s="5" t="str">
        <f>IF(TRIM(J3098)="","",H3098)</f>
        <v>Filter Effect Settings Applied.</v>
      </c>
      <c r="C3098" s="5" t="str">
        <f>LEFT(F3098,FIND(".",F3098,6))</f>
        <v>Xmp.video.</v>
      </c>
      <c r="D3098" s="5" t="str">
        <f>VLOOKUP(C3098,PrefixUebersetzung,2,FALSE)</f>
        <v>Xmp.video.</v>
      </c>
      <c r="E3098" s="5" t="str">
        <f>MID(F3098,FIND(".",F3098,6)+1,99)</f>
        <v>FilterEffect</v>
      </c>
      <c r="F3098" s="23" t="s">
        <v>5938</v>
      </c>
      <c r="G3098" s="5" t="s">
        <v>9678</v>
      </c>
      <c r="H3098" s="10" t="s">
        <v>5939</v>
      </c>
      <c r="I3098" s="7"/>
      <c r="J3098" s="8" t="s">
        <v>6833</v>
      </c>
      <c r="K3098" s="26"/>
      <c r="L3098" s="6" t="str">
        <f>IFERROR(VLOOKUP(E3098,A:I,9, FALSE),"")</f>
        <v>Filtereffekt</v>
      </c>
      <c r="N3098" s="6"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P3098" s="6" t="s">
        <v>8574</v>
      </c>
    </row>
    <row r="3099" spans="1:17" x14ac:dyDescent="0.25">
      <c r="A3099" s="5" t="str">
        <f>IF(TRIM(I3099)="","",E3099)</f>
        <v/>
      </c>
      <c r="B3099" s="5" t="str">
        <f>IF(TRIM(J3099)="","",H3099)</f>
        <v>Firmware Version of the Camera/Video device.</v>
      </c>
      <c r="C3099" s="5" t="str">
        <f>LEFT(F3099,FIND(".",F3099,6))</f>
        <v>Xmp.video.</v>
      </c>
      <c r="D3099" s="5" t="str">
        <f>VLOOKUP(C3099,PrefixUebersetzung,2,FALSE)</f>
        <v>Xmp.video.</v>
      </c>
      <c r="E3099" s="5" t="str">
        <f>MID(F3099,FIND(".",F3099,6)+1,99)</f>
        <v>FirmwareVersion</v>
      </c>
      <c r="F3099" s="23" t="s">
        <v>5940</v>
      </c>
      <c r="G3099" s="5" t="s">
        <v>9678</v>
      </c>
      <c r="H3099" s="10" t="s">
        <v>5941</v>
      </c>
      <c r="I3099" s="7"/>
      <c r="J3099" s="8" t="s">
        <v>6834</v>
      </c>
      <c r="K3099" s="26"/>
      <c r="L3099" s="6" t="str">
        <f>IFERROR(VLOOKUP(E3099,A:I,9, FALSE),"")</f>
        <v>Firmware Version</v>
      </c>
      <c r="N3099" s="6"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c>
      <c r="P3099" s="6" t="s">
        <v>8574</v>
      </c>
    </row>
    <row r="3100" spans="1:17" x14ac:dyDescent="0.25">
      <c r="A3100" s="5" t="str">
        <f>IF(TRIM(I3100)="","",E3100)</f>
        <v/>
      </c>
      <c r="B3100" s="5" t="str">
        <f>IF(TRIM(J3100)="","",H3100)</f>
        <v>F number. Camera Lens specific data.</v>
      </c>
      <c r="C3100" s="5" t="str">
        <f>LEFT(F3100,FIND(".",F3100,6))</f>
        <v>Xmp.video.</v>
      </c>
      <c r="D3100" s="5" t="str">
        <f>VLOOKUP(C3100,PrefixUebersetzung,2,FALSE)</f>
        <v>Xmp.video.</v>
      </c>
      <c r="E3100" s="5" t="str">
        <f>MID(F3100,FIND(".",F3100,6)+1,99)</f>
        <v>FNumber</v>
      </c>
      <c r="F3100" s="23" t="s">
        <v>5942</v>
      </c>
      <c r="G3100" s="5" t="s">
        <v>9678</v>
      </c>
      <c r="H3100" s="10" t="s">
        <v>5943</v>
      </c>
      <c r="I3100" s="7"/>
      <c r="J3100" s="8" t="s">
        <v>6835</v>
      </c>
      <c r="K3100" s="26"/>
      <c r="L3100" s="6" t="str">
        <f>IFERROR(VLOOKUP(E3100,A:I,9, FALSE),"")</f>
        <v>Blendenzahl</v>
      </c>
      <c r="N3100" s="6"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P3100" s="6" t="s">
        <v>8574</v>
      </c>
    </row>
    <row r="3101" spans="1:17" ht="30" x14ac:dyDescent="0.25">
      <c r="A3101" s="5" t="str">
        <f>IF(TRIM(I3101)="","",E3101)</f>
        <v/>
      </c>
      <c r="B3101" s="5" t="str">
        <f>IF(TRIM(J3101)="","",H3101)</f>
        <v>Focal length of the lens, in millimeters.</v>
      </c>
      <c r="C3101" s="5" t="str">
        <f>LEFT(F3101,FIND(".",F3101,6))</f>
        <v>Xmp.video.</v>
      </c>
      <c r="D3101" s="5" t="str">
        <f>VLOOKUP(C3101,PrefixUebersetzung,2,FALSE)</f>
        <v>Xmp.video.</v>
      </c>
      <c r="E3101" s="5" t="str">
        <f>MID(F3101,FIND(".",F3101,6)+1,99)</f>
        <v>FocalLength</v>
      </c>
      <c r="F3101" s="23" t="s">
        <v>5944</v>
      </c>
      <c r="G3101" s="5" t="s">
        <v>9678</v>
      </c>
      <c r="H3101" s="10" t="s">
        <v>5945</v>
      </c>
      <c r="I3101" s="7"/>
      <c r="J3101" s="8" t="s">
        <v>6836</v>
      </c>
      <c r="K3101" s="26"/>
      <c r="L3101" s="6" t="str">
        <f>IFERROR(VLOOKUP(E3101,A:I,9, FALSE),"")</f>
        <v>Brennweite</v>
      </c>
      <c r="N3101" s="6"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P3101" s="6" t="s">
        <v>8574</v>
      </c>
      <c r="Q3101" s="6" t="s">
        <v>9268</v>
      </c>
    </row>
    <row r="3102" spans="1:17" x14ac:dyDescent="0.25">
      <c r="A3102" s="5" t="str">
        <f>IF(TRIM(I3102)="","",E3102)</f>
        <v/>
      </c>
      <c r="B3102" s="5" t="str">
        <f>IF(TRIM(J3102)="","",H3102)</f>
        <v>Focus Mode of the Lens. Eg - AF for Auto Focus</v>
      </c>
      <c r="C3102" s="5" t="str">
        <f>LEFT(F3102,FIND(".",F3102,6))</f>
        <v>Xmp.video.</v>
      </c>
      <c r="D3102" s="5" t="str">
        <f>VLOOKUP(C3102,PrefixUebersetzung,2,FALSE)</f>
        <v>Xmp.video.</v>
      </c>
      <c r="E3102" s="5" t="str">
        <f>MID(F3102,FIND(".",F3102,6)+1,99)</f>
        <v>FocusMode</v>
      </c>
      <c r="F3102" s="23" t="s">
        <v>5946</v>
      </c>
      <c r="G3102" s="5" t="s">
        <v>9678</v>
      </c>
      <c r="H3102" s="10" t="s">
        <v>5947</v>
      </c>
      <c r="I3102" s="7"/>
      <c r="J3102" s="8" t="s">
        <v>6837</v>
      </c>
      <c r="K3102" s="26"/>
      <c r="L3102" s="6" t="str">
        <f>IFERROR(VLOOKUP(E3102,A:I,9, FALSE),"")</f>
        <v>Fokusmodus</v>
      </c>
      <c r="N3102" s="6"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P3102" s="6" t="s">
        <v>8574</v>
      </c>
    </row>
    <row r="3103" spans="1:17" ht="30" x14ac:dyDescent="0.25">
      <c r="A3103" s="5" t="str">
        <f>IF(TRIM(I3103)="","",E3103)</f>
        <v/>
      </c>
      <c r="B3103" s="5" t="str">
        <f>IF(TRIM(J3103)="","",H3103)</f>
        <v>Indication of movie format (computer-generated, digitized, and so on).</v>
      </c>
      <c r="C3103" s="5" t="str">
        <f>LEFT(F3103,FIND(".",F3103,6))</f>
        <v>Xmp.video.</v>
      </c>
      <c r="D3103" s="5" t="str">
        <f>VLOOKUP(C3103,PrefixUebersetzung,2,FALSE)</f>
        <v>Xmp.video.</v>
      </c>
      <c r="E3103" s="5" t="str">
        <f>MID(F3103,FIND(".",F3103,6)+1,99)</f>
        <v>Format</v>
      </c>
      <c r="F3103" s="23" t="s">
        <v>5948</v>
      </c>
      <c r="G3103" s="5" t="s">
        <v>9678</v>
      </c>
      <c r="H3103" s="10" t="s">
        <v>5949</v>
      </c>
      <c r="I3103" s="7"/>
      <c r="J3103" s="8" t="s">
        <v>6838</v>
      </c>
      <c r="K3103" s="26"/>
      <c r="L3103" s="6" t="str">
        <f>IFERROR(VLOOKUP(E3103,A:I,9, FALSE),"")</f>
        <v>Format</v>
      </c>
      <c r="N3103" s="6"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P3103" s="6" t="s">
        <v>8574</v>
      </c>
    </row>
    <row r="3104" spans="1:17" ht="30" x14ac:dyDescent="0.25">
      <c r="A3104" s="5" t="str">
        <f>IF(TRIM(I3104)="","",E3104)</f>
        <v>FrameCount</v>
      </c>
      <c r="B3104" s="5" t="str">
        <f>IF(TRIM(J3104)="","",H3104)</f>
        <v>Total number of frames in a video</v>
      </c>
      <c r="C3104" s="5" t="str">
        <f>LEFT(F3104,FIND(".",F3104,6))</f>
        <v>Xmp.video.</v>
      </c>
      <c r="D3104" s="5" t="str">
        <f>VLOOKUP(C3104,PrefixUebersetzung,2,FALSE)</f>
        <v>Xmp.video.</v>
      </c>
      <c r="E3104" s="5" t="str">
        <f>MID(F3104,FIND(".",F3104,6)+1,99)</f>
        <v>FrameCount</v>
      </c>
      <c r="F3104" s="23" t="s">
        <v>5950</v>
      </c>
      <c r="G3104" s="5" t="s">
        <v>9678</v>
      </c>
      <c r="H3104" s="10" t="s">
        <v>5951</v>
      </c>
      <c r="I3104" s="7" t="s">
        <v>6430</v>
      </c>
      <c r="J3104" s="8" t="s">
        <v>6839</v>
      </c>
      <c r="K3104" s="26"/>
      <c r="M3104" s="6" t="str">
        <f>IFERROR(VLOOKUP(H3104,B:J,9,FALSE),"")</f>
        <v>Gesamtzahl von Frames in einem Video</v>
      </c>
      <c r="N3104" s="6"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c>
      <c r="O3104" s="6" t="s">
        <v>8574</v>
      </c>
      <c r="P3104" s="6" t="s">
        <v>8574</v>
      </c>
    </row>
    <row r="3105" spans="1:17" x14ac:dyDescent="0.25">
      <c r="A3105" s="5" t="str">
        <f>IF(TRIM(I3105)="","",E3105)</f>
        <v>FrameHeight</v>
      </c>
      <c r="B3105" s="5" t="str">
        <f>IF(TRIM(J3105)="","",H3105)</f>
        <v>Height of frames in a video</v>
      </c>
      <c r="C3105" s="5" t="str">
        <f>LEFT(F3105,FIND(".",F3105,6))</f>
        <v>Xmp.video.</v>
      </c>
      <c r="D3105" s="5" t="str">
        <f>VLOOKUP(C3105,PrefixUebersetzung,2,FALSE)</f>
        <v>Xmp.video.</v>
      </c>
      <c r="E3105" s="5" t="str">
        <f>MID(F3105,FIND(".",F3105,6)+1,99)</f>
        <v>FrameHeight</v>
      </c>
      <c r="F3105" s="23" t="s">
        <v>5952</v>
      </c>
      <c r="G3105" s="5" t="s">
        <v>9678</v>
      </c>
      <c r="H3105" s="10" t="s">
        <v>5953</v>
      </c>
      <c r="I3105" s="7" t="s">
        <v>6431</v>
      </c>
      <c r="J3105" s="8" t="s">
        <v>6840</v>
      </c>
      <c r="K3105" s="26"/>
      <c r="N3105" s="6"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O3105" s="6" t="s">
        <v>8574</v>
      </c>
      <c r="P3105" s="6" t="s">
        <v>8574</v>
      </c>
    </row>
    <row r="3106" spans="1:17" ht="45" x14ac:dyDescent="0.25">
      <c r="A3106" s="5" t="str">
        <f>IF(TRIM(I3106)="","",E3106)</f>
        <v/>
      </c>
      <c r="B3106" s="5" t="str">
        <f>IF(TRIM(J3106)="","",H3106)</f>
        <v>Rate at which frames are presented in a video (Expressed in fps(Frames per Second))</v>
      </c>
      <c r="C3106" s="5" t="str">
        <f>LEFT(F3106,FIND(".",F3106,6))</f>
        <v>Xmp.video.</v>
      </c>
      <c r="D3106" s="5" t="str">
        <f>VLOOKUP(C3106,PrefixUebersetzung,2,FALSE)</f>
        <v>Xmp.video.</v>
      </c>
      <c r="E3106" s="5" t="str">
        <f>MID(F3106,FIND(".",F3106,6)+1,99)</f>
        <v>FrameRate</v>
      </c>
      <c r="F3106" s="23" t="s">
        <v>5954</v>
      </c>
      <c r="G3106" s="5" t="s">
        <v>9678</v>
      </c>
      <c r="H3106" s="10" t="s">
        <v>5955</v>
      </c>
      <c r="I3106" s="7"/>
      <c r="J3106" s="8" t="s">
        <v>6841</v>
      </c>
      <c r="K3106" s="26"/>
      <c r="L3106" s="6" t="str">
        <f>IFERROR(VLOOKUP(E3106,A:I,9, FALSE),"")</f>
        <v>Frame-Rate</v>
      </c>
      <c r="N3106" s="6"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c>
      <c r="P3106" s="6" t="s">
        <v>8574</v>
      </c>
    </row>
    <row r="3107" spans="1:17" ht="30" x14ac:dyDescent="0.25">
      <c r="A3107" s="5" t="str">
        <f>IF(TRIM(I3107)="","",E3107)</f>
        <v>FrameSize</v>
      </c>
      <c r="B3107" s="5" t="str">
        <f>IF(TRIM(J3107)="","",H3107)</f>
        <v>The frame size. For example: w:720, h: 480, unit:pixels</v>
      </c>
      <c r="C3107" s="5" t="str">
        <f>LEFT(F3107,FIND(".",F3107,6))</f>
        <v>Xmp.video.</v>
      </c>
      <c r="D3107" s="5" t="str">
        <f>VLOOKUP(C3107,PrefixUebersetzung,2,FALSE)</f>
        <v>Xmp.video.</v>
      </c>
      <c r="E3107" s="5" t="str">
        <f>MID(F3107,FIND(".",F3107,6)+1,99)</f>
        <v>FrameSize</v>
      </c>
      <c r="F3107" s="23" t="s">
        <v>5956</v>
      </c>
      <c r="G3107" s="5" t="s">
        <v>9678</v>
      </c>
      <c r="H3107" s="10" t="s">
        <v>3678</v>
      </c>
      <c r="I3107" s="7" t="s">
        <v>6433</v>
      </c>
      <c r="J3107" s="8" t="s">
        <v>5575</v>
      </c>
      <c r="K3107" s="26"/>
      <c r="M3107" s="6" t="str">
        <f>IFERROR(VLOOKUP(H3107,B:J,9,FALSE),"")</f>
        <v>Die Rahmengröße. Zum Beispiel:  w:720, h: 480, unit:pixels</v>
      </c>
      <c r="N3107" s="6"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c>
      <c r="O3107" s="6" t="s">
        <v>8574</v>
      </c>
      <c r="P3107" s="6" t="s">
        <v>8574</v>
      </c>
    </row>
    <row r="3108" spans="1:17" x14ac:dyDescent="0.25">
      <c r="A3108" s="5" t="str">
        <f>IF(TRIM(I3108)="","",E3108)</f>
        <v>FrameWidth</v>
      </c>
      <c r="B3108" s="5" t="str">
        <f>IF(TRIM(J3108)="","",H3108)</f>
        <v>Width of frames in a video</v>
      </c>
      <c r="C3108" s="5" t="str">
        <f>LEFT(F3108,FIND(".",F3108,6))</f>
        <v>Xmp.video.</v>
      </c>
      <c r="D3108" s="5" t="str">
        <f>VLOOKUP(C3108,PrefixUebersetzung,2,FALSE)</f>
        <v>Xmp.video.</v>
      </c>
      <c r="E3108" s="5" t="str">
        <f>MID(F3108,FIND(".",F3108,6)+1,99)</f>
        <v>FrameWidth</v>
      </c>
      <c r="F3108" s="23" t="s">
        <v>5957</v>
      </c>
      <c r="G3108" s="5" t="s">
        <v>9678</v>
      </c>
      <c r="H3108" s="10" t="s">
        <v>5958</v>
      </c>
      <c r="I3108" s="7" t="s">
        <v>6434</v>
      </c>
      <c r="J3108" s="8" t="s">
        <v>6373</v>
      </c>
      <c r="K3108" s="26"/>
      <c r="N3108" s="6"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6" t="s">
        <v>8574</v>
      </c>
      <c r="P3108" s="6" t="s">
        <v>8574</v>
      </c>
    </row>
    <row r="3109" spans="1:17" x14ac:dyDescent="0.25">
      <c r="A3109" s="5" t="str">
        <f>IF(TRIM(I3109)="","",E3109)</f>
        <v>Genre</v>
      </c>
      <c r="B3109" s="5" t="str">
        <f>IF(TRIM(J3109)="","",H3109)</f>
        <v>The name of the genre.</v>
      </c>
      <c r="C3109" s="5" t="str">
        <f>LEFT(F3109,FIND(".",F3109,6))</f>
        <v>Xmp.video.</v>
      </c>
      <c r="D3109" s="5" t="str">
        <f>VLOOKUP(C3109,PrefixUebersetzung,2,FALSE)</f>
        <v>Xmp.video.</v>
      </c>
      <c r="E3109" s="5" t="str">
        <f>MID(F3109,FIND(".",F3109,6)+1,99)</f>
        <v>Genre</v>
      </c>
      <c r="F3109" s="23" t="s">
        <v>5959</v>
      </c>
      <c r="G3109" s="5" t="s">
        <v>9678</v>
      </c>
      <c r="H3109" s="10" t="s">
        <v>3645</v>
      </c>
      <c r="I3109" s="7" t="s">
        <v>4622</v>
      </c>
      <c r="J3109" s="8" t="s">
        <v>4175</v>
      </c>
      <c r="K3109" s="26"/>
      <c r="L3109" s="6" t="str">
        <f>IFERROR(VLOOKUP(E3109,A:I,9, FALSE),"")</f>
        <v>Genre</v>
      </c>
      <c r="M3109" s="6" t="str">
        <f>IFERROR(VLOOKUP(H3109,B:J,9,FALSE),"")</f>
        <v>Der Name des Genres.</v>
      </c>
      <c r="N3109" s="6"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6" t="s">
        <v>8574</v>
      </c>
      <c r="P3109" s="6" t="s">
        <v>8574</v>
      </c>
      <c r="Q3109" s="6" t="s">
        <v>4175</v>
      </c>
    </row>
    <row r="3110" spans="1:17" x14ac:dyDescent="0.25">
      <c r="A3110" s="5" t="str">
        <f>IF(TRIM(I3110)="","",E3110)</f>
        <v/>
      </c>
      <c r="B3110" s="5" t="str">
        <f>IF(TRIM(J3110)="","",H3110)</f>
        <v/>
      </c>
      <c r="C3110" s="5" t="str">
        <f>LEFT(F3110,FIND(".",F3110,6))</f>
        <v>Xmp.video.</v>
      </c>
      <c r="D3110" s="5" t="str">
        <f>VLOOKUP(C3110,PrefixUebersetzung,2,FALSE)</f>
        <v>Xmp.video.</v>
      </c>
      <c r="E3110" s="5" t="str">
        <f>MID(F3110,FIND(".",F3110,6)+1,99)</f>
        <v>GPSAltitude</v>
      </c>
      <c r="F3110" s="23" t="s">
        <v>5960</v>
      </c>
      <c r="G3110" s="5" t="s">
        <v>9678</v>
      </c>
      <c r="H3110" s="10" t="s">
        <v>3386</v>
      </c>
      <c r="I3110" s="7"/>
      <c r="J3110" s="8"/>
      <c r="K3110" s="26"/>
      <c r="L3110" s="6" t="str">
        <f>IFERROR(VLOOKUP(E3110,A:I,9, FALSE),"")</f>
        <v>GPS Höhe</v>
      </c>
      <c r="M3110" s="6" t="str">
        <f>IFERROR(VLOOKUP(H3110,B:J,9,FALSE),"")</f>
        <v>GPS tag 6, 0x06. Zeigt Höhe in Metern.</v>
      </c>
      <c r="N3110" s="6"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c>
    </row>
    <row r="3111" spans="1:17" ht="45" x14ac:dyDescent="0.25">
      <c r="A3111" s="5" t="str">
        <f>IF(TRIM(I3111)="","",E3111)</f>
        <v/>
      </c>
      <c r="B3111" s="5" t="str">
        <f>IF(TRIM(J3111)="","",H3111)</f>
        <v/>
      </c>
      <c r="C3111" s="5" t="str">
        <f>LEFT(F3111,FIND(".",F3111,6))</f>
        <v>Xmp.video.</v>
      </c>
      <c r="D3111" s="5" t="str">
        <f>VLOOKUP(C3111,PrefixUebersetzung,2,FALSE)</f>
        <v>Xmp.video.</v>
      </c>
      <c r="E3111" s="5" t="str">
        <f>MID(F3111,FIND(".",F3111,6)+1,99)</f>
        <v>GPSAltitudeRef</v>
      </c>
      <c r="F3111" s="23" t="s">
        <v>5961</v>
      </c>
      <c r="G3111" s="5" t="s">
        <v>9678</v>
      </c>
      <c r="H3111" s="10" t="s">
        <v>3387</v>
      </c>
      <c r="I3111" s="7"/>
      <c r="J3111" s="8"/>
      <c r="K3111" s="26"/>
      <c r="L3111" s="6" t="str">
        <f>IFERROR(VLOOKUP(E3111,A:I,9, FALSE),"")</f>
        <v>GPS Höhenreferenz</v>
      </c>
      <c r="M3111" s="6" t="str">
        <f>IFERROR(VLOOKUP(H3111,B:J,9,FALSE),"")</f>
        <v>GPS-Tag 5, 0x05. Zeigt an, ob die Höhe über oder unter dem Meeresspiegel ist.</v>
      </c>
      <c r="N3111" s="6"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row>
    <row r="3112" spans="1:17" x14ac:dyDescent="0.25">
      <c r="A3112" s="5" t="str">
        <f>IF(TRIM(I3112)="","",E3112)</f>
        <v>GPSCoordinates</v>
      </c>
      <c r="B3112" s="5" t="str">
        <f>IF(TRIM(J3112)="","",H3112)</f>
        <v>Information about the GPS Coordinates.</v>
      </c>
      <c r="C3112" s="5" t="str">
        <f>LEFT(F3112,FIND(".",F3112,6))</f>
        <v>Xmp.video.</v>
      </c>
      <c r="D3112" s="5" t="str">
        <f>VLOOKUP(C3112,PrefixUebersetzung,2,FALSE)</f>
        <v>Xmp.video.</v>
      </c>
      <c r="E3112" s="5" t="str">
        <f>MID(F3112,FIND(".",F3112,6)+1,99)</f>
        <v>GPSCoordinates</v>
      </c>
      <c r="F3112" s="23" t="s">
        <v>5962</v>
      </c>
      <c r="G3112" s="5" t="s">
        <v>9678</v>
      </c>
      <c r="H3112" s="10" t="s">
        <v>5963</v>
      </c>
      <c r="I3112" s="7" t="s">
        <v>6435</v>
      </c>
      <c r="J3112" s="8" t="s">
        <v>6374</v>
      </c>
      <c r="K3112" s="26"/>
      <c r="N3112" s="6"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6" t="s">
        <v>8574</v>
      </c>
      <c r="P3112" s="6" t="s">
        <v>8574</v>
      </c>
    </row>
    <row r="3113" spans="1:17" x14ac:dyDescent="0.25">
      <c r="A3113" s="5" t="str">
        <f>IF(TRIM(I3113)="","",E3113)</f>
        <v/>
      </c>
      <c r="B3113" s="5" t="str">
        <f>IF(TRIM(J3113)="","",H3113)</f>
        <v>Date stamp of GPS data.</v>
      </c>
      <c r="C3113" s="5" t="str">
        <f>LEFT(F3113,FIND(".",F3113,6))</f>
        <v>Xmp.video.</v>
      </c>
      <c r="D3113" s="5" t="str">
        <f>VLOOKUP(C3113,PrefixUebersetzung,2,FALSE)</f>
        <v>Xmp.video.</v>
      </c>
      <c r="E3113" s="5" t="str">
        <f>MID(F3113,FIND(".",F3113,6)+1,99)</f>
        <v>GPSDateStamp</v>
      </c>
      <c r="F3113" s="23" t="s">
        <v>5964</v>
      </c>
      <c r="G3113" s="5" t="s">
        <v>9678</v>
      </c>
      <c r="H3113" s="10" t="s">
        <v>9647</v>
      </c>
      <c r="I3113" s="7"/>
      <c r="J3113" s="8" t="s">
        <v>6842</v>
      </c>
      <c r="K3113" s="26"/>
      <c r="L3113" s="6" t="str">
        <f>IFERROR(VLOOKUP(E3113,A:I,9, FALSE),"")</f>
        <v>GPS Datum/Zeit</v>
      </c>
      <c r="N3113" s="6"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c>
      <c r="P3113" s="6" t="s">
        <v>8574</v>
      </c>
    </row>
    <row r="3114" spans="1:17" ht="30" x14ac:dyDescent="0.25">
      <c r="A3114" s="5" t="str">
        <f>IF(TRIM(I3114)="","",E3114)</f>
        <v/>
      </c>
      <c r="B3114" s="5" t="str">
        <f>IF(TRIM(J3114)="","",H3114)</f>
        <v>Direction of image when captured, values range from 0 to 359.99.</v>
      </c>
      <c r="C3114" s="5" t="str">
        <f>LEFT(F3114,FIND(".",F3114,6))</f>
        <v>Xmp.video.</v>
      </c>
      <c r="D3114" s="5" t="str">
        <f>VLOOKUP(C3114,PrefixUebersetzung,2,FALSE)</f>
        <v>Xmp.video.</v>
      </c>
      <c r="E3114" s="5" t="str">
        <f>MID(F3114,FIND(".",F3114,6)+1,99)</f>
        <v>GPSImgDirection</v>
      </c>
      <c r="F3114" s="23" t="s">
        <v>5965</v>
      </c>
      <c r="G3114" s="5" t="s">
        <v>9678</v>
      </c>
      <c r="H3114" s="10" t="s">
        <v>5966</v>
      </c>
      <c r="I3114" s="7"/>
      <c r="J3114" s="8" t="s">
        <v>6843</v>
      </c>
      <c r="K3114" s="26"/>
      <c r="L3114" s="6" t="str">
        <f>IFERROR(VLOOKUP(E3114,A:I,9, FALSE),"")</f>
        <v>GPS Bildrichtung</v>
      </c>
      <c r="N3114" s="6"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c>
      <c r="P3114" s="6" t="s">
        <v>8574</v>
      </c>
    </row>
    <row r="3115" spans="1:17" ht="30" x14ac:dyDescent="0.25">
      <c r="A3115" s="5" t="str">
        <f>IF(TRIM(I3115)="","",E3115)</f>
        <v/>
      </c>
      <c r="B3115" s="5" t="str">
        <f>IF(TRIM(J3115)="","",H3115)</f>
        <v>Reference for image direction.</v>
      </c>
      <c r="C3115" s="5" t="str">
        <f>LEFT(F3115,FIND(".",F3115,6))</f>
        <v>Xmp.video.</v>
      </c>
      <c r="D3115" s="5" t="str">
        <f>VLOOKUP(C3115,PrefixUebersetzung,2,FALSE)</f>
        <v>Xmp.video.</v>
      </c>
      <c r="E3115" s="5" t="str">
        <f>MID(F3115,FIND(".",F3115,6)+1,99)</f>
        <v>GPSImgDirectionRef</v>
      </c>
      <c r="F3115" s="23" t="s">
        <v>5967</v>
      </c>
      <c r="G3115" s="5" t="s">
        <v>9678</v>
      </c>
      <c r="H3115" s="10" t="s">
        <v>5968</v>
      </c>
      <c r="I3115" s="7"/>
      <c r="J3115" s="8" t="s">
        <v>6375</v>
      </c>
      <c r="K3115" s="26"/>
      <c r="L3115" s="6" t="str">
        <f>IFERROR(VLOOKUP(E3115,A:I,9, FALSE),"")</f>
        <v>GPS Bildrichtung Referenz</v>
      </c>
      <c r="N3115" s="6"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c>
      <c r="P3115" s="6" t="s">
        <v>8574</v>
      </c>
      <c r="Q3115" s="6" t="s">
        <v>9335</v>
      </c>
    </row>
    <row r="3116" spans="1:17" x14ac:dyDescent="0.25">
      <c r="A3116" s="5" t="str">
        <f>IF(TRIM(I3116)="","",E3116)</f>
        <v/>
      </c>
      <c r="B3116" s="5" t="str">
        <f>IF(TRIM(J3116)="","",H3116)</f>
        <v>(North/South). Indicates latitude.</v>
      </c>
      <c r="C3116" s="5" t="str">
        <f>LEFT(F3116,FIND(".",F3116,6))</f>
        <v>Xmp.video.</v>
      </c>
      <c r="D3116" s="5" t="str">
        <f>VLOOKUP(C3116,PrefixUebersetzung,2,FALSE)</f>
        <v>Xmp.video.</v>
      </c>
      <c r="E3116" s="5" t="str">
        <f>MID(F3116,FIND(".",F3116,6)+1,99)</f>
        <v>GPSLatitude</v>
      </c>
      <c r="F3116" s="23" t="s">
        <v>5969</v>
      </c>
      <c r="G3116" s="5" t="s">
        <v>9678</v>
      </c>
      <c r="H3116" s="10" t="s">
        <v>5970</v>
      </c>
      <c r="I3116" s="7"/>
      <c r="J3116" s="8" t="s">
        <v>6844</v>
      </c>
      <c r="K3116" s="26"/>
      <c r="L3116" s="6" t="str">
        <f>IFERROR(VLOOKUP(E3116,A:I,9, FALSE),"")</f>
        <v>GPS Breite</v>
      </c>
      <c r="N3116" s="6"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P3116" s="6" t="s">
        <v>8574</v>
      </c>
    </row>
    <row r="3117" spans="1:17" x14ac:dyDescent="0.25">
      <c r="A3117" s="5" t="str">
        <f>IF(TRIM(I3117)="","",E3117)</f>
        <v/>
      </c>
      <c r="B3117" s="5" t="str">
        <f>IF(TRIM(J3117)="","",H3117)</f>
        <v>(East/West). Indicates longitude.</v>
      </c>
      <c r="C3117" s="5" t="str">
        <f>LEFT(F3117,FIND(".",F3117,6))</f>
        <v>Xmp.video.</v>
      </c>
      <c r="D3117" s="5" t="str">
        <f>VLOOKUP(C3117,PrefixUebersetzung,2,FALSE)</f>
        <v>Xmp.video.</v>
      </c>
      <c r="E3117" s="5" t="str">
        <f>MID(F3117,FIND(".",F3117,6)+1,99)</f>
        <v>GPSLongitude</v>
      </c>
      <c r="F3117" s="23" t="s">
        <v>5971</v>
      </c>
      <c r="G3117" s="5" t="s">
        <v>9678</v>
      </c>
      <c r="H3117" s="10" t="s">
        <v>5972</v>
      </c>
      <c r="I3117" s="7"/>
      <c r="J3117" s="8" t="s">
        <v>6845</v>
      </c>
      <c r="K3117" s="26"/>
      <c r="L3117" s="6" t="str">
        <f>IFERROR(VLOOKUP(E3117,A:I,9, FALSE),"")</f>
        <v>GPS Länge</v>
      </c>
      <c r="N3117" s="6"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P3117" s="6" t="s">
        <v>8574</v>
      </c>
    </row>
    <row r="3118" spans="1:17" ht="30" x14ac:dyDescent="0.25">
      <c r="A3118" s="5" t="str">
        <f>IF(TRIM(I3118)="","",E3118)</f>
        <v/>
      </c>
      <c r="B3118" s="5" t="str">
        <f>IF(TRIM(J3118)="","",H3118)</f>
        <v>Geodetic survey data.</v>
      </c>
      <c r="C3118" s="5" t="str">
        <f>LEFT(F3118,FIND(".",F3118,6))</f>
        <v>Xmp.video.</v>
      </c>
      <c r="D3118" s="5" t="str">
        <f>VLOOKUP(C3118,PrefixUebersetzung,2,FALSE)</f>
        <v>Xmp.video.</v>
      </c>
      <c r="E3118" s="5" t="str">
        <f>MID(F3118,FIND(".",F3118,6)+1,99)</f>
        <v>GPSMapDatum</v>
      </c>
      <c r="F3118" s="23" t="s">
        <v>5973</v>
      </c>
      <c r="G3118" s="5" t="s">
        <v>9678</v>
      </c>
      <c r="H3118" s="10" t="s">
        <v>5974</v>
      </c>
      <c r="I3118" s="7"/>
      <c r="J3118" s="8" t="s">
        <v>6376</v>
      </c>
      <c r="K3118" s="26"/>
      <c r="L3118" s="6" t="str">
        <f>IFERROR(VLOOKUP(E3118,A:I,9, FALSE),"")</f>
        <v>GPS Vermessungsdaten</v>
      </c>
      <c r="N3118" s="6"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c>
      <c r="P3118" s="6" t="s">
        <v>8574</v>
      </c>
      <c r="Q3118" s="6" t="s">
        <v>9334</v>
      </c>
    </row>
    <row r="3119" spans="1:17" x14ac:dyDescent="0.25">
      <c r="A3119" s="5" t="str">
        <f>IF(TRIM(I3119)="","",E3119)</f>
        <v/>
      </c>
      <c r="B3119" s="5" t="str">
        <f>IF(TRIM(J3119)="","",H3119)</f>
        <v>Satellite information, format is unspecified.</v>
      </c>
      <c r="C3119" s="5" t="str">
        <f>LEFT(F3119,FIND(".",F3119,6))</f>
        <v>Xmp.video.</v>
      </c>
      <c r="D3119" s="5" t="str">
        <f>VLOOKUP(C3119,PrefixUebersetzung,2,FALSE)</f>
        <v>Xmp.video.</v>
      </c>
      <c r="E3119" s="5" t="str">
        <f>MID(F3119,FIND(".",F3119,6)+1,99)</f>
        <v>GPSSatellites</v>
      </c>
      <c r="F3119" s="23" t="s">
        <v>5975</v>
      </c>
      <c r="G3119" s="5" t="s">
        <v>9678</v>
      </c>
      <c r="H3119" s="10" t="s">
        <v>5976</v>
      </c>
      <c r="I3119" s="7"/>
      <c r="J3119" s="8" t="s">
        <v>6846</v>
      </c>
      <c r="K3119" s="26"/>
      <c r="L3119" s="6" t="str">
        <f>IFERROR(VLOOKUP(E3119,A:I,9, FALSE),"")</f>
        <v>GPS Satelliten</v>
      </c>
      <c r="N3119" s="6"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c>
      <c r="P3119" s="6" t="s">
        <v>8574</v>
      </c>
    </row>
    <row r="3120" spans="1:17" x14ac:dyDescent="0.25">
      <c r="A3120" s="5" t="str">
        <f>IF(TRIM(I3120)="","",E3120)</f>
        <v/>
      </c>
      <c r="B3120" s="5" t="str">
        <f>IF(TRIM(J3120)="","",H3120)</f>
        <v>Time stamp of GPS data.</v>
      </c>
      <c r="C3120" s="5" t="str">
        <f>LEFT(F3120,FIND(".",F3120,6))</f>
        <v>Xmp.video.</v>
      </c>
      <c r="D3120" s="5" t="str">
        <f>VLOOKUP(C3120,PrefixUebersetzung,2,FALSE)</f>
        <v>Xmp.video.</v>
      </c>
      <c r="E3120" s="5" t="str">
        <f>MID(F3120,FIND(".",F3120,6)+1,99)</f>
        <v>GPSTimeStamp</v>
      </c>
      <c r="F3120" s="23" t="s">
        <v>5977</v>
      </c>
      <c r="G3120" s="5" t="s">
        <v>9678</v>
      </c>
      <c r="H3120" s="10" t="s">
        <v>9648</v>
      </c>
      <c r="I3120" s="7"/>
      <c r="J3120" s="8" t="s">
        <v>6847</v>
      </c>
      <c r="K3120" s="26"/>
      <c r="L3120" s="6" t="str">
        <f>IFERROR(VLOOKUP(E3120,A:I,9, FALSE),"")</f>
        <v>GPS Zeit</v>
      </c>
      <c r="N3120" s="6"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c>
      <c r="P3120" s="6" t="s">
        <v>8574</v>
      </c>
    </row>
    <row r="3121" spans="1:17" ht="30" x14ac:dyDescent="0.25">
      <c r="A3121" s="5" t="str">
        <f>IF(TRIM(I3121)="","",E3121)</f>
        <v/>
      </c>
      <c r="B3121" s="5" t="str">
        <f>IF(TRIM(J3121)="","",H3121)</f>
        <v xml:space="preserve">A decimal encoding with period separators. </v>
      </c>
      <c r="C3121" s="5" t="str">
        <f>LEFT(F3121,FIND(".",F3121,6))</f>
        <v>Xmp.video.</v>
      </c>
      <c r="D3121" s="5" t="str">
        <f>VLOOKUP(C3121,PrefixUebersetzung,2,FALSE)</f>
        <v>Xmp.video.</v>
      </c>
      <c r="E3121" s="5" t="str">
        <f>MID(F3121,FIND(".",F3121,6)+1,99)</f>
        <v>GPSVersionID</v>
      </c>
      <c r="F3121" s="23" t="s">
        <v>5978</v>
      </c>
      <c r="G3121" s="5" t="s">
        <v>9678</v>
      </c>
      <c r="H3121" s="10" t="s">
        <v>5979</v>
      </c>
      <c r="I3121" s="7"/>
      <c r="J3121" s="8" t="s">
        <v>6848</v>
      </c>
      <c r="K3121" s="26"/>
      <c r="L3121" s="6" t="str">
        <f>IFERROR(VLOOKUP(E3121,A:I,9, FALSE),"")</f>
        <v>GPS Version</v>
      </c>
      <c r="N3121" s="6"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P3121" s="6" t="s">
        <v>8574</v>
      </c>
    </row>
    <row r="3122" spans="1:17" ht="75" x14ac:dyDescent="0.25">
      <c r="A3122" s="5" t="str">
        <f>IF(TRIM(I3122)="","",E3122)</f>
        <v>GraphicsMode</v>
      </c>
      <c r="B3122" s="5" t="str">
        <f>IF(TRIM(J3122)="","",H3122)</f>
        <v>A 16-bit integer that specifies the transfer mode. The transfer mode specifies which Booleanoperation QuickDraw should perform when drawing or transferring an image from one location to another.</v>
      </c>
      <c r="C3122" s="5" t="str">
        <f>LEFT(F3122,FIND(".",F3122,6))</f>
        <v>Xmp.video.</v>
      </c>
      <c r="D3122" s="5" t="str">
        <f>VLOOKUP(C3122,PrefixUebersetzung,2,FALSE)</f>
        <v>Xmp.video.</v>
      </c>
      <c r="E3122" s="5" t="str">
        <f>MID(F3122,FIND(".",F3122,6)+1,99)</f>
        <v>GraphicsMode</v>
      </c>
      <c r="F3122" s="23" t="s">
        <v>5980</v>
      </c>
      <c r="G3122" s="5" t="s">
        <v>9678</v>
      </c>
      <c r="H3122" s="10" t="s">
        <v>9710</v>
      </c>
      <c r="I3122" s="7" t="s">
        <v>6436</v>
      </c>
      <c r="J3122" s="8" t="s">
        <v>6849</v>
      </c>
      <c r="K3122" s="26"/>
      <c r="N3122" s="6"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c>
      <c r="O3122" s="6" t="s">
        <v>8574</v>
      </c>
      <c r="P3122" s="6" t="s">
        <v>8574</v>
      </c>
    </row>
    <row r="3123" spans="1:17" x14ac:dyDescent="0.25">
      <c r="A3123" s="5" t="str">
        <f>IF(TRIM(I3123)="","",E3123)</f>
        <v>Grouping</v>
      </c>
      <c r="B3123" s="5" t="str">
        <f>IF(TRIM(J3123)="","",H3123)</f>
        <v>Information about the Grouping.</v>
      </c>
      <c r="C3123" s="5" t="str">
        <f>LEFT(F3123,FIND(".",F3123,6))</f>
        <v>Xmp.video.</v>
      </c>
      <c r="D3123" s="5" t="str">
        <f>VLOOKUP(C3123,PrefixUebersetzung,2,FALSE)</f>
        <v>Xmp.video.</v>
      </c>
      <c r="E3123" s="5" t="str">
        <f>MID(F3123,FIND(".",F3123,6)+1,99)</f>
        <v>Grouping</v>
      </c>
      <c r="F3123" s="23" t="s">
        <v>5981</v>
      </c>
      <c r="G3123" s="5" t="s">
        <v>9678</v>
      </c>
      <c r="H3123" s="10" t="s">
        <v>5982</v>
      </c>
      <c r="I3123" s="7" t="s">
        <v>6437</v>
      </c>
      <c r="J3123" s="8" t="s">
        <v>6377</v>
      </c>
      <c r="K3123" s="26"/>
      <c r="N3123" s="6"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c>
      <c r="O3123" s="6" t="s">
        <v>8574</v>
      </c>
      <c r="P3123" s="6" t="s">
        <v>8574</v>
      </c>
    </row>
    <row r="3124" spans="1:17" ht="75" x14ac:dyDescent="0.25">
      <c r="A3124" s="5" t="str">
        <f>IF(TRIM(I3124)="","",E3124)</f>
        <v/>
      </c>
      <c r="B3124" s="5" t="str">
        <f>IF(TRIM(J3124)="","",H3124)</f>
        <v/>
      </c>
      <c r="C3124" s="5" t="str">
        <f>LEFT(F3124,FIND(".",F3124,6))</f>
        <v>Xmp.video.</v>
      </c>
      <c r="D3124" s="5" t="str">
        <f>VLOOKUP(C3124,PrefixUebersetzung,2,FALSE)</f>
        <v>Xmp.video.</v>
      </c>
      <c r="E3124" s="5" t="str">
        <f>MID(F3124,FIND(".",F3124,6)+1,99)</f>
        <v>HandlerClass</v>
      </c>
      <c r="F3124" s="23" t="s">
        <v>5983</v>
      </c>
      <c r="G3124" s="5" t="s">
        <v>9678</v>
      </c>
      <c r="H3124" s="10" t="s">
        <v>5705</v>
      </c>
      <c r="I3124" s="7"/>
      <c r="J3124" s="8"/>
      <c r="K3124" s="26"/>
      <c r="L3124" s="6" t="str">
        <f>IFERROR(VLOOKUP(E3124,A:I,9, FALSE),"")</f>
        <v>Handler Klasse</v>
      </c>
      <c r="M3124" s="6" t="str">
        <f>IFERROR(VLOOKUP(H3124,B:J,9,FALSE),"")</f>
        <v>Ein Vier-Zeichen-Code, der den Typ des Handlers angibt. Nur zwei Werte sind gültig für dieses Feld: "mhlr" für Medien-Handler und "dhlr" für Datenhandler.</v>
      </c>
      <c r="N3124" s="6"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row>
    <row r="3125" spans="1:17" ht="75" x14ac:dyDescent="0.25">
      <c r="A3125" s="5" t="str">
        <f>IF(TRIM(I3125)="","",E3125)</f>
        <v/>
      </c>
      <c r="B3125" s="5" t="str">
        <f>IF(TRIM(J3125)="","",H3125)</f>
        <v/>
      </c>
      <c r="C3125" s="5" t="str">
        <f>LEFT(F3125,FIND(".",F3125,6))</f>
        <v>Xmp.video.</v>
      </c>
      <c r="D3125" s="5" t="str">
        <f>VLOOKUP(C3125,PrefixUebersetzung,2,FALSE)</f>
        <v>Xmp.video.</v>
      </c>
      <c r="E3125" s="5" t="str">
        <f>MID(F3125,FIND(".",F3125,6)+1,99)</f>
        <v>HandlerDescription</v>
      </c>
      <c r="F3125" s="23" t="s">
        <v>5984</v>
      </c>
      <c r="G3125" s="5" t="s">
        <v>9678</v>
      </c>
      <c r="H3125" s="10" t="s">
        <v>5707</v>
      </c>
      <c r="I3125" s="7"/>
      <c r="J3125" s="8"/>
      <c r="K3125" s="26"/>
      <c r="L3125" s="6" t="str">
        <f>IFERROR(VLOOKUP(E3125,A:I,9, FALSE),"")</f>
        <v>Handler Beschreibung</v>
      </c>
      <c r="M3125" s="6" t="str">
        <f>IFERROR(VLOOKUP(H3125,B:J,9,FALSE),"")</f>
        <v>Eine (gezählte) Zeichenfolge, die den Namen der Komponente, d.h. den bei Erzeugung den Mediums verwendeten Medienhandler,  spezifiziert.</v>
      </c>
      <c r="N3125" s="6"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c>
    </row>
    <row r="3126" spans="1:17" ht="45" x14ac:dyDescent="0.25">
      <c r="A3126" s="5" t="str">
        <f>IF(TRIM(I3126)="","",E3126)</f>
        <v/>
      </c>
      <c r="B3126" s="5" t="str">
        <f>IF(TRIM(J3126)="","",H3126)</f>
        <v/>
      </c>
      <c r="C3126" s="5" t="str">
        <f>LEFT(F3126,FIND(".",F3126,6))</f>
        <v>Xmp.video.</v>
      </c>
      <c r="D3126" s="5" t="str">
        <f>VLOOKUP(C3126,PrefixUebersetzung,2,FALSE)</f>
        <v>Xmp.video.</v>
      </c>
      <c r="E3126" s="5" t="str">
        <f>MID(F3126,FIND(".",F3126,6)+1,99)</f>
        <v>HandlerType</v>
      </c>
      <c r="F3126" s="23" t="s">
        <v>5985</v>
      </c>
      <c r="G3126" s="5" t="s">
        <v>9678</v>
      </c>
      <c r="H3126" s="10" t="s">
        <v>5709</v>
      </c>
      <c r="I3126" s="7"/>
      <c r="J3126" s="8"/>
      <c r="K3126" s="26"/>
      <c r="L3126" s="6" t="str">
        <f>IFERROR(VLOOKUP(E3126,A:I,9, FALSE),"")</f>
        <v>Handler Typ</v>
      </c>
      <c r="M3126" s="6" t="str">
        <f>IFERROR(VLOOKUP(H3126,B:J,9,FALSE),"")</f>
        <v>Ein Vier-Zeichen-Code, der den Typ der Medien-Handler oder Datenhandler identifiziert.</v>
      </c>
      <c r="N3126" s="6"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c>
    </row>
    <row r="3127" spans="1:17" x14ac:dyDescent="0.25">
      <c r="A3127" s="5" t="str">
        <f>IF(TRIM(I3127)="","",E3127)</f>
        <v/>
      </c>
      <c r="B3127" s="5" t="str">
        <f>IF(TRIM(J3127)="","",H3127)</f>
        <v/>
      </c>
      <c r="C3127" s="5" t="str">
        <f>LEFT(F3127,FIND(".",F3127,6))</f>
        <v>Xmp.video.</v>
      </c>
      <c r="D3127" s="5" t="str">
        <f>VLOOKUP(C3127,PrefixUebersetzung,2,FALSE)</f>
        <v>Xmp.video.</v>
      </c>
      <c r="E3127" s="5" t="str">
        <f>MID(F3127,FIND(".",F3127,6)+1,99)</f>
        <v>HandlerVendorID</v>
      </c>
      <c r="F3127" s="23" t="s">
        <v>5986</v>
      </c>
      <c r="G3127" s="5" t="s">
        <v>9678</v>
      </c>
      <c r="H3127" s="10" t="s">
        <v>5711</v>
      </c>
      <c r="I3127" s="7"/>
      <c r="J3127" s="8"/>
      <c r="K3127" s="26"/>
      <c r="L3127" s="6" t="str">
        <f>IFERROR(VLOOKUP(E3127,A:I,9, FALSE),"")</f>
        <v>Handler Hersteller-Id</v>
      </c>
      <c r="M3127" s="6" t="str">
        <f>IFERROR(VLOOKUP(H3127,B:J,9,FALSE),"")</f>
        <v>Komponentenhersteller.</v>
      </c>
      <c r="N3127" s="6"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c>
    </row>
    <row r="3128" spans="1:17" x14ac:dyDescent="0.25">
      <c r="A3128" s="5" t="str">
        <f>IF(TRIM(I3128)="","",E3128)</f>
        <v>Height</v>
      </c>
      <c r="B3128" s="5" t="str">
        <f>IF(TRIM(J3128)="","",H3128)</f>
        <v>Video height in pixels</v>
      </c>
      <c r="C3128" s="5" t="str">
        <f>LEFT(F3128,FIND(".",F3128,6))</f>
        <v>Xmp.video.</v>
      </c>
      <c r="D3128" s="5" t="str">
        <f>VLOOKUP(C3128,PrefixUebersetzung,2,FALSE)</f>
        <v>Xmp.video.</v>
      </c>
      <c r="E3128" s="5" t="str">
        <f>MID(F3128,FIND(".",F3128,6)+1,99)</f>
        <v>Height</v>
      </c>
      <c r="F3128" s="23" t="s">
        <v>5987</v>
      </c>
      <c r="G3128" s="5" t="s">
        <v>9678</v>
      </c>
      <c r="H3128" s="10" t="s">
        <v>5988</v>
      </c>
      <c r="I3128" s="7" t="s">
        <v>6439</v>
      </c>
      <c r="J3128" s="8" t="s">
        <v>6378</v>
      </c>
      <c r="K3128" s="26"/>
      <c r="M3128" s="6" t="str">
        <f>IFERROR(VLOOKUP(H3128,B:J,9,FALSE),"")</f>
        <v>Video Höhe in Pixel</v>
      </c>
      <c r="N3128" s="6"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c>
      <c r="O3128" s="6" t="s">
        <v>8574</v>
      </c>
      <c r="P3128" s="6" t="s">
        <v>8574</v>
      </c>
    </row>
    <row r="3129" spans="1:17" x14ac:dyDescent="0.25">
      <c r="A3129" s="5" t="str">
        <f>IF(TRIM(I3129)="","",E3129)</f>
        <v/>
      </c>
      <c r="B3129" s="5" t="str">
        <f>IF(TRIM(J3129)="","",H3129)</f>
        <v>Hue Adjustment Settings Information.</v>
      </c>
      <c r="C3129" s="5" t="str">
        <f>LEFT(F3129,FIND(".",F3129,6))</f>
        <v>Xmp.video.</v>
      </c>
      <c r="D3129" s="5" t="str">
        <f>VLOOKUP(C3129,PrefixUebersetzung,2,FALSE)</f>
        <v>Xmp.video.</v>
      </c>
      <c r="E3129" s="5" t="str">
        <f>MID(F3129,FIND(".",F3129,6)+1,99)</f>
        <v>HueAdjustment</v>
      </c>
      <c r="F3129" s="23" t="s">
        <v>5989</v>
      </c>
      <c r="G3129" s="5" t="s">
        <v>9678</v>
      </c>
      <c r="H3129" s="10" t="s">
        <v>5990</v>
      </c>
      <c r="I3129" s="7"/>
      <c r="J3129" s="8" t="s">
        <v>6858</v>
      </c>
      <c r="K3129" s="26"/>
      <c r="L3129" s="6" t="str">
        <f>IFERROR(VLOOKUP(E3129,A:I,9, FALSE),"")</f>
        <v>Farbtonanpassung</v>
      </c>
      <c r="N3129" s="6"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P3129" s="6" t="s">
        <v>8574</v>
      </c>
      <c r="Q3129" s="6" t="s">
        <v>9345</v>
      </c>
    </row>
    <row r="3130" spans="1:17" ht="30" x14ac:dyDescent="0.25">
      <c r="A3130" s="5" t="str">
        <f>IF(TRIM(I3130)="","",E3130)</f>
        <v/>
      </c>
      <c r="B3130" s="5" t="str">
        <f>IF(TRIM(J3130)="","",H3130)</f>
        <v>Image Length, a property inherited from BitMap format</v>
      </c>
      <c r="C3130" s="5" t="str">
        <f>LEFT(F3130,FIND(".",F3130,6))</f>
        <v>Xmp.video.</v>
      </c>
      <c r="D3130" s="5" t="str">
        <f>VLOOKUP(C3130,PrefixUebersetzung,2,FALSE)</f>
        <v>Xmp.video.</v>
      </c>
      <c r="E3130" s="5" t="str">
        <f>MID(F3130,FIND(".",F3130,6)+1,99)</f>
        <v>ImageLength</v>
      </c>
      <c r="F3130" s="23" t="s">
        <v>5991</v>
      </c>
      <c r="G3130" s="5" t="s">
        <v>9678</v>
      </c>
      <c r="H3130" s="10" t="s">
        <v>5992</v>
      </c>
      <c r="I3130" s="7"/>
      <c r="J3130" s="8" t="s">
        <v>6859</v>
      </c>
      <c r="K3130" s="26"/>
      <c r="L3130" s="6" t="str">
        <f>IFERROR(VLOOKUP(E3130,A:I,9, FALSE),"")</f>
        <v>Bildlänge</v>
      </c>
      <c r="N3130" s="6"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P3130" s="6" t="s">
        <v>8574</v>
      </c>
    </row>
    <row r="3131" spans="1:17" x14ac:dyDescent="0.25">
      <c r="A3131" s="5" t="str">
        <f>IF(TRIM(I3131)="","",E3131)</f>
        <v>InfoBannerImage</v>
      </c>
      <c r="B3131" s="5" t="str">
        <f>IF(TRIM(J3131)="","",H3131)</f>
        <v>Information Banner Image.</v>
      </c>
      <c r="C3131" s="5" t="str">
        <f>LEFT(F3131,FIND(".",F3131,6))</f>
        <v>Xmp.video.</v>
      </c>
      <c r="D3131" s="5" t="str">
        <f>VLOOKUP(C3131,PrefixUebersetzung,2,FALSE)</f>
        <v>Xmp.video.</v>
      </c>
      <c r="E3131" s="5" t="str">
        <f>MID(F3131,FIND(".",F3131,6)+1,99)</f>
        <v>InfoBannerImage</v>
      </c>
      <c r="F3131" s="23" t="s">
        <v>5993</v>
      </c>
      <c r="G3131" s="5" t="s">
        <v>9678</v>
      </c>
      <c r="H3131" s="10" t="s">
        <v>5994</v>
      </c>
      <c r="I3131" s="7" t="s">
        <v>6440</v>
      </c>
      <c r="J3131" s="8" t="s">
        <v>6860</v>
      </c>
      <c r="K3131" s="26"/>
      <c r="N3131" s="6"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c>
      <c r="O3131" s="6" t="s">
        <v>8574</v>
      </c>
      <c r="P3131" s="6" t="s">
        <v>8574</v>
      </c>
    </row>
    <row r="3132" spans="1:17" x14ac:dyDescent="0.25">
      <c r="A3132" s="5" t="str">
        <f>IF(TRIM(I3132)="","",E3132)</f>
        <v>InfoBannerURL</v>
      </c>
      <c r="B3132" s="5" t="str">
        <f>IF(TRIM(J3132)="","",H3132)</f>
        <v>Information Banner URL.</v>
      </c>
      <c r="C3132" s="5" t="str">
        <f>LEFT(F3132,FIND(".",F3132,6))</f>
        <v>Xmp.video.</v>
      </c>
      <c r="D3132" s="5" t="str">
        <f>VLOOKUP(C3132,PrefixUebersetzung,2,FALSE)</f>
        <v>Xmp.video.</v>
      </c>
      <c r="E3132" s="5" t="str">
        <f>MID(F3132,FIND(".",F3132,6)+1,99)</f>
        <v>InfoBannerURL</v>
      </c>
      <c r="F3132" s="23" t="s">
        <v>5995</v>
      </c>
      <c r="G3132" s="5" t="s">
        <v>9678</v>
      </c>
      <c r="H3132" s="10" t="s">
        <v>5996</v>
      </c>
      <c r="I3132" s="7" t="s">
        <v>6441</v>
      </c>
      <c r="J3132" s="8" t="s">
        <v>6379</v>
      </c>
      <c r="K3132" s="26"/>
      <c r="N3132" s="6"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O3132" s="6" t="s">
        <v>8574</v>
      </c>
      <c r="P3132" s="6" t="s">
        <v>8574</v>
      </c>
    </row>
    <row r="3133" spans="1:17" x14ac:dyDescent="0.25">
      <c r="A3133" s="5" t="str">
        <f>IF(TRIM(I3133)="","",E3133)</f>
        <v>Information</v>
      </c>
      <c r="B3133" s="5" t="str">
        <f>IF(TRIM(J3133)="","",H3133)</f>
        <v>Additional Movie Information.</v>
      </c>
      <c r="C3133" s="5" t="str">
        <f>LEFT(F3133,FIND(".",F3133,6))</f>
        <v>Xmp.video.</v>
      </c>
      <c r="D3133" s="5" t="str">
        <f>VLOOKUP(C3133,PrefixUebersetzung,2,FALSE)</f>
        <v>Xmp.video.</v>
      </c>
      <c r="E3133" s="5" t="str">
        <f>MID(F3133,FIND(".",F3133,6)+1,99)</f>
        <v>Information</v>
      </c>
      <c r="F3133" s="23" t="s">
        <v>5997</v>
      </c>
      <c r="G3133" s="5" t="s">
        <v>9678</v>
      </c>
      <c r="H3133" s="10" t="s">
        <v>5998</v>
      </c>
      <c r="I3133" s="7" t="s">
        <v>6442</v>
      </c>
      <c r="J3133" s="8" t="s">
        <v>6380</v>
      </c>
      <c r="K3133" s="26"/>
      <c r="N3133" s="6"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O3133" s="6" t="s">
        <v>8574</v>
      </c>
      <c r="P3133" s="6" t="s">
        <v>8574</v>
      </c>
      <c r="Q3133" s="6" t="s">
        <v>9120</v>
      </c>
    </row>
    <row r="3134" spans="1:17" x14ac:dyDescent="0.25">
      <c r="A3134" s="5" t="str">
        <f>IF(TRIM(I3134)="","",E3134)</f>
        <v>InfoText</v>
      </c>
      <c r="B3134" s="5" t="str">
        <f>IF(TRIM(J3134)="","",H3134)</f>
        <v>Information Text.</v>
      </c>
      <c r="C3134" s="5" t="str">
        <f>LEFT(F3134,FIND(".",F3134,6))</f>
        <v>Xmp.video.</v>
      </c>
      <c r="D3134" s="5" t="str">
        <f>VLOOKUP(C3134,PrefixUebersetzung,2,FALSE)</f>
        <v>Xmp.video.</v>
      </c>
      <c r="E3134" s="5" t="str">
        <f>MID(F3134,FIND(".",F3134,6)+1,99)</f>
        <v>InfoText</v>
      </c>
      <c r="F3134" s="23" t="s">
        <v>5999</v>
      </c>
      <c r="G3134" s="5" t="s">
        <v>9678</v>
      </c>
      <c r="H3134" s="10" t="s">
        <v>6000</v>
      </c>
      <c r="I3134" s="7" t="s">
        <v>6443</v>
      </c>
      <c r="J3134" s="8" t="s">
        <v>6381</v>
      </c>
      <c r="K3134" s="26"/>
      <c r="N3134" s="6"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c>
      <c r="O3134" s="6" t="s">
        <v>8574</v>
      </c>
      <c r="P3134" s="6" t="s">
        <v>8574</v>
      </c>
      <c r="Q3134" s="6" t="s">
        <v>9139</v>
      </c>
    </row>
    <row r="3135" spans="1:17" x14ac:dyDescent="0.25">
      <c r="A3135" s="5" t="str">
        <f>IF(TRIM(I3135)="","",E3135)</f>
        <v>InfoURL</v>
      </c>
      <c r="B3135" s="5" t="str">
        <f>IF(TRIM(J3135)="","",H3135)</f>
        <v>Information URL.</v>
      </c>
      <c r="C3135" s="5" t="str">
        <f>LEFT(F3135,FIND(".",F3135,6))</f>
        <v>Xmp.video.</v>
      </c>
      <c r="D3135" s="5" t="str">
        <f>VLOOKUP(C3135,PrefixUebersetzung,2,FALSE)</f>
        <v>Xmp.video.</v>
      </c>
      <c r="E3135" s="5" t="str">
        <f>MID(F3135,FIND(".",F3135,6)+1,99)</f>
        <v>InfoURL</v>
      </c>
      <c r="F3135" s="23" t="s">
        <v>6001</v>
      </c>
      <c r="G3135" s="5" t="s">
        <v>9678</v>
      </c>
      <c r="H3135" s="10" t="s">
        <v>6002</v>
      </c>
      <c r="I3135" s="7" t="s">
        <v>6444</v>
      </c>
      <c r="J3135" s="8" t="s">
        <v>6382</v>
      </c>
      <c r="K3135" s="26"/>
      <c r="N3135" s="6"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c>
      <c r="O3135" s="6" t="s">
        <v>8574</v>
      </c>
      <c r="P3135" s="6" t="s">
        <v>8574</v>
      </c>
      <c r="Q3135" s="6" t="s">
        <v>9139</v>
      </c>
    </row>
    <row r="3136" spans="1:17" x14ac:dyDescent="0.25">
      <c r="A3136" s="5" t="str">
        <f>IF(TRIM(I3136)="","",E3136)</f>
        <v/>
      </c>
      <c r="B3136" s="5" t="str">
        <f>IF(TRIM(J3136)="","",H3136)</f>
        <v>Information about the ISO Setting.</v>
      </c>
      <c r="C3136" s="5" t="str">
        <f>LEFT(F3136,FIND(".",F3136,6))</f>
        <v>Xmp.video.</v>
      </c>
      <c r="D3136" s="5" t="str">
        <f>VLOOKUP(C3136,PrefixUebersetzung,2,FALSE)</f>
        <v>Xmp.video.</v>
      </c>
      <c r="E3136" s="5" t="str">
        <f>MID(F3136,FIND(".",F3136,6)+1,99)</f>
        <v>ISO</v>
      </c>
      <c r="F3136" s="23" t="s">
        <v>6003</v>
      </c>
      <c r="G3136" s="5" t="s">
        <v>9678</v>
      </c>
      <c r="H3136" s="10" t="s">
        <v>6004</v>
      </c>
      <c r="I3136" s="7"/>
      <c r="J3136" s="8" t="s">
        <v>6383</v>
      </c>
      <c r="K3136" s="26"/>
      <c r="L3136" s="6" t="str">
        <f>IFERROR(VLOOKUP(E3136,A:I,9, FALSE),"")</f>
        <v>ISO</v>
      </c>
      <c r="N3136" s="6"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c>
      <c r="P3136" s="6" t="s">
        <v>8574</v>
      </c>
    </row>
    <row r="3137" spans="1:17" x14ac:dyDescent="0.25">
      <c r="A3137" s="5" t="str">
        <f>IF(TRIM(I3137)="","",E3137)</f>
        <v>ISRCCode</v>
      </c>
      <c r="B3137" s="5" t="str">
        <f>IF(TRIM(J3137)="","",H3137)</f>
        <v>Information about the ISRC Code.</v>
      </c>
      <c r="C3137" s="5" t="str">
        <f>LEFT(F3137,FIND(".",F3137,6))</f>
        <v>Xmp.video.</v>
      </c>
      <c r="D3137" s="5" t="str">
        <f>VLOOKUP(C3137,PrefixUebersetzung,2,FALSE)</f>
        <v>Xmp.video.</v>
      </c>
      <c r="E3137" s="5" t="str">
        <f>MID(F3137,FIND(".",F3137,6)+1,99)</f>
        <v>ISRCCode</v>
      </c>
      <c r="F3137" s="23" t="s">
        <v>6005</v>
      </c>
      <c r="G3137" s="5" t="s">
        <v>9678</v>
      </c>
      <c r="H3137" s="10" t="s">
        <v>6006</v>
      </c>
      <c r="I3137" s="7" t="s">
        <v>6445</v>
      </c>
      <c r="J3137" s="8" t="s">
        <v>6384</v>
      </c>
      <c r="K3137" s="26"/>
      <c r="N3137" s="6"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6" t="s">
        <v>8574</v>
      </c>
      <c r="P3137" s="6" t="s">
        <v>8574</v>
      </c>
    </row>
    <row r="3138" spans="1:17" x14ac:dyDescent="0.25">
      <c r="A3138" s="5" t="str">
        <f>IF(TRIM(I3138)="","",E3138)</f>
        <v>Junk</v>
      </c>
      <c r="B3138" s="5" t="str">
        <f>IF(TRIM(J3138)="","",H3138)</f>
        <v>Video Junk data</v>
      </c>
      <c r="C3138" s="5" t="str">
        <f>LEFT(F3138,FIND(".",F3138,6))</f>
        <v>Xmp.video.</v>
      </c>
      <c r="D3138" s="5" t="str">
        <f>VLOOKUP(C3138,PrefixUebersetzung,2,FALSE)</f>
        <v>Xmp.video.</v>
      </c>
      <c r="E3138" s="5" t="str">
        <f>MID(F3138,FIND(".",F3138,6)+1,99)</f>
        <v>Junk</v>
      </c>
      <c r="F3138" s="23" t="s">
        <v>6007</v>
      </c>
      <c r="G3138" s="5" t="s">
        <v>9678</v>
      </c>
      <c r="H3138" s="10" t="s">
        <v>6008</v>
      </c>
      <c r="I3138" s="7" t="s">
        <v>6446</v>
      </c>
      <c r="J3138" s="8" t="s">
        <v>6385</v>
      </c>
      <c r="K3138" s="26"/>
      <c r="N3138" s="6"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c>
      <c r="O3138" s="6" t="s">
        <v>8574</v>
      </c>
      <c r="P3138" s="6" t="s">
        <v>8574</v>
      </c>
    </row>
    <row r="3139" spans="1:17" x14ac:dyDescent="0.25">
      <c r="A3139" s="5" t="str">
        <f>IF(TRIM(I3139)="","",E3139)</f>
        <v/>
      </c>
      <c r="B3139" s="5" t="str">
        <f>IF(TRIM(J3139)="","",H3139)</f>
        <v>Language.</v>
      </c>
      <c r="C3139" s="5" t="str">
        <f>LEFT(F3139,FIND(".",F3139,6))</f>
        <v>Xmp.video.</v>
      </c>
      <c r="D3139" s="5" t="str">
        <f>VLOOKUP(C3139,PrefixUebersetzung,2,FALSE)</f>
        <v>Xmp.video.</v>
      </c>
      <c r="E3139" s="5" t="str">
        <f>MID(F3139,FIND(".",F3139,6)+1,99)</f>
        <v>Language</v>
      </c>
      <c r="F3139" s="23" t="s">
        <v>6009</v>
      </c>
      <c r="G3139" s="5" t="s">
        <v>9678</v>
      </c>
      <c r="H3139" s="10" t="s">
        <v>6010</v>
      </c>
      <c r="I3139" s="7"/>
      <c r="J3139" s="8" t="s">
        <v>6386</v>
      </c>
      <c r="K3139" s="26"/>
      <c r="L3139" s="6" t="str">
        <f>IFERROR(VLOOKUP(E3139,A:I,9, FALSE),"")</f>
        <v>Sprache</v>
      </c>
      <c r="N3139" s="6"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c>
      <c r="P3139" s="6" t="s">
        <v>8574</v>
      </c>
      <c r="Q3139" s="6" t="s">
        <v>4472</v>
      </c>
    </row>
    <row r="3140" spans="1:17" x14ac:dyDescent="0.25">
      <c r="A3140" s="5" t="str">
        <f>IF(TRIM(I3140)="","",E3140)</f>
        <v>Length</v>
      </c>
      <c r="B3140" s="5" t="str">
        <f>IF(TRIM(J3140)="","",H3140)</f>
        <v>The length of the media file.</v>
      </c>
      <c r="C3140" s="5" t="str">
        <f>LEFT(F3140,FIND(".",F3140,6))</f>
        <v>Xmp.video.</v>
      </c>
      <c r="D3140" s="5" t="str">
        <f>VLOOKUP(C3140,PrefixUebersetzung,2,FALSE)</f>
        <v>Xmp.video.</v>
      </c>
      <c r="E3140" s="5" t="str">
        <f>MID(F3140,FIND(".",F3140,6)+1,99)</f>
        <v>Length</v>
      </c>
      <c r="F3140" s="23" t="s">
        <v>6011</v>
      </c>
      <c r="G3140" s="5" t="s">
        <v>9678</v>
      </c>
      <c r="H3140" s="10" t="s">
        <v>6012</v>
      </c>
      <c r="I3140" s="7" t="s">
        <v>6528</v>
      </c>
      <c r="J3140" s="8" t="s">
        <v>6387</v>
      </c>
      <c r="K3140" s="26"/>
      <c r="N3140" s="6"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c>
      <c r="O3140" s="6" t="s">
        <v>8574</v>
      </c>
      <c r="P3140" s="6" t="s">
        <v>8574</v>
      </c>
      <c r="Q3140" s="6" t="s">
        <v>9530</v>
      </c>
    </row>
    <row r="3141" spans="1:17" x14ac:dyDescent="0.25">
      <c r="A3141" s="5" t="str">
        <f>IF(TRIM(I3141)="","",E3141)</f>
        <v/>
      </c>
      <c r="B3141" s="5" t="str">
        <f>IF(TRIM(J3141)="","",H3141)</f>
        <v/>
      </c>
      <c r="C3141" s="5" t="str">
        <f>LEFT(F3141,FIND(".",F3141,6))</f>
        <v>Xmp.video.</v>
      </c>
      <c r="D3141" s="5" t="str">
        <f>VLOOKUP(C3141,PrefixUebersetzung,2,FALSE)</f>
        <v>Xmp.video.</v>
      </c>
      <c r="E3141" s="5" t="str">
        <f>MID(F3141,FIND(".",F3141,6)+1,99)</f>
        <v>LensModel</v>
      </c>
      <c r="F3141" s="23" t="s">
        <v>6013</v>
      </c>
      <c r="G3141" s="5" t="s">
        <v>9678</v>
      </c>
      <c r="H3141" s="10" t="s">
        <v>3483</v>
      </c>
      <c r="I3141" s="7"/>
      <c r="J3141" s="8"/>
      <c r="K3141" s="26"/>
      <c r="L3141" s="6" t="str">
        <f>IFERROR(VLOOKUP(E3141,A:I,9, FALSE),"")</f>
        <v>Objektiv Modell</v>
      </c>
      <c r="M3141" s="6" t="str">
        <f>IFERROR(VLOOKUP(H3141,B:J,9,FALSE),"")</f>
        <v>Objektiv Modell</v>
      </c>
      <c r="N3141" s="6"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c>
    </row>
    <row r="3142" spans="1:17" x14ac:dyDescent="0.25">
      <c r="A3142" s="5" t="str">
        <f>IF(TRIM(I3142)="","",E3142)</f>
        <v/>
      </c>
      <c r="B3142" s="5" t="str">
        <f>IF(TRIM(J3142)="","",H3142)</f>
        <v>Lens Type.</v>
      </c>
      <c r="C3142" s="5" t="str">
        <f>LEFT(F3142,FIND(".",F3142,6))</f>
        <v>Xmp.video.</v>
      </c>
      <c r="D3142" s="5" t="str">
        <f>VLOOKUP(C3142,PrefixUebersetzung,2,FALSE)</f>
        <v>Xmp.video.</v>
      </c>
      <c r="E3142" s="5" t="str">
        <f>MID(F3142,FIND(".",F3142,6)+1,99)</f>
        <v>LensType</v>
      </c>
      <c r="F3142" s="23" t="s">
        <v>6014</v>
      </c>
      <c r="G3142" s="5" t="s">
        <v>9678</v>
      </c>
      <c r="H3142" s="10" t="s">
        <v>6015</v>
      </c>
      <c r="I3142" s="7"/>
      <c r="J3142" s="14" t="s">
        <v>3770</v>
      </c>
      <c r="K3142" s="26"/>
      <c r="L3142" s="6" t="str">
        <f>IFERROR(VLOOKUP(E3142,A:I,9, FALSE),"")</f>
        <v>Objektiv Typ</v>
      </c>
      <c r="N3142" s="6"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c>
      <c r="P3142" s="6" t="s">
        <v>8574</v>
      </c>
      <c r="Q3142" s="6" t="s">
        <v>9125</v>
      </c>
    </row>
    <row r="3143" spans="1:17" x14ac:dyDescent="0.25">
      <c r="A3143" s="5" t="str">
        <f>IF(TRIM(I3143)="","",E3143)</f>
        <v>Lightness</v>
      </c>
      <c r="B3143" s="5" t="str">
        <f>IF(TRIM(J3143)="","",H3143)</f>
        <v>Lightness.</v>
      </c>
      <c r="C3143" s="5" t="str">
        <f>LEFT(F3143,FIND(".",F3143,6))</f>
        <v>Xmp.video.</v>
      </c>
      <c r="D3143" s="5" t="str">
        <f>VLOOKUP(C3143,PrefixUebersetzung,2,FALSE)</f>
        <v>Xmp.video.</v>
      </c>
      <c r="E3143" s="5" t="str">
        <f>MID(F3143,FIND(".",F3143,6)+1,99)</f>
        <v>Lightness</v>
      </c>
      <c r="F3143" s="23" t="s">
        <v>6016</v>
      </c>
      <c r="G3143" s="5" t="s">
        <v>9678</v>
      </c>
      <c r="H3143" s="10" t="s">
        <v>6017</v>
      </c>
      <c r="I3143" s="7" t="s">
        <v>3923</v>
      </c>
      <c r="J3143" s="14" t="s">
        <v>3923</v>
      </c>
      <c r="K3143" s="26"/>
      <c r="N3143" s="6"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c>
      <c r="O3143" s="6" t="s">
        <v>8574</v>
      </c>
      <c r="P3143" s="6" t="s">
        <v>8574</v>
      </c>
      <c r="Q3143" s="6" t="s">
        <v>3923</v>
      </c>
    </row>
    <row r="3144" spans="1:17" x14ac:dyDescent="0.25">
      <c r="A3144" s="5" t="str">
        <f>IF(TRIM(I3144)="","",E3144)</f>
        <v>LocationInfo</v>
      </c>
      <c r="B3144" s="5" t="str">
        <f>IF(TRIM(J3144)="","",H3144)</f>
        <v>Location Information.</v>
      </c>
      <c r="C3144" s="5" t="str">
        <f>LEFT(F3144,FIND(".",F3144,6))</f>
        <v>Xmp.video.</v>
      </c>
      <c r="D3144" s="5" t="str">
        <f>VLOOKUP(C3144,PrefixUebersetzung,2,FALSE)</f>
        <v>Xmp.video.</v>
      </c>
      <c r="E3144" s="5" t="str">
        <f>MID(F3144,FIND(".",F3144,6)+1,99)</f>
        <v>LocationInfo</v>
      </c>
      <c r="F3144" s="23" t="s">
        <v>6018</v>
      </c>
      <c r="G3144" s="5" t="s">
        <v>9678</v>
      </c>
      <c r="H3144" s="10" t="s">
        <v>6019</v>
      </c>
      <c r="I3144" s="7" t="s">
        <v>6529</v>
      </c>
      <c r="J3144" s="8" t="s">
        <v>6861</v>
      </c>
      <c r="K3144" s="26"/>
      <c r="N3144" s="6"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O3144" s="6" t="s">
        <v>8574</v>
      </c>
      <c r="P3144" s="6" t="s">
        <v>8574</v>
      </c>
      <c r="Q3144" s="6" t="s">
        <v>9139</v>
      </c>
    </row>
    <row r="3145" spans="1:17" x14ac:dyDescent="0.25">
      <c r="A3145" s="5" t="str">
        <f>IF(TRIM(I3145)="","",E3145)</f>
        <v>LogoIconURL</v>
      </c>
      <c r="B3145" s="5" t="str">
        <f>IF(TRIM(J3145)="","",H3145)</f>
        <v>A C string that specifies Logo Icon URL.</v>
      </c>
      <c r="C3145" s="5" t="str">
        <f>LEFT(F3145,FIND(".",F3145,6))</f>
        <v>Xmp.video.</v>
      </c>
      <c r="D3145" s="5" t="str">
        <f>VLOOKUP(C3145,PrefixUebersetzung,2,FALSE)</f>
        <v>Xmp.video.</v>
      </c>
      <c r="E3145" s="5" t="str">
        <f>MID(F3145,FIND(".",F3145,6)+1,99)</f>
        <v>LogoIconURL</v>
      </c>
      <c r="F3145" s="23" t="s">
        <v>6020</v>
      </c>
      <c r="G3145" s="5" t="s">
        <v>9678</v>
      </c>
      <c r="H3145" s="10" t="s">
        <v>6021</v>
      </c>
      <c r="I3145" s="7" t="s">
        <v>6530</v>
      </c>
      <c r="J3145" s="8" t="s">
        <v>6862</v>
      </c>
      <c r="K3145" s="26"/>
      <c r="N3145" s="6"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c>
      <c r="O3145" s="6" t="s">
        <v>8574</v>
      </c>
      <c r="P3145" s="6" t="s">
        <v>8574</v>
      </c>
    </row>
    <row r="3146" spans="1:17" x14ac:dyDescent="0.25">
      <c r="A3146" s="5" t="str">
        <f>IF(TRIM(I3146)="","",E3146)</f>
        <v>LogoURL</v>
      </c>
      <c r="B3146" s="5" t="str">
        <f>IF(TRIM(J3146)="","",H3146)</f>
        <v>A C string that specifies a Logo URL.</v>
      </c>
      <c r="C3146" s="5" t="str">
        <f>LEFT(F3146,FIND(".",F3146,6))</f>
        <v>Xmp.video.</v>
      </c>
      <c r="D3146" s="5" t="str">
        <f>VLOOKUP(C3146,PrefixUebersetzung,2,FALSE)</f>
        <v>Xmp.video.</v>
      </c>
      <c r="E3146" s="5" t="str">
        <f>MID(F3146,FIND(".",F3146,6)+1,99)</f>
        <v>LogoURL</v>
      </c>
      <c r="F3146" s="23" t="s">
        <v>6022</v>
      </c>
      <c r="G3146" s="5" t="s">
        <v>9678</v>
      </c>
      <c r="H3146" s="10" t="s">
        <v>6023</v>
      </c>
      <c r="I3146" s="7" t="s">
        <v>6531</v>
      </c>
      <c r="J3146" s="8" t="s">
        <v>6863</v>
      </c>
      <c r="K3146" s="26"/>
      <c r="N3146" s="6"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c>
      <c r="O3146" s="6" t="s">
        <v>8574</v>
      </c>
      <c r="P3146" s="6" t="s">
        <v>8574</v>
      </c>
    </row>
    <row r="3147" spans="1:17" x14ac:dyDescent="0.25">
      <c r="A3147" s="5" t="str">
        <f>IF(TRIM(I3147)="","",E3147)</f>
        <v>Lyrics</v>
      </c>
      <c r="B3147" s="5" t="str">
        <f>IF(TRIM(J3147)="","",H3147)</f>
        <v>Lyrics of a Song/Video.</v>
      </c>
      <c r="C3147" s="5" t="str">
        <f>LEFT(F3147,FIND(".",F3147,6))</f>
        <v>Xmp.video.</v>
      </c>
      <c r="D3147" s="5" t="str">
        <f>VLOOKUP(C3147,PrefixUebersetzung,2,FALSE)</f>
        <v>Xmp.video.</v>
      </c>
      <c r="E3147" s="5" t="str">
        <f>MID(F3147,FIND(".",F3147,6)+1,99)</f>
        <v>Lyrics</v>
      </c>
      <c r="F3147" s="23" t="s">
        <v>6024</v>
      </c>
      <c r="G3147" s="5" t="s">
        <v>9678</v>
      </c>
      <c r="H3147" s="10" t="s">
        <v>6025</v>
      </c>
      <c r="I3147" s="7" t="s">
        <v>6532</v>
      </c>
      <c r="J3147" s="8" t="s">
        <v>6388</v>
      </c>
      <c r="K3147" s="26"/>
      <c r="L3147" s="6" t="str">
        <f>IFERROR(VLOOKUP(E3147,A:I,9, FALSE),"")</f>
        <v>Liedtext</v>
      </c>
      <c r="N3147" s="6"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c>
      <c r="O3147" s="6" t="s">
        <v>8574</v>
      </c>
      <c r="P3147" s="6" t="s">
        <v>8574</v>
      </c>
    </row>
    <row r="3148" spans="1:17" x14ac:dyDescent="0.25">
      <c r="A3148" s="5" t="str">
        <f>IF(TRIM(I3148)="","",E3148)</f>
        <v>MajorBrand</v>
      </c>
      <c r="B3148" s="5" t="str">
        <f>IF(TRIM(J3148)="","",H3148)</f>
        <v>QuickTime Major File Type Brand</v>
      </c>
      <c r="C3148" s="5" t="str">
        <f>LEFT(F3148,FIND(".",F3148,6))</f>
        <v>Xmp.video.</v>
      </c>
      <c r="D3148" s="5" t="str">
        <f>VLOOKUP(C3148,PrefixUebersetzung,2,FALSE)</f>
        <v>Xmp.video.</v>
      </c>
      <c r="E3148" s="5" t="str">
        <f>MID(F3148,FIND(".",F3148,6)+1,99)</f>
        <v>MajorBrand</v>
      </c>
      <c r="F3148" s="23" t="s">
        <v>6026</v>
      </c>
      <c r="G3148" s="5" t="s">
        <v>9678</v>
      </c>
      <c r="H3148" s="10" t="s">
        <v>6027</v>
      </c>
      <c r="I3148" s="7" t="s">
        <v>6533</v>
      </c>
      <c r="J3148" s="8" t="s">
        <v>6864</v>
      </c>
      <c r="K3148" s="26"/>
      <c r="N3148" s="6"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c>
      <c r="O3148" s="6" t="s">
        <v>8574</v>
      </c>
      <c r="P3148" s="6" t="s">
        <v>8574</v>
      </c>
    </row>
    <row r="3149" spans="1:17" ht="30" x14ac:dyDescent="0.25">
      <c r="A3149" s="5" t="str">
        <f>IF(TRIM(I3149)="","",E3149)</f>
        <v/>
      </c>
      <c r="B3149" s="5" t="str">
        <f>IF(TRIM(J3149)="","",H3149)</f>
        <v>Manufacturer of recording equipment</v>
      </c>
      <c r="C3149" s="5" t="str">
        <f>LEFT(F3149,FIND(".",F3149,6))</f>
        <v>Xmp.video.</v>
      </c>
      <c r="D3149" s="5" t="str">
        <f>VLOOKUP(C3149,PrefixUebersetzung,2,FALSE)</f>
        <v>Xmp.video.</v>
      </c>
      <c r="E3149" s="5" t="str">
        <f>MID(F3149,FIND(".",F3149,6)+1,99)</f>
        <v>Make</v>
      </c>
      <c r="F3149" s="23" t="s">
        <v>6028</v>
      </c>
      <c r="G3149" s="5" t="s">
        <v>9678</v>
      </c>
      <c r="H3149" s="10" t="s">
        <v>6029</v>
      </c>
      <c r="I3149" s="7"/>
      <c r="J3149" s="8" t="s">
        <v>6389</v>
      </c>
      <c r="K3149" s="26"/>
      <c r="L3149" s="6" t="str">
        <f>IFERROR(VLOOKUP(E3149,A:I,9, FALSE),"")</f>
        <v>Hersteller</v>
      </c>
      <c r="N3149" s="6"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c>
      <c r="P3149" s="6" t="s">
        <v>8574</v>
      </c>
      <c r="Q3149" s="6" t="s">
        <v>9414</v>
      </c>
    </row>
    <row r="3150" spans="1:17" x14ac:dyDescent="0.25">
      <c r="A3150" s="5" t="str">
        <f>IF(TRIM(I3150)="","",E3150)</f>
        <v>MakerNoteType</v>
      </c>
      <c r="B3150" s="5" t="str">
        <f>IF(TRIM(J3150)="","",H3150)</f>
        <v>Maker Note Type of the camera.</v>
      </c>
      <c r="C3150" s="5" t="str">
        <f>LEFT(F3150,FIND(".",F3150,6))</f>
        <v>Xmp.video.</v>
      </c>
      <c r="D3150" s="5" t="str">
        <f>VLOOKUP(C3150,PrefixUebersetzung,2,FALSE)</f>
        <v>Xmp.video.</v>
      </c>
      <c r="E3150" s="5" t="str">
        <f>MID(F3150,FIND(".",F3150,6)+1,99)</f>
        <v>MakerNoteType</v>
      </c>
      <c r="F3150" s="23" t="s">
        <v>6030</v>
      </c>
      <c r="G3150" s="5" t="s">
        <v>9678</v>
      </c>
      <c r="H3150" s="10" t="s">
        <v>6031</v>
      </c>
      <c r="I3150" s="7" t="s">
        <v>6865</v>
      </c>
      <c r="J3150" s="14" t="s">
        <v>6867</v>
      </c>
      <c r="K3150" s="26"/>
      <c r="N3150" s="6"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c>
      <c r="O3150" s="6" t="s">
        <v>8574</v>
      </c>
      <c r="P3150" s="6" t="s">
        <v>8574</v>
      </c>
    </row>
    <row r="3151" spans="1:17" ht="30" x14ac:dyDescent="0.25">
      <c r="A3151" s="5" t="str">
        <f>IF(TRIM(I3151)="","",E3151)</f>
        <v/>
      </c>
      <c r="B3151" s="5" t="str">
        <f>IF(TRIM(J3151)="","",H3151)</f>
        <v>Maker Note Version of the camera.</v>
      </c>
      <c r="C3151" s="5" t="str">
        <f>LEFT(F3151,FIND(".",F3151,6))</f>
        <v>Xmp.video.</v>
      </c>
      <c r="D3151" s="5" t="str">
        <f>VLOOKUP(C3151,PrefixUebersetzung,2,FALSE)</f>
        <v>Xmp.video.</v>
      </c>
      <c r="E3151" s="5" t="str">
        <f>MID(F3151,FIND(".",F3151,6)+1,99)</f>
        <v>MakerNoteVersion</v>
      </c>
      <c r="F3151" s="23" t="s">
        <v>6032</v>
      </c>
      <c r="G3151" s="5" t="s">
        <v>9678</v>
      </c>
      <c r="H3151" s="10" t="s">
        <v>6033</v>
      </c>
      <c r="I3151" s="7"/>
      <c r="J3151" s="14" t="s">
        <v>6868</v>
      </c>
      <c r="K3151" s="26"/>
      <c r="L3151" s="6" t="str">
        <f>IFERROR(VLOOKUP(E3151,A:I,9, FALSE),"")</f>
        <v>Hersteller-Notiz Version</v>
      </c>
      <c r="N3151" s="6"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c>
      <c r="P3151" s="6" t="s">
        <v>8574</v>
      </c>
      <c r="Q3151" s="6" t="s">
        <v>9180</v>
      </c>
    </row>
    <row r="3152" spans="1:17" x14ac:dyDescent="0.25">
      <c r="A3152" s="5" t="str">
        <f>IF(TRIM(I3152)="","",E3152)</f>
        <v>MakerURL</v>
      </c>
      <c r="B3152" s="5" t="str">
        <f>IF(TRIM(J3152)="","",H3152)</f>
        <v>Camera Manufacturer's URL.</v>
      </c>
      <c r="C3152" s="5" t="str">
        <f>LEFT(F3152,FIND(".",F3152,6))</f>
        <v>Xmp.video.</v>
      </c>
      <c r="D3152" s="5" t="str">
        <f>VLOOKUP(C3152,PrefixUebersetzung,2,FALSE)</f>
        <v>Xmp.video.</v>
      </c>
      <c r="E3152" s="5" t="str">
        <f>MID(F3152,FIND(".",F3152,6)+1,99)</f>
        <v>MakerURL</v>
      </c>
      <c r="F3152" s="23" t="s">
        <v>6034</v>
      </c>
      <c r="G3152" s="5" t="s">
        <v>9678</v>
      </c>
      <c r="H3152" s="10" t="s">
        <v>6035</v>
      </c>
      <c r="I3152" s="7" t="s">
        <v>6534</v>
      </c>
      <c r="J3152" s="8" t="s">
        <v>6871</v>
      </c>
      <c r="K3152" s="26"/>
      <c r="N3152" s="6"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c>
      <c r="O3152" s="6" t="s">
        <v>8574</v>
      </c>
      <c r="P3152" s="6" t="s">
        <v>8574</v>
      </c>
      <c r="Q3152" s="6" t="s">
        <v>9181</v>
      </c>
    </row>
    <row r="3153" spans="1:17" ht="30" x14ac:dyDescent="0.25">
      <c r="A3153" s="5" t="str">
        <f>IF(TRIM(I3153)="","",E3153)</f>
        <v/>
      </c>
      <c r="B3153" s="5" t="str">
        <f>IF(TRIM(J3153)="","",H3153)</f>
        <v>Smallest F number of lens, in APEX.</v>
      </c>
      <c r="C3153" s="5" t="str">
        <f>LEFT(F3153,FIND(".",F3153,6))</f>
        <v>Xmp.video.</v>
      </c>
      <c r="D3153" s="5" t="str">
        <f>VLOOKUP(C3153,PrefixUebersetzung,2,FALSE)</f>
        <v>Xmp.video.</v>
      </c>
      <c r="E3153" s="5" t="str">
        <f>MID(F3153,FIND(".",F3153,6)+1,99)</f>
        <v>MaxApertureValue</v>
      </c>
      <c r="F3153" s="23" t="s">
        <v>6036</v>
      </c>
      <c r="G3153" s="5" t="s">
        <v>9678</v>
      </c>
      <c r="H3153" s="10" t="s">
        <v>6037</v>
      </c>
      <c r="I3153" s="7"/>
      <c r="J3153" s="8" t="s">
        <v>6390</v>
      </c>
      <c r="K3153" s="26"/>
      <c r="L3153" s="6" t="str">
        <f>IFERROR(VLOOKUP(E3153,A:I,9, FALSE),"")</f>
        <v>Blende größte</v>
      </c>
      <c r="N3153" s="6"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c>
      <c r="P3153" s="6" t="s">
        <v>8574</v>
      </c>
      <c r="Q3153" s="6" t="s">
        <v>9267</v>
      </c>
    </row>
    <row r="3154" spans="1:17" ht="60" x14ac:dyDescent="0.25">
      <c r="A3154" s="5" t="str">
        <f>IF(TRIM(I3154)="","",E3154)</f>
        <v>MaxBitRate</v>
      </c>
      <c r="B3154" s="5" t="str">
        <f>IF(TRIM(J3154)="","",H3154)</f>
        <v>Specifies the maximum instantaneous bit rate in bits per second for the entire file. This shall equal the sum of the bit rates of the individual digital media streams.</v>
      </c>
      <c r="C3154" s="5" t="str">
        <f>LEFT(F3154,FIND(".",F3154,6))</f>
        <v>Xmp.video.</v>
      </c>
      <c r="D3154" s="5" t="str">
        <f>VLOOKUP(C3154,PrefixUebersetzung,2,FALSE)</f>
        <v>Xmp.video.</v>
      </c>
      <c r="E3154" s="5" t="str">
        <f>MID(F3154,FIND(".",F3154,6)+1,99)</f>
        <v>MaxBitRate</v>
      </c>
      <c r="F3154" s="23" t="s">
        <v>6038</v>
      </c>
      <c r="G3154" s="5" t="s">
        <v>9678</v>
      </c>
      <c r="H3154" s="10" t="s">
        <v>6039</v>
      </c>
      <c r="I3154" s="7" t="s">
        <v>6535</v>
      </c>
      <c r="J3154" s="8" t="s">
        <v>6872</v>
      </c>
      <c r="K3154" s="26"/>
      <c r="N3154" s="6"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c>
      <c r="O3154" s="6" t="s">
        <v>8574</v>
      </c>
      <c r="P3154" s="6" t="s">
        <v>8574</v>
      </c>
    </row>
    <row r="3155" spans="1:17" ht="30" x14ac:dyDescent="0.25">
      <c r="A3155" s="5" t="str">
        <f>IF(TRIM(I3155)="","",E3155)</f>
        <v>MaxDataRate</v>
      </c>
      <c r="B3155" s="5" t="str">
        <f>IF(TRIM(J3155)="","",H3155)</f>
        <v>Peak rate at which data is presented in a video (Expressed in kB/s(kiloBytes per Second))</v>
      </c>
      <c r="C3155" s="5" t="str">
        <f>LEFT(F3155,FIND(".",F3155,6))</f>
        <v>Xmp.video.</v>
      </c>
      <c r="D3155" s="5" t="str">
        <f>VLOOKUP(C3155,PrefixUebersetzung,2,FALSE)</f>
        <v>Xmp.video.</v>
      </c>
      <c r="E3155" s="5" t="str">
        <f>MID(F3155,FIND(".",F3155,6)+1,99)</f>
        <v>MaxDataRate</v>
      </c>
      <c r="F3155" s="23" t="s">
        <v>6040</v>
      </c>
      <c r="G3155" s="5" t="s">
        <v>9678</v>
      </c>
      <c r="H3155" s="10" t="s">
        <v>6041</v>
      </c>
      <c r="I3155" s="7" t="s">
        <v>6536</v>
      </c>
      <c r="J3155" s="8" t="s">
        <v>6873</v>
      </c>
      <c r="K3155" s="26"/>
      <c r="N3155" s="6"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c>
      <c r="O3155" s="6" t="s">
        <v>8574</v>
      </c>
      <c r="P3155" s="6" t="s">
        <v>8574</v>
      </c>
    </row>
    <row r="3156" spans="1:17" ht="60" x14ac:dyDescent="0.25">
      <c r="A3156" s="5" t="str">
        <f>IF(TRIM(I3156)="","",E3156)</f>
        <v/>
      </c>
      <c r="B3156" s="5" t="str">
        <f>IF(TRIM(J3156)="","",H3156)</f>
        <v/>
      </c>
      <c r="C3156" s="5" t="str">
        <f>LEFT(F3156,FIND(".",F3156,6))</f>
        <v>Xmp.video.</v>
      </c>
      <c r="D3156" s="5" t="str">
        <f>VLOOKUP(C3156,PrefixUebersetzung,2,FALSE)</f>
        <v>Xmp.video.</v>
      </c>
      <c r="E3156" s="5" t="str">
        <f>MID(F3156,FIND(".",F3156,6)+1,99)</f>
        <v>MediaCreateDate</v>
      </c>
      <c r="F3156" s="23" t="s">
        <v>6042</v>
      </c>
      <c r="G3156" s="5" t="s">
        <v>9678</v>
      </c>
      <c r="H3156" s="10" t="s">
        <v>5713</v>
      </c>
      <c r="I3156" s="7"/>
      <c r="J3156" s="8"/>
      <c r="K3156" s="26"/>
      <c r="L3156" s="6" t="str">
        <f>IFERROR(VLOOKUP(E3156,A:I,9, FALSE),"")</f>
        <v>Medien Erzeugungsdatum</v>
      </c>
      <c r="M3156" s="6" t="str">
        <f>IFERROR(VLOOKUP(H3156,B:J,9,FALSE),"")</f>
        <v>Ein 32-Bit-Ganzzahl (in Sekunden seit Mitternacht 1. Januar 1904 ), die angibt, wann der Medien-Header erstellt wurde.</v>
      </c>
      <c r="N3156" s="6"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c>
    </row>
    <row r="3157" spans="1:17" ht="45" x14ac:dyDescent="0.25">
      <c r="A3157" s="5" t="str">
        <f>IF(TRIM(I3157)="","",E3157)</f>
        <v/>
      </c>
      <c r="B3157" s="5" t="str">
        <f>IF(TRIM(J3157)="","",H3157)</f>
        <v/>
      </c>
      <c r="C3157" s="5" t="str">
        <f>LEFT(F3157,FIND(".",F3157,6))</f>
        <v>Xmp.video.</v>
      </c>
      <c r="D3157" s="5" t="str">
        <f>VLOOKUP(C3157,PrefixUebersetzung,2,FALSE)</f>
        <v>Xmp.video.</v>
      </c>
      <c r="E3157" s="5" t="str">
        <f>MID(F3157,FIND(".",F3157,6)+1,99)</f>
        <v>MediaDuration</v>
      </c>
      <c r="F3157" s="23" t="s">
        <v>6043</v>
      </c>
      <c r="G3157" s="5" t="s">
        <v>9678</v>
      </c>
      <c r="H3157" s="10" t="s">
        <v>5715</v>
      </c>
      <c r="I3157" s="7"/>
      <c r="J3157" s="8"/>
      <c r="K3157" s="26"/>
      <c r="L3157" s="6" t="str">
        <f>IFERROR(VLOOKUP(E3157,A:I,9, FALSE),"")</f>
        <v>Medien Dauer</v>
      </c>
      <c r="M3157" s="6" t="str">
        <f>IFERROR(VLOOKUP(H3157,B:J,9,FALSE),"")</f>
        <v>Ein Zeitwert, der die Dauer dieser Medien (in Zeit-Koordinatensystemdes Films) zeigt.</v>
      </c>
      <c r="N3157" s="6"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c>
    </row>
    <row r="3158" spans="1:17" ht="30" x14ac:dyDescent="0.25">
      <c r="A3158" s="5" t="str">
        <f>IF(TRIM(I3158)="","",E3158)</f>
        <v/>
      </c>
      <c r="B3158" s="5" t="str">
        <f>IF(TRIM(J3158)="","",H3158)</f>
        <v/>
      </c>
      <c r="C3158" s="5" t="str">
        <f>LEFT(F3158,FIND(".",F3158,6))</f>
        <v>Xmp.video.</v>
      </c>
      <c r="D3158" s="5" t="str">
        <f>VLOOKUP(C3158,PrefixUebersetzung,2,FALSE)</f>
        <v>Xmp.video.</v>
      </c>
      <c r="E3158" s="5" t="str">
        <f>MID(F3158,FIND(".",F3158,6)+1,99)</f>
        <v>MediaHeaderVersion</v>
      </c>
      <c r="F3158" s="23" t="s">
        <v>6044</v>
      </c>
      <c r="G3158" s="5" t="s">
        <v>9678</v>
      </c>
      <c r="H3158" s="10" t="s">
        <v>5717</v>
      </c>
      <c r="I3158" s="7"/>
      <c r="J3158" s="8"/>
      <c r="K3158" s="26"/>
      <c r="L3158" s="6" t="str">
        <f>IFERROR(VLOOKUP(E3158,A:I,9, FALSE),"")</f>
        <v>HeaderVersion</v>
      </c>
      <c r="M3158" s="6" t="str">
        <f>IFERROR(VLOOKUP(H3158,B:J,9,FALSE),"")</f>
        <v>Eine 1-Byte-Spezifikation der Version dieses Medien-Headers</v>
      </c>
      <c r="N3158" s="6"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c>
    </row>
    <row r="3159" spans="1:17" ht="30" x14ac:dyDescent="0.25">
      <c r="A3159" s="5" t="str">
        <f>IF(TRIM(I3159)="","",E3159)</f>
        <v/>
      </c>
      <c r="B3159" s="5" t="str">
        <f>IF(TRIM(J3159)="","",H3159)</f>
        <v/>
      </c>
      <c r="C3159" s="5" t="str">
        <f>LEFT(F3159,FIND(".",F3159,6))</f>
        <v>Xmp.video.</v>
      </c>
      <c r="D3159" s="5" t="str">
        <f>VLOOKUP(C3159,PrefixUebersetzung,2,FALSE)</f>
        <v>Xmp.video.</v>
      </c>
      <c r="E3159" s="5" t="str">
        <f>MID(F3159,FIND(".",F3159,6)+1,99)</f>
        <v>MediaLangCode</v>
      </c>
      <c r="F3159" s="23" t="s">
        <v>6045</v>
      </c>
      <c r="G3159" s="5" t="s">
        <v>9678</v>
      </c>
      <c r="H3159" s="10" t="s">
        <v>5719</v>
      </c>
      <c r="I3159" s="7"/>
      <c r="J3159" s="8"/>
      <c r="K3159" s="26"/>
      <c r="L3159" s="6" t="str">
        <f>IFERROR(VLOOKUP(E3159,A:I,9, FALSE),"")</f>
        <v>Medien Sprach-Code</v>
      </c>
      <c r="M3159" s="6" t="str">
        <f>IFERROR(VLOOKUP(H3159,B:J,9,FALSE),"")</f>
        <v>Ein 16-Bit-Ganzzahl, die den Sprachcode für dieses Medium angibt.</v>
      </c>
      <c r="N3159" s="6"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c>
    </row>
    <row r="3160" spans="1:17" ht="60" x14ac:dyDescent="0.25">
      <c r="A3160" s="5" t="str">
        <f>IF(TRIM(I3160)="","",E3160)</f>
        <v/>
      </c>
      <c r="B3160" s="5" t="str">
        <f>IF(TRIM(J3160)="","",H3160)</f>
        <v/>
      </c>
      <c r="C3160" s="5" t="str">
        <f>LEFT(F3160,FIND(".",F3160,6))</f>
        <v>Xmp.video.</v>
      </c>
      <c r="D3160" s="5" t="str">
        <f>VLOOKUP(C3160,PrefixUebersetzung,2,FALSE)</f>
        <v>Xmp.video.</v>
      </c>
      <c r="E3160" s="5" t="str">
        <f>MID(F3160,FIND(".",F3160,6)+1,99)</f>
        <v>MediaModifyDate</v>
      </c>
      <c r="F3160" s="23" t="s">
        <v>6046</v>
      </c>
      <c r="G3160" s="5" t="s">
        <v>9678</v>
      </c>
      <c r="H3160" s="10" t="s">
        <v>5721</v>
      </c>
      <c r="I3160" s="7"/>
      <c r="J3160" s="8"/>
      <c r="K3160" s="26"/>
      <c r="L3160" s="6" t="str">
        <f>IFERROR(VLOOKUP(E3160,A:I,9, FALSE),"")</f>
        <v>Medien Veränderungsdatum</v>
      </c>
      <c r="M3160" s="6" t="str">
        <f>IFERROR(VLOOKUP(H3160,B:J,9,FALSE),"")</f>
        <v>Ein 32-Bit-Ganzzahl (in Sekunden seit Mitternacht 1. Januar 1904 ), die angibt, wann der Medien-Header zuletzt verändert wurde.</v>
      </c>
      <c r="N3160" s="6"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c>
    </row>
    <row r="3161" spans="1:17" ht="75" x14ac:dyDescent="0.25">
      <c r="A3161" s="5" t="str">
        <f>IF(TRIM(I3161)="","",E3161)</f>
        <v/>
      </c>
      <c r="B3161" s="5" t="str">
        <f>IF(TRIM(J3161)="","",H3161)</f>
        <v/>
      </c>
      <c r="C3161" s="5" t="str">
        <f>LEFT(F3161,FIND(".",F3161,6))</f>
        <v>Xmp.video.</v>
      </c>
      <c r="D3161" s="5" t="str">
        <f>VLOOKUP(C3161,PrefixUebersetzung,2,FALSE)</f>
        <v>Xmp.video.</v>
      </c>
      <c r="E3161" s="5" t="str">
        <f>MID(F3161,FIND(".",F3161,6)+1,99)</f>
        <v>MediaTimeScale</v>
      </c>
      <c r="F3161" s="23" t="s">
        <v>6047</v>
      </c>
      <c r="G3161" s="5" t="s">
        <v>9678</v>
      </c>
      <c r="H3161" s="10" t="s">
        <v>5723</v>
      </c>
      <c r="I3161" s="7"/>
      <c r="J3161" s="8"/>
      <c r="K3161" s="26"/>
      <c r="L3161" s="6" t="str">
        <f>IFERROR(VLOOKUP(E3161,A:I,9, FALSE),"")</f>
        <v>Medien Zeitskala</v>
      </c>
      <c r="M3161" s="6" t="str">
        <f>IFERROR(VLOOKUP(H3161,B:J,9,FALSE),"")</f>
        <v>Ein Zeitwert, der die Zeitskala für dieses Medium angibt, das heißt die Anzahl der Zeiteinheiten, die pro Sekunde in seinem Zeit-Koordinatensystem vergeht.</v>
      </c>
      <c r="N3161" s="6"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c>
    </row>
    <row r="3162" spans="1:17" x14ac:dyDescent="0.25">
      <c r="A3162" s="5" t="str">
        <f>IF(TRIM(I3162)="","",E3162)</f>
        <v>Medium</v>
      </c>
      <c r="B3162" s="5" t="str">
        <f>IF(TRIM(J3162)="","",H3162)</f>
        <v>Medium.</v>
      </c>
      <c r="C3162" s="5" t="str">
        <f>LEFT(F3162,FIND(".",F3162,6))</f>
        <v>Xmp.video.</v>
      </c>
      <c r="D3162" s="5" t="str">
        <f>VLOOKUP(C3162,PrefixUebersetzung,2,FALSE)</f>
        <v>Xmp.video.</v>
      </c>
      <c r="E3162" s="5" t="str">
        <f>MID(F3162,FIND(".",F3162,6)+1,99)</f>
        <v>Medium</v>
      </c>
      <c r="F3162" s="23" t="s">
        <v>6048</v>
      </c>
      <c r="G3162" s="5" t="s">
        <v>9680</v>
      </c>
      <c r="H3162" s="10" t="s">
        <v>6049</v>
      </c>
      <c r="I3162" s="7" t="s">
        <v>6537</v>
      </c>
      <c r="J3162" s="8" t="s">
        <v>6049</v>
      </c>
      <c r="K3162" s="26"/>
      <c r="N3162" s="6"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c>
      <c r="O3162" s="6" t="s">
        <v>8574</v>
      </c>
      <c r="P3162" s="6" t="s">
        <v>8574</v>
      </c>
      <c r="Q3162" s="6" t="s">
        <v>9418</v>
      </c>
    </row>
    <row r="3163" spans="1:17" ht="30" x14ac:dyDescent="0.25">
      <c r="A3163" s="5" t="str">
        <f>IF(TRIM(I3163)="","",E3163)</f>
        <v>Metadata</v>
      </c>
      <c r="B3163" s="5" t="str">
        <f>IF(TRIM(J3163)="","",H3163)</f>
        <v>An array of Unknown / Unregistered Metadata Tags and their values.</v>
      </c>
      <c r="C3163" s="5" t="str">
        <f>LEFT(F3163,FIND(".",F3163,6))</f>
        <v>Xmp.video.</v>
      </c>
      <c r="D3163" s="5" t="str">
        <f>VLOOKUP(C3163,PrefixUebersetzung,2,FALSE)</f>
        <v>Xmp.video.</v>
      </c>
      <c r="E3163" s="5" t="str">
        <f>MID(F3163,FIND(".",F3163,6)+1,99)</f>
        <v>Metadata</v>
      </c>
      <c r="F3163" s="23" t="s">
        <v>6050</v>
      </c>
      <c r="G3163" s="5" t="s">
        <v>9680</v>
      </c>
      <c r="H3163" s="10" t="s">
        <v>6051</v>
      </c>
      <c r="I3163" s="7" t="s">
        <v>6538</v>
      </c>
      <c r="J3163" s="8" t="s">
        <v>6874</v>
      </c>
      <c r="K3163" s="26"/>
      <c r="N3163" s="6"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c>
      <c r="O3163" s="6" t="s">
        <v>8574</v>
      </c>
      <c r="P3163" s="6" t="s">
        <v>8574</v>
      </c>
    </row>
    <row r="3164" spans="1:17" ht="30" x14ac:dyDescent="0.25">
      <c r="A3164" s="5" t="str">
        <f>IF(TRIM(I3164)="","",E3164)</f>
        <v>MetadataLibrary</v>
      </c>
      <c r="B3164" s="5" t="str">
        <f>IF(TRIM(J3164)="","",H3164)</f>
        <v>An array of Unregistered Metadata Library Tags and their values.</v>
      </c>
      <c r="C3164" s="5" t="str">
        <f>LEFT(F3164,FIND(".",F3164,6))</f>
        <v>Xmp.video.</v>
      </c>
      <c r="D3164" s="5" t="str">
        <f>VLOOKUP(C3164,PrefixUebersetzung,2,FALSE)</f>
        <v>Xmp.video.</v>
      </c>
      <c r="E3164" s="5" t="str">
        <f>MID(F3164,FIND(".",F3164,6)+1,99)</f>
        <v>MetadataLibrary</v>
      </c>
      <c r="F3164" s="23" t="s">
        <v>6052</v>
      </c>
      <c r="G3164" s="5" t="s">
        <v>9680</v>
      </c>
      <c r="H3164" s="10" t="s">
        <v>6053</v>
      </c>
      <c r="I3164" s="7" t="s">
        <v>6539</v>
      </c>
      <c r="J3164" s="8" t="s">
        <v>6875</v>
      </c>
      <c r="K3164" s="26"/>
      <c r="N3164" s="6"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c>
      <c r="O3164" s="6" t="s">
        <v>8574</v>
      </c>
      <c r="P3164" s="6" t="s">
        <v>8574</v>
      </c>
    </row>
    <row r="3165" spans="1:17" x14ac:dyDescent="0.25">
      <c r="A3165" s="5" t="str">
        <f>IF(TRIM(I3165)="","",E3165)</f>
        <v/>
      </c>
      <c r="B3165" s="5" t="str">
        <f>IF(TRIM(J3165)="","",H3165)</f>
        <v>Metering mode.</v>
      </c>
      <c r="C3165" s="5" t="str">
        <f>LEFT(F3165,FIND(".",F3165,6))</f>
        <v>Xmp.video.</v>
      </c>
      <c r="D3165" s="5" t="str">
        <f>VLOOKUP(C3165,PrefixUebersetzung,2,FALSE)</f>
        <v>Xmp.video.</v>
      </c>
      <c r="E3165" s="5" t="str">
        <f>MID(F3165,FIND(".",F3165,6)+1,99)</f>
        <v>MeteringMode</v>
      </c>
      <c r="F3165" s="23" t="s">
        <v>6054</v>
      </c>
      <c r="G3165" s="5" t="s">
        <v>9678</v>
      </c>
      <c r="H3165" s="10" t="s">
        <v>6055</v>
      </c>
      <c r="I3165" s="7"/>
      <c r="J3165" s="14" t="s">
        <v>3920</v>
      </c>
      <c r="K3165" s="26"/>
      <c r="L3165" s="6" t="str">
        <f>IFERROR(VLOOKUP(E3165,A:I,9, FALSE),"")</f>
        <v>Messmethode</v>
      </c>
      <c r="N3165" s="6"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c>
      <c r="P3165" s="6" t="s">
        <v>8574</v>
      </c>
      <c r="Q3165" s="6" t="s">
        <v>9242</v>
      </c>
    </row>
    <row r="3166" spans="1:17" ht="30" x14ac:dyDescent="0.25">
      <c r="A3166" s="5" t="str">
        <f>IF(TRIM(I3166)="","",E3166)</f>
        <v>MicroSecPerFrame</v>
      </c>
      <c r="B3166" s="5" t="str">
        <f>IF(TRIM(J3166)="","",H3166)</f>
        <v>Number of micro seconds per frame, or frame rate</v>
      </c>
      <c r="C3166" s="5" t="str">
        <f>LEFT(F3166,FIND(".",F3166,6))</f>
        <v>Xmp.video.</v>
      </c>
      <c r="D3166" s="5" t="str">
        <f>VLOOKUP(C3166,PrefixUebersetzung,2,FALSE)</f>
        <v>Xmp.video.</v>
      </c>
      <c r="E3166" s="5" t="str">
        <f>MID(F3166,FIND(".",F3166,6)+1,99)</f>
        <v>MicroSecPerFrame</v>
      </c>
      <c r="F3166" s="23" t="s">
        <v>6056</v>
      </c>
      <c r="G3166" s="5" t="s">
        <v>9678</v>
      </c>
      <c r="H3166" s="10" t="s">
        <v>6057</v>
      </c>
      <c r="I3166" s="7" t="s">
        <v>6540</v>
      </c>
      <c r="J3166" s="8" t="s">
        <v>6391</v>
      </c>
      <c r="K3166" s="26"/>
      <c r="N3166" s="6"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c>
      <c r="O3166" s="6" t="s">
        <v>8574</v>
      </c>
      <c r="P3166" s="6" t="s">
        <v>8574</v>
      </c>
    </row>
    <row r="3167" spans="1:17" x14ac:dyDescent="0.25">
      <c r="A3167" s="5" t="str">
        <f>IF(TRIM(I3167)="","",E3167)</f>
        <v>MimeType</v>
      </c>
      <c r="B3167" s="5" t="str">
        <f>IF(TRIM(J3167)="","",H3167)</f>
        <v>Tells about the video format</v>
      </c>
      <c r="C3167" s="5" t="str">
        <f>LEFT(F3167,FIND(".",F3167,6))</f>
        <v>Xmp.video.</v>
      </c>
      <c r="D3167" s="5" t="str">
        <f>VLOOKUP(C3167,PrefixUebersetzung,2,FALSE)</f>
        <v>Xmp.video.</v>
      </c>
      <c r="E3167" s="5" t="str">
        <f>MID(F3167,FIND(".",F3167,6)+1,99)</f>
        <v>MimeType</v>
      </c>
      <c r="F3167" s="23" t="s">
        <v>6058</v>
      </c>
      <c r="G3167" s="5" t="s">
        <v>9678</v>
      </c>
      <c r="H3167" s="10" t="s">
        <v>6059</v>
      </c>
      <c r="I3167" s="7" t="s">
        <v>6541</v>
      </c>
      <c r="J3167" s="8" t="s">
        <v>6876</v>
      </c>
      <c r="K3167" s="26"/>
      <c r="N3167" s="6"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c>
      <c r="O3167" s="6" t="s">
        <v>8574</v>
      </c>
      <c r="P3167" s="6" t="s">
        <v>8574</v>
      </c>
    </row>
    <row r="3168" spans="1:17" x14ac:dyDescent="0.25">
      <c r="A3168" s="5" t="str">
        <f>IF(TRIM(I3168)="","",E3168)</f>
        <v>MinorVersion</v>
      </c>
      <c r="B3168" s="5" t="str">
        <f>IF(TRIM(J3168)="","",H3168)</f>
        <v>QuickTime Minor File Type Version</v>
      </c>
      <c r="C3168" s="5" t="str">
        <f>LEFT(F3168,FIND(".",F3168,6))</f>
        <v>Xmp.video.</v>
      </c>
      <c r="D3168" s="5" t="str">
        <f>VLOOKUP(C3168,PrefixUebersetzung,2,FALSE)</f>
        <v>Xmp.video.</v>
      </c>
      <c r="E3168" s="5" t="str">
        <f>MID(F3168,FIND(".",F3168,6)+1,99)</f>
        <v>MinorVersion</v>
      </c>
      <c r="F3168" s="23" t="s">
        <v>6060</v>
      </c>
      <c r="G3168" s="5" t="s">
        <v>9678</v>
      </c>
      <c r="H3168" s="10" t="s">
        <v>6061</v>
      </c>
      <c r="I3168" s="7" t="s">
        <v>6542</v>
      </c>
      <c r="J3168" s="8" t="s">
        <v>6877</v>
      </c>
      <c r="K3168" s="26"/>
      <c r="N3168" s="6"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c>
      <c r="O3168" s="6" t="s">
        <v>8574</v>
      </c>
      <c r="P3168" s="6" t="s">
        <v>8574</v>
      </c>
    </row>
    <row r="3169" spans="1:17" ht="30" x14ac:dyDescent="0.25">
      <c r="A3169" s="5" t="str">
        <f>IF(TRIM(I3169)="","",E3169)</f>
        <v/>
      </c>
      <c r="B3169" s="5" t="str">
        <f>IF(TRIM(J3169)="","",H3169)</f>
        <v>Model name or number of equipment.</v>
      </c>
      <c r="C3169" s="5" t="str">
        <f>LEFT(F3169,FIND(".",F3169,6))</f>
        <v>Xmp.video.</v>
      </c>
      <c r="D3169" s="5" t="str">
        <f>VLOOKUP(C3169,PrefixUebersetzung,2,FALSE)</f>
        <v>Xmp.video.</v>
      </c>
      <c r="E3169" s="5" t="str">
        <f>MID(F3169,FIND(".",F3169,6)+1,99)</f>
        <v>Model</v>
      </c>
      <c r="F3169" s="23" t="s">
        <v>6062</v>
      </c>
      <c r="G3169" s="5" t="s">
        <v>9678</v>
      </c>
      <c r="H3169" s="10" t="s">
        <v>6063</v>
      </c>
      <c r="I3169" s="7"/>
      <c r="J3169" s="8" t="s">
        <v>6392</v>
      </c>
      <c r="K3169" s="26"/>
      <c r="L3169" s="6" t="str">
        <f>IFERROR(VLOOKUP(E3169,A:I,9, FALSE),"")</f>
        <v>Modell</v>
      </c>
      <c r="N3169" s="6"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c>
      <c r="P3169" s="6" t="s">
        <v>8574</v>
      </c>
      <c r="Q3169" s="6" t="s">
        <v>9425</v>
      </c>
    </row>
    <row r="3170" spans="1:17" x14ac:dyDescent="0.25">
      <c r="A3170" s="5" t="str">
        <f>IF(TRIM(I3170)="","",E3170)</f>
        <v>ModificationDate</v>
      </c>
      <c r="B3170" s="5" t="str">
        <f>IF(TRIM(J3170)="","",H3170)</f>
        <v>Contains the modification date of the video</v>
      </c>
      <c r="C3170" s="5" t="str">
        <f>LEFT(F3170,FIND(".",F3170,6))</f>
        <v>Xmp.video.</v>
      </c>
      <c r="D3170" s="5" t="str">
        <f>VLOOKUP(C3170,PrefixUebersetzung,2,FALSE)</f>
        <v>Xmp.video.</v>
      </c>
      <c r="E3170" s="5" t="str">
        <f>MID(F3170,FIND(".",F3170,6)+1,99)</f>
        <v>ModificationDate</v>
      </c>
      <c r="F3170" s="23" t="s">
        <v>6064</v>
      </c>
      <c r="G3170" s="5" t="s">
        <v>9678</v>
      </c>
      <c r="H3170" s="10" t="s">
        <v>6065</v>
      </c>
      <c r="I3170" s="7" t="s">
        <v>4613</v>
      </c>
      <c r="J3170" s="8" t="s">
        <v>6393</v>
      </c>
      <c r="K3170" s="26"/>
      <c r="N3170" s="6"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c>
      <c r="O3170" s="6" t="s">
        <v>8574</v>
      </c>
      <c r="P3170" s="6" t="s">
        <v>8574</v>
      </c>
    </row>
    <row r="3171" spans="1:17" x14ac:dyDescent="0.25">
      <c r="A3171" s="5" t="str">
        <f>IF(TRIM(I3171)="","",E3171)</f>
        <v>MovieHeaderVersion</v>
      </c>
      <c r="B3171" s="5" t="str">
        <f>IF(TRIM(J3171)="","",H3171)</f>
        <v>Movie Header Version</v>
      </c>
      <c r="C3171" s="5" t="str">
        <f>LEFT(F3171,FIND(".",F3171,6))</f>
        <v>Xmp.video.</v>
      </c>
      <c r="D3171" s="5" t="str">
        <f>VLOOKUP(C3171,PrefixUebersetzung,2,FALSE)</f>
        <v>Xmp.video.</v>
      </c>
      <c r="E3171" s="5" t="str">
        <f>MID(F3171,FIND(".",F3171,6)+1,99)</f>
        <v>MovieHeaderVersion</v>
      </c>
      <c r="F3171" s="23" t="s">
        <v>6066</v>
      </c>
      <c r="G3171" s="5" t="s">
        <v>9678</v>
      </c>
      <c r="H3171" s="10" t="s">
        <v>6067</v>
      </c>
      <c r="I3171" s="7" t="s">
        <v>6543</v>
      </c>
      <c r="J3171" s="8" t="s">
        <v>6878</v>
      </c>
      <c r="K3171" s="26"/>
      <c r="N3171" s="6"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6" t="s">
        <v>8574</v>
      </c>
      <c r="P3171" s="6" t="s">
        <v>8574</v>
      </c>
      <c r="Q3171" s="6" t="s">
        <v>9253</v>
      </c>
    </row>
    <row r="3172" spans="1:17" x14ac:dyDescent="0.25">
      <c r="A3172" s="5" t="str">
        <f>IF(TRIM(I3172)="","",E3172)</f>
        <v>MusicBy</v>
      </c>
      <c r="B3172" s="5" t="str">
        <f>IF(TRIM(J3172)="","",H3172)</f>
        <v>Music By, i.e. name of person or organization.</v>
      </c>
      <c r="C3172" s="5" t="str">
        <f>LEFT(F3172,FIND(".",F3172,6))</f>
        <v>Xmp.video.</v>
      </c>
      <c r="D3172" s="5" t="str">
        <f>VLOOKUP(C3172,PrefixUebersetzung,2,FALSE)</f>
        <v>Xmp.video.</v>
      </c>
      <c r="E3172" s="5" t="str">
        <f>MID(F3172,FIND(".",F3172,6)+1,99)</f>
        <v>MusicBy</v>
      </c>
      <c r="F3172" s="23" t="s">
        <v>6068</v>
      </c>
      <c r="G3172" s="5" t="s">
        <v>9678</v>
      </c>
      <c r="H3172" s="10" t="s">
        <v>6069</v>
      </c>
      <c r="I3172" s="7" t="s">
        <v>6544</v>
      </c>
      <c r="J3172" s="13" t="s">
        <v>6879</v>
      </c>
      <c r="K3172" s="26"/>
      <c r="N3172" s="6"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c>
      <c r="O3172" s="6" t="s">
        <v>8574</v>
      </c>
      <c r="P3172" s="6" t="s">
        <v>8574</v>
      </c>
    </row>
    <row r="3173" spans="1:17" ht="45" x14ac:dyDescent="0.25">
      <c r="A3173" s="5" t="str">
        <f>IF(TRIM(I3173)="","",E3173)</f>
        <v/>
      </c>
      <c r="B3173" s="5" t="str">
        <f>IF(TRIM(J3173)="","",H3173)</f>
        <v>Contains the name of the library that has been used to create the file (like "libmatroska 0.7.0")</v>
      </c>
      <c r="C3173" s="5" t="str">
        <f>LEFT(F3173,FIND(".",F3173,6))</f>
        <v>Xmp.video.</v>
      </c>
      <c r="D3173" s="5" t="str">
        <f>VLOOKUP(C3173,PrefixUebersetzung,2,FALSE)</f>
        <v>Xmp.video.</v>
      </c>
      <c r="E3173" s="5" t="str">
        <f>MID(F3173,FIND(".",F3173,6)+1,99)</f>
        <v>MuxingApp</v>
      </c>
      <c r="F3173" s="23" t="s">
        <v>6070</v>
      </c>
      <c r="G3173" s="5" t="s">
        <v>9678</v>
      </c>
      <c r="H3173" s="10" t="s">
        <v>6071</v>
      </c>
      <c r="I3173" s="7"/>
      <c r="J3173" s="13" t="s">
        <v>6394</v>
      </c>
      <c r="K3173" s="26"/>
      <c r="N3173" s="6"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xml:space="preserve">Suffix not translated </v>
      </c>
      <c r="O3173" s="6" t="s">
        <v>8574</v>
      </c>
      <c r="P3173" s="6" t="s">
        <v>8574</v>
      </c>
    </row>
    <row r="3174" spans="1:17" x14ac:dyDescent="0.25">
      <c r="A3174" s="5" t="str">
        <f>IF(TRIM(I3174)="","",E3174)</f>
        <v/>
      </c>
      <c r="B3174" s="5" t="str">
        <f>IF(TRIM(J3174)="","",H3174)</f>
        <v>Name of song or the event.</v>
      </c>
      <c r="C3174" s="5" t="str">
        <f>LEFT(F3174,FIND(".",F3174,6))</f>
        <v>Xmp.video.</v>
      </c>
      <c r="D3174" s="5" t="str">
        <f>VLOOKUP(C3174,PrefixUebersetzung,2,FALSE)</f>
        <v>Xmp.video.</v>
      </c>
      <c r="E3174" s="5" t="str">
        <f>MID(F3174,FIND(".",F3174,6)+1,99)</f>
        <v>Name</v>
      </c>
      <c r="F3174" s="23" t="s">
        <v>6072</v>
      </c>
      <c r="G3174" s="5" t="s">
        <v>9678</v>
      </c>
      <c r="H3174" s="10" t="s">
        <v>6073</v>
      </c>
      <c r="I3174" s="7"/>
      <c r="J3174" s="13" t="s">
        <v>6395</v>
      </c>
      <c r="K3174" s="26"/>
      <c r="L3174" s="6" t="str">
        <f>IFERROR(VLOOKUP(E3174,A:I,9, FALSE),"")</f>
        <v>Name</v>
      </c>
      <c r="N3174" s="6"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c>
      <c r="P3174" s="6" t="s">
        <v>8574</v>
      </c>
    </row>
    <row r="3175" spans="1:17" ht="60" x14ac:dyDescent="0.25">
      <c r="A3175" s="5" t="str">
        <f>IF(TRIM(I3175)="","",E3175)</f>
        <v>NextTrackID</v>
      </c>
      <c r="B3175" s="5" t="str">
        <f>IF(TRIM(J3175)="","",H3175)</f>
        <v>A 32-bit integer that indicates a value to use for the track ID number of the next track added to this movie. Note that 0 is not a valid track ID value.</v>
      </c>
      <c r="C3175" s="5" t="str">
        <f>LEFT(F3175,FIND(".",F3175,6))</f>
        <v>Xmp.video.</v>
      </c>
      <c r="D3175" s="5" t="str">
        <f>VLOOKUP(C3175,PrefixUebersetzung,2,FALSE)</f>
        <v>Xmp.video.</v>
      </c>
      <c r="E3175" s="5" t="str">
        <f>MID(F3175,FIND(".",F3175,6)+1,99)</f>
        <v>NextTrackID</v>
      </c>
      <c r="F3175" s="23" t="s">
        <v>6074</v>
      </c>
      <c r="G3175" s="5" t="s">
        <v>9678</v>
      </c>
      <c r="H3175" s="10" t="s">
        <v>6075</v>
      </c>
      <c r="I3175" s="7" t="s">
        <v>6545</v>
      </c>
      <c r="J3175" s="8" t="s">
        <v>6880</v>
      </c>
      <c r="K3175" s="26"/>
      <c r="N3175" s="6"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c>
      <c r="O3175" s="6" t="s">
        <v>8574</v>
      </c>
      <c r="P3175" s="6" t="s">
        <v>8574</v>
      </c>
    </row>
    <row r="3176" spans="1:17" ht="30" x14ac:dyDescent="0.25">
      <c r="A3176" s="5" t="str">
        <f>IF(TRIM(I3176)="","",E3176)</f>
        <v>NumOfColours</v>
      </c>
      <c r="B3176" s="5" t="str">
        <f>IF(TRIM(J3176)="","",H3176)</f>
        <v>Total number of colours used</v>
      </c>
      <c r="C3176" s="5" t="str">
        <f>LEFT(F3176,FIND(".",F3176,6))</f>
        <v>Xmp.video.</v>
      </c>
      <c r="D3176" s="5" t="str">
        <f>VLOOKUP(C3176,PrefixUebersetzung,2,FALSE)</f>
        <v>Xmp.video.</v>
      </c>
      <c r="E3176" s="5" t="str">
        <f>MID(F3176,FIND(".",F3176,6)+1,99)</f>
        <v>NumOfColours</v>
      </c>
      <c r="F3176" s="23" t="s">
        <v>6076</v>
      </c>
      <c r="G3176" s="5" t="s">
        <v>9678</v>
      </c>
      <c r="H3176" s="10" t="s">
        <v>6077</v>
      </c>
      <c r="I3176" s="7" t="s">
        <v>6546</v>
      </c>
      <c r="J3176" s="8" t="s">
        <v>6396</v>
      </c>
      <c r="K3176" s="26"/>
      <c r="N3176" s="6"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c>
      <c r="O3176" s="6" t="s">
        <v>8574</v>
      </c>
      <c r="P3176" s="6" t="s">
        <v>8574</v>
      </c>
      <c r="Q3176" s="6" t="s">
        <v>9480</v>
      </c>
    </row>
    <row r="3177" spans="1:17" ht="30" x14ac:dyDescent="0.25">
      <c r="A3177" s="5" t="str">
        <f>IF(TRIM(I3177)="","",E3177)</f>
        <v>NumOfImpColours</v>
      </c>
      <c r="B3177" s="5" t="str">
        <f>IF(TRIM(J3177)="","",H3177)</f>
        <v>Number Of Important Colours, a property inherited from BitMap format</v>
      </c>
      <c r="C3177" s="5" t="str">
        <f>LEFT(F3177,FIND(".",F3177,6))</f>
        <v>Xmp.video.</v>
      </c>
      <c r="D3177" s="5" t="str">
        <f>VLOOKUP(C3177,PrefixUebersetzung,2,FALSE)</f>
        <v>Xmp.video.</v>
      </c>
      <c r="E3177" s="5" t="str">
        <f>MID(F3177,FIND(".",F3177,6)+1,99)</f>
        <v>NumOfImpColours</v>
      </c>
      <c r="F3177" s="23" t="s">
        <v>6078</v>
      </c>
      <c r="G3177" s="5" t="s">
        <v>9678</v>
      </c>
      <c r="H3177" s="10" t="s">
        <v>6079</v>
      </c>
      <c r="I3177" s="7" t="s">
        <v>6547</v>
      </c>
      <c r="J3177" s="8" t="s">
        <v>6881</v>
      </c>
      <c r="K3177" s="26"/>
      <c r="N3177" s="6"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c>
      <c r="O3177" s="6" t="s">
        <v>8574</v>
      </c>
      <c r="P3177" s="6" t="s">
        <v>8574</v>
      </c>
    </row>
    <row r="3178" spans="1:17" x14ac:dyDescent="0.25">
      <c r="A3178" s="5" t="str">
        <f>IF(TRIM(I3178)="","",E3178)</f>
        <v>NumOfParts</v>
      </c>
      <c r="B3178" s="5" t="str">
        <f>IF(TRIM(J3178)="","",H3178)</f>
        <v>Total number of parts in the video.</v>
      </c>
      <c r="C3178" s="5" t="str">
        <f>LEFT(F3178,FIND(".",F3178,6))</f>
        <v>Xmp.video.</v>
      </c>
      <c r="D3178" s="5" t="str">
        <f>VLOOKUP(C3178,PrefixUebersetzung,2,FALSE)</f>
        <v>Xmp.video.</v>
      </c>
      <c r="E3178" s="5" t="str">
        <f>MID(F3178,FIND(".",F3178,6)+1,99)</f>
        <v>NumOfParts</v>
      </c>
      <c r="F3178" s="23" t="s">
        <v>6080</v>
      </c>
      <c r="G3178" s="5" t="s">
        <v>9678</v>
      </c>
      <c r="H3178" s="10" t="s">
        <v>6081</v>
      </c>
      <c r="I3178" s="7" t="s">
        <v>6548</v>
      </c>
      <c r="J3178" s="8" t="s">
        <v>6397</v>
      </c>
      <c r="K3178" s="26"/>
      <c r="N3178" s="6"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c>
      <c r="O3178" s="6" t="s">
        <v>8574</v>
      </c>
      <c r="P3178" s="6" t="s">
        <v>8574</v>
      </c>
    </row>
    <row r="3179" spans="1:17" ht="45" x14ac:dyDescent="0.25">
      <c r="A3179" s="5" t="str">
        <f>IF(TRIM(I3179)="","",E3179)</f>
        <v/>
      </c>
      <c r="B3179" s="5" t="str">
        <f>IF(TRIM(J3179)="","",H3179)</f>
        <v>Three 16-bit values that specify the red, green, and blue colors for the transfer mode operation indicated in the graphics mode field.</v>
      </c>
      <c r="C3179" s="5" t="str">
        <f>LEFT(F3179,FIND(".",F3179,6))</f>
        <v>Xmp.video.</v>
      </c>
      <c r="D3179" s="5" t="str">
        <f>VLOOKUP(C3179,PrefixUebersetzung,2,FALSE)</f>
        <v>Xmp.video.</v>
      </c>
      <c r="E3179" s="5" t="str">
        <f>MID(F3179,FIND(".",F3179,6)+1,99)</f>
        <v>OpColor</v>
      </c>
      <c r="F3179" s="23" t="s">
        <v>6082</v>
      </c>
      <c r="G3179" s="5" t="s">
        <v>9678</v>
      </c>
      <c r="H3179" s="10" t="s">
        <v>6083</v>
      </c>
      <c r="I3179" s="7"/>
      <c r="J3179" s="8" t="s">
        <v>6882</v>
      </c>
      <c r="K3179" s="26"/>
      <c r="N3179" s="6"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v>
      </c>
      <c r="O3179" s="6" t="s">
        <v>8574</v>
      </c>
      <c r="P3179" s="6" t="s">
        <v>8574</v>
      </c>
    </row>
    <row r="3180" spans="1:17" ht="30" x14ac:dyDescent="0.25">
      <c r="A3180" s="5" t="str">
        <f>IF(TRIM(I3180)="","",E3180)</f>
        <v>Organization</v>
      </c>
      <c r="B3180" s="5" t="str">
        <f>IF(TRIM(J3180)="","",H3180)</f>
        <v>Name of organization associated with the video.</v>
      </c>
      <c r="C3180" s="5" t="str">
        <f>LEFT(F3180,FIND(".",F3180,6))</f>
        <v>Xmp.video.</v>
      </c>
      <c r="D3180" s="5" t="str">
        <f>VLOOKUP(C3180,PrefixUebersetzung,2,FALSE)</f>
        <v>Xmp.video.</v>
      </c>
      <c r="E3180" s="5" t="str">
        <f>MID(F3180,FIND(".",F3180,6)+1,99)</f>
        <v>Organization</v>
      </c>
      <c r="F3180" s="23" t="s">
        <v>6084</v>
      </c>
      <c r="G3180" s="5" t="s">
        <v>9678</v>
      </c>
      <c r="H3180" s="10" t="s">
        <v>6085</v>
      </c>
      <c r="I3180" s="7" t="s">
        <v>6549</v>
      </c>
      <c r="J3180" s="8" t="s">
        <v>6883</v>
      </c>
      <c r="K3180" s="26"/>
      <c r="N3180" s="6"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c>
      <c r="O3180" s="6" t="s">
        <v>8574</v>
      </c>
      <c r="P3180" s="6" t="s">
        <v>8574</v>
      </c>
    </row>
    <row r="3181" spans="1:17" ht="90" x14ac:dyDescent="0.25">
      <c r="A3181" s="5" t="str">
        <f>IF(TRIM(I3181)="","",E3181)</f>
        <v/>
      </c>
      <c r="B3181" s="5" t="str">
        <f>IF(TRIM(J3181)="","",H3181)</f>
        <v>Video Orientation:1 = Horizontal (normal) 2 = Mirror horizontal 3 = Rotate 180 4 = Mirror vertical 5 = Mirror horizontal and rotate 270 CW 6 = Rotate 90 CW 7 = Mirror horizontal and rotate 90 CW 8 = Rotate 270 CW</v>
      </c>
      <c r="C3181" s="5" t="str">
        <f>LEFT(F3181,FIND(".",F3181,6))</f>
        <v>Xmp.video.</v>
      </c>
      <c r="D3181" s="5" t="str">
        <f>VLOOKUP(C3181,PrefixUebersetzung,2,FALSE)</f>
        <v>Xmp.video.</v>
      </c>
      <c r="E3181" s="5" t="str">
        <f>MID(F3181,FIND(".",F3181,6)+1,99)</f>
        <v>Orientation</v>
      </c>
      <c r="F3181" s="23" t="s">
        <v>6086</v>
      </c>
      <c r="G3181" s="5" t="s">
        <v>9678</v>
      </c>
      <c r="H3181" s="10" t="s">
        <v>6087</v>
      </c>
      <c r="I3181" s="7"/>
      <c r="J3181" s="8" t="s">
        <v>6884</v>
      </c>
      <c r="K3181" s="26"/>
      <c r="L3181" s="6" t="str">
        <f>IFERROR(VLOOKUP(E3181,A:I,9, FALSE),"")</f>
        <v>Ausrichtung</v>
      </c>
      <c r="N3181" s="6"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c>
      <c r="P3181" s="6" t="s">
        <v>8574</v>
      </c>
    </row>
    <row r="3182" spans="1:17" x14ac:dyDescent="0.25">
      <c r="A3182" s="5" t="str">
        <f>IF(TRIM(I3182)="","",E3182)</f>
        <v>Part</v>
      </c>
      <c r="B3182" s="5" t="str">
        <f>IF(TRIM(J3182)="","",H3182)</f>
        <v>Part.</v>
      </c>
      <c r="C3182" s="5" t="str">
        <f>LEFT(F3182,FIND(".",F3182,6))</f>
        <v>Xmp.video.</v>
      </c>
      <c r="D3182" s="5" t="str">
        <f>VLOOKUP(C3182,PrefixUebersetzung,2,FALSE)</f>
        <v>Xmp.video.</v>
      </c>
      <c r="E3182" s="5" t="str">
        <f>MID(F3182,FIND(".",F3182,6)+1,99)</f>
        <v>Part</v>
      </c>
      <c r="F3182" s="23" t="s">
        <v>6088</v>
      </c>
      <c r="G3182" s="5" t="s">
        <v>9678</v>
      </c>
      <c r="H3182" s="10" t="s">
        <v>6089</v>
      </c>
      <c r="I3182" s="7" t="s">
        <v>6550</v>
      </c>
      <c r="J3182" s="8" t="s">
        <v>6550</v>
      </c>
      <c r="K3182" s="26"/>
      <c r="N3182" s="6"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c>
      <c r="O3182" s="6" t="s">
        <v>8574</v>
      </c>
      <c r="P3182" s="6" t="s">
        <v>8574</v>
      </c>
      <c r="Q3182" s="6" t="s">
        <v>9441</v>
      </c>
    </row>
    <row r="3183" spans="1:17" x14ac:dyDescent="0.25">
      <c r="A3183" s="5" t="str">
        <f>IF(TRIM(I3183)="","",E3183)</f>
        <v>PerformerKeywords</v>
      </c>
      <c r="B3183" s="5" t="str">
        <f>IF(TRIM(J3183)="","",H3183)</f>
        <v>Performer Keywords.</v>
      </c>
      <c r="C3183" s="5" t="str">
        <f>LEFT(F3183,FIND(".",F3183,6))</f>
        <v>Xmp.video.</v>
      </c>
      <c r="D3183" s="5" t="str">
        <f>VLOOKUP(C3183,PrefixUebersetzung,2,FALSE)</f>
        <v>Xmp.video.</v>
      </c>
      <c r="E3183" s="5" t="str">
        <f>MID(F3183,FIND(".",F3183,6)+1,99)</f>
        <v>PerformerKeywords</v>
      </c>
      <c r="F3183" s="23" t="s">
        <v>6090</v>
      </c>
      <c r="G3183" s="5" t="s">
        <v>9678</v>
      </c>
      <c r="H3183" s="10" t="s">
        <v>6091</v>
      </c>
      <c r="I3183" s="7" t="s">
        <v>6551</v>
      </c>
      <c r="J3183" s="14" t="s">
        <v>6551</v>
      </c>
      <c r="K3183" s="26"/>
      <c r="N3183" s="6"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c>
      <c r="O3183" s="6" t="s">
        <v>8574</v>
      </c>
      <c r="P3183" s="6" t="s">
        <v>8574</v>
      </c>
      <c r="Q3183" s="6" t="s">
        <v>9384</v>
      </c>
    </row>
    <row r="3184" spans="1:17" x14ac:dyDescent="0.25">
      <c r="A3184" s="5" t="str">
        <f>IF(TRIM(I3184)="","",E3184)</f>
        <v>Performers</v>
      </c>
      <c r="B3184" s="5" t="str">
        <f>IF(TRIM(J3184)="","",H3184)</f>
        <v>Performers involved in the video.</v>
      </c>
      <c r="C3184" s="5" t="str">
        <f>LEFT(F3184,FIND(".",F3184,6))</f>
        <v>Xmp.video.</v>
      </c>
      <c r="D3184" s="5" t="str">
        <f>VLOOKUP(C3184,PrefixUebersetzung,2,FALSE)</f>
        <v>Xmp.video.</v>
      </c>
      <c r="E3184" s="5" t="str">
        <f>MID(F3184,FIND(".",F3184,6)+1,99)</f>
        <v>Performers</v>
      </c>
      <c r="F3184" s="23" t="s">
        <v>6092</v>
      </c>
      <c r="G3184" s="5" t="s">
        <v>9678</v>
      </c>
      <c r="H3184" s="10" t="s">
        <v>6093</v>
      </c>
      <c r="I3184" s="7" t="s">
        <v>6552</v>
      </c>
      <c r="J3184" s="8" t="s">
        <v>6885</v>
      </c>
      <c r="K3184" s="26"/>
      <c r="N3184" s="6"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c>
      <c r="O3184" s="6" t="s">
        <v>8574</v>
      </c>
      <c r="P3184" s="6" t="s">
        <v>8574</v>
      </c>
    </row>
    <row r="3185" spans="1:17" x14ac:dyDescent="0.25">
      <c r="A3185" s="5" t="str">
        <f>IF(TRIM(I3185)="","",E3185)</f>
        <v>PerformerURL</v>
      </c>
      <c r="B3185" s="5" t="str">
        <f>IF(TRIM(J3185)="","",H3185)</f>
        <v>Performer's dedicated URL.</v>
      </c>
      <c r="C3185" s="5" t="str">
        <f>LEFT(F3185,FIND(".",F3185,6))</f>
        <v>Xmp.video.</v>
      </c>
      <c r="D3185" s="5" t="str">
        <f>VLOOKUP(C3185,PrefixUebersetzung,2,FALSE)</f>
        <v>Xmp.video.</v>
      </c>
      <c r="E3185" s="5" t="str">
        <f>MID(F3185,FIND(".",F3185,6)+1,99)</f>
        <v>PerformerURL</v>
      </c>
      <c r="F3185" s="23" t="s">
        <v>6094</v>
      </c>
      <c r="G3185" s="5" t="s">
        <v>9678</v>
      </c>
      <c r="H3185" s="10" t="s">
        <v>6095</v>
      </c>
      <c r="I3185" s="7" t="s">
        <v>6553</v>
      </c>
      <c r="J3185" s="8" t="s">
        <v>6886</v>
      </c>
      <c r="K3185" s="26"/>
      <c r="N3185" s="6"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c>
      <c r="O3185" s="6" t="s">
        <v>8574</v>
      </c>
      <c r="P3185" s="6" t="s">
        <v>8574</v>
      </c>
    </row>
    <row r="3186" spans="1:17" ht="30" x14ac:dyDescent="0.25">
      <c r="A3186" s="5" t="str">
        <f>IF(TRIM(I3186)="","",E3186)</f>
        <v/>
      </c>
      <c r="B3186" s="5" t="str">
        <f>IF(TRIM(J3186)="","",H3186)</f>
        <v>Contains the information of External media.</v>
      </c>
      <c r="C3186" s="5" t="str">
        <f>LEFT(F3186,FIND(".",F3186,6))</f>
        <v>Xmp.video.</v>
      </c>
      <c r="D3186" s="5" t="str">
        <f>VLOOKUP(C3186,PrefixUebersetzung,2,FALSE)</f>
        <v>Xmp.video.</v>
      </c>
      <c r="E3186" s="5" t="str">
        <f>MID(F3186,FIND(".",F3186,6)+1,99)</f>
        <v>PhysicalEquivalent</v>
      </c>
      <c r="F3186" s="23" t="s">
        <v>6096</v>
      </c>
      <c r="G3186" s="5" t="s">
        <v>9678</v>
      </c>
      <c r="H3186" s="10" t="s">
        <v>6097</v>
      </c>
      <c r="I3186" s="7"/>
      <c r="J3186" s="8" t="s">
        <v>6398</v>
      </c>
      <c r="K3186" s="26"/>
      <c r="N3186" s="6"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v>
      </c>
      <c r="O3186" s="6" t="s">
        <v>8574</v>
      </c>
      <c r="P3186" s="6" t="s">
        <v>8574</v>
      </c>
      <c r="Q3186" s="6" t="s">
        <v>9217</v>
      </c>
    </row>
    <row r="3187" spans="1:17" x14ac:dyDescent="0.25">
      <c r="A3187" s="5" t="str">
        <f>IF(TRIM(I3187)="","",E3187)</f>
        <v>PictureControlAdjust</v>
      </c>
      <c r="B3187" s="5" t="str">
        <f>IF(TRIM(J3187)="","",H3187)</f>
        <v>Picture Control Adjust Information.</v>
      </c>
      <c r="C3187" s="5" t="str">
        <f>LEFT(F3187,FIND(".",F3187,6))</f>
        <v>Xmp.video.</v>
      </c>
      <c r="D3187" s="5" t="str">
        <f>VLOOKUP(C3187,PrefixUebersetzung,2,FALSE)</f>
        <v>Xmp.video.</v>
      </c>
      <c r="E3187" s="5" t="str">
        <f>MID(F3187,FIND(".",F3187,6)+1,99)</f>
        <v>PictureControlAdjust</v>
      </c>
      <c r="F3187" s="23" t="s">
        <v>6098</v>
      </c>
      <c r="G3187" s="5" t="s">
        <v>9678</v>
      </c>
      <c r="H3187" s="10" t="s">
        <v>6099</v>
      </c>
      <c r="I3187" s="7" t="s">
        <v>6554</v>
      </c>
      <c r="J3187" s="14" t="s">
        <v>6887</v>
      </c>
      <c r="K3187" s="26"/>
      <c r="N3187" s="6"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c>
      <c r="O3187" s="6" t="s">
        <v>8574</v>
      </c>
      <c r="P3187" s="6" t="s">
        <v>8574</v>
      </c>
      <c r="Q3187" s="6" t="s">
        <v>9443</v>
      </c>
    </row>
    <row r="3188" spans="1:17" x14ac:dyDescent="0.25">
      <c r="A3188" s="5" t="str">
        <f>IF(TRIM(I3188)="","",E3188)</f>
        <v>PictureControlBase</v>
      </c>
      <c r="B3188" s="5" t="str">
        <f>IF(TRIM(J3188)="","",H3188)</f>
        <v>Picture Control Data Base.</v>
      </c>
      <c r="C3188" s="5" t="str">
        <f>LEFT(F3188,FIND(".",F3188,6))</f>
        <v>Xmp.video.</v>
      </c>
      <c r="D3188" s="5" t="str">
        <f>VLOOKUP(C3188,PrefixUebersetzung,2,FALSE)</f>
        <v>Xmp.video.</v>
      </c>
      <c r="E3188" s="5" t="str">
        <f>MID(F3188,FIND(".",F3188,6)+1,99)</f>
        <v>PictureControlBase</v>
      </c>
      <c r="F3188" s="23" t="s">
        <v>6100</v>
      </c>
      <c r="G3188" s="5" t="s">
        <v>9678</v>
      </c>
      <c r="H3188" s="10" t="s">
        <v>6101</v>
      </c>
      <c r="I3188" s="7" t="s">
        <v>6555</v>
      </c>
      <c r="J3188" s="14" t="s">
        <v>6888</v>
      </c>
      <c r="K3188" s="26"/>
      <c r="N3188" s="6"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c>
      <c r="O3188" s="6" t="s">
        <v>8574</v>
      </c>
      <c r="P3188" s="6" t="s">
        <v>8574</v>
      </c>
      <c r="Q3188" s="6" t="s">
        <v>9090</v>
      </c>
    </row>
    <row r="3189" spans="1:17" x14ac:dyDescent="0.25">
      <c r="A3189" s="5" t="str">
        <f>IF(TRIM(I3189)="","",E3189)</f>
        <v>PictureControlData</v>
      </c>
      <c r="B3189" s="5" t="str">
        <f>IF(TRIM(J3189)="","",H3189)</f>
        <v>Picture Control Data.</v>
      </c>
      <c r="C3189" s="5" t="str">
        <f>LEFT(F3189,FIND(".",F3189,6))</f>
        <v>Xmp.video.</v>
      </c>
      <c r="D3189" s="5" t="str">
        <f>VLOOKUP(C3189,PrefixUebersetzung,2,FALSE)</f>
        <v>Xmp.video.</v>
      </c>
      <c r="E3189" s="5" t="str">
        <f>MID(F3189,FIND(".",F3189,6)+1,99)</f>
        <v>PictureControlData</v>
      </c>
      <c r="F3189" s="23" t="s">
        <v>6102</v>
      </c>
      <c r="G3189" s="5" t="s">
        <v>9678</v>
      </c>
      <c r="H3189" s="10" t="s">
        <v>6103</v>
      </c>
      <c r="I3189" s="7" t="s">
        <v>6556</v>
      </c>
      <c r="J3189" s="14" t="s">
        <v>6556</v>
      </c>
      <c r="K3189" s="26"/>
      <c r="N3189" s="6"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c>
      <c r="O3189" s="6" t="s">
        <v>8574</v>
      </c>
      <c r="P3189" s="6" t="s">
        <v>8574</v>
      </c>
      <c r="Q3189" s="6" t="s">
        <v>9090</v>
      </c>
    </row>
    <row r="3190" spans="1:17" x14ac:dyDescent="0.25">
      <c r="A3190" s="5" t="str">
        <f>IF(TRIM(I3190)="","",E3190)</f>
        <v>PictureControlName</v>
      </c>
      <c r="B3190" s="5" t="str">
        <f>IF(TRIM(J3190)="","",H3190)</f>
        <v>Picture Control Name.</v>
      </c>
      <c r="C3190" s="5" t="str">
        <f>LEFT(F3190,FIND(".",F3190,6))</f>
        <v>Xmp.video.</v>
      </c>
      <c r="D3190" s="5" t="str">
        <f>VLOOKUP(C3190,PrefixUebersetzung,2,FALSE)</f>
        <v>Xmp.video.</v>
      </c>
      <c r="E3190" s="5" t="str">
        <f>MID(F3190,FIND(".",F3190,6)+1,99)</f>
        <v>PictureControlName</v>
      </c>
      <c r="F3190" s="23" t="s">
        <v>6104</v>
      </c>
      <c r="G3190" s="5" t="s">
        <v>9678</v>
      </c>
      <c r="H3190" s="10" t="s">
        <v>6105</v>
      </c>
      <c r="I3190" s="7" t="s">
        <v>6557</v>
      </c>
      <c r="J3190" s="14" t="s">
        <v>6557</v>
      </c>
      <c r="K3190" s="26"/>
      <c r="N3190" s="6"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c>
      <c r="O3190" s="6" t="s">
        <v>8574</v>
      </c>
      <c r="P3190" s="6" t="s">
        <v>8574</v>
      </c>
      <c r="Q3190" s="6" t="s">
        <v>9090</v>
      </c>
    </row>
    <row r="3191" spans="1:17" x14ac:dyDescent="0.25">
      <c r="A3191" s="5" t="str">
        <f>IF(TRIM(I3191)="","",E3191)</f>
        <v>PictureControlQuickAdjust</v>
      </c>
      <c r="B3191" s="5" t="str">
        <f>IF(TRIM(J3191)="","",H3191)</f>
        <v>Picture Control Quick Adjustment Settings.</v>
      </c>
      <c r="C3191" s="5" t="str">
        <f>LEFT(F3191,FIND(".",F3191,6))</f>
        <v>Xmp.video.</v>
      </c>
      <c r="D3191" s="5" t="str">
        <f>VLOOKUP(C3191,PrefixUebersetzung,2,FALSE)</f>
        <v>Xmp.video.</v>
      </c>
      <c r="E3191" s="5" t="str">
        <f>MID(F3191,FIND(".",F3191,6)+1,99)</f>
        <v>PictureControlQuickAdjust</v>
      </c>
      <c r="F3191" s="23" t="s">
        <v>6106</v>
      </c>
      <c r="G3191" s="5" t="s">
        <v>9678</v>
      </c>
      <c r="H3191" s="10" t="s">
        <v>6107</v>
      </c>
      <c r="I3191" s="7" t="s">
        <v>6558</v>
      </c>
      <c r="J3191" s="14" t="s">
        <v>6889</v>
      </c>
      <c r="K3191" s="26"/>
      <c r="N3191" s="6"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c>
      <c r="O3191" s="6" t="s">
        <v>8574</v>
      </c>
      <c r="P3191" s="6" t="s">
        <v>8574</v>
      </c>
    </row>
    <row r="3192" spans="1:17" x14ac:dyDescent="0.25">
      <c r="A3192" s="5" t="str">
        <f>IF(TRIM(I3192)="","",E3192)</f>
        <v>PictureControlVersion</v>
      </c>
      <c r="B3192" s="5" t="str">
        <f>IF(TRIM(J3192)="","",H3192)</f>
        <v>Picture Control Data Version.</v>
      </c>
      <c r="C3192" s="5" t="str">
        <f>LEFT(F3192,FIND(".",F3192,6))</f>
        <v>Xmp.video.</v>
      </c>
      <c r="D3192" s="5" t="str">
        <f>VLOOKUP(C3192,PrefixUebersetzung,2,FALSE)</f>
        <v>Xmp.video.</v>
      </c>
      <c r="E3192" s="5" t="str">
        <f>MID(F3192,FIND(".",F3192,6)+1,99)</f>
        <v>PictureControlVersion</v>
      </c>
      <c r="F3192" s="23" t="s">
        <v>6108</v>
      </c>
      <c r="G3192" s="5" t="s">
        <v>9678</v>
      </c>
      <c r="H3192" s="10" t="s">
        <v>6109</v>
      </c>
      <c r="I3192" s="7" t="s">
        <v>6559</v>
      </c>
      <c r="J3192" s="14" t="s">
        <v>6559</v>
      </c>
      <c r="K3192" s="26"/>
      <c r="N3192" s="6"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c>
      <c r="O3192" s="6" t="s">
        <v>8574</v>
      </c>
      <c r="P3192" s="6" t="s">
        <v>8574</v>
      </c>
      <c r="Q3192" s="6" t="s">
        <v>9090</v>
      </c>
    </row>
    <row r="3193" spans="1:17" ht="75" x14ac:dyDescent="0.25">
      <c r="A3193" s="5" t="str">
        <f>IF(TRIM(I3193)="","",E3193)</f>
        <v>PixelDepth</v>
      </c>
      <c r="B3193" s="5" t="str">
        <f>IF(TRIM(J3193)="","",H3193)</f>
        <v>The size in bits of each color component of a pixel. Standard Windows 32-bit pixels have 8 bits per component. One of: 8Int, 16Int, 32Int, 32Float.</v>
      </c>
      <c r="C3193" s="5" t="str">
        <f>LEFT(F3193,FIND(".",F3193,6))</f>
        <v>Xmp.video.</v>
      </c>
      <c r="D3193" s="5" t="str">
        <f>VLOOKUP(C3193,PrefixUebersetzung,2,FALSE)</f>
        <v>Xmp.video.</v>
      </c>
      <c r="E3193" s="5" t="str">
        <f>MID(F3193,FIND(".",F3193,6)+1,99)</f>
        <v>PixelDepth</v>
      </c>
      <c r="F3193" s="23" t="s">
        <v>6110</v>
      </c>
      <c r="G3193" s="5" t="s">
        <v>9678</v>
      </c>
      <c r="H3193" s="10" t="s">
        <v>3680</v>
      </c>
      <c r="I3193" s="7" t="s">
        <v>6560</v>
      </c>
      <c r="J3193" s="8" t="s">
        <v>5430</v>
      </c>
      <c r="K3193" s="26"/>
      <c r="M3193" s="6" t="str">
        <f>IFERROR(VLOOKUP(H3193,B:J,9,FALSE),"")</f>
        <v>Die Größe jeder Farbkomponente  in Bits eines Pixels. Standard-Windows-32-Bit-Pixel haben 8 Bit pro Komponente. Gültige Werte: 8Int, 16Int, 32Int, 32Float.</v>
      </c>
      <c r="N3193" s="6"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c>
      <c r="O3193" s="6" t="s">
        <v>8574</v>
      </c>
      <c r="P3193" s="6" t="s">
        <v>8574</v>
      </c>
    </row>
    <row r="3194" spans="1:17" ht="30" x14ac:dyDescent="0.25">
      <c r="A3194" s="5" t="str">
        <f>IF(TRIM(I3194)="","",E3194)</f>
        <v>PixelPerMeterX</v>
      </c>
      <c r="B3194" s="5" t="str">
        <f>IF(TRIM(J3194)="","",H3194)</f>
        <v>Pixels Per Meter X, a property inherited from BitMap format</v>
      </c>
      <c r="C3194" s="5" t="str">
        <f>LEFT(F3194,FIND(".",F3194,6))</f>
        <v>Xmp.video.</v>
      </c>
      <c r="D3194" s="5" t="str">
        <f>VLOOKUP(C3194,PrefixUebersetzung,2,FALSE)</f>
        <v>Xmp.video.</v>
      </c>
      <c r="E3194" s="5" t="str">
        <f>MID(F3194,FIND(".",F3194,6)+1,99)</f>
        <v>PixelPerMeterX</v>
      </c>
      <c r="F3194" s="23" t="s">
        <v>6111</v>
      </c>
      <c r="G3194" s="5" t="s">
        <v>9678</v>
      </c>
      <c r="H3194" s="10" t="s">
        <v>6112</v>
      </c>
      <c r="I3194" s="7" t="s">
        <v>6561</v>
      </c>
      <c r="J3194" s="8" t="s">
        <v>6890</v>
      </c>
      <c r="K3194" s="26"/>
      <c r="N3194" s="6"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c>
      <c r="O3194" s="6" t="s">
        <v>8574</v>
      </c>
      <c r="P3194" s="6" t="s">
        <v>8574</v>
      </c>
    </row>
    <row r="3195" spans="1:17" ht="30" x14ac:dyDescent="0.25">
      <c r="A3195" s="5" t="str">
        <f>IF(TRIM(I3195)="","",E3195)</f>
        <v>PixelPerMeterY</v>
      </c>
      <c r="B3195" s="5" t="str">
        <f>IF(TRIM(J3195)="","",H3195)</f>
        <v>Pixels Per Meter Y, a property inherited from BitMap format</v>
      </c>
      <c r="C3195" s="5" t="str">
        <f>LEFT(F3195,FIND(".",F3195,6))</f>
        <v>Xmp.video.</v>
      </c>
      <c r="D3195" s="5" t="str">
        <f>VLOOKUP(C3195,PrefixUebersetzung,2,FALSE)</f>
        <v>Xmp.video.</v>
      </c>
      <c r="E3195" s="5" t="str">
        <f>MID(F3195,FIND(".",F3195,6)+1,99)</f>
        <v>PixelPerMeterY</v>
      </c>
      <c r="F3195" s="23" t="s">
        <v>6113</v>
      </c>
      <c r="G3195" s="5" t="s">
        <v>9678</v>
      </c>
      <c r="H3195" s="10" t="s">
        <v>6114</v>
      </c>
      <c r="I3195" s="7" t="s">
        <v>6562</v>
      </c>
      <c r="J3195" s="8" t="s">
        <v>6891</v>
      </c>
      <c r="K3195" s="26"/>
      <c r="N3195" s="6"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c>
      <c r="O3195" s="6" t="s">
        <v>8574</v>
      </c>
      <c r="P3195" s="6" t="s">
        <v>8574</v>
      </c>
    </row>
    <row r="3196" spans="1:17" x14ac:dyDescent="0.25">
      <c r="A3196" s="5" t="str">
        <f>IF(TRIM(I3196)="","",E3196)</f>
        <v>Planes</v>
      </c>
      <c r="B3196" s="5" t="str">
        <f>IF(TRIM(J3196)="","",H3196)</f>
        <v>The number of Image Planes in the video</v>
      </c>
      <c r="C3196" s="5" t="str">
        <f>LEFT(F3196,FIND(".",F3196,6))</f>
        <v>Xmp.video.</v>
      </c>
      <c r="D3196" s="5" t="str">
        <f>VLOOKUP(C3196,PrefixUebersetzung,2,FALSE)</f>
        <v>Xmp.video.</v>
      </c>
      <c r="E3196" s="5" t="str">
        <f>MID(F3196,FIND(".",F3196,6)+1,99)</f>
        <v>Planes</v>
      </c>
      <c r="F3196" s="23" t="s">
        <v>6115</v>
      </c>
      <c r="G3196" s="5" t="s">
        <v>9678</v>
      </c>
      <c r="H3196" s="10" t="s">
        <v>6116</v>
      </c>
      <c r="I3196" s="7" t="s">
        <v>8954</v>
      </c>
      <c r="J3196" s="8" t="s">
        <v>6892</v>
      </c>
      <c r="K3196" s="26"/>
      <c r="N3196" s="6"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c>
      <c r="O3196" s="6" t="s">
        <v>8574</v>
      </c>
      <c r="P3196" s="6" t="s">
        <v>8574</v>
      </c>
    </row>
    <row r="3197" spans="1:17" x14ac:dyDescent="0.25">
      <c r="A3197" s="5" t="str">
        <f>IF(TRIM(I3197)="","",E3197)</f>
        <v>PlayMode</v>
      </c>
      <c r="B3197" s="5" t="str">
        <f>IF(TRIM(J3197)="","",H3197)</f>
        <v>Information about the Play Mode.</v>
      </c>
      <c r="C3197" s="5" t="str">
        <f>LEFT(F3197,FIND(".",F3197,6))</f>
        <v>Xmp.video.</v>
      </c>
      <c r="D3197" s="5" t="str">
        <f>VLOOKUP(C3197,PrefixUebersetzung,2,FALSE)</f>
        <v>Xmp.video.</v>
      </c>
      <c r="E3197" s="5" t="str">
        <f>MID(F3197,FIND(".",F3197,6)+1,99)</f>
        <v>PlayMode</v>
      </c>
      <c r="F3197" s="23" t="s">
        <v>6117</v>
      </c>
      <c r="G3197" s="5" t="s">
        <v>9678</v>
      </c>
      <c r="H3197" s="10" t="s">
        <v>6118</v>
      </c>
      <c r="I3197" s="7" t="s">
        <v>8955</v>
      </c>
      <c r="J3197" s="8" t="s">
        <v>6399</v>
      </c>
      <c r="K3197" s="26"/>
      <c r="N3197" s="6"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c>
      <c r="O3197" s="6" t="s">
        <v>8574</v>
      </c>
      <c r="P3197" s="6" t="s">
        <v>8574</v>
      </c>
    </row>
    <row r="3198" spans="1:17" x14ac:dyDescent="0.25">
      <c r="A3198" s="5" t="str">
        <f>IF(TRIM(I3198)="","",E3198)</f>
        <v/>
      </c>
      <c r="B3198" s="5" t="str">
        <f>IF(TRIM(J3198)="","",H3198)</f>
        <v>Play Selection.</v>
      </c>
      <c r="C3198" s="5" t="str">
        <f>LEFT(F3198,FIND(".",F3198,6))</f>
        <v>Xmp.video.</v>
      </c>
      <c r="D3198" s="5" t="str">
        <f>VLOOKUP(C3198,PrefixUebersetzung,2,FALSE)</f>
        <v>Xmp.video.</v>
      </c>
      <c r="E3198" s="5" t="str">
        <f>MID(F3198,FIND(".",F3198,6)+1,99)</f>
        <v>PlaySelection</v>
      </c>
      <c r="F3198" s="23" t="s">
        <v>6119</v>
      </c>
      <c r="G3198" s="5" t="s">
        <v>9678</v>
      </c>
      <c r="H3198" s="10" t="s">
        <v>6120</v>
      </c>
      <c r="I3198" s="7"/>
      <c r="J3198" s="8" t="s">
        <v>6400</v>
      </c>
      <c r="K3198" s="26"/>
      <c r="N3198" s="6"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v>
      </c>
      <c r="O3198" s="6" t="s">
        <v>8574</v>
      </c>
      <c r="P3198" s="6" t="s">
        <v>8574</v>
      </c>
      <c r="Q3198" s="6" t="s">
        <v>9116</v>
      </c>
    </row>
    <row r="3199" spans="1:17" ht="30" x14ac:dyDescent="0.25">
      <c r="A3199" s="5" t="str">
        <f>IF(TRIM(I3199)="","",E3199)</f>
        <v>PosterTime</v>
      </c>
      <c r="B3199" s="5" t="str">
        <f>IF(TRIM(J3199)="","",H3199)</f>
        <v>The time value of the time of the movie poster.</v>
      </c>
      <c r="C3199" s="5" t="str">
        <f>LEFT(F3199,FIND(".",F3199,6))</f>
        <v>Xmp.video.</v>
      </c>
      <c r="D3199" s="5" t="str">
        <f>VLOOKUP(C3199,PrefixUebersetzung,2,FALSE)</f>
        <v>Xmp.video.</v>
      </c>
      <c r="E3199" s="5" t="str">
        <f>MID(F3199,FIND(".",F3199,6)+1,99)</f>
        <v>PosterTime</v>
      </c>
      <c r="F3199" s="23" t="s">
        <v>6121</v>
      </c>
      <c r="G3199" s="5" t="s">
        <v>9678</v>
      </c>
      <c r="H3199" s="10" t="s">
        <v>6122</v>
      </c>
      <c r="I3199" s="7" t="s">
        <v>6563</v>
      </c>
      <c r="J3199" s="8" t="s">
        <v>6893</v>
      </c>
      <c r="K3199" s="26"/>
      <c r="N3199" s="6"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c>
      <c r="O3199" s="6" t="s">
        <v>8574</v>
      </c>
      <c r="P3199" s="6" t="s">
        <v>8574</v>
      </c>
      <c r="Q3199" s="6" t="s">
        <v>9537</v>
      </c>
    </row>
    <row r="3200" spans="1:17" ht="45" x14ac:dyDescent="0.25">
      <c r="A3200" s="5" t="str">
        <f>IF(TRIM(I3200)="","",E3200)</f>
        <v>PreferredRate</v>
      </c>
      <c r="B3200" s="5" t="str">
        <f>IF(TRIM(J3200)="","",H3200)</f>
        <v>A 32-bit fixed-point number that specifies the rate at which to play this movie. A value of 1.0 indicates normal rate.</v>
      </c>
      <c r="C3200" s="5" t="str">
        <f>LEFT(F3200,FIND(".",F3200,6))</f>
        <v>Xmp.video.</v>
      </c>
      <c r="D3200" s="5" t="str">
        <f>VLOOKUP(C3200,PrefixUebersetzung,2,FALSE)</f>
        <v>Xmp.video.</v>
      </c>
      <c r="E3200" s="5" t="str">
        <f>MID(F3200,FIND(".",F3200,6)+1,99)</f>
        <v>PreferredRate</v>
      </c>
      <c r="F3200" s="23" t="s">
        <v>6123</v>
      </c>
      <c r="G3200" s="5" t="s">
        <v>9678</v>
      </c>
      <c r="H3200" s="10" t="s">
        <v>6124</v>
      </c>
      <c r="I3200" s="7" t="s">
        <v>6564</v>
      </c>
      <c r="J3200" s="8" t="s">
        <v>6894</v>
      </c>
      <c r="K3200" s="26"/>
      <c r="N3200" s="6"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c>
      <c r="O3200" s="6" t="s">
        <v>8574</v>
      </c>
      <c r="P3200" s="6" t="s">
        <v>8574</v>
      </c>
    </row>
    <row r="3201" spans="1:17" ht="45" x14ac:dyDescent="0.25">
      <c r="A3201" s="5" t="str">
        <f>IF(TRIM(I3201)="","",E3201)</f>
        <v>PreferredVolume</v>
      </c>
      <c r="B3201" s="5" t="str">
        <f>IF(TRIM(J3201)="","",H3201)</f>
        <v>A 16-bit fixed-point number that specifies how loud to play this movie's sound. A value of 1.0 indicates full volume.</v>
      </c>
      <c r="C3201" s="5" t="str">
        <f>LEFT(F3201,FIND(".",F3201,6))</f>
        <v>Xmp.video.</v>
      </c>
      <c r="D3201" s="5" t="str">
        <f>VLOOKUP(C3201,PrefixUebersetzung,2,FALSE)</f>
        <v>Xmp.video.</v>
      </c>
      <c r="E3201" s="5" t="str">
        <f>MID(F3201,FIND(".",F3201,6)+1,99)</f>
        <v>PreferredVolume</v>
      </c>
      <c r="F3201" s="23" t="s">
        <v>6125</v>
      </c>
      <c r="G3201" s="5" t="s">
        <v>9678</v>
      </c>
      <c r="H3201" s="10" t="s">
        <v>6126</v>
      </c>
      <c r="I3201" s="7" t="s">
        <v>6565</v>
      </c>
      <c r="J3201" s="8" t="s">
        <v>6895</v>
      </c>
      <c r="K3201" s="26"/>
      <c r="N3201" s="6"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c>
      <c r="O3201" s="6" t="s">
        <v>8574</v>
      </c>
      <c r="P3201" s="6" t="s">
        <v>8574</v>
      </c>
    </row>
    <row r="3202" spans="1:17" ht="120" x14ac:dyDescent="0.25">
      <c r="A3202" s="5" t="str">
        <f>IF(TRIM(I3202)="","",E3202)</f>
        <v/>
      </c>
      <c r="B3202" s="5" t="str">
        <f>IF(TRIM(J3202)="","",H3202)</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3202" s="5" t="str">
        <f>LEFT(F3202,FIND(".",F3202,6))</f>
        <v>Xmp.video.</v>
      </c>
      <c r="D3202" s="5" t="str">
        <f>VLOOKUP(C3202,PrefixUebersetzung,2,FALSE)</f>
        <v>Xmp.video.</v>
      </c>
      <c r="E3202" s="5" t="str">
        <f>MID(F3202,FIND(".",F3202,6)+1,99)</f>
        <v>Preroll</v>
      </c>
      <c r="F3202" s="23" t="s">
        <v>6127</v>
      </c>
      <c r="G3202" s="5" t="s">
        <v>9678</v>
      </c>
      <c r="H3202" s="10" t="s">
        <v>6128</v>
      </c>
      <c r="I3202" s="7"/>
      <c r="J3202" s="14" t="s">
        <v>6897</v>
      </c>
      <c r="K3202" s="26"/>
      <c r="N3202" s="6"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v>
      </c>
      <c r="O3202" s="6" t="s">
        <v>8574</v>
      </c>
      <c r="P3202" s="6" t="s">
        <v>8574</v>
      </c>
    </row>
    <row r="3203" spans="1:17" ht="30" x14ac:dyDescent="0.25">
      <c r="A3203" s="5" t="str">
        <f>IF(TRIM(I3203)="","",E3203)</f>
        <v>PreviewAtomType</v>
      </c>
      <c r="B3203" s="5" t="str">
        <f>IF(TRIM(J3203)="","",H3203)</f>
        <v>Indicates the type of atom that contains the preview data</v>
      </c>
      <c r="C3203" s="5" t="str">
        <f>LEFT(F3203,FIND(".",F3203,6))</f>
        <v>Xmp.video.</v>
      </c>
      <c r="D3203" s="5" t="str">
        <f>VLOOKUP(C3203,PrefixUebersetzung,2,FALSE)</f>
        <v>Xmp.video.</v>
      </c>
      <c r="E3203" s="5" t="str">
        <f>MID(F3203,FIND(".",F3203,6)+1,99)</f>
        <v>PreviewAtomType</v>
      </c>
      <c r="F3203" s="23" t="s">
        <v>6129</v>
      </c>
      <c r="G3203" s="5" t="s">
        <v>9678</v>
      </c>
      <c r="H3203" s="10" t="s">
        <v>6130</v>
      </c>
      <c r="I3203" s="7" t="s">
        <v>6566</v>
      </c>
      <c r="J3203" s="8" t="s">
        <v>6896</v>
      </c>
      <c r="K3203" s="26"/>
      <c r="N3203" s="6"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c>
      <c r="O3203" s="6" t="s">
        <v>8574</v>
      </c>
      <c r="P3203" s="6" t="s">
        <v>8574</v>
      </c>
      <c r="Q3203" s="6" t="s">
        <v>9375</v>
      </c>
    </row>
    <row r="3204" spans="1:17" ht="30" x14ac:dyDescent="0.25">
      <c r="A3204" s="5" t="str">
        <f>IF(TRIM(I3204)="","",E3204)</f>
        <v>PreviewDate</v>
      </c>
      <c r="B3204" s="5" t="str">
        <f>IF(TRIM(J3204)="","",H3204)</f>
        <v>The date of the movie preview in local time converted from UTC</v>
      </c>
      <c r="C3204" s="5" t="str">
        <f>LEFT(F3204,FIND(".",F3204,6))</f>
        <v>Xmp.video.</v>
      </c>
      <c r="D3204" s="5" t="str">
        <f>VLOOKUP(C3204,PrefixUebersetzung,2,FALSE)</f>
        <v>Xmp.video.</v>
      </c>
      <c r="E3204" s="5" t="str">
        <f>MID(F3204,FIND(".",F3204,6)+1,99)</f>
        <v>PreviewDate</v>
      </c>
      <c r="F3204" s="23" t="s">
        <v>6131</v>
      </c>
      <c r="G3204" s="5" t="s">
        <v>9678</v>
      </c>
      <c r="H3204" s="10" t="s">
        <v>6132</v>
      </c>
      <c r="I3204" s="7" t="s">
        <v>6567</v>
      </c>
      <c r="J3204" s="8" t="s">
        <v>6898</v>
      </c>
      <c r="K3204" s="26"/>
      <c r="N3204" s="6"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c>
      <c r="O3204" s="6" t="s">
        <v>8574</v>
      </c>
      <c r="P3204" s="6" t="s">
        <v>8574</v>
      </c>
    </row>
    <row r="3205" spans="1:17" ht="30" x14ac:dyDescent="0.25">
      <c r="A3205" s="5" t="str">
        <f>IF(TRIM(I3205)="","",E3205)</f>
        <v>PreviewDuration</v>
      </c>
      <c r="B3205" s="5" t="str">
        <f>IF(TRIM(J3205)="","",H3205)</f>
        <v>The duration of the movie preview in movie time scale units</v>
      </c>
      <c r="C3205" s="5" t="str">
        <f>LEFT(F3205,FIND(".",F3205,6))</f>
        <v>Xmp.video.</v>
      </c>
      <c r="D3205" s="5" t="str">
        <f>VLOOKUP(C3205,PrefixUebersetzung,2,FALSE)</f>
        <v>Xmp.video.</v>
      </c>
      <c r="E3205" s="5" t="str">
        <f>MID(F3205,FIND(".",F3205,6)+1,99)</f>
        <v>PreviewDuration</v>
      </c>
      <c r="F3205" s="23" t="s">
        <v>6133</v>
      </c>
      <c r="G3205" s="5" t="s">
        <v>9678</v>
      </c>
      <c r="H3205" s="10" t="s">
        <v>6134</v>
      </c>
      <c r="I3205" s="7" t="s">
        <v>6568</v>
      </c>
      <c r="J3205" s="8" t="s">
        <v>6401</v>
      </c>
      <c r="K3205" s="26"/>
      <c r="N3205" s="6"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c>
      <c r="O3205" s="6" t="s">
        <v>8574</v>
      </c>
      <c r="P3205" s="6" t="s">
        <v>8574</v>
      </c>
      <c r="Q3205" s="6" t="s">
        <v>9530</v>
      </c>
    </row>
    <row r="3206" spans="1:17" ht="30" x14ac:dyDescent="0.25">
      <c r="A3206" s="5" t="str">
        <f>IF(TRIM(I3206)="","",E3206)</f>
        <v>PreviewTime</v>
      </c>
      <c r="B3206" s="5" t="str">
        <f>IF(TRIM(J3206)="","",H3206)</f>
        <v>The time value in the movie at which the preview begins.</v>
      </c>
      <c r="C3206" s="5" t="str">
        <f>LEFT(F3206,FIND(".",F3206,6))</f>
        <v>Xmp.video.</v>
      </c>
      <c r="D3206" s="5" t="str">
        <f>VLOOKUP(C3206,PrefixUebersetzung,2,FALSE)</f>
        <v>Xmp.video.</v>
      </c>
      <c r="E3206" s="5" t="str">
        <f>MID(F3206,FIND(".",F3206,6)+1,99)</f>
        <v>PreviewTime</v>
      </c>
      <c r="F3206" s="23" t="s">
        <v>6135</v>
      </c>
      <c r="G3206" s="5" t="s">
        <v>9678</v>
      </c>
      <c r="H3206" s="10" t="s">
        <v>6136</v>
      </c>
      <c r="I3206" s="7" t="s">
        <v>6569</v>
      </c>
      <c r="J3206" s="8" t="s">
        <v>6402</v>
      </c>
      <c r="K3206" s="26"/>
      <c r="N3206" s="6"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c>
      <c r="O3206" s="6" t="s">
        <v>8574</v>
      </c>
      <c r="P3206" s="6" t="s">
        <v>8574</v>
      </c>
    </row>
    <row r="3207" spans="1:17" x14ac:dyDescent="0.25">
      <c r="A3207" s="5" t="str">
        <f>IF(TRIM(I3207)="","",E3207)</f>
        <v/>
      </c>
      <c r="B3207" s="5" t="str">
        <f>IF(TRIM(J3207)="","",H3207)</f>
        <v xml:space="preserve">The version of the movie preview </v>
      </c>
      <c r="C3207" s="5" t="str">
        <f>LEFT(F3207,FIND(".",F3207,6))</f>
        <v>Xmp.video.</v>
      </c>
      <c r="D3207" s="5" t="str">
        <f>VLOOKUP(C3207,PrefixUebersetzung,2,FALSE)</f>
        <v>Xmp.video.</v>
      </c>
      <c r="E3207" s="5" t="str">
        <f>MID(F3207,FIND(".",F3207,6)+1,99)</f>
        <v>PreviewVersion</v>
      </c>
      <c r="F3207" s="23" t="s">
        <v>6137</v>
      </c>
      <c r="G3207" s="5" t="s">
        <v>9678</v>
      </c>
      <c r="H3207" s="10" t="s">
        <v>6138</v>
      </c>
      <c r="I3207" s="7"/>
      <c r="J3207" s="8" t="s">
        <v>6403</v>
      </c>
      <c r="K3207" s="26"/>
      <c r="L3207" s="6" t="str">
        <f>IFERROR(VLOOKUP(E3207,A:I,9, FALSE),"")</f>
        <v>Vorschau Version</v>
      </c>
      <c r="N3207" s="6"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c>
      <c r="P3207" s="6" t="s">
        <v>8574</v>
      </c>
      <c r="Q3207" s="6" t="s">
        <v>9530</v>
      </c>
    </row>
    <row r="3208" spans="1:17" ht="30" x14ac:dyDescent="0.25">
      <c r="A3208" s="5" t="str">
        <f>IF(TRIM(I3208)="","",E3208)</f>
        <v>ProducedBy</v>
      </c>
      <c r="B3208" s="5" t="str">
        <f>IF(TRIM(J3208)="","",H3208)</f>
        <v>Produced By, i.e. name of person or organization.</v>
      </c>
      <c r="C3208" s="5" t="str">
        <f>LEFT(F3208,FIND(".",F3208,6))</f>
        <v>Xmp.video.</v>
      </c>
      <c r="D3208" s="5" t="str">
        <f>VLOOKUP(C3208,PrefixUebersetzung,2,FALSE)</f>
        <v>Xmp.video.</v>
      </c>
      <c r="E3208" s="5" t="str">
        <f>MID(F3208,FIND(".",F3208,6)+1,99)</f>
        <v>ProducedBy</v>
      </c>
      <c r="F3208" s="23" t="s">
        <v>6139</v>
      </c>
      <c r="G3208" s="5" t="s">
        <v>9678</v>
      </c>
      <c r="H3208" s="10" t="s">
        <v>6140</v>
      </c>
      <c r="I3208" s="7" t="s">
        <v>6570</v>
      </c>
      <c r="J3208" s="8" t="s">
        <v>6899</v>
      </c>
      <c r="K3208" s="26"/>
      <c r="N3208" s="6"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c>
      <c r="O3208" s="6" t="s">
        <v>8574</v>
      </c>
      <c r="P3208" s="6" t="s">
        <v>8574</v>
      </c>
    </row>
    <row r="3209" spans="1:17" x14ac:dyDescent="0.25">
      <c r="A3209" s="5" t="str">
        <f>IF(TRIM(I3209)="","",E3209)</f>
        <v/>
      </c>
      <c r="B3209" s="5" t="str">
        <f>IF(TRIM(J3209)="","",H3209)</f>
        <v>Producer involved with the video.</v>
      </c>
      <c r="C3209" s="5" t="str">
        <f>LEFT(F3209,FIND(".",F3209,6))</f>
        <v>Xmp.video.</v>
      </c>
      <c r="D3209" s="5" t="str">
        <f>VLOOKUP(C3209,PrefixUebersetzung,2,FALSE)</f>
        <v>Xmp.video.</v>
      </c>
      <c r="E3209" s="5" t="str">
        <f>MID(F3209,FIND(".",F3209,6)+1,99)</f>
        <v>Producer</v>
      </c>
      <c r="F3209" s="23" t="s">
        <v>6141</v>
      </c>
      <c r="G3209" s="5" t="s">
        <v>9678</v>
      </c>
      <c r="H3209" s="10" t="s">
        <v>6142</v>
      </c>
      <c r="I3209" s="7"/>
      <c r="J3209" s="8" t="s">
        <v>6929</v>
      </c>
      <c r="K3209" s="26"/>
      <c r="L3209" s="6" t="str">
        <f>IFERROR(VLOOKUP(E3209,A:I,9, FALSE),"")</f>
        <v>Produzent</v>
      </c>
      <c r="N3209" s="6"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c>
      <c r="P3209" s="6" t="s">
        <v>8574</v>
      </c>
    </row>
    <row r="3210" spans="1:17" x14ac:dyDescent="0.25">
      <c r="A3210" s="5" t="str">
        <f>IF(TRIM(I3210)="","",E3210)</f>
        <v>ProducerKeywords</v>
      </c>
      <c r="B3210" s="5" t="str">
        <f>IF(TRIM(J3210)="","",H3210)</f>
        <v>Information about the Producer Keywords.</v>
      </c>
      <c r="C3210" s="5" t="str">
        <f>LEFT(F3210,FIND(".",F3210,6))</f>
        <v>Xmp.video.</v>
      </c>
      <c r="D3210" s="5" t="str">
        <f>VLOOKUP(C3210,PrefixUebersetzung,2,FALSE)</f>
        <v>Xmp.video.</v>
      </c>
      <c r="E3210" s="5" t="str">
        <f>MID(F3210,FIND(".",F3210,6)+1,99)</f>
        <v>ProducerKeywords</v>
      </c>
      <c r="F3210" s="23" t="s">
        <v>6143</v>
      </c>
      <c r="G3210" s="5" t="s">
        <v>9678</v>
      </c>
      <c r="H3210" s="10" t="s">
        <v>6144</v>
      </c>
      <c r="I3210" s="7" t="s">
        <v>6571</v>
      </c>
      <c r="J3210" s="8" t="s">
        <v>6900</v>
      </c>
      <c r="K3210" s="26"/>
      <c r="N3210" s="6"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c>
      <c r="O3210" s="6" t="s">
        <v>8574</v>
      </c>
      <c r="P3210" s="6" t="s">
        <v>8574</v>
      </c>
    </row>
    <row r="3211" spans="1:17" x14ac:dyDescent="0.25">
      <c r="A3211" s="5" t="str">
        <f>IF(TRIM(I3211)="","",E3211)</f>
        <v>Product</v>
      </c>
      <c r="B3211" s="5" t="str">
        <f>IF(TRIM(J3211)="","",H3211)</f>
        <v>Product.</v>
      </c>
      <c r="C3211" s="5" t="str">
        <f>LEFT(F3211,FIND(".",F3211,6))</f>
        <v>Xmp.video.</v>
      </c>
      <c r="D3211" s="5" t="str">
        <f>VLOOKUP(C3211,PrefixUebersetzung,2,FALSE)</f>
        <v>Xmp.video.</v>
      </c>
      <c r="E3211" s="5" t="str">
        <f>MID(F3211,FIND(".",F3211,6)+1,99)</f>
        <v>Product</v>
      </c>
      <c r="F3211" s="23" t="s">
        <v>6145</v>
      </c>
      <c r="G3211" s="5" t="s">
        <v>9678</v>
      </c>
      <c r="H3211" s="10" t="s">
        <v>6146</v>
      </c>
      <c r="I3211" s="7" t="s">
        <v>6572</v>
      </c>
      <c r="J3211" s="8" t="s">
        <v>6404</v>
      </c>
      <c r="K3211" s="26"/>
      <c r="N3211" s="6"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c>
      <c r="O3211" s="6" t="s">
        <v>8574</v>
      </c>
      <c r="P3211" s="6" t="s">
        <v>8574</v>
      </c>
      <c r="Q3211" s="6" t="s">
        <v>9457</v>
      </c>
    </row>
    <row r="3212" spans="1:17" x14ac:dyDescent="0.25">
      <c r="A3212" s="5" t="str">
        <f>IF(TRIM(I3212)="","",E3212)</f>
        <v>ProductionApertureHeight</v>
      </c>
      <c r="B3212" s="5" t="str">
        <f>IF(TRIM(J3212)="","",H3212)</f>
        <v>Production aperture height in pixels</v>
      </c>
      <c r="C3212" s="5" t="str">
        <f>LEFT(F3212,FIND(".",F3212,6))</f>
        <v>Xmp.video.</v>
      </c>
      <c r="D3212" s="5" t="str">
        <f>VLOOKUP(C3212,PrefixUebersetzung,2,FALSE)</f>
        <v>Xmp.video.</v>
      </c>
      <c r="E3212" s="5" t="str">
        <f>MID(F3212,FIND(".",F3212,6)+1,99)</f>
        <v>ProductionApertureHeight</v>
      </c>
      <c r="F3212" s="23" t="s">
        <v>6147</v>
      </c>
      <c r="G3212" s="5" t="s">
        <v>9678</v>
      </c>
      <c r="H3212" s="10" t="s">
        <v>6148</v>
      </c>
      <c r="I3212" s="7" t="s">
        <v>6573</v>
      </c>
      <c r="J3212" s="8" t="s">
        <v>6901</v>
      </c>
      <c r="K3212" s="26"/>
      <c r="N3212" s="6"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c>
      <c r="O3212" s="6" t="s">
        <v>8574</v>
      </c>
      <c r="P3212" s="6" t="s">
        <v>8574</v>
      </c>
    </row>
    <row r="3213" spans="1:17" x14ac:dyDescent="0.25">
      <c r="A3213" s="5" t="str">
        <f>IF(TRIM(I3213)="","",E3213)</f>
        <v>ProductionApertureWidth</v>
      </c>
      <c r="B3213" s="5" t="str">
        <f>IF(TRIM(J3213)="","",H3213)</f>
        <v>Production aperture width in pixels</v>
      </c>
      <c r="C3213" s="5" t="str">
        <f>LEFT(F3213,FIND(".",F3213,6))</f>
        <v>Xmp.video.</v>
      </c>
      <c r="D3213" s="5" t="str">
        <f>VLOOKUP(C3213,PrefixUebersetzung,2,FALSE)</f>
        <v>Xmp.video.</v>
      </c>
      <c r="E3213" s="5" t="str">
        <f>MID(F3213,FIND(".",F3213,6)+1,99)</f>
        <v>ProductionApertureWidth</v>
      </c>
      <c r="F3213" s="23" t="s">
        <v>6149</v>
      </c>
      <c r="G3213" s="5" t="s">
        <v>9678</v>
      </c>
      <c r="H3213" s="10" t="s">
        <v>6150</v>
      </c>
      <c r="I3213" s="7" t="s">
        <v>6574</v>
      </c>
      <c r="J3213" s="8" t="s">
        <v>6901</v>
      </c>
      <c r="K3213" s="26"/>
      <c r="N3213" s="6"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c>
      <c r="O3213" s="6" t="s">
        <v>8574</v>
      </c>
      <c r="P3213" s="6" t="s">
        <v>8574</v>
      </c>
    </row>
    <row r="3214" spans="1:17" x14ac:dyDescent="0.25">
      <c r="A3214" s="5" t="str">
        <f>IF(TRIM(I3214)="","",E3214)</f>
        <v>ProductionDesigner</v>
      </c>
      <c r="B3214" s="5" t="str">
        <f>IF(TRIM(J3214)="","",H3214)</f>
        <v>Information about the Production Designer.</v>
      </c>
      <c r="C3214" s="5" t="str">
        <f>LEFT(F3214,FIND(".",F3214,6))</f>
        <v>Xmp.video.</v>
      </c>
      <c r="D3214" s="5" t="str">
        <f>VLOOKUP(C3214,PrefixUebersetzung,2,FALSE)</f>
        <v>Xmp.video.</v>
      </c>
      <c r="E3214" s="5" t="str">
        <f>MID(F3214,FIND(".",F3214,6)+1,99)</f>
        <v>ProductionDesigner</v>
      </c>
      <c r="F3214" s="23" t="s">
        <v>6151</v>
      </c>
      <c r="G3214" s="5" t="s">
        <v>9678</v>
      </c>
      <c r="H3214" s="10" t="s">
        <v>6152</v>
      </c>
      <c r="I3214" s="7" t="s">
        <v>6575</v>
      </c>
      <c r="J3214" s="8" t="s">
        <v>6405</v>
      </c>
      <c r="K3214" s="26"/>
      <c r="N3214" s="6"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c>
      <c r="O3214" s="6" t="s">
        <v>8574</v>
      </c>
      <c r="P3214" s="6" t="s">
        <v>8574</v>
      </c>
    </row>
    <row r="3215" spans="1:17" x14ac:dyDescent="0.25">
      <c r="A3215" s="5" t="str">
        <f>IF(TRIM(I3215)="","",E3215)</f>
        <v>ProductionStudio</v>
      </c>
      <c r="B3215" s="5" t="str">
        <f>IF(TRIM(J3215)="","",H3215)</f>
        <v>Information about the Production Studio.</v>
      </c>
      <c r="C3215" s="5" t="str">
        <f>LEFT(F3215,FIND(".",F3215,6))</f>
        <v>Xmp.video.</v>
      </c>
      <c r="D3215" s="5" t="str">
        <f>VLOOKUP(C3215,PrefixUebersetzung,2,FALSE)</f>
        <v>Xmp.video.</v>
      </c>
      <c r="E3215" s="5" t="str">
        <f>MID(F3215,FIND(".",F3215,6)+1,99)</f>
        <v>ProductionStudio</v>
      </c>
      <c r="F3215" s="23" t="s">
        <v>6153</v>
      </c>
      <c r="G3215" s="5" t="s">
        <v>9678</v>
      </c>
      <c r="H3215" s="10" t="s">
        <v>6154</v>
      </c>
      <c r="I3215" s="7" t="s">
        <v>6576</v>
      </c>
      <c r="J3215" s="8" t="s">
        <v>6902</v>
      </c>
      <c r="K3215" s="26"/>
      <c r="N3215" s="6"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c>
      <c r="O3215" s="6" t="s">
        <v>8574</v>
      </c>
      <c r="P3215" s="6" t="s">
        <v>8574</v>
      </c>
    </row>
    <row r="3216" spans="1:17" ht="30" x14ac:dyDescent="0.25">
      <c r="A3216" s="5" t="str">
        <f>IF(TRIM(I3216)="","",E3216)</f>
        <v>ProjectRef</v>
      </c>
      <c r="B3216" s="5" t="str">
        <f>IF(TRIM(J3216)="","",H3216)</f>
        <v>A reference to the project that created this file.</v>
      </c>
      <c r="C3216" s="5" t="str">
        <f>LEFT(F3216,FIND(".",F3216,6))</f>
        <v>Xmp.video.</v>
      </c>
      <c r="D3216" s="5" t="str">
        <f>VLOOKUP(C3216,PrefixUebersetzung,2,FALSE)</f>
        <v>Xmp.video.</v>
      </c>
      <c r="E3216" s="5" t="str">
        <f>MID(F3216,FIND(".",F3216,6)+1,99)</f>
        <v>ProjectRef</v>
      </c>
      <c r="F3216" s="23" t="s">
        <v>6155</v>
      </c>
      <c r="G3216" s="5" t="s">
        <v>9678</v>
      </c>
      <c r="H3216" s="10" t="s">
        <v>3653</v>
      </c>
      <c r="I3216" s="7" t="s">
        <v>4628</v>
      </c>
      <c r="J3216" s="8" t="s">
        <v>5617</v>
      </c>
      <c r="K3216" s="26"/>
      <c r="L3216" s="6" t="str">
        <f>IFERROR(VLOOKUP(E3216,A:I,9, FALSE),"")</f>
        <v>Projekt-Referenz</v>
      </c>
      <c r="M3216" s="6" t="str">
        <f>IFERROR(VLOOKUP(H3216,B:J,9,FALSE),"")</f>
        <v>Ein Verweis auf das Projekt, das diese Datei erstellt hat.</v>
      </c>
      <c r="N3216" s="6"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c>
      <c r="O3216" s="6" t="s">
        <v>8574</v>
      </c>
      <c r="P3216" s="6" t="s">
        <v>8574</v>
      </c>
      <c r="Q3216" s="6" t="s">
        <v>9098</v>
      </c>
    </row>
    <row r="3217" spans="1:17" x14ac:dyDescent="0.25">
      <c r="A3217" s="5" t="str">
        <f>IF(TRIM(I3217)="","",E3217)</f>
        <v>Rate</v>
      </c>
      <c r="B3217" s="5" t="str">
        <f>IF(TRIM(J3217)="","",H3217)</f>
        <v>Rate.</v>
      </c>
      <c r="C3217" s="5" t="str">
        <f>LEFT(F3217,FIND(".",F3217,6))</f>
        <v>Xmp.video.</v>
      </c>
      <c r="D3217" s="5" t="str">
        <f>VLOOKUP(C3217,PrefixUebersetzung,2,FALSE)</f>
        <v>Xmp.video.</v>
      </c>
      <c r="E3217" s="5" t="str">
        <f>MID(F3217,FIND(".",F3217,6)+1,99)</f>
        <v>Rate</v>
      </c>
      <c r="F3217" s="23" t="s">
        <v>6156</v>
      </c>
      <c r="G3217" s="5" t="s">
        <v>9678</v>
      </c>
      <c r="H3217" s="10" t="s">
        <v>6157</v>
      </c>
      <c r="I3217" s="7" t="s">
        <v>6903</v>
      </c>
      <c r="J3217" s="14" t="s">
        <v>6903</v>
      </c>
      <c r="K3217" s="26"/>
      <c r="N3217" s="6"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c>
      <c r="O3217" s="6" t="s">
        <v>8574</v>
      </c>
      <c r="P3217" s="6" t="s">
        <v>8574</v>
      </c>
    </row>
    <row r="3218" spans="1:17" ht="30" x14ac:dyDescent="0.25">
      <c r="A3218" s="5" t="str">
        <f>IF(TRIM(I3218)="","",E3218)</f>
        <v>Rated</v>
      </c>
      <c r="B3218" s="5" t="str">
        <f>IF(TRIM(J3218)="","",H3218)</f>
        <v>The age circle required for viewing the video.</v>
      </c>
      <c r="C3218" s="5" t="str">
        <f>LEFT(F3218,FIND(".",F3218,6))</f>
        <v>Xmp.video.</v>
      </c>
      <c r="D3218" s="5" t="str">
        <f>VLOOKUP(C3218,PrefixUebersetzung,2,FALSE)</f>
        <v>Xmp.video.</v>
      </c>
      <c r="E3218" s="5" t="str">
        <f>MID(F3218,FIND(".",F3218,6)+1,99)</f>
        <v>Rated</v>
      </c>
      <c r="F3218" s="23" t="s">
        <v>6158</v>
      </c>
      <c r="G3218" s="5" t="s">
        <v>9678</v>
      </c>
      <c r="H3218" s="10" t="s">
        <v>6159</v>
      </c>
      <c r="I3218" s="7" t="s">
        <v>8956</v>
      </c>
      <c r="J3218" s="8" t="s">
        <v>6904</v>
      </c>
      <c r="K3218" s="26"/>
      <c r="N3218" s="6"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6" t="s">
        <v>8574</v>
      </c>
      <c r="P3218" s="6" t="s">
        <v>8574</v>
      </c>
    </row>
    <row r="3219" spans="1:17" ht="30" x14ac:dyDescent="0.25">
      <c r="A3219" s="5" t="str">
        <f>IF(TRIM(I3219)="","",E3219)</f>
        <v/>
      </c>
      <c r="B3219" s="5" t="str">
        <f>IF(TRIM(J3219)="","",H3219)</f>
        <v>Rating, eg. 7  or 8 (generally out of 10).</v>
      </c>
      <c r="C3219" s="5" t="str">
        <f>LEFT(F3219,FIND(".",F3219,6))</f>
        <v>Xmp.video.</v>
      </c>
      <c r="D3219" s="5" t="str">
        <f>VLOOKUP(C3219,PrefixUebersetzung,2,FALSE)</f>
        <v>Xmp.video.</v>
      </c>
      <c r="E3219" s="5" t="str">
        <f>MID(F3219,FIND(".",F3219,6)+1,99)</f>
        <v>Rating</v>
      </c>
      <c r="F3219" s="23" t="s">
        <v>6160</v>
      </c>
      <c r="G3219" s="5" t="s">
        <v>9678</v>
      </c>
      <c r="H3219" s="10" t="s">
        <v>6161</v>
      </c>
      <c r="I3219" s="7"/>
      <c r="J3219" s="8" t="s">
        <v>6905</v>
      </c>
      <c r="K3219" s="26"/>
      <c r="L3219" s="6" t="str">
        <f>IFERROR(VLOOKUP(E3219,A:I,9, FALSE),"")</f>
        <v>Bewertung</v>
      </c>
      <c r="N3219" s="6"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c>
      <c r="P3219" s="6" t="s">
        <v>8574</v>
      </c>
    </row>
    <row r="3220" spans="1:17" x14ac:dyDescent="0.25">
      <c r="A3220" s="5" t="str">
        <f>IF(TRIM(I3220)="","",E3220)</f>
        <v>RecordingCopyright</v>
      </c>
      <c r="B3220" s="5" t="str">
        <f>IF(TRIM(J3220)="","",H3220)</f>
        <v>Recording Copyright.</v>
      </c>
      <c r="C3220" s="5" t="str">
        <f>LEFT(F3220,FIND(".",F3220,6))</f>
        <v>Xmp.video.</v>
      </c>
      <c r="D3220" s="5" t="str">
        <f>VLOOKUP(C3220,PrefixUebersetzung,2,FALSE)</f>
        <v>Xmp.video.</v>
      </c>
      <c r="E3220" s="5" t="str">
        <f>MID(F3220,FIND(".",F3220,6)+1,99)</f>
        <v>RecordingCopyright</v>
      </c>
      <c r="F3220" s="23" t="s">
        <v>6162</v>
      </c>
      <c r="G3220" s="5" t="s">
        <v>9678</v>
      </c>
      <c r="H3220" s="10" t="s">
        <v>6163</v>
      </c>
      <c r="I3220" s="7" t="s">
        <v>6577</v>
      </c>
      <c r="J3220" s="14" t="s">
        <v>6577</v>
      </c>
      <c r="K3220" s="26"/>
      <c r="N3220" s="6"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c>
      <c r="O3220" s="6" t="s">
        <v>8574</v>
      </c>
      <c r="P3220" s="6" t="s">
        <v>8574</v>
      </c>
      <c r="Q3220" s="6" t="s">
        <v>4849</v>
      </c>
    </row>
    <row r="3221" spans="1:17" ht="30" x14ac:dyDescent="0.25">
      <c r="A3221" s="5" t="str">
        <f>IF(TRIM(I3221)="","",E3221)</f>
        <v>RecordLabelName</v>
      </c>
      <c r="B3221" s="5" t="str">
        <f>IF(TRIM(J3221)="","",H3221)</f>
        <v>Record Label Name, or the name of the organization recording the video.</v>
      </c>
      <c r="C3221" s="5" t="str">
        <f>LEFT(F3221,FIND(".",F3221,6))</f>
        <v>Xmp.video.</v>
      </c>
      <c r="D3221" s="5" t="str">
        <f>VLOOKUP(C3221,PrefixUebersetzung,2,FALSE)</f>
        <v>Xmp.video.</v>
      </c>
      <c r="E3221" s="5" t="str">
        <f>MID(F3221,FIND(".",F3221,6)+1,99)</f>
        <v>RecordLabelName</v>
      </c>
      <c r="F3221" s="23" t="s">
        <v>6164</v>
      </c>
      <c r="G3221" s="5" t="s">
        <v>9678</v>
      </c>
      <c r="H3221" s="10" t="s">
        <v>6165</v>
      </c>
      <c r="I3221" s="7" t="s">
        <v>8972</v>
      </c>
      <c r="J3221" s="8" t="s">
        <v>6906</v>
      </c>
      <c r="K3221" s="26"/>
      <c r="N3221" s="6"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c>
      <c r="O3221" s="6" t="s">
        <v>8574</v>
      </c>
      <c r="P3221" s="6" t="s">
        <v>8574</v>
      </c>
    </row>
    <row r="3222" spans="1:17" x14ac:dyDescent="0.25">
      <c r="A3222" s="5" t="str">
        <f>IF(TRIM(I3222)="","",E3222)</f>
        <v>RecordLabelURL</v>
      </c>
      <c r="B3222" s="5" t="str">
        <f>IF(TRIM(J3222)="","",H3222)</f>
        <v>Record Label URL.</v>
      </c>
      <c r="C3222" s="5" t="str">
        <f>LEFT(F3222,FIND(".",F3222,6))</f>
        <v>Xmp.video.</v>
      </c>
      <c r="D3222" s="5" t="str">
        <f>VLOOKUP(C3222,PrefixUebersetzung,2,FALSE)</f>
        <v>Xmp.video.</v>
      </c>
      <c r="E3222" s="5" t="str">
        <f>MID(F3222,FIND(".",F3222,6)+1,99)</f>
        <v>RecordLabelURL</v>
      </c>
      <c r="F3222" s="23" t="s">
        <v>6166</v>
      </c>
      <c r="G3222" s="5" t="s">
        <v>9678</v>
      </c>
      <c r="H3222" s="10" t="s">
        <v>6167</v>
      </c>
      <c r="I3222" s="7" t="s">
        <v>6578</v>
      </c>
      <c r="J3222" s="8" t="s">
        <v>6167</v>
      </c>
      <c r="K3222" s="26"/>
      <c r="N3222" s="6"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c>
      <c r="O3222" s="6" t="s">
        <v>8574</v>
      </c>
      <c r="P3222" s="6" t="s">
        <v>8574</v>
      </c>
    </row>
    <row r="3223" spans="1:17" x14ac:dyDescent="0.25">
      <c r="A3223" s="5" t="str">
        <f>IF(TRIM(I3223)="","",E3223)</f>
        <v>Requirements</v>
      </c>
      <c r="B3223" s="5" t="str">
        <f>IF(TRIM(J3223)="","",H3223)</f>
        <v>Information about the Requirements.</v>
      </c>
      <c r="C3223" s="5" t="str">
        <f>LEFT(F3223,FIND(".",F3223,6))</f>
        <v>Xmp.video.</v>
      </c>
      <c r="D3223" s="5" t="str">
        <f>VLOOKUP(C3223,PrefixUebersetzung,2,FALSE)</f>
        <v>Xmp.video.</v>
      </c>
      <c r="E3223" s="5" t="str">
        <f>MID(F3223,FIND(".",F3223,6)+1,99)</f>
        <v>Requirements</v>
      </c>
      <c r="F3223" s="23" t="s">
        <v>6168</v>
      </c>
      <c r="G3223" s="5" t="s">
        <v>9678</v>
      </c>
      <c r="H3223" s="10" t="s">
        <v>6169</v>
      </c>
      <c r="I3223" s="7" t="s">
        <v>6579</v>
      </c>
      <c r="J3223" s="8" t="s">
        <v>6406</v>
      </c>
      <c r="K3223" s="26"/>
      <c r="N3223" s="6"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c>
      <c r="O3223" s="6" t="s">
        <v>8574</v>
      </c>
      <c r="P3223" s="6" t="s">
        <v>8574</v>
      </c>
    </row>
    <row r="3224" spans="1:17" ht="30" x14ac:dyDescent="0.25">
      <c r="A3224" s="5" t="str">
        <f>IF(TRIM(I3224)="","",E3224)</f>
        <v/>
      </c>
      <c r="B3224" s="5" t="str">
        <f>IF(TRIM(J3224)="","",H3224)</f>
        <v>Unit used for XResolution and YResolution. Value is one of: 2 = inches; 3 = centimeters.</v>
      </c>
      <c r="C3224" s="5" t="str">
        <f>LEFT(F3224,FIND(".",F3224,6))</f>
        <v>Xmp.video.</v>
      </c>
      <c r="D3224" s="5" t="str">
        <f>VLOOKUP(C3224,PrefixUebersetzung,2,FALSE)</f>
        <v>Xmp.video.</v>
      </c>
      <c r="E3224" s="5" t="str">
        <f>MID(F3224,FIND(".",F3224,6)+1,99)</f>
        <v>ResolutionUnit</v>
      </c>
      <c r="F3224" s="23" t="s">
        <v>6170</v>
      </c>
      <c r="G3224" s="5" t="s">
        <v>9678</v>
      </c>
      <c r="H3224" s="10" t="s">
        <v>6171</v>
      </c>
      <c r="I3224" s="7"/>
      <c r="J3224" s="8" t="s">
        <v>6907</v>
      </c>
      <c r="K3224" s="26"/>
      <c r="L3224" s="6" t="str">
        <f>IFERROR(VLOOKUP(E3224,A:I,9, FALSE),"")</f>
        <v>Auflösung Einheit</v>
      </c>
      <c r="N3224" s="6"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c>
      <c r="P3224" s="6" t="s">
        <v>8574</v>
      </c>
    </row>
    <row r="3225" spans="1:17" ht="30" x14ac:dyDescent="0.25">
      <c r="A3225" s="5" t="str">
        <f>IF(TRIM(I3225)="","",E3225)</f>
        <v>RippedBy</v>
      </c>
      <c r="B3225" s="5" t="str">
        <f>IF(TRIM(J3225)="","",H3225)</f>
        <v>Ripped By, i.e. name of person or organization.</v>
      </c>
      <c r="C3225" s="5" t="str">
        <f>LEFT(F3225,FIND(".",F3225,6))</f>
        <v>Xmp.video.</v>
      </c>
      <c r="D3225" s="5" t="str">
        <f>VLOOKUP(C3225,PrefixUebersetzung,2,FALSE)</f>
        <v>Xmp.video.</v>
      </c>
      <c r="E3225" s="5" t="str">
        <f>MID(F3225,FIND(".",F3225,6)+1,99)</f>
        <v>RippedBy</v>
      </c>
      <c r="F3225" s="23" t="s">
        <v>6172</v>
      </c>
      <c r="G3225" s="5" t="s">
        <v>9678</v>
      </c>
      <c r="H3225" s="10" t="s">
        <v>6173</v>
      </c>
      <c r="I3225" s="7" t="s">
        <v>8957</v>
      </c>
      <c r="J3225" s="8" t="s">
        <v>6908</v>
      </c>
      <c r="K3225" s="26"/>
      <c r="N3225" s="6"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6" t="s">
        <v>8574</v>
      </c>
      <c r="P3225" s="6" t="s">
        <v>8574</v>
      </c>
    </row>
    <row r="3226" spans="1:17" ht="30" x14ac:dyDescent="0.25">
      <c r="A3226" s="5" t="str">
        <f>IF(TRIM(I3226)="","",E3226)</f>
        <v/>
      </c>
      <c r="B3226" s="5" t="str">
        <f>IF(TRIM(J3226)="","",H3226)</f>
        <v>Indicates the direction of saturation processing applied by the camera.</v>
      </c>
      <c r="C3226" s="5" t="str">
        <f>LEFT(F3226,FIND(".",F3226,6))</f>
        <v>Xmp.video.</v>
      </c>
      <c r="D3226" s="5" t="str">
        <f>VLOOKUP(C3226,PrefixUebersetzung,2,FALSE)</f>
        <v>Xmp.video.</v>
      </c>
      <c r="E3226" s="5" t="str">
        <f>MID(F3226,FIND(".",F3226,6)+1,99)</f>
        <v>Saturation</v>
      </c>
      <c r="F3226" s="23" t="s">
        <v>6174</v>
      </c>
      <c r="G3226" s="5" t="s">
        <v>9678</v>
      </c>
      <c r="H3226" s="10" t="s">
        <v>6175</v>
      </c>
      <c r="I3226" s="7"/>
      <c r="J3226" s="8" t="s">
        <v>6909</v>
      </c>
      <c r="K3226" s="26"/>
      <c r="L3226" s="6" t="str">
        <f>IFERROR(VLOOKUP(E3226,A:I,9, FALSE),"")</f>
        <v>Sättigung</v>
      </c>
      <c r="N3226" s="6"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c>
      <c r="P3226" s="6" t="s">
        <v>8574</v>
      </c>
    </row>
    <row r="3227" spans="1:17" x14ac:dyDescent="0.25">
      <c r="A3227" s="5" t="str">
        <f>IF(TRIM(I3227)="","",E3227)</f>
        <v>SecondaryGenre</v>
      </c>
      <c r="B3227" s="5" t="str">
        <f>IF(TRIM(J3227)="","",H3227)</f>
        <v>The name of the secondary genre..</v>
      </c>
      <c r="C3227" s="5" t="str">
        <f>LEFT(F3227,FIND(".",F3227,6))</f>
        <v>Xmp.video.</v>
      </c>
      <c r="D3227" s="5" t="str">
        <f>VLOOKUP(C3227,PrefixUebersetzung,2,FALSE)</f>
        <v>Xmp.video.</v>
      </c>
      <c r="E3227" s="5" t="str">
        <f>MID(F3227,FIND(".",F3227,6)+1,99)</f>
        <v>SecondaryGenre</v>
      </c>
      <c r="F3227" s="23" t="s">
        <v>6176</v>
      </c>
      <c r="G3227" s="5" t="s">
        <v>9678</v>
      </c>
      <c r="H3227" s="10" t="s">
        <v>6177</v>
      </c>
      <c r="I3227" s="7" t="s">
        <v>6580</v>
      </c>
      <c r="J3227" s="8" t="s">
        <v>6407</v>
      </c>
      <c r="K3227" s="26"/>
      <c r="N3227" s="6"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c>
      <c r="O3227" s="6" t="s">
        <v>8574</v>
      </c>
      <c r="P3227" s="6" t="s">
        <v>8574</v>
      </c>
      <c r="Q3227" s="6" t="s">
        <v>4175</v>
      </c>
    </row>
    <row r="3228" spans="1:17" ht="30" x14ac:dyDescent="0.25">
      <c r="A3228" s="5" t="str">
        <f>IF(TRIM(I3228)="","",E3228)</f>
        <v>SelectionDuration</v>
      </c>
      <c r="B3228" s="5" t="str">
        <f>IF(TRIM(J3228)="","",H3228)</f>
        <v>The duration of the current selection in movie time scale units.</v>
      </c>
      <c r="C3228" s="5" t="str">
        <f>LEFT(F3228,FIND(".",F3228,6))</f>
        <v>Xmp.video.</v>
      </c>
      <c r="D3228" s="5" t="str">
        <f>VLOOKUP(C3228,PrefixUebersetzung,2,FALSE)</f>
        <v>Xmp.video.</v>
      </c>
      <c r="E3228" s="5" t="str">
        <f>MID(F3228,FIND(".",F3228,6)+1,99)</f>
        <v>SelectionDuration</v>
      </c>
      <c r="F3228" s="23" t="s">
        <v>6178</v>
      </c>
      <c r="G3228" s="5" t="s">
        <v>9678</v>
      </c>
      <c r="H3228" s="10" t="s">
        <v>6179</v>
      </c>
      <c r="I3228" s="7" t="s">
        <v>6581</v>
      </c>
      <c r="J3228" s="8" t="s">
        <v>6408</v>
      </c>
      <c r="K3228" s="26"/>
      <c r="N3228" s="6"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c>
      <c r="O3228" s="6" t="s">
        <v>8574</v>
      </c>
      <c r="P3228" s="6" t="s">
        <v>8574</v>
      </c>
    </row>
    <row r="3229" spans="1:17" ht="30" x14ac:dyDescent="0.25">
      <c r="A3229" s="5" t="str">
        <f>IF(TRIM(I3229)="","",E3229)</f>
        <v>SelectionTime</v>
      </c>
      <c r="B3229" s="5" t="str">
        <f>IF(TRIM(J3229)="","",H3229)</f>
        <v>The time value for the start time of the current selection.</v>
      </c>
      <c r="C3229" s="5" t="str">
        <f>LEFT(F3229,FIND(".",F3229,6))</f>
        <v>Xmp.video.</v>
      </c>
      <c r="D3229" s="5" t="str">
        <f>VLOOKUP(C3229,PrefixUebersetzung,2,FALSE)</f>
        <v>Xmp.video.</v>
      </c>
      <c r="E3229" s="5" t="str">
        <f>MID(F3229,FIND(".",F3229,6)+1,99)</f>
        <v>SelectionTime</v>
      </c>
      <c r="F3229" s="23" t="s">
        <v>6180</v>
      </c>
      <c r="G3229" s="5" t="s">
        <v>9678</v>
      </c>
      <c r="H3229" s="10" t="s">
        <v>6181</v>
      </c>
      <c r="I3229" s="7" t="s">
        <v>6582</v>
      </c>
      <c r="J3229" s="8" t="s">
        <v>6409</v>
      </c>
      <c r="K3229" s="26"/>
      <c r="N3229" s="6"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c>
      <c r="O3229" s="6" t="s">
        <v>8574</v>
      </c>
      <c r="P3229" s="6" t="s">
        <v>8574</v>
      </c>
    </row>
    <row r="3230" spans="1:17" ht="60" x14ac:dyDescent="0.25">
      <c r="A3230" s="5" t="str">
        <f>IF(TRIM(I3230)="","",E3230)</f>
        <v>SendDuration</v>
      </c>
      <c r="B3230" s="5" t="str">
        <f>IF(TRIM(J3230)="","",H3230)</f>
        <v>Specifies the time needed to send the file in 100-nanosecond units. This value should include the duration of the last packet in the content.</v>
      </c>
      <c r="C3230" s="5" t="str">
        <f>LEFT(F3230,FIND(".",F3230,6))</f>
        <v>Xmp.video.</v>
      </c>
      <c r="D3230" s="5" t="str">
        <f>VLOOKUP(C3230,PrefixUebersetzung,2,FALSE)</f>
        <v>Xmp.video.</v>
      </c>
      <c r="E3230" s="5" t="str">
        <f>MID(F3230,FIND(".",F3230,6)+1,99)</f>
        <v>SendDuration</v>
      </c>
      <c r="F3230" s="23" t="s">
        <v>6182</v>
      </c>
      <c r="G3230" s="5" t="s">
        <v>9678</v>
      </c>
      <c r="H3230" s="10" t="s">
        <v>6183</v>
      </c>
      <c r="I3230" s="7" t="s">
        <v>6583</v>
      </c>
      <c r="J3230" s="8" t="s">
        <v>6910</v>
      </c>
      <c r="K3230" s="26"/>
      <c r="N3230" s="6"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c>
      <c r="O3230" s="6" t="s">
        <v>8574</v>
      </c>
      <c r="P3230" s="6" t="s">
        <v>8574</v>
      </c>
    </row>
    <row r="3231" spans="1:17" ht="30" x14ac:dyDescent="0.25">
      <c r="A3231" s="5" t="str">
        <f>IF(TRIM(I3231)="","",E3231)</f>
        <v/>
      </c>
      <c r="B3231" s="5" t="str">
        <f>IF(TRIM(J3231)="","",H3231)</f>
        <v/>
      </c>
      <c r="C3231" s="5" t="str">
        <f>LEFT(F3231,FIND(".",F3231,6))</f>
        <v>Xmp.video.</v>
      </c>
      <c r="D3231" s="5" t="str">
        <f>VLOOKUP(C3231,PrefixUebersetzung,2,FALSE)</f>
        <v>Xmp.video.</v>
      </c>
      <c r="E3231" s="5" t="str">
        <f>MID(F3231,FIND(".",F3231,6)+1,99)</f>
        <v>Sharpness</v>
      </c>
      <c r="F3231" s="23" t="s">
        <v>6184</v>
      </c>
      <c r="G3231" s="5" t="s">
        <v>9678</v>
      </c>
      <c r="H3231" s="10" t="s">
        <v>9687</v>
      </c>
      <c r="I3231" s="7"/>
      <c r="J3231" s="8"/>
      <c r="K3231" s="26"/>
      <c r="L3231" s="6" t="str">
        <f>IFERROR(VLOOKUP(E3231,A:I,9, FALSE),"")</f>
        <v>Schärfe</v>
      </c>
      <c r="M3231" s="6" t="str">
        <f>IFERROR(VLOOKUP(H3231,B:J,9,FALSE),"")</f>
        <v>Einstellung für die Schärfe. Bereich 0 bis 100.</v>
      </c>
      <c r="N3231" s="6"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c>
    </row>
    <row r="3232" spans="1:17" x14ac:dyDescent="0.25">
      <c r="A3232" s="5" t="str">
        <f>IF(TRIM(I3232)="","",E3232)</f>
        <v/>
      </c>
      <c r="B3232" s="5" t="str">
        <f>IF(TRIM(J3232)="","",H3232)</f>
        <v>Software used to generate / create Video data.</v>
      </c>
      <c r="C3232" s="5" t="str">
        <f>LEFT(F3232,FIND(".",F3232,6))</f>
        <v>Xmp.video.</v>
      </c>
      <c r="D3232" s="5" t="str">
        <f>VLOOKUP(C3232,PrefixUebersetzung,2,FALSE)</f>
        <v>Xmp.video.</v>
      </c>
      <c r="E3232" s="5" t="str">
        <f>MID(F3232,FIND(".",F3232,6)+1,99)</f>
        <v>Software</v>
      </c>
      <c r="F3232" s="23" t="s">
        <v>6185</v>
      </c>
      <c r="G3232" s="5" t="s">
        <v>9678</v>
      </c>
      <c r="H3232" s="10" t="s">
        <v>6186</v>
      </c>
      <c r="I3232" s="7"/>
      <c r="J3232" s="8" t="s">
        <v>6911</v>
      </c>
      <c r="K3232" s="26"/>
      <c r="L3232" s="6" t="str">
        <f>IFERROR(VLOOKUP(E3232,A:I,9, FALSE),"")</f>
        <v>Software</v>
      </c>
      <c r="N3232" s="6"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c>
      <c r="P3232" s="6" t="s">
        <v>8574</v>
      </c>
    </row>
    <row r="3233" spans="1:17" x14ac:dyDescent="0.25">
      <c r="A3233" s="5" t="str">
        <f>IF(TRIM(I3233)="","",E3233)</f>
        <v>SoftwareVersion</v>
      </c>
      <c r="B3233" s="5" t="str">
        <f>IF(TRIM(J3233)="","",H3233)</f>
        <v>The Version of the software used.</v>
      </c>
      <c r="C3233" s="5" t="str">
        <f>LEFT(F3233,FIND(".",F3233,6))</f>
        <v>Xmp.video.</v>
      </c>
      <c r="D3233" s="5" t="str">
        <f>VLOOKUP(C3233,PrefixUebersetzung,2,FALSE)</f>
        <v>Xmp.video.</v>
      </c>
      <c r="E3233" s="5" t="str">
        <f>MID(F3233,FIND(".",F3233,6)+1,99)</f>
        <v>SoftwareVersion</v>
      </c>
      <c r="F3233" s="23" t="s">
        <v>6187</v>
      </c>
      <c r="G3233" s="5" t="s">
        <v>9678</v>
      </c>
      <c r="H3233" s="10" t="s">
        <v>6188</v>
      </c>
      <c r="I3233" s="7" t="s">
        <v>8958</v>
      </c>
      <c r="J3233" s="8" t="s">
        <v>6912</v>
      </c>
      <c r="K3233" s="26"/>
      <c r="N3233" s="6"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c>
      <c r="O3233" s="6" t="s">
        <v>8574</v>
      </c>
      <c r="P3233" s="6" t="s">
        <v>8574</v>
      </c>
      <c r="Q3233" s="6" t="s">
        <v>9519</v>
      </c>
    </row>
    <row r="3234" spans="1:17" x14ac:dyDescent="0.25">
      <c r="A3234" s="5" t="str">
        <f>IF(TRIM(I3234)="","",E3234)</f>
        <v>SongWriter</v>
      </c>
      <c r="B3234" s="5" t="str">
        <f>IF(TRIM(J3234)="","",H3234)</f>
        <v>The name of the song writer.</v>
      </c>
      <c r="C3234" s="5" t="str">
        <f>LEFT(F3234,FIND(".",F3234,6))</f>
        <v>Xmp.video.</v>
      </c>
      <c r="D3234" s="5" t="str">
        <f>VLOOKUP(C3234,PrefixUebersetzung,2,FALSE)</f>
        <v>Xmp.video.</v>
      </c>
      <c r="E3234" s="5" t="str">
        <f>MID(F3234,FIND(".",F3234,6)+1,99)</f>
        <v>SongWriter</v>
      </c>
      <c r="F3234" s="23" t="s">
        <v>6189</v>
      </c>
      <c r="G3234" s="5" t="s">
        <v>9678</v>
      </c>
      <c r="H3234" s="10" t="s">
        <v>6190</v>
      </c>
      <c r="I3234" s="7" t="s">
        <v>6584</v>
      </c>
      <c r="J3234" s="8" t="s">
        <v>6410</v>
      </c>
      <c r="K3234" s="26"/>
      <c r="N3234" s="6"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c>
      <c r="O3234" s="6" t="s">
        <v>8574</v>
      </c>
      <c r="P3234" s="6" t="s">
        <v>8574</v>
      </c>
      <c r="Q3234" s="6" t="s">
        <v>9519</v>
      </c>
    </row>
    <row r="3235" spans="1:17" x14ac:dyDescent="0.25">
      <c r="A3235" s="5" t="str">
        <f>IF(TRIM(I3235)="","",E3235)</f>
        <v>SongWriterKeywords</v>
      </c>
      <c r="B3235" s="5" t="str">
        <f>IF(TRIM(J3235)="","",H3235)</f>
        <v>Song Writer Keywords.</v>
      </c>
      <c r="C3235" s="5" t="str">
        <f>LEFT(F3235,FIND(".",F3235,6))</f>
        <v>Xmp.video.</v>
      </c>
      <c r="D3235" s="5" t="str">
        <f>VLOOKUP(C3235,PrefixUebersetzung,2,FALSE)</f>
        <v>Xmp.video.</v>
      </c>
      <c r="E3235" s="5" t="str">
        <f>MID(F3235,FIND(".",F3235,6)+1,99)</f>
        <v>SongWriterKeywords</v>
      </c>
      <c r="F3235" s="23" t="s">
        <v>6191</v>
      </c>
      <c r="G3235" s="5" t="s">
        <v>9678</v>
      </c>
      <c r="H3235" s="10" t="s">
        <v>6192</v>
      </c>
      <c r="I3235" s="7" t="s">
        <v>6585</v>
      </c>
      <c r="J3235" s="14" t="s">
        <v>6585</v>
      </c>
      <c r="K3235" s="26"/>
      <c r="N3235" s="6"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c>
      <c r="O3235" s="6" t="s">
        <v>8574</v>
      </c>
      <c r="P3235" s="6" t="s">
        <v>8574</v>
      </c>
      <c r="Q3235" s="6" t="s">
        <v>9384</v>
      </c>
    </row>
    <row r="3236" spans="1:17" x14ac:dyDescent="0.25">
      <c r="A3236" s="5" t="str">
        <f>IF(TRIM(I3236)="","",E3236)</f>
        <v/>
      </c>
      <c r="B3236" s="5" t="str">
        <f>IF(TRIM(J3236)="","",H3236)</f>
        <v/>
      </c>
      <c r="C3236" s="5" t="str">
        <f>LEFT(F3236,FIND(".",F3236,6))</f>
        <v>Xmp.video.</v>
      </c>
      <c r="D3236" s="5" t="str">
        <f>VLOOKUP(C3236,PrefixUebersetzung,2,FALSE)</f>
        <v>Xmp.video.</v>
      </c>
      <c r="E3236" s="5" t="str">
        <f>MID(F3236,FIND(".",F3236,6)+1,99)</f>
        <v>Source</v>
      </c>
      <c r="F3236" s="23" t="s">
        <v>6193</v>
      </c>
      <c r="G3236" s="5" t="s">
        <v>9678</v>
      </c>
      <c r="H3236" s="10" t="s">
        <v>3512</v>
      </c>
      <c r="I3236" s="7"/>
      <c r="J3236" s="8"/>
      <c r="K3236" s="26"/>
      <c r="L3236" s="6" t="str">
        <f>IFERROR(VLOOKUP(E3236,A:I,9, FALSE),"")</f>
        <v>Quelle</v>
      </c>
      <c r="M3236" s="6" t="str">
        <f>IFERROR(VLOOKUP(H3236,B:J,9,FALSE),"")</f>
        <v>Quelle</v>
      </c>
      <c r="N3236" s="6"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c>
    </row>
    <row r="3237" spans="1:17" x14ac:dyDescent="0.25">
      <c r="A3237" s="5" t="str">
        <f>IF(TRIM(I3237)="","",E3237)</f>
        <v>SourceCredits</v>
      </c>
      <c r="B3237" s="5" t="str">
        <f>IF(TRIM(J3237)="","",H3237)</f>
        <v>Source Credits.</v>
      </c>
      <c r="C3237" s="5" t="str">
        <f>LEFT(F3237,FIND(".",F3237,6))</f>
        <v>Xmp.video.</v>
      </c>
      <c r="D3237" s="5" t="str">
        <f>VLOOKUP(C3237,PrefixUebersetzung,2,FALSE)</f>
        <v>Xmp.video.</v>
      </c>
      <c r="E3237" s="5" t="str">
        <f>MID(F3237,FIND(".",F3237,6)+1,99)</f>
        <v>SourceCredits</v>
      </c>
      <c r="F3237" s="23" t="s">
        <v>6194</v>
      </c>
      <c r="G3237" s="5" t="s">
        <v>9678</v>
      </c>
      <c r="H3237" s="10" t="s">
        <v>6195</v>
      </c>
      <c r="I3237" s="7" t="s">
        <v>6586</v>
      </c>
      <c r="J3237" s="14" t="s">
        <v>6586</v>
      </c>
      <c r="K3237" s="26"/>
      <c r="N3237" s="6"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c>
      <c r="O3237" s="6" t="s">
        <v>8574</v>
      </c>
      <c r="P3237" s="6" t="s">
        <v>8574</v>
      </c>
      <c r="Q3237" s="6" t="s">
        <v>9225</v>
      </c>
    </row>
    <row r="3238" spans="1:17" x14ac:dyDescent="0.25">
      <c r="A3238" s="5" t="str">
        <f>IF(TRIM(I3238)="","",E3238)</f>
        <v>SourceForm</v>
      </c>
      <c r="B3238" s="5" t="str">
        <f>IF(TRIM(J3238)="","",H3238)</f>
        <v>Source Form.</v>
      </c>
      <c r="C3238" s="5" t="str">
        <f>LEFT(F3238,FIND(".",F3238,6))</f>
        <v>Xmp.video.</v>
      </c>
      <c r="D3238" s="5" t="str">
        <f>VLOOKUP(C3238,PrefixUebersetzung,2,FALSE)</f>
        <v>Xmp.video.</v>
      </c>
      <c r="E3238" s="5" t="str">
        <f>MID(F3238,FIND(".",F3238,6)+1,99)</f>
        <v>SourceForm</v>
      </c>
      <c r="F3238" s="23" t="s">
        <v>6196</v>
      </c>
      <c r="G3238" s="5" t="s">
        <v>9678</v>
      </c>
      <c r="H3238" s="10" t="s">
        <v>6197</v>
      </c>
      <c r="I3238" s="7" t="s">
        <v>6587</v>
      </c>
      <c r="J3238" s="14" t="s">
        <v>6587</v>
      </c>
      <c r="K3238" s="26"/>
      <c r="N3238" s="6"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c>
      <c r="O3238" s="6" t="s">
        <v>8574</v>
      </c>
      <c r="P3238" s="6" t="s">
        <v>8574</v>
      </c>
      <c r="Q3238" s="6" t="s">
        <v>9492</v>
      </c>
    </row>
    <row r="3239" spans="1:17" x14ac:dyDescent="0.25">
      <c r="A3239" s="5" t="str">
        <f>IF(TRIM(I3239)="","",E3239)</f>
        <v>SourceImageHeight</v>
      </c>
      <c r="B3239" s="5" t="str">
        <f>IF(TRIM(J3239)="","",H3239)</f>
        <v/>
      </c>
      <c r="C3239" s="5" t="str">
        <f>LEFT(F3239,FIND(".",F3239,6))</f>
        <v>Xmp.video.</v>
      </c>
      <c r="D3239" s="5" t="str">
        <f>VLOOKUP(C3239,PrefixUebersetzung,2,FALSE)</f>
        <v>Xmp.video.</v>
      </c>
      <c r="E3239" s="5" t="str">
        <f>MID(F3239,FIND(".",F3239,6)+1,99)</f>
        <v>SourceImageHeight</v>
      </c>
      <c r="F3239" s="23" t="s">
        <v>6198</v>
      </c>
      <c r="G3239" s="5" t="s">
        <v>9678</v>
      </c>
      <c r="H3239" s="10" t="s">
        <v>5988</v>
      </c>
      <c r="I3239" s="7" t="s">
        <v>6588</v>
      </c>
      <c r="J3239" s="8"/>
      <c r="K3239" s="26"/>
      <c r="M3239" s="6" t="str">
        <f>IFERROR(VLOOKUP(H3239,B:J,9,FALSE),"")</f>
        <v>Video Höhe in Pixel</v>
      </c>
      <c r="N3239" s="6"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c>
      <c r="O3239" s="6" t="s">
        <v>8574</v>
      </c>
    </row>
    <row r="3240" spans="1:17" x14ac:dyDescent="0.25">
      <c r="A3240" s="5" t="str">
        <f>IF(TRIM(I3240)="","",E3240)</f>
        <v>SourceImageWidth</v>
      </c>
      <c r="B3240" s="5" t="str">
        <f>IF(TRIM(J3240)="","",H3240)</f>
        <v>Video width in pixels</v>
      </c>
      <c r="C3240" s="5" t="str">
        <f>LEFT(F3240,FIND(".",F3240,6))</f>
        <v>Xmp.video.</v>
      </c>
      <c r="D3240" s="5" t="str">
        <f>VLOOKUP(C3240,PrefixUebersetzung,2,FALSE)</f>
        <v>Xmp.video.</v>
      </c>
      <c r="E3240" s="5" t="str">
        <f>MID(F3240,FIND(".",F3240,6)+1,99)</f>
        <v>SourceImageWidth</v>
      </c>
      <c r="F3240" s="23" t="s">
        <v>6199</v>
      </c>
      <c r="G3240" s="5" t="s">
        <v>9678</v>
      </c>
      <c r="H3240" s="10" t="s">
        <v>6200</v>
      </c>
      <c r="I3240" s="7" t="s">
        <v>6589</v>
      </c>
      <c r="J3240" s="8" t="s">
        <v>6742</v>
      </c>
      <c r="K3240" s="26"/>
      <c r="M3240" s="6" t="str">
        <f>IFERROR(VLOOKUP(H3240,B:J,9,FALSE),"")</f>
        <v>Video-Breite in Pixel</v>
      </c>
      <c r="N3240" s="6"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c>
      <c r="O3240" s="6" t="s">
        <v>8574</v>
      </c>
      <c r="P3240" s="6" t="s">
        <v>8574</v>
      </c>
    </row>
    <row r="3241" spans="1:17" ht="30" x14ac:dyDescent="0.25">
      <c r="A3241" s="5" t="str">
        <f>IF(TRIM(I3241)="","",E3241)</f>
        <v>Starring</v>
      </c>
      <c r="B3241" s="5" t="str">
        <f>IF(TRIM(J3241)="","",H3241)</f>
        <v>Starring, name of famous people appearing in the video.</v>
      </c>
      <c r="C3241" s="5" t="str">
        <f>LEFT(F3241,FIND(".",F3241,6))</f>
        <v>Xmp.video.</v>
      </c>
      <c r="D3241" s="5" t="str">
        <f>VLOOKUP(C3241,PrefixUebersetzung,2,FALSE)</f>
        <v>Xmp.video.</v>
      </c>
      <c r="E3241" s="5" t="str">
        <f>MID(F3241,FIND(".",F3241,6)+1,99)</f>
        <v>Starring</v>
      </c>
      <c r="F3241" s="23" t="s">
        <v>6201</v>
      </c>
      <c r="G3241" s="5" t="s">
        <v>9678</v>
      </c>
      <c r="H3241" s="10" t="s">
        <v>6202</v>
      </c>
      <c r="I3241" s="7" t="s">
        <v>6552</v>
      </c>
      <c r="J3241" s="8" t="s">
        <v>6869</v>
      </c>
      <c r="K3241" s="26"/>
      <c r="N3241" s="6"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c>
      <c r="O3241" s="6" t="s">
        <v>8574</v>
      </c>
      <c r="P3241" s="6" t="s">
        <v>8574</v>
      </c>
    </row>
    <row r="3242" spans="1:17" x14ac:dyDescent="0.25">
      <c r="A3242" s="5" t="str">
        <f>IF(TRIM(I3242)="","",E3242)</f>
        <v>StartTimecode</v>
      </c>
      <c r="B3242" s="5" t="str">
        <f>IF(TRIM(J3242)="","",H3242)</f>
        <v>Start Timecode</v>
      </c>
      <c r="C3242" s="5" t="str">
        <f>LEFT(F3242,FIND(".",F3242,6))</f>
        <v>Xmp.video.</v>
      </c>
      <c r="D3242" s="5" t="str">
        <f>VLOOKUP(C3242,PrefixUebersetzung,2,FALSE)</f>
        <v>Xmp.video.</v>
      </c>
      <c r="E3242" s="5" t="str">
        <f>MID(F3242,FIND(".",F3242,6)+1,99)</f>
        <v>StartTimecode</v>
      </c>
      <c r="F3242" s="23" t="s">
        <v>6203</v>
      </c>
      <c r="G3242" s="5" t="s">
        <v>9678</v>
      </c>
      <c r="H3242" s="10" t="s">
        <v>6204</v>
      </c>
      <c r="I3242" s="7" t="s">
        <v>5104</v>
      </c>
      <c r="J3242" s="14" t="s">
        <v>5104</v>
      </c>
      <c r="K3242" s="26"/>
      <c r="L3242" s="6" t="str">
        <f>IFERROR(VLOOKUP(E3242,A:I,9, FALSE),"")</f>
        <v>Zeitcode Start</v>
      </c>
      <c r="N3242" s="6"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c>
      <c r="O3242" s="6" t="s">
        <v>8574</v>
      </c>
      <c r="P3242" s="6" t="s">
        <v>8574</v>
      </c>
      <c r="Q3242" s="6" t="s">
        <v>9497</v>
      </c>
    </row>
    <row r="3243" spans="1:17" x14ac:dyDescent="0.25">
      <c r="A3243" s="5" t="str">
        <f>IF(TRIM(I3243)="","",E3243)</f>
        <v>Statistics</v>
      </c>
      <c r="B3243" s="5" t="str">
        <f>IF(TRIM(J3243)="","",H3243)</f>
        <v>Statistics.</v>
      </c>
      <c r="C3243" s="5" t="str">
        <f>LEFT(F3243,FIND(".",F3243,6))</f>
        <v>Xmp.video.</v>
      </c>
      <c r="D3243" s="5" t="str">
        <f>VLOOKUP(C3243,PrefixUebersetzung,2,FALSE)</f>
        <v>Xmp.video.</v>
      </c>
      <c r="E3243" s="5" t="str">
        <f>MID(F3243,FIND(".",F3243,6)+1,99)</f>
        <v>Statistics</v>
      </c>
      <c r="F3243" s="23" t="s">
        <v>6205</v>
      </c>
      <c r="G3243" s="5" t="s">
        <v>9678</v>
      </c>
      <c r="H3243" s="10" t="s">
        <v>6206</v>
      </c>
      <c r="I3243" s="7" t="s">
        <v>6590</v>
      </c>
      <c r="J3243" s="8" t="s">
        <v>6590</v>
      </c>
      <c r="K3243" s="26"/>
      <c r="N3243" s="6"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c>
      <c r="O3243" s="6" t="s">
        <v>8574</v>
      </c>
      <c r="P3243" s="6" t="s">
        <v>8574</v>
      </c>
    </row>
    <row r="3244" spans="1:17" x14ac:dyDescent="0.25">
      <c r="A3244" s="5" t="str">
        <f>IF(TRIM(I3244)="","",E3244)</f>
        <v>StreamCount</v>
      </c>
      <c r="B3244" s="5" t="str">
        <f>IF(TRIM(J3244)="","",H3244)</f>
        <v>Total Number Of Streams</v>
      </c>
      <c r="C3244" s="5" t="str">
        <f>LEFT(F3244,FIND(".",F3244,6))</f>
        <v>Xmp.video.</v>
      </c>
      <c r="D3244" s="5" t="str">
        <f>VLOOKUP(C3244,PrefixUebersetzung,2,FALSE)</f>
        <v>Xmp.video.</v>
      </c>
      <c r="E3244" s="5" t="str">
        <f>MID(F3244,FIND(".",F3244,6)+1,99)</f>
        <v>StreamCount</v>
      </c>
      <c r="F3244" s="23" t="s">
        <v>6207</v>
      </c>
      <c r="G3244" s="5" t="s">
        <v>9678</v>
      </c>
      <c r="H3244" s="10" t="s">
        <v>6208</v>
      </c>
      <c r="I3244" s="7" t="s">
        <v>6591</v>
      </c>
      <c r="J3244" s="8" t="s">
        <v>6411</v>
      </c>
      <c r="K3244" s="26"/>
      <c r="N3244" s="6"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c>
      <c r="O3244" s="6" t="s">
        <v>8574</v>
      </c>
      <c r="P3244" s="6" t="s">
        <v>8574</v>
      </c>
      <c r="Q3244" s="6" t="s">
        <v>9432</v>
      </c>
    </row>
    <row r="3245" spans="1:17" ht="30" x14ac:dyDescent="0.25">
      <c r="A3245" s="5" t="str">
        <f>IF(TRIM(I3245)="","",E3245)</f>
        <v>StreamName</v>
      </c>
      <c r="B3245" s="5" t="str">
        <f>IF(TRIM(J3245)="","",H3245)</f>
        <v>Describes the Stream Name. Eg - FUJIFILM AVI STREAM 0100</v>
      </c>
      <c r="C3245" s="5" t="str">
        <f>LEFT(F3245,FIND(".",F3245,6))</f>
        <v>Xmp.video.</v>
      </c>
      <c r="D3245" s="5" t="str">
        <f>VLOOKUP(C3245,PrefixUebersetzung,2,FALSE)</f>
        <v>Xmp.video.</v>
      </c>
      <c r="E3245" s="5" t="str">
        <f>MID(F3245,FIND(".",F3245,6)+1,99)</f>
        <v>StreamName</v>
      </c>
      <c r="F3245" s="23" t="s">
        <v>6209</v>
      </c>
      <c r="G3245" s="5" t="s">
        <v>9678</v>
      </c>
      <c r="H3245" s="10" t="s">
        <v>6210</v>
      </c>
      <c r="I3245" s="7" t="s">
        <v>6592</v>
      </c>
      <c r="J3245" s="8" t="s">
        <v>6412</v>
      </c>
      <c r="K3245" s="26"/>
      <c r="N3245" s="6"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c>
      <c r="O3245" s="6" t="s">
        <v>8574</v>
      </c>
      <c r="P3245" s="6" t="s">
        <v>8574</v>
      </c>
    </row>
    <row r="3246" spans="1:17" x14ac:dyDescent="0.25">
      <c r="A3246" s="5" t="str">
        <f>IF(TRIM(I3246)="","",E3246)</f>
        <v>StreamQuality</v>
      </c>
      <c r="B3246" s="5" t="str">
        <f>IF(TRIM(J3246)="","",H3246)</f>
        <v>General Stream Quality</v>
      </c>
      <c r="C3246" s="5" t="str">
        <f>LEFT(F3246,FIND(".",F3246,6))</f>
        <v>Xmp.video.</v>
      </c>
      <c r="D3246" s="5" t="str">
        <f>VLOOKUP(C3246,PrefixUebersetzung,2,FALSE)</f>
        <v>Xmp.video.</v>
      </c>
      <c r="E3246" s="5" t="str">
        <f>MID(F3246,FIND(".",F3246,6)+1,99)</f>
        <v>StreamQuality</v>
      </c>
      <c r="F3246" s="23" t="s">
        <v>6211</v>
      </c>
      <c r="G3246" s="5" t="s">
        <v>9678</v>
      </c>
      <c r="H3246" s="10" t="s">
        <v>9649</v>
      </c>
      <c r="I3246" s="7" t="s">
        <v>6593</v>
      </c>
      <c r="J3246" s="8" t="s">
        <v>6743</v>
      </c>
      <c r="K3246" s="26"/>
      <c r="N3246" s="6"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c>
      <c r="O3246" s="6" t="s">
        <v>8574</v>
      </c>
      <c r="P3246" s="6" t="s">
        <v>8574</v>
      </c>
    </row>
    <row r="3247" spans="1:17" x14ac:dyDescent="0.25">
      <c r="A3247" s="5" t="str">
        <f>IF(TRIM(I3247)="","",E3247)</f>
        <v>StreamSampleCount</v>
      </c>
      <c r="B3247" s="5" t="str">
        <f>IF(TRIM(J3247)="","",H3247)</f>
        <v>Stream Sample Count</v>
      </c>
      <c r="C3247" s="5" t="str">
        <f>LEFT(F3247,FIND(".",F3247,6))</f>
        <v>Xmp.video.</v>
      </c>
      <c r="D3247" s="5" t="str">
        <f>VLOOKUP(C3247,PrefixUebersetzung,2,FALSE)</f>
        <v>Xmp.video.</v>
      </c>
      <c r="E3247" s="5" t="str">
        <f>MID(F3247,FIND(".",F3247,6)+1,99)</f>
        <v>StreamSampleCount</v>
      </c>
      <c r="F3247" s="23" t="s">
        <v>6212</v>
      </c>
      <c r="G3247" s="5" t="s">
        <v>9678</v>
      </c>
      <c r="H3247" s="10" t="s">
        <v>6213</v>
      </c>
      <c r="I3247" s="7" t="s">
        <v>6594</v>
      </c>
      <c r="J3247" s="14" t="s">
        <v>6594</v>
      </c>
      <c r="K3247" s="26"/>
      <c r="N3247" s="6"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c>
      <c r="O3247" s="6" t="s">
        <v>8574</v>
      </c>
      <c r="P3247" s="6" t="s">
        <v>8574</v>
      </c>
      <c r="Q3247" s="6" t="s">
        <v>9499</v>
      </c>
    </row>
    <row r="3248" spans="1:17" x14ac:dyDescent="0.25">
      <c r="A3248" s="5" t="str">
        <f>IF(TRIM(I3248)="","",E3248)</f>
        <v>StreamSampleRate</v>
      </c>
      <c r="B3248" s="5" t="str">
        <f>IF(TRIM(J3248)="","",H3248)</f>
        <v>Stream Sample Rate</v>
      </c>
      <c r="C3248" s="5" t="str">
        <f>LEFT(F3248,FIND(".",F3248,6))</f>
        <v>Xmp.video.</v>
      </c>
      <c r="D3248" s="5" t="str">
        <f>VLOOKUP(C3248,PrefixUebersetzung,2,FALSE)</f>
        <v>Xmp.video.</v>
      </c>
      <c r="E3248" s="5" t="str">
        <f>MID(F3248,FIND(".",F3248,6)+1,99)</f>
        <v>StreamSampleRate</v>
      </c>
      <c r="F3248" s="23" t="s">
        <v>6214</v>
      </c>
      <c r="G3248" s="5" t="s">
        <v>9678</v>
      </c>
      <c r="H3248" s="10" t="s">
        <v>6215</v>
      </c>
      <c r="I3248" s="7" t="s">
        <v>6595</v>
      </c>
      <c r="J3248" s="14" t="s">
        <v>6595</v>
      </c>
      <c r="K3248" s="26"/>
      <c r="N3248" s="6"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c>
      <c r="O3248" s="6" t="s">
        <v>8574</v>
      </c>
      <c r="P3248" s="6" t="s">
        <v>8574</v>
      </c>
      <c r="Q3248" s="6" t="s">
        <v>9142</v>
      </c>
    </row>
    <row r="3249" spans="1:17" x14ac:dyDescent="0.25">
      <c r="A3249" s="5" t="str">
        <f>IF(TRIM(I3249)="","",E3249)</f>
        <v>StreamSampleSize</v>
      </c>
      <c r="B3249" s="5" t="str">
        <f>IF(TRIM(J3249)="","",H3249)</f>
        <v>General Stream Sample Size</v>
      </c>
      <c r="C3249" s="5" t="str">
        <f>LEFT(F3249,FIND(".",F3249,6))</f>
        <v>Xmp.video.</v>
      </c>
      <c r="D3249" s="5" t="str">
        <f>VLOOKUP(C3249,PrefixUebersetzung,2,FALSE)</f>
        <v>Xmp.video.</v>
      </c>
      <c r="E3249" s="5" t="str">
        <f>MID(F3249,FIND(".",F3249,6)+1,99)</f>
        <v>StreamSampleSize</v>
      </c>
      <c r="F3249" s="23" t="s">
        <v>6216</v>
      </c>
      <c r="G3249" s="5" t="s">
        <v>9678</v>
      </c>
      <c r="H3249" s="10" t="s">
        <v>6217</v>
      </c>
      <c r="I3249" s="7" t="s">
        <v>6596</v>
      </c>
      <c r="J3249" s="14" t="s">
        <v>6596</v>
      </c>
      <c r="K3249" s="26"/>
      <c r="N3249" s="6"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6" t="s">
        <v>8574</v>
      </c>
      <c r="P3249" s="6" t="s">
        <v>8574</v>
      </c>
    </row>
    <row r="3250" spans="1:17" ht="30" x14ac:dyDescent="0.25">
      <c r="A3250" s="5" t="str">
        <f>IF(TRIM(I3250)="","",E3250)</f>
        <v>StreamType</v>
      </c>
      <c r="B3250" s="5" t="str">
        <f>IF(TRIM(J3250)="","",H3250)</f>
        <v>Describes the Stream Type. Eg - Video, Audio or Subtitles</v>
      </c>
      <c r="C3250" s="5" t="str">
        <f>LEFT(F3250,FIND(".",F3250,6))</f>
        <v>Xmp.video.</v>
      </c>
      <c r="D3250" s="5" t="str">
        <f>VLOOKUP(C3250,PrefixUebersetzung,2,FALSE)</f>
        <v>Xmp.video.</v>
      </c>
      <c r="E3250" s="5" t="str">
        <f>MID(F3250,FIND(".",F3250,6)+1,99)</f>
        <v>StreamType</v>
      </c>
      <c r="F3250" s="23" t="s">
        <v>6218</v>
      </c>
      <c r="G3250" s="5" t="s">
        <v>9678</v>
      </c>
      <c r="H3250" s="10" t="s">
        <v>6219</v>
      </c>
      <c r="I3250" s="7" t="s">
        <v>6597</v>
      </c>
      <c r="J3250" s="8" t="s">
        <v>6744</v>
      </c>
      <c r="K3250" s="26"/>
      <c r="N3250" s="6"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c>
      <c r="O3250" s="6" t="s">
        <v>8574</v>
      </c>
      <c r="P3250" s="6" t="s">
        <v>8574</v>
      </c>
    </row>
    <row r="3251" spans="1:17" x14ac:dyDescent="0.25">
      <c r="A3251" s="5" t="str">
        <f>IF(TRIM(I3251)="","",E3251)</f>
        <v/>
      </c>
      <c r="B3251" s="5" t="str">
        <f>IF(TRIM(J3251)="","",H3251)</f>
        <v xml:space="preserve">Subject. </v>
      </c>
      <c r="C3251" s="5" t="str">
        <f>LEFT(F3251,FIND(".",F3251,6))</f>
        <v>Xmp.video.</v>
      </c>
      <c r="D3251" s="5" t="str">
        <f>VLOOKUP(C3251,PrefixUebersetzung,2,FALSE)</f>
        <v>Xmp.video.</v>
      </c>
      <c r="E3251" s="5" t="str">
        <f>MID(F3251,FIND(".",F3251,6)+1,99)</f>
        <v>Subject</v>
      </c>
      <c r="F3251" s="23" t="s">
        <v>6220</v>
      </c>
      <c r="G3251" s="5" t="s">
        <v>9678</v>
      </c>
      <c r="H3251" s="10" t="s">
        <v>6221</v>
      </c>
      <c r="I3251" s="7"/>
      <c r="J3251" s="8" t="s">
        <v>6413</v>
      </c>
      <c r="K3251" s="26"/>
      <c r="L3251" s="6" t="str">
        <f>IFERROR(VLOOKUP(E3251,A:I,9, FALSE),"")</f>
        <v>Betreff</v>
      </c>
      <c r="N3251" s="6"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c>
      <c r="P3251" s="6" t="s">
        <v>8574</v>
      </c>
      <c r="Q3251" s="6" t="s">
        <v>9500</v>
      </c>
    </row>
    <row r="3252" spans="1:17" x14ac:dyDescent="0.25">
      <c r="A3252" s="5" t="str">
        <f>IF(TRIM(I3252)="","",E3252)</f>
        <v/>
      </c>
      <c r="B3252" s="5" t="str">
        <f>IF(TRIM(J3252)="","",H3252)</f>
        <v>Subtitles stream codec, for general purpose</v>
      </c>
      <c r="C3252" s="5" t="str">
        <f>LEFT(F3252,FIND(".",F3252,6))</f>
        <v>Xmp.video.</v>
      </c>
      <c r="D3252" s="5" t="str">
        <f>VLOOKUP(C3252,PrefixUebersetzung,2,FALSE)</f>
        <v>Xmp.video.</v>
      </c>
      <c r="E3252" s="5" t="str">
        <f>MID(F3252,FIND(".",F3252,6)+1,99)</f>
        <v>SubTCodec</v>
      </c>
      <c r="F3252" s="23" t="s">
        <v>6222</v>
      </c>
      <c r="G3252" s="5" t="s">
        <v>9678</v>
      </c>
      <c r="H3252" s="10" t="s">
        <v>6223</v>
      </c>
      <c r="I3252" s="7"/>
      <c r="J3252" s="8" t="s">
        <v>6414</v>
      </c>
      <c r="K3252" s="26"/>
      <c r="N3252" s="6"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xml:space="preserve">Suffix not translated </v>
      </c>
      <c r="O3252" s="6" t="s">
        <v>8574</v>
      </c>
      <c r="P3252" s="6" t="s">
        <v>8574</v>
      </c>
    </row>
    <row r="3253" spans="1:17" ht="30" x14ac:dyDescent="0.25">
      <c r="A3253" s="5" t="str">
        <f>IF(TRIM(I3253)="","",E3253)</f>
        <v/>
      </c>
      <c r="B3253" s="5" t="str">
        <f>IF(TRIM(J3253)="","",H3253)</f>
        <v>Contains information the Subtitles codec decode all, i.e. Enabled/Disabled</v>
      </c>
      <c r="C3253" s="5" t="str">
        <f>LEFT(F3253,FIND(".",F3253,6))</f>
        <v>Xmp.video.</v>
      </c>
      <c r="D3253" s="5" t="str">
        <f>VLOOKUP(C3253,PrefixUebersetzung,2,FALSE)</f>
        <v>Xmp.video.</v>
      </c>
      <c r="E3253" s="5" t="str">
        <f>MID(F3253,FIND(".",F3253,6)+1,99)</f>
        <v>SubTCodecDecodeAll</v>
      </c>
      <c r="F3253" s="23" t="s">
        <v>6224</v>
      </c>
      <c r="G3253" s="5" t="s">
        <v>9678</v>
      </c>
      <c r="H3253" s="10" t="s">
        <v>6225</v>
      </c>
      <c r="I3253" s="7"/>
      <c r="J3253" s="8" t="s">
        <v>6745</v>
      </c>
      <c r="K3253" s="26"/>
      <c r="N3253" s="6"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v>
      </c>
      <c r="O3253" s="6" t="s">
        <v>8574</v>
      </c>
      <c r="P3253" s="6" t="s">
        <v>8574</v>
      </c>
    </row>
    <row r="3254" spans="1:17" x14ac:dyDescent="0.25">
      <c r="A3254" s="5" t="str">
        <f>IF(TRIM(I3254)="","",E3254)</f>
        <v/>
      </c>
      <c r="B3254" s="5" t="str">
        <f>IF(TRIM(J3254)="","",H3254)</f>
        <v>Video Subtitle Codec Download URL.</v>
      </c>
      <c r="C3254" s="5" t="str">
        <f>LEFT(F3254,FIND(".",F3254,6))</f>
        <v>Xmp.video.</v>
      </c>
      <c r="D3254" s="5" t="str">
        <f>VLOOKUP(C3254,PrefixUebersetzung,2,FALSE)</f>
        <v>Xmp.video.</v>
      </c>
      <c r="E3254" s="5" t="str">
        <f>MID(F3254,FIND(".",F3254,6)+1,99)</f>
        <v>SubTCodecDownloadUrl</v>
      </c>
      <c r="F3254" s="23" t="s">
        <v>6226</v>
      </c>
      <c r="G3254" s="5" t="s">
        <v>9678</v>
      </c>
      <c r="H3254" s="10" t="s">
        <v>6227</v>
      </c>
      <c r="I3254" s="7"/>
      <c r="J3254" s="8" t="s">
        <v>6415</v>
      </c>
      <c r="K3254" s="26"/>
      <c r="N3254" s="6"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v>
      </c>
      <c r="O3254" s="6" t="s">
        <v>8574</v>
      </c>
      <c r="P3254" s="6" t="s">
        <v>8574</v>
      </c>
    </row>
    <row r="3255" spans="1:17" x14ac:dyDescent="0.25">
      <c r="A3255" s="5" t="str">
        <f>IF(TRIM(I3255)="","",E3255)</f>
        <v/>
      </c>
      <c r="B3255" s="5" t="str">
        <f>IF(TRIM(J3255)="","",H3255)</f>
        <v>Contains additional information about subtitles.</v>
      </c>
      <c r="C3255" s="5" t="str">
        <f>LEFT(F3255,FIND(".",F3255,6))</f>
        <v>Xmp.video.</v>
      </c>
      <c r="D3255" s="5" t="str">
        <f>VLOOKUP(C3255,PrefixUebersetzung,2,FALSE)</f>
        <v>Xmp.video.</v>
      </c>
      <c r="E3255" s="5" t="str">
        <f>MID(F3255,FIND(".",F3255,6)+1,99)</f>
        <v>SubTCodecInfo</v>
      </c>
      <c r="F3255" s="23" t="s">
        <v>6228</v>
      </c>
      <c r="G3255" s="5" t="s">
        <v>9678</v>
      </c>
      <c r="H3255" s="10" t="s">
        <v>6229</v>
      </c>
      <c r="I3255" s="7"/>
      <c r="J3255" s="8" t="s">
        <v>6416</v>
      </c>
      <c r="K3255" s="26"/>
      <c r="N3255" s="6"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v>
      </c>
      <c r="O3255" s="6" t="s">
        <v>8574</v>
      </c>
      <c r="P3255" s="6" t="s">
        <v>8574</v>
      </c>
    </row>
    <row r="3256" spans="1:17" ht="45" x14ac:dyDescent="0.25">
      <c r="A3256" s="5" t="str">
        <f>IF(TRIM(I3256)="","",E3256)</f>
        <v/>
      </c>
      <c r="B3256" s="5" t="str">
        <f>IF(TRIM(J3256)="","",H3256)</f>
        <v/>
      </c>
      <c r="C3256" s="5" t="str">
        <f>LEFT(F3256,FIND(".",F3256,6))</f>
        <v>Xmp.video.</v>
      </c>
      <c r="D3256" s="5" t="str">
        <f>VLOOKUP(C3256,PrefixUebersetzung,2,FALSE)</f>
        <v>Xmp.video.</v>
      </c>
      <c r="E3256" s="5" t="str">
        <f>MID(F3256,FIND(".",F3256,6)+1,99)</f>
        <v>SubTCodecSettings</v>
      </c>
      <c r="F3256" s="23" t="s">
        <v>6230</v>
      </c>
      <c r="G3256" s="5" t="s">
        <v>9678</v>
      </c>
      <c r="H3256" s="10" t="s">
        <v>5692</v>
      </c>
      <c r="I3256" s="7"/>
      <c r="J3256" s="8"/>
      <c r="K3256" s="26"/>
      <c r="M3256" s="6" t="str">
        <f>IFERROR(VLOOKUP(H3256,B:J,9,FALSE),"")</f>
        <v>Enthält Einstellungen, die der Codec benötigt, bevor die Decodierung gestartet werden kann.</v>
      </c>
      <c r="N3256" s="6"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v>
      </c>
      <c r="O3256" s="6" t="s">
        <v>8574</v>
      </c>
    </row>
    <row r="3257" spans="1:17" x14ac:dyDescent="0.25">
      <c r="A3257" s="5" t="str">
        <f>IF(TRIM(I3257)="","",E3257)</f>
        <v/>
      </c>
      <c r="B3257" s="5" t="str">
        <f>IF(TRIM(J3257)="","",H3257)</f>
        <v>Subtitles Track Default On , i.e. Enabled/Disabled</v>
      </c>
      <c r="C3257" s="5" t="str">
        <f>LEFT(F3257,FIND(".",F3257,6))</f>
        <v>Xmp.video.</v>
      </c>
      <c r="D3257" s="5" t="str">
        <f>VLOOKUP(C3257,PrefixUebersetzung,2,FALSE)</f>
        <v>Xmp.video.</v>
      </c>
      <c r="E3257" s="5" t="str">
        <f>MID(F3257,FIND(".",F3257,6)+1,99)</f>
        <v>SubTDefaultOn</v>
      </c>
      <c r="F3257" s="23" t="s">
        <v>6231</v>
      </c>
      <c r="G3257" s="5" t="s">
        <v>9678</v>
      </c>
      <c r="H3257" s="10" t="s">
        <v>6232</v>
      </c>
      <c r="I3257" s="7"/>
      <c r="J3257" s="8" t="s">
        <v>6747</v>
      </c>
      <c r="K3257" s="26"/>
      <c r="N3257" s="6"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Suffix not translated </v>
      </c>
      <c r="O3257" s="6" t="s">
        <v>8574</v>
      </c>
      <c r="P3257" s="6" t="s">
        <v>8574</v>
      </c>
    </row>
    <row r="3258" spans="1:17" x14ac:dyDescent="0.25">
      <c r="A3258" s="5" t="str">
        <f>IF(TRIM(I3258)="","",E3258)</f>
        <v/>
      </c>
      <c r="B3258" s="5" t="str">
        <f>IF(TRIM(J3258)="","",H3258)</f>
        <v>Status of Subtitles Track, i.e. Enabled/Disabled</v>
      </c>
      <c r="C3258" s="5" t="str">
        <f>LEFT(F3258,FIND(".",F3258,6))</f>
        <v>Xmp.video.</v>
      </c>
      <c r="D3258" s="5" t="str">
        <f>VLOOKUP(C3258,PrefixUebersetzung,2,FALSE)</f>
        <v>Xmp.video.</v>
      </c>
      <c r="E3258" s="5" t="str">
        <f>MID(F3258,FIND(".",F3258,6)+1,99)</f>
        <v>SubTEnabled</v>
      </c>
      <c r="F3258" s="23" t="s">
        <v>6233</v>
      </c>
      <c r="G3258" s="5" t="s">
        <v>9678</v>
      </c>
      <c r="H3258" s="10" t="s">
        <v>6234</v>
      </c>
      <c r="I3258" s="7"/>
      <c r="J3258" s="8" t="s">
        <v>6748</v>
      </c>
      <c r="K3258" s="26"/>
      <c r="N3258" s="6"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v>
      </c>
      <c r="O3258" s="6" t="s">
        <v>8574</v>
      </c>
      <c r="P3258" s="6" t="s">
        <v>8574</v>
      </c>
    </row>
    <row r="3259" spans="1:17" x14ac:dyDescent="0.25">
      <c r="A3259" s="5" t="str">
        <f>IF(TRIM(I3259)="","",E3259)</f>
        <v>Subtitle</v>
      </c>
      <c r="B3259" s="5" t="str">
        <f>IF(TRIM(J3259)="","",H3259)</f>
        <v>Subtitle of the video.</v>
      </c>
      <c r="C3259" s="5" t="str">
        <f>LEFT(F3259,FIND(".",F3259,6))</f>
        <v>Xmp.video.</v>
      </c>
      <c r="D3259" s="5" t="str">
        <f>VLOOKUP(C3259,PrefixUebersetzung,2,FALSE)</f>
        <v>Xmp.video.</v>
      </c>
      <c r="E3259" s="5" t="str">
        <f>MID(F3259,FIND(".",F3259,6)+1,99)</f>
        <v>Subtitle</v>
      </c>
      <c r="F3259" s="23" t="s">
        <v>6235</v>
      </c>
      <c r="G3259" s="5" t="s">
        <v>9678</v>
      </c>
      <c r="H3259" s="10" t="s">
        <v>6236</v>
      </c>
      <c r="I3259" s="7" t="s">
        <v>6598</v>
      </c>
      <c r="J3259" s="8" t="s">
        <v>6417</v>
      </c>
      <c r="K3259" s="26"/>
      <c r="N3259" s="6"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c>
      <c r="O3259" s="6" t="s">
        <v>8574</v>
      </c>
      <c r="P3259" s="6" t="s">
        <v>8574</v>
      </c>
    </row>
    <row r="3260" spans="1:17" x14ac:dyDescent="0.25">
      <c r="A3260" s="5" t="str">
        <f>IF(TRIM(I3260)="","",E3260)</f>
        <v>SubtitleKeywords</v>
      </c>
      <c r="B3260" s="5" t="str">
        <f>IF(TRIM(J3260)="","",H3260)</f>
        <v>Subtitle Keywords.</v>
      </c>
      <c r="C3260" s="5" t="str">
        <f>LEFT(F3260,FIND(".",F3260,6))</f>
        <v>Xmp.video.</v>
      </c>
      <c r="D3260" s="5" t="str">
        <f>VLOOKUP(C3260,PrefixUebersetzung,2,FALSE)</f>
        <v>Xmp.video.</v>
      </c>
      <c r="E3260" s="5" t="str">
        <f>MID(F3260,FIND(".",F3260,6)+1,99)</f>
        <v>SubtitleKeywords</v>
      </c>
      <c r="F3260" s="23" t="s">
        <v>6237</v>
      </c>
      <c r="G3260" s="5" t="s">
        <v>9678</v>
      </c>
      <c r="H3260" s="10" t="s">
        <v>6238</v>
      </c>
      <c r="I3260" s="7" t="s">
        <v>6599</v>
      </c>
      <c r="J3260" s="8" t="s">
        <v>6599</v>
      </c>
      <c r="K3260" s="26"/>
      <c r="N3260" s="6"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c>
      <c r="O3260" s="6" t="s">
        <v>8574</v>
      </c>
      <c r="P3260" s="6" t="s">
        <v>8574</v>
      </c>
      <c r="Q3260" s="6" t="s">
        <v>9384</v>
      </c>
    </row>
    <row r="3261" spans="1:17" ht="30" x14ac:dyDescent="0.25">
      <c r="A3261" s="5" t="str">
        <f>IF(TRIM(I3261)="","",E3261)</f>
        <v/>
      </c>
      <c r="B3261" s="5" t="str">
        <f>IF(TRIM(J3261)="","",H3261)</f>
        <v>The Language in which the subtitles is recorded in.</v>
      </c>
      <c r="C3261" s="5" t="str">
        <f>LEFT(F3261,FIND(".",F3261,6))</f>
        <v>Xmp.video.</v>
      </c>
      <c r="D3261" s="5" t="str">
        <f>VLOOKUP(C3261,PrefixUebersetzung,2,FALSE)</f>
        <v>Xmp.video.</v>
      </c>
      <c r="E3261" s="5" t="str">
        <f>MID(F3261,FIND(".",F3261,6)+1,99)</f>
        <v>SubTLang</v>
      </c>
      <c r="F3261" s="23" t="s">
        <v>6239</v>
      </c>
      <c r="G3261" s="5" t="s">
        <v>9678</v>
      </c>
      <c r="H3261" s="10" t="s">
        <v>6240</v>
      </c>
      <c r="I3261" s="7"/>
      <c r="J3261" s="8" t="s">
        <v>6749</v>
      </c>
      <c r="K3261" s="26"/>
      <c r="N3261" s="6"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v>
      </c>
      <c r="O3261" s="6" t="s">
        <v>8574</v>
      </c>
      <c r="P3261" s="6" t="s">
        <v>8574</v>
      </c>
      <c r="Q3261" s="6" t="s">
        <v>4178</v>
      </c>
    </row>
    <row r="3262" spans="1:17" x14ac:dyDescent="0.25">
      <c r="A3262" s="5" t="str">
        <f>IF(TRIM(I3262)="","",E3262)</f>
        <v/>
      </c>
      <c r="B3262" s="5" t="str">
        <f>IF(TRIM(J3262)="","",H3262)</f>
        <v>Subtitles Track Forced , i.e. Enabled/Disabled</v>
      </c>
      <c r="C3262" s="5" t="str">
        <f>LEFT(F3262,FIND(".",F3262,6))</f>
        <v>Xmp.video.</v>
      </c>
      <c r="D3262" s="5" t="str">
        <f>VLOOKUP(C3262,PrefixUebersetzung,2,FALSE)</f>
        <v>Xmp.video.</v>
      </c>
      <c r="E3262" s="5" t="str">
        <f>MID(F3262,FIND(".",F3262,6)+1,99)</f>
        <v>SubTTrackForced</v>
      </c>
      <c r="F3262" s="23" t="s">
        <v>6241</v>
      </c>
      <c r="G3262" s="5" t="s">
        <v>9678</v>
      </c>
      <c r="H3262" s="10" t="s">
        <v>6242</v>
      </c>
      <c r="I3262" s="7"/>
      <c r="J3262" s="8" t="s">
        <v>6750</v>
      </c>
      <c r="K3262" s="26"/>
      <c r="N3262" s="6"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v>
      </c>
      <c r="O3262" s="6" t="s">
        <v>8574</v>
      </c>
      <c r="P3262" s="6" t="s">
        <v>8574</v>
      </c>
    </row>
    <row r="3263" spans="1:17" x14ac:dyDescent="0.25">
      <c r="A3263" s="5" t="str">
        <f>IF(TRIM(I3263)="","",E3263)</f>
        <v/>
      </c>
      <c r="B3263" s="5" t="str">
        <f>IF(TRIM(J3263)="","",H3263)</f>
        <v/>
      </c>
      <c r="C3263" s="5" t="str">
        <f>LEFT(F3263,FIND(".",F3263,6))</f>
        <v>Xmp.video.</v>
      </c>
      <c r="D3263" s="5" t="str">
        <f>VLOOKUP(C3263,PrefixUebersetzung,2,FALSE)</f>
        <v>Xmp.video.</v>
      </c>
      <c r="E3263" s="5" t="str">
        <f>MID(F3263,FIND(".",F3263,6)+1,99)</f>
        <v>SubTTrackLacing</v>
      </c>
      <c r="F3263" s="23" t="s">
        <v>6243</v>
      </c>
      <c r="G3263" s="5" t="s">
        <v>9678</v>
      </c>
      <c r="H3263" s="10" t="s">
        <v>6244</v>
      </c>
      <c r="I3263" s="7"/>
      <c r="K3263" s="26"/>
      <c r="N3263" s="6"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Description not translated </v>
      </c>
      <c r="O3263" s="6" t="s">
        <v>8574</v>
      </c>
      <c r="P3263" s="6" t="s">
        <v>8574</v>
      </c>
    </row>
    <row r="3264" spans="1:17" ht="30" x14ac:dyDescent="0.25">
      <c r="A3264" s="5" t="str">
        <f>IF(TRIM(I3264)="","",E3264)</f>
        <v/>
      </c>
      <c r="B3264" s="5" t="str">
        <f>IF(TRIM(J3264)="","",H3264)</f>
        <v xml:space="preserve">If Tag is Default enabled, this value is Yes, else No </v>
      </c>
      <c r="C3264" s="5" t="str">
        <f>LEFT(F3264,FIND(".",F3264,6))</f>
        <v>Xmp.video.</v>
      </c>
      <c r="D3264" s="5" t="str">
        <f>VLOOKUP(C3264,PrefixUebersetzung,2,FALSE)</f>
        <v>Xmp.video.</v>
      </c>
      <c r="E3264" s="5" t="str">
        <f>MID(F3264,FIND(".",F3264,6)+1,99)</f>
        <v>TagDefault</v>
      </c>
      <c r="F3264" s="23" t="s">
        <v>6245</v>
      </c>
      <c r="G3264" s="5" t="s">
        <v>9678</v>
      </c>
      <c r="H3264" s="10" t="s">
        <v>6246</v>
      </c>
      <c r="I3264" s="7"/>
      <c r="J3264" s="13" t="s">
        <v>6751</v>
      </c>
      <c r="K3264" s="26"/>
      <c r="N3264" s="6"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v>
      </c>
      <c r="O3264" s="6" t="s">
        <v>8574</v>
      </c>
      <c r="P3264" s="6" t="s">
        <v>8574</v>
      </c>
    </row>
    <row r="3265" spans="1:17" x14ac:dyDescent="0.25">
      <c r="A3265" s="5" t="str">
        <f>IF(TRIM(I3265)="","",E3265)</f>
        <v>TagLanguage</v>
      </c>
      <c r="B3265" s="5" t="str">
        <f>IF(TRIM(J3265)="","",H3265)</f>
        <v>Language that has been used to define tags</v>
      </c>
      <c r="C3265" s="5" t="str">
        <f>LEFT(F3265,FIND(".",F3265,6))</f>
        <v>Xmp.video.</v>
      </c>
      <c r="D3265" s="5" t="str">
        <f>VLOOKUP(C3265,PrefixUebersetzung,2,FALSE)</f>
        <v>Xmp.video.</v>
      </c>
      <c r="E3265" s="5" t="str">
        <f>MID(F3265,FIND(".",F3265,6)+1,99)</f>
        <v>TagLanguage</v>
      </c>
      <c r="F3265" s="23" t="s">
        <v>6247</v>
      </c>
      <c r="G3265" s="5" t="s">
        <v>9678</v>
      </c>
      <c r="H3265" s="10" t="s">
        <v>6248</v>
      </c>
      <c r="I3265" s="7" t="s">
        <v>8959</v>
      </c>
      <c r="J3265" s="8" t="s">
        <v>6752</v>
      </c>
      <c r="K3265" s="26"/>
      <c r="N3265" s="6"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c>
      <c r="O3265" s="6" t="s">
        <v>8574</v>
      </c>
      <c r="P3265" s="6" t="s">
        <v>8574</v>
      </c>
    </row>
    <row r="3266" spans="1:17" ht="30" x14ac:dyDescent="0.25">
      <c r="A3266" s="5" t="str">
        <f>IF(TRIM(I3266)="","",E3266)</f>
        <v>TagName</v>
      </c>
      <c r="B3266" s="5" t="str">
        <f>IF(TRIM(J3266)="","",H3266)</f>
        <v>Tags could be used to define several titles for a segment.</v>
      </c>
      <c r="C3266" s="5" t="str">
        <f>LEFT(F3266,FIND(".",F3266,6))</f>
        <v>Xmp.video.</v>
      </c>
      <c r="D3266" s="5" t="str">
        <f>VLOOKUP(C3266,PrefixUebersetzung,2,FALSE)</f>
        <v>Xmp.video.</v>
      </c>
      <c r="E3266" s="5" t="str">
        <f>MID(F3266,FIND(".",F3266,6)+1,99)</f>
        <v>TagName</v>
      </c>
      <c r="F3266" s="23" t="s">
        <v>6249</v>
      </c>
      <c r="G3266" s="5" t="s">
        <v>9678</v>
      </c>
      <c r="H3266" s="10" t="s">
        <v>6250</v>
      </c>
      <c r="I3266" s="7" t="s">
        <v>8960</v>
      </c>
      <c r="J3266" s="8" t="s">
        <v>6753</v>
      </c>
      <c r="K3266" s="26"/>
      <c r="N3266" s="6"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c>
      <c r="O3266" s="6" t="s">
        <v>8574</v>
      </c>
      <c r="P3266" s="6" t="s">
        <v>8574</v>
      </c>
    </row>
    <row r="3267" spans="1:17" x14ac:dyDescent="0.25">
      <c r="A3267" s="5" t="str">
        <f>IF(TRIM(I3267)="","",E3267)</f>
        <v>TagString</v>
      </c>
      <c r="B3267" s="5" t="str">
        <f>IF(TRIM(J3267)="","",H3267)</f>
        <v>Information contained in a Tags</v>
      </c>
      <c r="C3267" s="5" t="str">
        <f>LEFT(F3267,FIND(".",F3267,6))</f>
        <v>Xmp.video.</v>
      </c>
      <c r="D3267" s="5" t="str">
        <f>VLOOKUP(C3267,PrefixUebersetzung,2,FALSE)</f>
        <v>Xmp.video.</v>
      </c>
      <c r="E3267" s="5" t="str">
        <f>MID(F3267,FIND(".",F3267,6)+1,99)</f>
        <v>TagString</v>
      </c>
      <c r="F3267" s="23" t="s">
        <v>6251</v>
      </c>
      <c r="G3267" s="5" t="s">
        <v>9678</v>
      </c>
      <c r="H3267" s="10" t="s">
        <v>6252</v>
      </c>
      <c r="I3267" s="7" t="s">
        <v>8961</v>
      </c>
      <c r="J3267" s="8" t="s">
        <v>6754</v>
      </c>
      <c r="K3267" s="26"/>
      <c r="N3267" s="6"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c>
      <c r="O3267" s="6" t="s">
        <v>8574</v>
      </c>
      <c r="P3267" s="6" t="s">
        <v>8574</v>
      </c>
    </row>
    <row r="3268" spans="1:17" x14ac:dyDescent="0.25">
      <c r="A3268" s="5" t="str">
        <f>IF(TRIM(I3268)="","",E3268)</f>
        <v>TapeName</v>
      </c>
      <c r="B3268" s="5" t="str">
        <f>IF(TRIM(J3268)="","",H3268)</f>
        <v>TapeName.</v>
      </c>
      <c r="C3268" s="5" t="str">
        <f>LEFT(F3268,FIND(".",F3268,6))</f>
        <v>Xmp.video.</v>
      </c>
      <c r="D3268" s="5" t="str">
        <f>VLOOKUP(C3268,PrefixUebersetzung,2,FALSE)</f>
        <v>Xmp.video.</v>
      </c>
      <c r="E3268" s="5" t="str">
        <f>MID(F3268,FIND(".",F3268,6)+1,99)</f>
        <v>TapeName</v>
      </c>
      <c r="F3268" s="23" t="s">
        <v>6253</v>
      </c>
      <c r="G3268" s="5" t="s">
        <v>9678</v>
      </c>
      <c r="H3268" s="10" t="s">
        <v>6254</v>
      </c>
      <c r="I3268" s="7" t="s">
        <v>4634</v>
      </c>
      <c r="J3268" s="8" t="s">
        <v>6418</v>
      </c>
      <c r="K3268" s="26"/>
      <c r="L3268" s="6" t="str">
        <f>IFERROR(VLOOKUP(E3268,A:I,9, FALSE),"")</f>
        <v>Bandname</v>
      </c>
      <c r="N3268" s="6"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c>
      <c r="O3268" s="6" t="s">
        <v>8574</v>
      </c>
      <c r="P3268" s="6" t="s">
        <v>8574</v>
      </c>
      <c r="Q3268" s="6" t="s">
        <v>4634</v>
      </c>
    </row>
    <row r="3269" spans="1:17" ht="30" x14ac:dyDescent="0.25">
      <c r="A3269" s="5" t="str">
        <f>IF(TRIM(I3269)="","",E3269)</f>
        <v/>
      </c>
      <c r="B3269" s="5" t="str">
        <f>IF(TRIM(J3269)="","",H3269)</f>
        <v>A string describing the logical level of the object the Tag is referring to.</v>
      </c>
      <c r="C3269" s="5" t="str">
        <f>LEFT(F3269,FIND(".",F3269,6))</f>
        <v>Xmp.video.</v>
      </c>
      <c r="D3269" s="5" t="str">
        <f>VLOOKUP(C3269,PrefixUebersetzung,2,FALSE)</f>
        <v>Xmp.video.</v>
      </c>
      <c r="E3269" s="5" t="str">
        <f>MID(F3269,FIND(".",F3269,6)+1,99)</f>
        <v>TargetType</v>
      </c>
      <c r="F3269" s="23" t="s">
        <v>6255</v>
      </c>
      <c r="G3269" s="5" t="s">
        <v>9678</v>
      </c>
      <c r="H3269" s="10" t="s">
        <v>9650</v>
      </c>
      <c r="I3269" s="7"/>
      <c r="J3269" s="8" t="s">
        <v>6755</v>
      </c>
      <c r="K3269" s="26"/>
      <c r="N3269" s="6"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xml:space="preserve">Suffix not translated </v>
      </c>
      <c r="O3269" s="6" t="s">
        <v>8574</v>
      </c>
      <c r="P3269" s="6" t="s">
        <v>8574</v>
      </c>
    </row>
    <row r="3270" spans="1:17" x14ac:dyDescent="0.25">
      <c r="A3270" s="5" t="str">
        <f>IF(TRIM(I3270)="","",E3270)</f>
        <v>Technician</v>
      </c>
      <c r="B3270" s="5" t="str">
        <f>IF(TRIM(J3270)="","",H3270)</f>
        <v>Technician, in most cases name of person.</v>
      </c>
      <c r="C3270" s="5" t="str">
        <f>LEFT(F3270,FIND(".",F3270,6))</f>
        <v>Xmp.video.</v>
      </c>
      <c r="D3270" s="5" t="str">
        <f>VLOOKUP(C3270,PrefixUebersetzung,2,FALSE)</f>
        <v>Xmp.video.</v>
      </c>
      <c r="E3270" s="5" t="str">
        <f>MID(F3270,FIND(".",F3270,6)+1,99)</f>
        <v>Technician</v>
      </c>
      <c r="F3270" s="23" t="s">
        <v>6256</v>
      </c>
      <c r="G3270" s="5" t="s">
        <v>9678</v>
      </c>
      <c r="H3270" s="10" t="s">
        <v>6257</v>
      </c>
      <c r="I3270" s="7" t="s">
        <v>4621</v>
      </c>
      <c r="J3270" s="8" t="s">
        <v>6419</v>
      </c>
      <c r="K3270" s="26"/>
      <c r="N3270" s="6"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c>
      <c r="O3270" s="6" t="s">
        <v>8574</v>
      </c>
      <c r="P3270" s="6" t="s">
        <v>8574</v>
      </c>
    </row>
    <row r="3271" spans="1:17" x14ac:dyDescent="0.25">
      <c r="A3271" s="5" t="str">
        <f>IF(TRIM(I3271)="","",E3271)</f>
        <v>ThumbnailHeight</v>
      </c>
      <c r="B3271" s="5" t="str">
        <f>IF(TRIM(J3271)="","",H3271)</f>
        <v>Preview Image Thumbnail Height.</v>
      </c>
      <c r="C3271" s="5" t="str">
        <f>LEFT(F3271,FIND(".",F3271,6))</f>
        <v>Xmp.video.</v>
      </c>
      <c r="D3271" s="5" t="str">
        <f>VLOOKUP(C3271,PrefixUebersetzung,2,FALSE)</f>
        <v>Xmp.video.</v>
      </c>
      <c r="E3271" s="5" t="str">
        <f>MID(F3271,FIND(".",F3271,6)+1,99)</f>
        <v>ThumbnailHeight</v>
      </c>
      <c r="F3271" s="23" t="s">
        <v>6258</v>
      </c>
      <c r="G3271" s="5" t="s">
        <v>9678</v>
      </c>
      <c r="H3271" s="10" t="s">
        <v>6259</v>
      </c>
      <c r="I3271" s="7" t="s">
        <v>6600</v>
      </c>
      <c r="J3271" s="30" t="s">
        <v>6600</v>
      </c>
      <c r="K3271" s="26"/>
      <c r="N3271" s="6"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c>
      <c r="O3271" s="6" t="s">
        <v>8574</v>
      </c>
      <c r="P3271" s="6" t="s">
        <v>8574</v>
      </c>
      <c r="Q3271" s="6" t="s">
        <v>9451</v>
      </c>
    </row>
    <row r="3272" spans="1:17" x14ac:dyDescent="0.25">
      <c r="A3272" s="5" t="str">
        <f>IF(TRIM(I3272)="","",E3272)</f>
        <v/>
      </c>
      <c r="B3272" s="5" t="str">
        <f>IF(TRIM(J3272)="","",H3272)</f>
        <v>Preview Image Thumbnail Length.</v>
      </c>
      <c r="C3272" s="5" t="str">
        <f>LEFT(F3272,FIND(".",F3272,6))</f>
        <v>Xmp.video.</v>
      </c>
      <c r="D3272" s="5" t="str">
        <f>VLOOKUP(C3272,PrefixUebersetzung,2,FALSE)</f>
        <v>Xmp.video.</v>
      </c>
      <c r="E3272" s="5" t="str">
        <f>MID(F3272,FIND(".",F3272,6)+1,99)</f>
        <v>ThumbnailLength</v>
      </c>
      <c r="F3272" s="23" t="s">
        <v>6260</v>
      </c>
      <c r="G3272" s="5" t="s">
        <v>9678</v>
      </c>
      <c r="H3272" s="10" t="s">
        <v>6261</v>
      </c>
      <c r="I3272" s="7"/>
      <c r="J3272" s="30" t="s">
        <v>6756</v>
      </c>
      <c r="K3272" s="26"/>
      <c r="L3272" s="6" t="str">
        <f>IFERROR(VLOOKUP(E3272,A:I,9, FALSE),"")</f>
        <v>Vorschaubild Größe</v>
      </c>
      <c r="N3272" s="6"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c>
      <c r="P3272" s="6" t="s">
        <v>8574</v>
      </c>
      <c r="Q3272" s="6" t="s">
        <v>9451</v>
      </c>
    </row>
    <row r="3273" spans="1:17" x14ac:dyDescent="0.25">
      <c r="A3273" s="5" t="str">
        <f>IF(TRIM(I3273)="","",E3273)</f>
        <v>ThumbnailWidth</v>
      </c>
      <c r="B3273" s="5" t="str">
        <f>IF(TRIM(J3273)="","",H3273)</f>
        <v>Preview Image Thumbnail Width.</v>
      </c>
      <c r="C3273" s="5" t="str">
        <f>LEFT(F3273,FIND(".",F3273,6))</f>
        <v>Xmp.video.</v>
      </c>
      <c r="D3273" s="5" t="str">
        <f>VLOOKUP(C3273,PrefixUebersetzung,2,FALSE)</f>
        <v>Xmp.video.</v>
      </c>
      <c r="E3273" s="5" t="str">
        <f>MID(F3273,FIND(".",F3273,6)+1,99)</f>
        <v>ThumbnailWidth</v>
      </c>
      <c r="F3273" s="23" t="s">
        <v>6262</v>
      </c>
      <c r="G3273" s="5" t="s">
        <v>9678</v>
      </c>
      <c r="H3273" s="10" t="s">
        <v>6263</v>
      </c>
      <c r="I3273" s="7" t="s">
        <v>6601</v>
      </c>
      <c r="J3273" s="30" t="s">
        <v>6601</v>
      </c>
      <c r="K3273" s="26"/>
      <c r="N3273" s="6"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O3273" s="6" t="s">
        <v>8574</v>
      </c>
      <c r="P3273" s="6" t="s">
        <v>8574</v>
      </c>
      <c r="Q3273" s="6" t="s">
        <v>9183</v>
      </c>
    </row>
    <row r="3274" spans="1:17" ht="30" x14ac:dyDescent="0.25">
      <c r="A3274" s="5" t="str">
        <f>IF(TRIM(I3274)="","",E3274)</f>
        <v/>
      </c>
      <c r="B3274" s="5" t="str">
        <f>IF(TRIM(J3274)="","",H3274)</f>
        <v>Multiplying factor which is helpful in calculation of a particular timecode</v>
      </c>
      <c r="C3274" s="5" t="str">
        <f>LEFT(F3274,FIND(".",F3274,6))</f>
        <v>Xmp.video.</v>
      </c>
      <c r="D3274" s="5" t="str">
        <f>VLOOKUP(C3274,PrefixUebersetzung,2,FALSE)</f>
        <v>Xmp.video.</v>
      </c>
      <c r="E3274" s="5" t="str">
        <f>MID(F3274,FIND(".",F3274,6)+1,99)</f>
        <v>TimecodeScale</v>
      </c>
      <c r="F3274" s="23" t="s">
        <v>6264</v>
      </c>
      <c r="G3274" s="5" t="s">
        <v>9678</v>
      </c>
      <c r="H3274" s="10" t="s">
        <v>6265</v>
      </c>
      <c r="I3274" s="7"/>
      <c r="J3274" s="8" t="s">
        <v>6420</v>
      </c>
      <c r="K3274" s="26"/>
      <c r="N3274" s="6"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v>
      </c>
      <c r="O3274" s="6" t="s">
        <v>8574</v>
      </c>
      <c r="P3274" s="6" t="s">
        <v>8574</v>
      </c>
    </row>
    <row r="3275" spans="1:17" ht="90" x14ac:dyDescent="0.25">
      <c r="A3275" s="5" t="str">
        <f>IF(TRIM(I3275)="","",E3275)</f>
        <v/>
      </c>
      <c r="B3275" s="5" t="str">
        <f>IF(TRIM(J3275)="","",H3275)</f>
        <v/>
      </c>
      <c r="C3275" s="5" t="str">
        <f>LEFT(F3275,FIND(".",F3275,6))</f>
        <v>Xmp.video.</v>
      </c>
      <c r="D3275" s="5" t="str">
        <f>VLOOKUP(C3275,PrefixUebersetzung,2,FALSE)</f>
        <v>Xmp.video.</v>
      </c>
      <c r="E3275" s="5" t="str">
        <f>MID(F3275,FIND(".",F3275,6)+1,99)</f>
        <v>TimeOffset</v>
      </c>
      <c r="F3275" s="23" t="s">
        <v>6266</v>
      </c>
      <c r="G3275" s="5" t="s">
        <v>9678</v>
      </c>
      <c r="H3275" s="10" t="s">
        <v>5732</v>
      </c>
      <c r="I3275" s="7"/>
      <c r="J3275" s="8"/>
      <c r="K3275" s="26"/>
      <c r="L3275" s="6" t="str">
        <f>IFERROR(VLOOKUP(E3275,A:I,9, FALSE),"")</f>
        <v>Zeit-Offset</v>
      </c>
      <c r="M3275" s="6" t="str">
        <f>IFERROR(VLOOKUP(H3275,B:J,9,FALSE),"")</f>
        <v>Gibt die Präsentationszeitversatz des Streams in 100-Nanosekunden-Einheiten an. Dieser Wert ist gleich dem Sendezeitpunkt des ersten verschachtelten Paket in dem Datenabschnitt.</v>
      </c>
      <c r="N3275" s="6"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c>
    </row>
    <row r="3276" spans="1:17" ht="75" x14ac:dyDescent="0.25">
      <c r="A3276" s="5" t="str">
        <f>IF(TRIM(I3276)="","",E3276)</f>
        <v>TimeScale</v>
      </c>
      <c r="B3276" s="5" t="str">
        <f>IF(TRIM(J3276)="","",H3276)</f>
        <v>A time value that indicates the time scale for this movie-that is, the number of time units thatpass per second in its time coordinate system. A time coordinate system that measures timein sixtieths of a second, for example, has a time scale of 60.</v>
      </c>
      <c r="C3276" s="5" t="str">
        <f>LEFT(F3276,FIND(".",F3276,6))</f>
        <v>Xmp.video.</v>
      </c>
      <c r="D3276" s="5" t="str">
        <f>VLOOKUP(C3276,PrefixUebersetzung,2,FALSE)</f>
        <v>Xmp.video.</v>
      </c>
      <c r="E3276" s="5" t="str">
        <f>MID(F3276,FIND(".",F3276,6)+1,99)</f>
        <v>TimeScale</v>
      </c>
      <c r="F3276" s="23" t="s">
        <v>6267</v>
      </c>
      <c r="G3276" s="5" t="s">
        <v>9678</v>
      </c>
      <c r="H3276" s="10" t="s">
        <v>6268</v>
      </c>
      <c r="I3276" s="7" t="s">
        <v>6602</v>
      </c>
      <c r="J3276" s="8" t="s">
        <v>6870</v>
      </c>
      <c r="K3276" s="26"/>
      <c r="N3276" s="6"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c>
      <c r="O3276" s="6" t="s">
        <v>8574</v>
      </c>
      <c r="P3276" s="6" t="s">
        <v>8574</v>
      </c>
    </row>
    <row r="3277" spans="1:17" ht="60" x14ac:dyDescent="0.25">
      <c r="A3277" s="5" t="str">
        <f>IF(TRIM(I3277)="","",E3277)</f>
        <v/>
      </c>
      <c r="B3277" s="5" t="str">
        <f>IF(TRIM(J3277)="","",H3277)</f>
        <v>Contains a general name of the SEGMENT, like 'Lord of the Rings - The Two Towers', however, Tags could be used to define several titles for a segment.</v>
      </c>
      <c r="C3277" s="5" t="str">
        <f>LEFT(F3277,FIND(".",F3277,6))</f>
        <v>Xmp.video.</v>
      </c>
      <c r="D3277" s="5" t="str">
        <f>VLOOKUP(C3277,PrefixUebersetzung,2,FALSE)</f>
        <v>Xmp.video.</v>
      </c>
      <c r="E3277" s="5" t="str">
        <f>MID(F3277,FIND(".",F3277,6)+1,99)</f>
        <v>Title</v>
      </c>
      <c r="F3277" s="23" t="s">
        <v>6269</v>
      </c>
      <c r="G3277" s="5" t="s">
        <v>9678</v>
      </c>
      <c r="H3277" s="10" t="s">
        <v>6270</v>
      </c>
      <c r="I3277" s="7"/>
      <c r="J3277" s="8" t="s">
        <v>6913</v>
      </c>
      <c r="K3277" s="26"/>
      <c r="L3277" s="6" t="str">
        <f>IFERROR(VLOOKUP(E3277,A:I,9, FALSE),"")</f>
        <v>Titel</v>
      </c>
      <c r="N3277" s="6"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c>
      <c r="P3277" s="6" t="s">
        <v>8574</v>
      </c>
    </row>
    <row r="3278" spans="1:17" x14ac:dyDescent="0.25">
      <c r="A3278" s="5" t="str">
        <f>IF(TRIM(I3278)="","",E3278)</f>
        <v/>
      </c>
      <c r="B3278" s="5" t="str">
        <f>IF(TRIM(J3278)="","",H3278)</f>
        <v>Toning Effect Settings Applied.</v>
      </c>
      <c r="C3278" s="5" t="str">
        <f>LEFT(F3278,FIND(".",F3278,6))</f>
        <v>Xmp.video.</v>
      </c>
      <c r="D3278" s="5" t="str">
        <f>VLOOKUP(C3278,PrefixUebersetzung,2,FALSE)</f>
        <v>Xmp.video.</v>
      </c>
      <c r="E3278" s="5" t="str">
        <f>MID(F3278,FIND(".",F3278,6)+1,99)</f>
        <v>ToningEffect</v>
      </c>
      <c r="F3278" s="23" t="s">
        <v>6271</v>
      </c>
      <c r="G3278" s="5" t="s">
        <v>9678</v>
      </c>
      <c r="H3278" s="10" t="s">
        <v>6272</v>
      </c>
      <c r="I3278" s="7"/>
      <c r="J3278" s="8" t="s">
        <v>6914</v>
      </c>
      <c r="K3278" s="26"/>
      <c r="L3278" s="6" t="str">
        <f>IFERROR(VLOOKUP(E3278,A:I,9, FALSE),"")</f>
        <v>Toneffekt</v>
      </c>
      <c r="N3278" s="6"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c>
      <c r="P3278" s="6" t="s">
        <v>8574</v>
      </c>
    </row>
    <row r="3279" spans="1:17" ht="30" x14ac:dyDescent="0.25">
      <c r="A3279" s="5" t="str">
        <f>IF(TRIM(I3279)="","",E3279)</f>
        <v>TotalFrameCount</v>
      </c>
      <c r="B3279" s="5" t="str">
        <f>IF(TRIM(J3279)="","",H3279)</f>
        <v/>
      </c>
      <c r="C3279" s="5" t="str">
        <f>LEFT(F3279,FIND(".",F3279,6))</f>
        <v>Xmp.video.</v>
      </c>
      <c r="D3279" s="5" t="str">
        <f>VLOOKUP(C3279,PrefixUebersetzung,2,FALSE)</f>
        <v>Xmp.video.</v>
      </c>
      <c r="E3279" s="5" t="str">
        <f>MID(F3279,FIND(".",F3279,6)+1,99)</f>
        <v>TotalFrameCount</v>
      </c>
      <c r="F3279" s="23" t="s">
        <v>6273</v>
      </c>
      <c r="G3279" s="5" t="s">
        <v>9678</v>
      </c>
      <c r="H3279" s="10" t="s">
        <v>5951</v>
      </c>
      <c r="I3279" s="7" t="s">
        <v>6603</v>
      </c>
      <c r="J3279" s="8"/>
      <c r="K3279" s="26"/>
      <c r="M3279" s="6" t="str">
        <f>IFERROR(VLOOKUP(H3279,B:J,9,FALSE),"")</f>
        <v>Gesamtzahl von Frames in einem Video</v>
      </c>
      <c r="N3279" s="6"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c>
      <c r="O3279" s="6" t="s">
        <v>8574</v>
      </c>
    </row>
    <row r="3280" spans="1:17" ht="30" x14ac:dyDescent="0.25">
      <c r="A3280" s="5" t="str">
        <f>IF(TRIM(I3280)="","",E3280)</f>
        <v>TotalStream</v>
      </c>
      <c r="B3280" s="5" t="str">
        <f>IF(TRIM(J3280)="","",H3280)</f>
        <v>Total number of streams present in a video. Eg - Video, Audio or Subtitles</v>
      </c>
      <c r="C3280" s="5" t="str">
        <f>LEFT(F3280,FIND(".",F3280,6))</f>
        <v>Xmp.video.</v>
      </c>
      <c r="D3280" s="5" t="str">
        <f>VLOOKUP(C3280,PrefixUebersetzung,2,FALSE)</f>
        <v>Xmp.video.</v>
      </c>
      <c r="E3280" s="5" t="str">
        <f>MID(F3280,FIND(".",F3280,6)+1,99)</f>
        <v>TotalStream</v>
      </c>
      <c r="F3280" s="23" t="s">
        <v>6274</v>
      </c>
      <c r="G3280" s="5" t="s">
        <v>9678</v>
      </c>
      <c r="H3280" s="10" t="s">
        <v>6275</v>
      </c>
      <c r="I3280" s="7" t="s">
        <v>6604</v>
      </c>
      <c r="J3280" s="8" t="s">
        <v>6915</v>
      </c>
      <c r="K3280" s="26"/>
      <c r="N3280" s="6"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c>
      <c r="O3280" s="6" t="s">
        <v>8574</v>
      </c>
      <c r="P3280" s="6" t="s">
        <v>8574</v>
      </c>
    </row>
    <row r="3281" spans="1:17" x14ac:dyDescent="0.25">
      <c r="A3281" s="5" t="str">
        <f>IF(TRIM(I3281)="","",E3281)</f>
        <v>Track</v>
      </c>
      <c r="B3281" s="5" t="str">
        <f>IF(TRIM(J3281)="","",H3281)</f>
        <v>Information about the Track.</v>
      </c>
      <c r="C3281" s="5" t="str">
        <f>LEFT(F3281,FIND(".",F3281,6))</f>
        <v>Xmp.video.</v>
      </c>
      <c r="D3281" s="5" t="str">
        <f>VLOOKUP(C3281,PrefixUebersetzung,2,FALSE)</f>
        <v>Xmp.video.</v>
      </c>
      <c r="E3281" s="5" t="str">
        <f>MID(F3281,FIND(".",F3281,6)+1,99)</f>
        <v>Track</v>
      </c>
      <c r="F3281" s="23" t="s">
        <v>6276</v>
      </c>
      <c r="G3281" s="5" t="s">
        <v>9678</v>
      </c>
      <c r="H3281" s="10" t="s">
        <v>6277</v>
      </c>
      <c r="I3281" s="7" t="s">
        <v>6605</v>
      </c>
      <c r="J3281" s="8" t="s">
        <v>6421</v>
      </c>
      <c r="K3281" s="26"/>
      <c r="N3281" s="6"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c>
      <c r="O3281" s="6" t="s">
        <v>8574</v>
      </c>
      <c r="P3281" s="6" t="s">
        <v>8574</v>
      </c>
    </row>
    <row r="3282" spans="1:17" ht="60" x14ac:dyDescent="0.25">
      <c r="A3282" s="5" t="str">
        <f>IF(TRIM(I3282)="","",E3282)</f>
        <v/>
      </c>
      <c r="B3282" s="5" t="str">
        <f>IF(TRIM(J3282)="","",H3282)</f>
        <v/>
      </c>
      <c r="C3282" s="5" t="str">
        <f>LEFT(F3282,FIND(".",F3282,6))</f>
        <v>Xmp.video.</v>
      </c>
      <c r="D3282" s="5" t="str">
        <f>VLOOKUP(C3282,PrefixUebersetzung,2,FALSE)</f>
        <v>Xmp.video.</v>
      </c>
      <c r="E3282" s="5" t="str">
        <f>MID(F3282,FIND(".",F3282,6)+1,99)</f>
        <v>TrackCreateDate</v>
      </c>
      <c r="F3282" s="23" t="s">
        <v>6278</v>
      </c>
      <c r="G3282" s="5" t="s">
        <v>9678</v>
      </c>
      <c r="H3282" s="10" t="s">
        <v>5734</v>
      </c>
      <c r="I3282" s="7"/>
      <c r="J3282" s="8"/>
      <c r="K3282" s="26"/>
      <c r="L3282" s="6" t="str">
        <f>IFERROR(VLOOKUP(E3282,A:I,9, FALSE),"")</f>
        <v>Track Erzeugungsdatum</v>
      </c>
      <c r="M3282" s="6" t="str">
        <f>IFERROR(VLOOKUP(H3282,B:J,9,FALSE),"")</f>
        <v>Ein 32-Bit-Ganzzahl (in Sekunden seit Mitternacht 1. Januar 1904 ), die angibt, wann der Spur-Header erstellt wurde.</v>
      </c>
      <c r="N3282" s="6"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c>
    </row>
    <row r="3283" spans="1:17" ht="45" x14ac:dyDescent="0.25">
      <c r="A3283" s="5" t="str">
        <f>IF(TRIM(I3283)="","",E3283)</f>
        <v/>
      </c>
      <c r="B3283" s="5" t="str">
        <f>IF(TRIM(J3283)="","",H3283)</f>
        <v/>
      </c>
      <c r="C3283" s="5" t="str">
        <f>LEFT(F3283,FIND(".",F3283,6))</f>
        <v>Xmp.video.</v>
      </c>
      <c r="D3283" s="5" t="str">
        <f>VLOOKUP(C3283,PrefixUebersetzung,2,FALSE)</f>
        <v>Xmp.video.</v>
      </c>
      <c r="E3283" s="5" t="str">
        <f>MID(F3283,FIND(".",F3283,6)+1,99)</f>
        <v>TrackDuration</v>
      </c>
      <c r="F3283" s="23" t="s">
        <v>6279</v>
      </c>
      <c r="G3283" s="5" t="s">
        <v>9678</v>
      </c>
      <c r="H3283" s="10" t="s">
        <v>5736</v>
      </c>
      <c r="I3283" s="7"/>
      <c r="J3283" s="8"/>
      <c r="K3283" s="26"/>
      <c r="L3283" s="6" t="str">
        <f>IFERROR(VLOOKUP(E3283,A:I,9, FALSE),"")</f>
        <v>Track Dauer</v>
      </c>
      <c r="M3283" s="6" t="str">
        <f>IFERROR(VLOOKUP(H3283,B:J,9,FALSE),"")</f>
        <v>Ein Zeitwert, der die Dauer dieser Spur (in Zeit-Koordinatensystem des Films) anzeigt.</v>
      </c>
      <c r="N3283" s="6"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c>
    </row>
    <row r="3284" spans="1:17" x14ac:dyDescent="0.25">
      <c r="A3284" s="5" t="str">
        <f>IF(TRIM(I3284)="","",E3284)</f>
        <v/>
      </c>
      <c r="B3284" s="5" t="str">
        <f>IF(TRIM(J3284)="","",H3284)</f>
        <v>Video Track Forced , i.e. Enabled/Disabled</v>
      </c>
      <c r="C3284" s="5" t="str">
        <f>LEFT(F3284,FIND(".",F3284,6))</f>
        <v>Xmp.video.</v>
      </c>
      <c r="D3284" s="5" t="str">
        <f>VLOOKUP(C3284,PrefixUebersetzung,2,FALSE)</f>
        <v>Xmp.video.</v>
      </c>
      <c r="E3284" s="5" t="str">
        <f>MID(F3284,FIND(".",F3284,6)+1,99)</f>
        <v>TrackForced</v>
      </c>
      <c r="F3284" s="23" t="s">
        <v>6280</v>
      </c>
      <c r="G3284" s="5" t="s">
        <v>9678</v>
      </c>
      <c r="H3284" s="10" t="s">
        <v>6281</v>
      </c>
      <c r="I3284" s="7"/>
      <c r="J3284" s="8" t="s">
        <v>6796</v>
      </c>
      <c r="K3284" s="26"/>
      <c r="L3284" s="6" t="str">
        <f>IFERROR(VLOOKUP(E3284,A:I,9, FALSE),"")</f>
        <v>Track erzwungen</v>
      </c>
      <c r="N3284" s="6"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c>
      <c r="P3284" s="6" t="s">
        <v>8574</v>
      </c>
    </row>
    <row r="3285" spans="1:17" ht="30" x14ac:dyDescent="0.25">
      <c r="A3285" s="5" t="str">
        <f>IF(TRIM(I3285)="","",E3285)</f>
        <v/>
      </c>
      <c r="B3285" s="5" t="str">
        <f>IF(TRIM(J3285)="","",H3285)</f>
        <v/>
      </c>
      <c r="C3285" s="5" t="str">
        <f>LEFT(F3285,FIND(".",F3285,6))</f>
        <v>Xmp.video.</v>
      </c>
      <c r="D3285" s="5" t="str">
        <f>VLOOKUP(C3285,PrefixUebersetzung,2,FALSE)</f>
        <v>Xmp.video.</v>
      </c>
      <c r="E3285" s="5" t="str">
        <f>MID(F3285,FIND(".",F3285,6)+1,99)</f>
        <v>TrackHeaderVersion</v>
      </c>
      <c r="F3285" s="23" t="s">
        <v>6282</v>
      </c>
      <c r="G3285" s="5" t="s">
        <v>9678</v>
      </c>
      <c r="H3285" s="10" t="s">
        <v>5740</v>
      </c>
      <c r="I3285" s="7"/>
      <c r="J3285" s="8"/>
      <c r="K3285" s="26"/>
      <c r="L3285" s="6" t="str">
        <f>IFERROR(VLOOKUP(E3285,A:I,9, FALSE),"")</f>
        <v>Track HeaderVersion</v>
      </c>
      <c r="M3285" s="6" t="str">
        <f>IFERROR(VLOOKUP(H3285,B:J,9,FALSE),"")</f>
        <v>Eine 1-Byte-Spezifikation der Version dieses Track-Headers</v>
      </c>
      <c r="N3285" s="6"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row>
    <row r="3286" spans="1:17" ht="45" x14ac:dyDescent="0.25">
      <c r="A3286" s="5" t="str">
        <f>IF(TRIM(I3286)="","",E3286)</f>
        <v/>
      </c>
      <c r="B3286" s="5" t="str">
        <f>IF(TRIM(J3286)="","",H3286)</f>
        <v/>
      </c>
      <c r="C3286" s="5" t="str">
        <f>LEFT(F3286,FIND(".",F3286,6))</f>
        <v>Xmp.video.</v>
      </c>
      <c r="D3286" s="5" t="str">
        <f>VLOOKUP(C3286,PrefixUebersetzung,2,FALSE)</f>
        <v>Xmp.video.</v>
      </c>
      <c r="E3286" s="5" t="str">
        <f>MID(F3286,FIND(".",F3286,6)+1,99)</f>
        <v>TrackID</v>
      </c>
      <c r="F3286" s="23" t="s">
        <v>6283</v>
      </c>
      <c r="G3286" s="5" t="s">
        <v>9678</v>
      </c>
      <c r="H3286" s="10" t="s">
        <v>5742</v>
      </c>
      <c r="I3286" s="7"/>
      <c r="J3286" s="8"/>
      <c r="K3286" s="26"/>
      <c r="L3286" s="6" t="str">
        <f>IFERROR(VLOOKUP(E3286,A:I,9, FALSE),"")</f>
        <v>Track Id</v>
      </c>
      <c r="M3286" s="6" t="str">
        <f>IFERROR(VLOOKUP(H3286,B:J,9,FALSE),"")</f>
        <v>Ein 32-Bit-Ganzzahl, die die Spur eindeutig identifiziert. Der Wert 0 kann nicht verwendet werden.</v>
      </c>
      <c r="N3286" s="6"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c>
    </row>
    <row r="3287" spans="1:17" x14ac:dyDescent="0.25">
      <c r="A3287" s="5" t="str">
        <f>IF(TRIM(I3287)="","",E3287)</f>
        <v/>
      </c>
      <c r="B3287" s="5" t="str">
        <f>IF(TRIM(J3287)="","",H3287)</f>
        <v/>
      </c>
      <c r="C3287" s="5" t="str">
        <f>LEFT(F3287,FIND(".",F3287,6))</f>
        <v>Xmp.video.</v>
      </c>
      <c r="D3287" s="5" t="str">
        <f>VLOOKUP(C3287,PrefixUebersetzung,2,FALSE)</f>
        <v>Xmp.video.</v>
      </c>
      <c r="E3287" s="5" t="str">
        <f>MID(F3287,FIND(".",F3287,6)+1,99)</f>
        <v>TrackLacing</v>
      </c>
      <c r="F3287" s="23" t="s">
        <v>6284</v>
      </c>
      <c r="G3287" s="5" t="s">
        <v>9678</v>
      </c>
      <c r="H3287" s="10" t="s">
        <v>6285</v>
      </c>
      <c r="I3287" s="7"/>
      <c r="K3287" s="26"/>
      <c r="L3287" s="6" t="str">
        <f>IFERROR(VLOOKUP(E3287,A:I,9, FALSE),"")</f>
        <v/>
      </c>
      <c r="N3287" s="6"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xml:space="preserve">Suffix not translated Description not translated </v>
      </c>
      <c r="P3287" s="6" t="s">
        <v>8574</v>
      </c>
    </row>
    <row r="3288" spans="1:17" ht="30" x14ac:dyDescent="0.25">
      <c r="A3288" s="5" t="str">
        <f>IF(TRIM(I3288)="","",E3288)</f>
        <v/>
      </c>
      <c r="B3288" s="5" t="str">
        <f>IF(TRIM(J3288)="","",H3288)</f>
        <v/>
      </c>
      <c r="C3288" s="5" t="str">
        <f>LEFT(F3288,FIND(".",F3288,6))</f>
        <v>Xmp.video.</v>
      </c>
      <c r="D3288" s="5" t="str">
        <f>VLOOKUP(C3288,PrefixUebersetzung,2,FALSE)</f>
        <v>Xmp.video.</v>
      </c>
      <c r="E3288" s="5" t="str">
        <f>MID(F3288,FIND(".",F3288,6)+1,99)</f>
        <v>TrackLang</v>
      </c>
      <c r="F3288" s="23" t="s">
        <v>6286</v>
      </c>
      <c r="G3288" s="5" t="s">
        <v>9678</v>
      </c>
      <c r="H3288" s="10" t="s">
        <v>5746</v>
      </c>
      <c r="I3288" s="7"/>
      <c r="J3288" s="8"/>
      <c r="K3288" s="26"/>
      <c r="L3288" s="6" t="str">
        <f>IFERROR(VLOOKUP(E3288,A:I,9, FALSE),"")</f>
        <v>Track Sprache</v>
      </c>
      <c r="M3288" s="6" t="str">
        <f>IFERROR(VLOOKUP(H3288,B:J,9,FALSE),"")</f>
        <v>Die Sprache, in der ein bestimmter Stream aufgezeichnet wurde.</v>
      </c>
      <c r="N3288" s="6"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row>
    <row r="3289" spans="1:17" ht="120" x14ac:dyDescent="0.25">
      <c r="A3289" s="5" t="str">
        <f>IF(TRIM(I3289)="","",E3289)</f>
        <v/>
      </c>
      <c r="B3289" s="5" t="str">
        <f>IF(TRIM(J3289)="","",H3289)</f>
        <v/>
      </c>
      <c r="C3289" s="5" t="str">
        <f>LEFT(F3289,FIND(".",F3289,6))</f>
        <v>Xmp.video.</v>
      </c>
      <c r="D3289" s="5" t="str">
        <f>VLOOKUP(C3289,PrefixUebersetzung,2,FALSE)</f>
        <v>Xmp.video.</v>
      </c>
      <c r="E3289" s="5" t="str">
        <f>MID(F3289,FIND(".",F3289,6)+1,99)</f>
        <v>TrackLayer</v>
      </c>
      <c r="F3289" s="23" t="s">
        <v>6287</v>
      </c>
      <c r="G3289" s="5" t="s">
        <v>9678</v>
      </c>
      <c r="H3289" s="10" t="s">
        <v>5748</v>
      </c>
      <c r="I3289" s="7"/>
      <c r="J3289" s="8"/>
      <c r="K3289" s="26"/>
      <c r="L3289" s="6" t="str">
        <f>IFERROR(VLOOKUP(E3289,A:I,9, FALSE),"")</f>
        <v/>
      </c>
      <c r="M3289" s="6" t="str">
        <f>IFERROR(VLOOKUP(H3289,B:J,9,FALSE),"")</f>
        <v>Ein 16-Bit-Ganzzahl, die die räumliche Priorität dieser Spur in seinem Film zeigt. Die Quicktime-Movie-Toolbox verwendet diesen Wert um zu bestimmen, wie Spuren sich überlagern. Tracks mit niedrigeren Layer-Wert werden vor Tracks mit höheren Layer-Werte angezeigt.</v>
      </c>
      <c r="N3289" s="6"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v>
      </c>
    </row>
    <row r="3290" spans="1:17" ht="60" x14ac:dyDescent="0.25">
      <c r="A3290" s="5" t="str">
        <f>IF(TRIM(I3290)="","",E3290)</f>
        <v/>
      </c>
      <c r="B3290" s="5" t="str">
        <f>IF(TRIM(J3290)="","",H3290)</f>
        <v/>
      </c>
      <c r="C3290" s="5" t="str">
        <f>LEFT(F3290,FIND(".",F3290,6))</f>
        <v>Xmp.video.</v>
      </c>
      <c r="D3290" s="5" t="str">
        <f>VLOOKUP(C3290,PrefixUebersetzung,2,FALSE)</f>
        <v>Xmp.video.</v>
      </c>
      <c r="E3290" s="5" t="str">
        <f>MID(F3290,FIND(".",F3290,6)+1,99)</f>
        <v>TrackModifyDate</v>
      </c>
      <c r="F3290" s="23" t="s">
        <v>6288</v>
      </c>
      <c r="G3290" s="5" t="s">
        <v>9678</v>
      </c>
      <c r="H3290" s="10" t="s">
        <v>5750</v>
      </c>
      <c r="I3290" s="7"/>
      <c r="J3290" s="8"/>
      <c r="K3290" s="26"/>
      <c r="L3290" s="6" t="str">
        <f>IFERROR(VLOOKUP(E3290,A:I,9, FALSE),"")</f>
        <v>Track Veränderungsdatum</v>
      </c>
      <c r="M3290" s="6" t="str">
        <f>IFERROR(VLOOKUP(H3290,B:J,9,FALSE),"")</f>
        <v>Ein 32-Bit-Ganzzahl (in Sekunden seit Mitternacht 1. Januar 1904 ), die angibt, wann der Spur-Header zuletzt verändert wurde.</v>
      </c>
      <c r="N3290" s="6"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c>
    </row>
    <row r="3291" spans="1:17" ht="30" x14ac:dyDescent="0.25">
      <c r="A3291" s="5" t="str">
        <f>IF(TRIM(I3291)="","",E3291)</f>
        <v>TrackName</v>
      </c>
      <c r="B3291" s="5" t="str">
        <f>IF(TRIM(J3291)="","",H3291)</f>
        <v>Track Name could be used to define titles for a segment.</v>
      </c>
      <c r="C3291" s="5" t="str">
        <f>LEFT(F3291,FIND(".",F3291,6))</f>
        <v>Xmp.video.</v>
      </c>
      <c r="D3291" s="5" t="str">
        <f>VLOOKUP(C3291,PrefixUebersetzung,2,FALSE)</f>
        <v>Xmp.video.</v>
      </c>
      <c r="E3291" s="5" t="str">
        <f>MID(F3291,FIND(".",F3291,6)+1,99)</f>
        <v>TrackName</v>
      </c>
      <c r="F3291" s="23" t="s">
        <v>6289</v>
      </c>
      <c r="G3291" s="5" t="s">
        <v>9678</v>
      </c>
      <c r="H3291" s="10" t="s">
        <v>6290</v>
      </c>
      <c r="I3291" s="7" t="s">
        <v>6606</v>
      </c>
      <c r="J3291" s="8" t="s">
        <v>6916</v>
      </c>
      <c r="K3291" s="26"/>
      <c r="N3291" s="6"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O3291" s="6" t="s">
        <v>8574</v>
      </c>
      <c r="P3291" s="6" t="s">
        <v>8574</v>
      </c>
    </row>
    <row r="3292" spans="1:17" x14ac:dyDescent="0.25">
      <c r="A3292" s="5" t="str">
        <f>IF(TRIM(I3292)="","",E3292)</f>
        <v>TrackNumber</v>
      </c>
      <c r="B3292" s="5" t="str">
        <f>IF(TRIM(J3292)="","",H3292)</f>
        <v>Track Number.</v>
      </c>
      <c r="C3292" s="5" t="str">
        <f>LEFT(F3292,FIND(".",F3292,6))</f>
        <v>Xmp.video.</v>
      </c>
      <c r="D3292" s="5" t="str">
        <f>VLOOKUP(C3292,PrefixUebersetzung,2,FALSE)</f>
        <v>Xmp.video.</v>
      </c>
      <c r="E3292" s="5" t="str">
        <f>MID(F3292,FIND(".",F3292,6)+1,99)</f>
        <v>TrackNumber</v>
      </c>
      <c r="F3292" s="23" t="s">
        <v>6291</v>
      </c>
      <c r="G3292" s="5" t="s">
        <v>9678</v>
      </c>
      <c r="H3292" s="10" t="s">
        <v>6292</v>
      </c>
      <c r="I3292" s="7" t="s">
        <v>4636</v>
      </c>
      <c r="J3292" s="14" t="s">
        <v>4636</v>
      </c>
      <c r="K3292" s="26"/>
      <c r="L3292" s="6" t="str">
        <f>IFERROR(VLOOKUP(E3292,A:I,9, FALSE),"")</f>
        <v>Track-Nummer</v>
      </c>
      <c r="N3292" s="6"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c>
      <c r="O3292" s="6" t="s">
        <v>8574</v>
      </c>
      <c r="P3292" s="6" t="s">
        <v>8574</v>
      </c>
      <c r="Q3292" s="6" t="s">
        <v>9512</v>
      </c>
    </row>
    <row r="3293" spans="1:17" ht="60" x14ac:dyDescent="0.25">
      <c r="A3293" s="5" t="str">
        <f>IF(TRIM(I3293)="","",E3293)</f>
        <v/>
      </c>
      <c r="B3293" s="5" t="str">
        <f>IF(TRIM(J3293)="","",H3293)</f>
        <v/>
      </c>
      <c r="C3293" s="5" t="str">
        <f>LEFT(F3293,FIND(".",F3293,6))</f>
        <v>Xmp.video.</v>
      </c>
      <c r="D3293" s="5" t="str">
        <f>VLOOKUP(C3293,PrefixUebersetzung,2,FALSE)</f>
        <v>Xmp.video.</v>
      </c>
      <c r="E3293" s="5" t="str">
        <f>MID(F3293,FIND(".",F3293,6)+1,99)</f>
        <v>TrackVolume</v>
      </c>
      <c r="F3293" s="23" t="s">
        <v>6293</v>
      </c>
      <c r="G3293" s="5" t="s">
        <v>9678</v>
      </c>
      <c r="H3293" s="10" t="s">
        <v>5752</v>
      </c>
      <c r="I3293" s="7"/>
      <c r="J3293" s="8"/>
      <c r="K3293" s="26"/>
      <c r="L3293" s="6" t="str">
        <f>IFERROR(VLOOKUP(E3293,A:I,9, FALSE),"")</f>
        <v>Track Lautstärke</v>
      </c>
      <c r="M3293" s="6" t="str">
        <f>IFERROR(VLOOKUP(H3293,B:J,9,FALSE),"")</f>
        <v>Ein 16-Bit-Festpunktzahl, die angibt, wie laut diesen Track Sound zu spielen ist. Ein Wert von 1,0 bedeutet volle Lautstärke.</v>
      </c>
      <c r="N3293" s="6"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c>
    </row>
    <row r="3294" spans="1:17" ht="30" x14ac:dyDescent="0.25">
      <c r="A3294" s="5" t="str">
        <f>IF(TRIM(I3294)="","",E3294)</f>
        <v/>
      </c>
      <c r="B3294" s="5" t="str">
        <f>IF(TRIM(J3294)="","",H3294)</f>
        <v>Chapter Translate Codec information. Usually used in Matroska file type.</v>
      </c>
      <c r="C3294" s="5" t="str">
        <f>LEFT(F3294,FIND(".",F3294,6))</f>
        <v>Xmp.video.</v>
      </c>
      <c r="D3294" s="5" t="str">
        <f>VLOOKUP(C3294,PrefixUebersetzung,2,FALSE)</f>
        <v>Xmp.video.</v>
      </c>
      <c r="E3294" s="5" t="str">
        <f>MID(F3294,FIND(".",F3294,6)+1,99)</f>
        <v>TranslateCodec</v>
      </c>
      <c r="F3294" s="23" t="s">
        <v>6294</v>
      </c>
      <c r="G3294" s="5" t="s">
        <v>9678</v>
      </c>
      <c r="H3294" s="10" t="s">
        <v>9651</v>
      </c>
      <c r="I3294" s="7"/>
      <c r="J3294" s="8" t="s">
        <v>6917</v>
      </c>
      <c r="K3294" s="26"/>
      <c r="N3294" s="6"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v>
      </c>
      <c r="O3294" s="6" t="s">
        <v>8574</v>
      </c>
      <c r="P3294" s="6" t="s">
        <v>8574</v>
      </c>
    </row>
    <row r="3295" spans="1:17" ht="30" x14ac:dyDescent="0.25">
      <c r="A3295" s="5" t="str">
        <f>IF(TRIM(I3295)="","",E3295)</f>
        <v>UnknownInfo</v>
      </c>
      <c r="B3295" s="5" t="str">
        <f>IF(TRIM(J3295)="","",H3295)</f>
        <v>Unknown / Unregistered Metadata Tags and their values.</v>
      </c>
      <c r="C3295" s="5" t="str">
        <f>LEFT(F3295,FIND(".",F3295,6))</f>
        <v>Xmp.video.</v>
      </c>
      <c r="D3295" s="5" t="str">
        <f>VLOOKUP(C3295,PrefixUebersetzung,2,FALSE)</f>
        <v>Xmp.video.</v>
      </c>
      <c r="E3295" s="5" t="str">
        <f>MID(F3295,FIND(".",F3295,6)+1,99)</f>
        <v>UnknownInfo</v>
      </c>
      <c r="F3295" s="23" t="s">
        <v>6295</v>
      </c>
      <c r="G3295" s="5" t="s">
        <v>9678</v>
      </c>
      <c r="H3295" s="10" t="s">
        <v>6296</v>
      </c>
      <c r="I3295" s="7" t="s">
        <v>6607</v>
      </c>
      <c r="J3295" s="8" t="s">
        <v>6918</v>
      </c>
      <c r="K3295" s="26"/>
      <c r="M3295" s="6" t="str">
        <f>IFERROR(VLOOKUP(H3295,B:J,9,FALSE),"")</f>
        <v>Unbekannte / unregistrierte Metadaten-Tags und deren Werte.</v>
      </c>
      <c r="N3295" s="6"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c>
      <c r="O3295" s="6" t="s">
        <v>8574</v>
      </c>
      <c r="P3295" s="6" t="s">
        <v>8574</v>
      </c>
    </row>
    <row r="3296" spans="1:17" ht="30" x14ac:dyDescent="0.25">
      <c r="A3296" s="5" t="str">
        <f>IF(TRIM(I3296)="","",E3296)</f>
        <v>UnknownInfo2</v>
      </c>
      <c r="B3296" s="5" t="str">
        <f>IF(TRIM(J3296)="","",H3296)</f>
        <v/>
      </c>
      <c r="C3296" s="5" t="str">
        <f>LEFT(F3296,FIND(".",F3296,6))</f>
        <v>Xmp.video.</v>
      </c>
      <c r="D3296" s="5" t="str">
        <f>VLOOKUP(C3296,PrefixUebersetzung,2,FALSE)</f>
        <v>Xmp.video.</v>
      </c>
      <c r="E3296" s="5" t="str">
        <f>MID(F3296,FIND(".",F3296,6)+1,99)</f>
        <v>UnknownInfo2</v>
      </c>
      <c r="F3296" s="23" t="s">
        <v>6297</v>
      </c>
      <c r="G3296" s="5" t="s">
        <v>9678</v>
      </c>
      <c r="H3296" s="10" t="s">
        <v>6296</v>
      </c>
      <c r="I3296" s="7" t="s">
        <v>6608</v>
      </c>
      <c r="J3296" s="8"/>
      <c r="K3296" s="26"/>
      <c r="M3296" s="6" t="str">
        <f>IFERROR(VLOOKUP(H3296,B:J,9,FALSE),"")</f>
        <v>Unbekannte / unregistrierte Metadaten-Tags und deren Werte.</v>
      </c>
      <c r="N3296" s="6"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c>
      <c r="O3296" s="6" t="s">
        <v>8574</v>
      </c>
    </row>
    <row r="3297" spans="1:17" ht="45" x14ac:dyDescent="0.25">
      <c r="A3297" s="5" t="str">
        <f>IF(TRIM(I3297)="","",E3297)</f>
        <v/>
      </c>
      <c r="B3297" s="5" t="str">
        <f>IF(TRIM(J3297)="","",H3297)</f>
        <v/>
      </c>
      <c r="C3297" s="5" t="str">
        <f>LEFT(F3297,FIND(".",F3297,6))</f>
        <v>Xmp.video.</v>
      </c>
      <c r="D3297" s="5" t="str">
        <f>VLOOKUP(C3297,PrefixUebersetzung,2,FALSE)</f>
        <v>Xmp.video.</v>
      </c>
      <c r="E3297" s="5" t="str">
        <f>MID(F3297,FIND(".",F3297,6)+1,99)</f>
        <v>URL</v>
      </c>
      <c r="F3297" s="23" t="s">
        <v>6298</v>
      </c>
      <c r="G3297" s="5" t="s">
        <v>9678</v>
      </c>
      <c r="H3297" s="10" t="s">
        <v>5754</v>
      </c>
      <c r="I3297" s="7"/>
      <c r="J3297" s="8"/>
      <c r="K3297" s="26"/>
      <c r="L3297" s="6" t="str">
        <f>IFERROR(VLOOKUP(E3297,A:I,9, FALSE),"")</f>
        <v>URL</v>
      </c>
      <c r="M3297" s="6" t="str">
        <f>IFERROR(VLOOKUP(H3297,B:J,9,FALSE),"")</f>
        <v>Ein C-String, der die URL angibt. Es kann zusätzliche Daten nach dem C-String geben.</v>
      </c>
      <c r="N3297" s="6"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c>
    </row>
    <row r="3298" spans="1:17" ht="45" x14ac:dyDescent="0.25">
      <c r="A3298" s="5" t="str">
        <f>IF(TRIM(I3298)="","",E3298)</f>
        <v/>
      </c>
      <c r="B3298" s="5" t="str">
        <f>IF(TRIM(J3298)="","",H3298)</f>
        <v/>
      </c>
      <c r="C3298" s="5" t="str">
        <f>LEFT(F3298,FIND(".",F3298,6))</f>
        <v>Xmp.video.</v>
      </c>
      <c r="D3298" s="5" t="str">
        <f>VLOOKUP(C3298,PrefixUebersetzung,2,FALSE)</f>
        <v>Xmp.video.</v>
      </c>
      <c r="E3298" s="5" t="str">
        <f>MID(F3298,FIND(".",F3298,6)+1,99)</f>
        <v>URN</v>
      </c>
      <c r="F3298" s="23" t="s">
        <v>6299</v>
      </c>
      <c r="G3298" s="5" t="s">
        <v>9678</v>
      </c>
      <c r="H3298" s="10" t="s">
        <v>5756</v>
      </c>
      <c r="I3298" s="7"/>
      <c r="J3298" s="8"/>
      <c r="K3298" s="26"/>
      <c r="L3298" s="6" t="str">
        <f>IFERROR(VLOOKUP(E3298,A:I,9, FALSE),"")</f>
        <v>URN</v>
      </c>
      <c r="M3298" s="6" t="str">
        <f>IFERROR(VLOOKUP(H3298,B:J,9,FALSE),"")</f>
        <v>Ein C-String, der eine URN gibt. Es kann zusätzliche Daten nach dem C-String geben.</v>
      </c>
      <c r="N3298" s="6"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c>
    </row>
    <row r="3299" spans="1:17" ht="30" x14ac:dyDescent="0.25">
      <c r="A3299" s="5" t="str">
        <f>IF(TRIM(I3299)="","",E3299)</f>
        <v/>
      </c>
      <c r="B3299" s="5" t="str">
        <f>IF(TRIM(J3299)="","",H3299)</f>
        <v>Software settings used to generate / create Video data.</v>
      </c>
      <c r="C3299" s="5" t="str">
        <f>LEFT(F3299,FIND(".",F3299,6))</f>
        <v>Xmp.video.</v>
      </c>
      <c r="D3299" s="5" t="str">
        <f>VLOOKUP(C3299,PrefixUebersetzung,2,FALSE)</f>
        <v>Xmp.video.</v>
      </c>
      <c r="E3299" s="5" t="str">
        <f>MID(F3299,FIND(".",F3299,6)+1,99)</f>
        <v>VariProgram</v>
      </c>
      <c r="F3299" s="23" t="s">
        <v>6300</v>
      </c>
      <c r="G3299" s="5" t="s">
        <v>9678</v>
      </c>
      <c r="H3299" s="10" t="s">
        <v>6301</v>
      </c>
      <c r="I3299" s="7"/>
      <c r="J3299" s="8" t="s">
        <v>6919</v>
      </c>
      <c r="K3299" s="26"/>
      <c r="L3299" s="6" t="str">
        <f>IFERROR(VLOOKUP(E3299,A:I,9, FALSE),"")</f>
        <v>Programm Variation</v>
      </c>
      <c r="N3299" s="6"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c>
      <c r="P3299" s="6" t="s">
        <v>8574</v>
      </c>
    </row>
    <row r="3300" spans="1:17" x14ac:dyDescent="0.25">
      <c r="A3300" s="5" t="str">
        <f>IF(TRIM(I3300)="","",E3300)</f>
        <v>VegasVersionMajor</v>
      </c>
      <c r="B3300" s="5" t="str">
        <f>IF(TRIM(J3300)="","",H3300)</f>
        <v>Vegas Version Major.</v>
      </c>
      <c r="C3300" s="5" t="str">
        <f>LEFT(F3300,FIND(".",F3300,6))</f>
        <v>Xmp.video.</v>
      </c>
      <c r="D3300" s="5" t="str">
        <f>VLOOKUP(C3300,PrefixUebersetzung,2,FALSE)</f>
        <v>Xmp.video.</v>
      </c>
      <c r="E3300" s="5" t="str">
        <f>MID(F3300,FIND(".",F3300,6)+1,99)</f>
        <v>VegasVersionMajor</v>
      </c>
      <c r="F3300" s="23" t="s">
        <v>6302</v>
      </c>
      <c r="G3300" s="5" t="s">
        <v>9678</v>
      </c>
      <c r="H3300" s="10" t="s">
        <v>6303</v>
      </c>
      <c r="I3300" s="7" t="s">
        <v>6609</v>
      </c>
      <c r="J3300" s="14" t="s">
        <v>6609</v>
      </c>
      <c r="K3300" s="26"/>
      <c r="N3300" s="6"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c>
      <c r="O3300" s="6" t="s">
        <v>8574</v>
      </c>
      <c r="P3300" s="6" t="s">
        <v>8574</v>
      </c>
    </row>
    <row r="3301" spans="1:17" x14ac:dyDescent="0.25">
      <c r="A3301" s="5" t="str">
        <f>IF(TRIM(I3301)="","",E3301)</f>
        <v>VegasVersionMinor</v>
      </c>
      <c r="B3301" s="5" t="str">
        <f>IF(TRIM(J3301)="","",H3301)</f>
        <v>Vegas Version Minor.</v>
      </c>
      <c r="C3301" s="5" t="str">
        <f>LEFT(F3301,FIND(".",F3301,6))</f>
        <v>Xmp.video.</v>
      </c>
      <c r="D3301" s="5" t="str">
        <f>VLOOKUP(C3301,PrefixUebersetzung,2,FALSE)</f>
        <v>Xmp.video.</v>
      </c>
      <c r="E3301" s="5" t="str">
        <f>MID(F3301,FIND(".",F3301,6)+1,99)</f>
        <v>VegasVersionMinor</v>
      </c>
      <c r="F3301" s="23" t="s">
        <v>6304</v>
      </c>
      <c r="G3301" s="5" t="s">
        <v>9678</v>
      </c>
      <c r="H3301" s="10" t="s">
        <v>6305</v>
      </c>
      <c r="I3301" s="7" t="s">
        <v>6610</v>
      </c>
      <c r="J3301" s="14" t="s">
        <v>6610</v>
      </c>
      <c r="K3301" s="26"/>
      <c r="N3301" s="6"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c>
      <c r="O3301" s="6" t="s">
        <v>8574</v>
      </c>
      <c r="P3301" s="6" t="s">
        <v>8574</v>
      </c>
    </row>
    <row r="3302" spans="1:17" ht="30" x14ac:dyDescent="0.25">
      <c r="A3302" s="5" t="str">
        <f>IF(TRIM(I3302)="","",E3302)</f>
        <v>Vendor</v>
      </c>
      <c r="B3302" s="5" t="str">
        <f>IF(TRIM(J3302)="","",H3302)</f>
        <v>The developer of the compressor that generated the compressed data.</v>
      </c>
      <c r="C3302" s="5" t="str">
        <f>LEFT(F3302,FIND(".",F3302,6))</f>
        <v>Xmp.video.</v>
      </c>
      <c r="D3302" s="5" t="str">
        <f>VLOOKUP(C3302,PrefixUebersetzung,2,FALSE)</f>
        <v>Xmp.video.</v>
      </c>
      <c r="E3302" s="5" t="str">
        <f>MID(F3302,FIND(".",F3302,6)+1,99)</f>
        <v>Vendor</v>
      </c>
      <c r="F3302" s="23" t="s">
        <v>6306</v>
      </c>
      <c r="G3302" s="5" t="s">
        <v>9678</v>
      </c>
      <c r="H3302" s="10" t="s">
        <v>6307</v>
      </c>
      <c r="I3302" s="7" t="s">
        <v>6484</v>
      </c>
      <c r="J3302" s="8" t="s">
        <v>6920</v>
      </c>
      <c r="K3302" s="26"/>
      <c r="N3302" s="6"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c>
      <c r="O3302" s="6" t="s">
        <v>8574</v>
      </c>
      <c r="P3302" s="6" t="s">
        <v>8574</v>
      </c>
    </row>
    <row r="3303" spans="1:17" ht="75" x14ac:dyDescent="0.25">
      <c r="A3303" s="5" t="str">
        <f>IF(TRIM(I3303)="","",E3303)</f>
        <v/>
      </c>
      <c r="B3303" s="5" t="str">
        <f>IF(TRIM(J3303)="","",H3303)</f>
        <v/>
      </c>
      <c r="C3303" s="5" t="str">
        <f>LEFT(F3303,FIND(".",F3303,6))</f>
        <v>Xmp.video.</v>
      </c>
      <c r="D3303" s="5" t="str">
        <f>VLOOKUP(C3303,PrefixUebersetzung,2,FALSE)</f>
        <v>Xmp.video.</v>
      </c>
      <c r="E3303" s="5" t="str">
        <f>MID(F3303,FIND(".",F3303,6)+1,99)</f>
        <v>VendorID</v>
      </c>
      <c r="F3303" s="23" t="s">
        <v>6308</v>
      </c>
      <c r="G3303" s="5" t="s">
        <v>9678</v>
      </c>
      <c r="H3303" s="10" t="s">
        <v>5758</v>
      </c>
      <c r="I3303" s="7"/>
      <c r="J3303" s="8"/>
      <c r="K3303" s="26"/>
      <c r="L3303" s="6" t="str">
        <f>IFERROR(VLOOKUP(E3303,A:I,9, FALSE),"")</f>
        <v>Anbieter Id</v>
      </c>
      <c r="M3303" s="6" t="str">
        <f>IFERROR(VLOOKUP(H3303,B:J,9,FALSE),"")</f>
        <v>Ein 32-Bit-Ganzzahl, die den Entwickler des Komprimierers, der die komprimierten Daten erzeugt, angibt. Häufig enthält dieses Feld "Appl", um Apple Computer, Inc. Anzuzeigen</v>
      </c>
      <c r="N3303" s="6"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c>
    </row>
    <row r="3304" spans="1:17" x14ac:dyDescent="0.25">
      <c r="A3304" s="5" t="str">
        <f>IF(TRIM(I3304)="","",E3304)</f>
        <v/>
      </c>
      <c r="B3304" s="5" t="str">
        <f>IF(TRIM(J3304)="","",H3304)</f>
        <v>Video Stream Quality</v>
      </c>
      <c r="C3304" s="5" t="str">
        <f>LEFT(F3304,FIND(".",F3304,6))</f>
        <v>Xmp.video.</v>
      </c>
      <c r="D3304" s="5" t="str">
        <f>VLOOKUP(C3304,PrefixUebersetzung,2,FALSE)</f>
        <v>Xmp.video.</v>
      </c>
      <c r="E3304" s="5" t="str">
        <f>MID(F3304,FIND(".",F3304,6)+1,99)</f>
        <v>VideoQuality</v>
      </c>
      <c r="F3304" s="23" t="s">
        <v>6309</v>
      </c>
      <c r="G3304" s="5" t="s">
        <v>9678</v>
      </c>
      <c r="H3304" s="10" t="s">
        <v>6310</v>
      </c>
      <c r="I3304" s="7"/>
      <c r="J3304" s="8" t="s">
        <v>6422</v>
      </c>
      <c r="K3304" s="26"/>
      <c r="L3304" s="6" t="str">
        <f>IFERROR(VLOOKUP(E3304,A:I,9, FALSE),"")</f>
        <v>Video Qualität</v>
      </c>
      <c r="N3304" s="6"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c>
      <c r="P3304" s="6" t="s">
        <v>8574</v>
      </c>
      <c r="Q3304" s="6" t="s">
        <v>9328</v>
      </c>
    </row>
    <row r="3305" spans="1:17" x14ac:dyDescent="0.25">
      <c r="A3305" s="5" t="str">
        <f>IF(TRIM(I3305)="","",E3305)</f>
        <v>VideoSampleSize</v>
      </c>
      <c r="B3305" s="5" t="str">
        <f>IF(TRIM(J3305)="","",H3305)</f>
        <v>Video Stream Sample Size</v>
      </c>
      <c r="C3305" s="5" t="str">
        <f>LEFT(F3305,FIND(".",F3305,6))</f>
        <v>Xmp.video.</v>
      </c>
      <c r="D3305" s="5" t="str">
        <f>VLOOKUP(C3305,PrefixUebersetzung,2,FALSE)</f>
        <v>Xmp.video.</v>
      </c>
      <c r="E3305" s="5" t="str">
        <f>MID(F3305,FIND(".",F3305,6)+1,99)</f>
        <v>VideoSampleSize</v>
      </c>
      <c r="F3305" s="23" t="s">
        <v>6311</v>
      </c>
      <c r="G3305" s="5" t="s">
        <v>9678</v>
      </c>
      <c r="H3305" s="10" t="s">
        <v>6312</v>
      </c>
      <c r="I3305" s="7" t="s">
        <v>6612</v>
      </c>
      <c r="J3305" s="14" t="s">
        <v>6921</v>
      </c>
      <c r="K3305" s="26"/>
      <c r="N3305" s="6"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O3305" s="6" t="s">
        <v>8574</v>
      </c>
      <c r="P3305" s="6" t="s">
        <v>8574</v>
      </c>
      <c r="Q3305" s="6" t="s">
        <v>9552</v>
      </c>
    </row>
    <row r="3306" spans="1:17" ht="30" x14ac:dyDescent="0.25">
      <c r="A3306" s="5" t="str">
        <f>IF(TRIM(I3306)="","",E3306)</f>
        <v>VideoScanType</v>
      </c>
      <c r="B3306" s="5" t="str">
        <f>IF(TRIM(J3306)="","",H3306)</f>
        <v>Video Scan Type, it can be Progressive or Interlaced</v>
      </c>
      <c r="C3306" s="5" t="str">
        <f>LEFT(F3306,FIND(".",F3306,6))</f>
        <v>Xmp.video.</v>
      </c>
      <c r="D3306" s="5" t="str">
        <f>VLOOKUP(C3306,PrefixUebersetzung,2,FALSE)</f>
        <v>Xmp.video.</v>
      </c>
      <c r="E3306" s="5" t="str">
        <f>MID(F3306,FIND(".",F3306,6)+1,99)</f>
        <v>VideoScanType</v>
      </c>
      <c r="F3306" s="23" t="s">
        <v>6313</v>
      </c>
      <c r="G3306" s="5" t="s">
        <v>9678</v>
      </c>
      <c r="H3306" s="10" t="s">
        <v>6314</v>
      </c>
      <c r="I3306" s="7" t="s">
        <v>6613</v>
      </c>
      <c r="J3306" s="8" t="s">
        <v>6423</v>
      </c>
      <c r="K3306" s="26"/>
      <c r="N3306" s="6"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c>
      <c r="O3306" s="6" t="s">
        <v>8574</v>
      </c>
      <c r="P3306" s="6" t="s">
        <v>8574</v>
      </c>
    </row>
    <row r="3307" spans="1:17" x14ac:dyDescent="0.25">
      <c r="A3307" s="5" t="str">
        <f>IF(TRIM(I3307)="","",E3307)</f>
        <v>WatermarkURL</v>
      </c>
      <c r="B3307" s="5" t="str">
        <f>IF(TRIM(J3307)="","",H3307)</f>
        <v>A C string that specifies a Watermark URL.</v>
      </c>
      <c r="C3307" s="5" t="str">
        <f>LEFT(F3307,FIND(".",F3307,6))</f>
        <v>Xmp.video.</v>
      </c>
      <c r="D3307" s="5" t="str">
        <f>VLOOKUP(C3307,PrefixUebersetzung,2,FALSE)</f>
        <v>Xmp.video.</v>
      </c>
      <c r="E3307" s="5" t="str">
        <f>MID(F3307,FIND(".",F3307,6)+1,99)</f>
        <v>WatermarkURL</v>
      </c>
      <c r="F3307" s="23" t="s">
        <v>6315</v>
      </c>
      <c r="G3307" s="5" t="s">
        <v>9678</v>
      </c>
      <c r="H3307" s="10" t="s">
        <v>6316</v>
      </c>
      <c r="I3307" s="7" t="s">
        <v>8962</v>
      </c>
      <c r="J3307" s="8" t="s">
        <v>6922</v>
      </c>
      <c r="K3307" s="26"/>
      <c r="N3307" s="6"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O3307" s="6" t="s">
        <v>8574</v>
      </c>
      <c r="P3307" s="6" t="s">
        <v>8574</v>
      </c>
    </row>
    <row r="3308" spans="1:17" ht="60" x14ac:dyDescent="0.25">
      <c r="A3308" s="5" t="str">
        <f>IF(TRIM(I3308)="","",E3308)</f>
        <v/>
      </c>
      <c r="B3308" s="5" t="str">
        <f>IF(TRIM(J3308)="","",H3308)</f>
        <v/>
      </c>
      <c r="C3308" s="5" t="str">
        <f>LEFT(F3308,FIND(".",F3308,6))</f>
        <v>Xmp.video.</v>
      </c>
      <c r="D3308" s="5" t="str">
        <f>VLOOKUP(C3308,PrefixUebersetzung,2,FALSE)</f>
        <v>Xmp.video.</v>
      </c>
      <c r="E3308" s="5" t="str">
        <f>MID(F3308,FIND(".",F3308,6)+1,99)</f>
        <v>WhiteBalance</v>
      </c>
      <c r="F3308" s="23" t="s">
        <v>6317</v>
      </c>
      <c r="G3308" s="5" t="s">
        <v>9678</v>
      </c>
      <c r="H3308" s="10" t="s">
        <v>9708</v>
      </c>
      <c r="I3308" s="7"/>
      <c r="J3308" s="8"/>
      <c r="K3308" s="26"/>
      <c r="L3308" s="6" t="str">
        <f>IFERROR(VLOOKUP(E3308,A:I,9, FALSE),"")</f>
        <v>Weißabgleich</v>
      </c>
      <c r="M3308" s="6" t="str">
        <f>IFERROR(VLOOKUP(H3308,B:J,9,FALSE),"")</f>
        <v>Weißabgleich-Einstellung. Einer von: Wie aufgenommen, Auto, Tageslicht, Bewölkt, Schatten, Kunstlicht, Fluoreszenz, Blitz, Benutzerdefiniert</v>
      </c>
      <c r="N3308" s="6"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row>
    <row r="3309" spans="1:17" ht="30" x14ac:dyDescent="0.25">
      <c r="A3309" s="5" t="str">
        <f>IF(TRIM(I3309)="","",E3309)</f>
        <v/>
      </c>
      <c r="B3309" s="5" t="str">
        <f>IF(TRIM(J3309)="","",H3309)</f>
        <v>White Balance Fine Tune.</v>
      </c>
      <c r="C3309" s="5" t="str">
        <f>LEFT(F3309,FIND(".",F3309,6))</f>
        <v>Xmp.video.</v>
      </c>
      <c r="D3309" s="5" t="str">
        <f>VLOOKUP(C3309,PrefixUebersetzung,2,FALSE)</f>
        <v>Xmp.video.</v>
      </c>
      <c r="E3309" s="5" t="str">
        <f>MID(F3309,FIND(".",F3309,6)+1,99)</f>
        <v>WhiteBalanceFineTune</v>
      </c>
      <c r="F3309" s="23" t="s">
        <v>6318</v>
      </c>
      <c r="G3309" s="5" t="s">
        <v>9678</v>
      </c>
      <c r="H3309" s="10" t="s">
        <v>6319</v>
      </c>
      <c r="I3309" s="7"/>
      <c r="J3309" s="8" t="s">
        <v>6424</v>
      </c>
      <c r="K3309" s="26"/>
      <c r="L3309" s="6" t="str">
        <f>IFERROR(VLOOKUP(E3309,A:I,9, FALSE),"")</f>
        <v>Weißabgleich Feinabstimmung</v>
      </c>
      <c r="N3309" s="6"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c>
      <c r="P3309" s="6" t="s">
        <v>8574</v>
      </c>
      <c r="Q3309" s="6" t="s">
        <v>9558</v>
      </c>
    </row>
    <row r="3310" spans="1:17" x14ac:dyDescent="0.25">
      <c r="A3310" s="5" t="str">
        <f>IF(TRIM(I3310)="","",E3310)</f>
        <v>Width</v>
      </c>
      <c r="B3310" s="5" t="str">
        <f>IF(TRIM(J3310)="","",H3310)</f>
        <v/>
      </c>
      <c r="C3310" s="5" t="str">
        <f>LEFT(F3310,FIND(".",F3310,6))</f>
        <v>Xmp.video.</v>
      </c>
      <c r="D3310" s="5" t="str">
        <f>VLOOKUP(C3310,PrefixUebersetzung,2,FALSE)</f>
        <v>Xmp.video.</v>
      </c>
      <c r="E3310" s="5" t="str">
        <f>MID(F3310,FIND(".",F3310,6)+1,99)</f>
        <v>Width</v>
      </c>
      <c r="F3310" s="23" t="s">
        <v>6320</v>
      </c>
      <c r="G3310" s="5" t="s">
        <v>9678</v>
      </c>
      <c r="H3310" s="10" t="s">
        <v>6200</v>
      </c>
      <c r="I3310" s="7" t="s">
        <v>6614</v>
      </c>
      <c r="J3310" s="8"/>
      <c r="K3310" s="26"/>
      <c r="M3310" s="6" t="str">
        <f>IFERROR(VLOOKUP(H3310,B:J,9,FALSE),"")</f>
        <v>Video-Breite in Pixel</v>
      </c>
      <c r="N3310" s="6"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c r="O3310" s="6" t="s">
        <v>8574</v>
      </c>
    </row>
    <row r="3311" spans="1:17" x14ac:dyDescent="0.25">
      <c r="A3311" s="5" t="str">
        <f>IF(TRIM(I3311)="","",E3311)</f>
        <v>WindowLocation</v>
      </c>
      <c r="B3311" s="5" t="str">
        <f>IF(TRIM(J3311)="","",H3311)</f>
        <v>Information about the Window Location.</v>
      </c>
      <c r="C3311" s="5" t="str">
        <f>LEFT(F3311,FIND(".",F3311,6))</f>
        <v>Xmp.video.</v>
      </c>
      <c r="D3311" s="5" t="str">
        <f>VLOOKUP(C3311,PrefixUebersetzung,2,FALSE)</f>
        <v>Xmp.video.</v>
      </c>
      <c r="E3311" s="5" t="str">
        <f>MID(F3311,FIND(".",F3311,6)+1,99)</f>
        <v>WindowLocation</v>
      </c>
      <c r="F3311" s="23" t="s">
        <v>6321</v>
      </c>
      <c r="G3311" s="5" t="s">
        <v>9678</v>
      </c>
      <c r="H3311" s="10" t="s">
        <v>6322</v>
      </c>
      <c r="I3311" s="7" t="s">
        <v>6615</v>
      </c>
      <c r="J3311" s="8" t="s">
        <v>6425</v>
      </c>
      <c r="K3311" s="26"/>
      <c r="N3311" s="6"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c>
      <c r="O3311" s="6" t="s">
        <v>8574</v>
      </c>
      <c r="P3311" s="6" t="s">
        <v>8574</v>
      </c>
    </row>
    <row r="3312" spans="1:17" x14ac:dyDescent="0.25">
      <c r="A3312" s="5" t="str">
        <f>IF(TRIM(I3312)="","",E3312)</f>
        <v/>
      </c>
      <c r="B3312" s="5" t="str">
        <f>IF(TRIM(J3312)="","",H3312)</f>
        <v/>
      </c>
      <c r="C3312" s="5" t="str">
        <f>LEFT(F3312,FIND(".",F3312,6))</f>
        <v>Xmp.video.</v>
      </c>
      <c r="D3312" s="5" t="str">
        <f>VLOOKUP(C3312,PrefixUebersetzung,2,FALSE)</f>
        <v>Xmp.video.</v>
      </c>
      <c r="E3312" s="5" t="str">
        <f>MID(F3312,FIND(".",F3312,6)+1,99)</f>
        <v>WorldTime</v>
      </c>
      <c r="F3312" s="23" t="s">
        <v>6323</v>
      </c>
      <c r="G3312" s="5" t="s">
        <v>9678</v>
      </c>
      <c r="H3312" s="10" t="s">
        <v>6324</v>
      </c>
      <c r="I3312" s="7"/>
      <c r="J3312" s="8"/>
      <c r="K3312" s="26"/>
      <c r="L3312" s="6" t="str">
        <f>IFERROR(VLOOKUP(E3312,A:I,9, FALSE),"")</f>
        <v>Weltzeit</v>
      </c>
      <c r="M3312" s="6" t="str">
        <f>IFERROR(VLOOKUP(H3312,B:J,9,FALSE),"")</f>
        <v>Weltzeit</v>
      </c>
      <c r="N3312" s="6"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c>
    </row>
    <row r="3313" spans="1:17" ht="45" x14ac:dyDescent="0.25">
      <c r="A3313" s="5" t="str">
        <f>IF(TRIM(I3313)="","",E3313)</f>
        <v/>
      </c>
      <c r="B3313" s="5" t="str">
        <f>IF(TRIM(J3313)="","",H3313)</f>
        <v>Contains the name of the application used to create the file (like "mkvmerge 0.8.1")</v>
      </c>
      <c r="C3313" s="5" t="str">
        <f>LEFT(F3313,FIND(".",F3313,6))</f>
        <v>Xmp.video.</v>
      </c>
      <c r="D3313" s="5" t="str">
        <f>VLOOKUP(C3313,PrefixUebersetzung,2,FALSE)</f>
        <v>Xmp.video.</v>
      </c>
      <c r="E3313" s="5" t="str">
        <f>MID(F3313,FIND(".",F3313,6)+1,99)</f>
        <v>WritingApp</v>
      </c>
      <c r="F3313" s="23" t="s">
        <v>6325</v>
      </c>
      <c r="G3313" s="5" t="s">
        <v>9678</v>
      </c>
      <c r="H3313" s="10" t="s">
        <v>6326</v>
      </c>
      <c r="I3313" s="7"/>
      <c r="J3313" s="8" t="s">
        <v>6923</v>
      </c>
      <c r="K3313" s="26"/>
      <c r="N3313" s="6"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xml:space="preserve">Suffix not translated </v>
      </c>
      <c r="O3313" s="6" t="s">
        <v>8574</v>
      </c>
      <c r="P3313" s="6" t="s">
        <v>8574</v>
      </c>
    </row>
    <row r="3314" spans="1:17" ht="30" x14ac:dyDescent="0.25">
      <c r="A3314" s="5" t="str">
        <f>IF(TRIM(I3314)="","",E3314)</f>
        <v>WrittenBy</v>
      </c>
      <c r="B3314" s="5" t="str">
        <f>IF(TRIM(J3314)="","",H3314)</f>
        <v>Written By, i.e. name of person or organization.</v>
      </c>
      <c r="C3314" s="5" t="str">
        <f>LEFT(F3314,FIND(".",F3314,6))</f>
        <v>Xmp.video.</v>
      </c>
      <c r="D3314" s="5" t="str">
        <f>VLOOKUP(C3314,PrefixUebersetzung,2,FALSE)</f>
        <v>Xmp.video.</v>
      </c>
      <c r="E3314" s="5" t="str">
        <f>MID(F3314,FIND(".",F3314,6)+1,99)</f>
        <v>WrittenBy</v>
      </c>
      <c r="F3314" s="23" t="s">
        <v>6327</v>
      </c>
      <c r="G3314" s="5" t="s">
        <v>9678</v>
      </c>
      <c r="H3314" s="10" t="s">
        <v>6328</v>
      </c>
      <c r="I3314" s="7" t="s">
        <v>6616</v>
      </c>
      <c r="J3314" s="8" t="s">
        <v>6426</v>
      </c>
      <c r="K3314" s="26"/>
      <c r="N3314" s="6"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c>
      <c r="O3314" s="6" t="s">
        <v>8574</v>
      </c>
      <c r="P3314" s="6" t="s">
        <v>8574</v>
      </c>
    </row>
    <row r="3315" spans="1:17" ht="30" x14ac:dyDescent="0.25">
      <c r="A3315" s="5" t="str">
        <f>IF(TRIM(I3315)="","",E3315)</f>
        <v/>
      </c>
      <c r="B3315" s="5" t="str">
        <f>IF(TRIM(J3315)="","",H3315)</f>
        <v>Horizontal resolution in pixels per unit.</v>
      </c>
      <c r="C3315" s="5" t="str">
        <f>LEFT(F3315,FIND(".",F3315,6))</f>
        <v>Xmp.video.</v>
      </c>
      <c r="D3315" s="5" t="str">
        <f>VLOOKUP(C3315,PrefixUebersetzung,2,FALSE)</f>
        <v>Xmp.video.</v>
      </c>
      <c r="E3315" s="5" t="str">
        <f>MID(F3315,FIND(".",F3315,6)+1,99)</f>
        <v>XResolution</v>
      </c>
      <c r="F3315" s="23" t="s">
        <v>6329</v>
      </c>
      <c r="G3315" s="5" t="s">
        <v>9678</v>
      </c>
      <c r="H3315" s="10" t="s">
        <v>6330</v>
      </c>
      <c r="I3315" s="7"/>
      <c r="J3315" s="8" t="s">
        <v>6427</v>
      </c>
      <c r="K3315" s="26"/>
      <c r="L3315" s="6" t="str">
        <f>IFERROR(VLOOKUP(E3315,A:I,9, FALSE),"")</f>
        <v>Auflösung X</v>
      </c>
      <c r="N3315" s="6"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P3315" s="6" t="s">
        <v>8574</v>
      </c>
      <c r="Q3315" s="6" t="s">
        <v>9274</v>
      </c>
    </row>
    <row r="3316" spans="1:17" ht="30" x14ac:dyDescent="0.25">
      <c r="A3316" s="5" t="str">
        <f>IF(TRIM(I3316)="","",E3316)</f>
        <v/>
      </c>
      <c r="B3316" s="5" t="str">
        <f>IF(TRIM(J3316)="","",H3316)</f>
        <v>Year in which the video was made.</v>
      </c>
      <c r="C3316" s="5" t="str">
        <f>LEFT(F3316,FIND(".",F3316,6))</f>
        <v>Xmp.video.</v>
      </c>
      <c r="D3316" s="5" t="str">
        <f>VLOOKUP(C3316,PrefixUebersetzung,2,FALSE)</f>
        <v>Xmp.video.</v>
      </c>
      <c r="E3316" s="5" t="str">
        <f>MID(F3316,FIND(".",F3316,6)+1,99)</f>
        <v>Year</v>
      </c>
      <c r="F3316" s="23" t="s">
        <v>6331</v>
      </c>
      <c r="G3316" s="5" t="s">
        <v>9678</v>
      </c>
      <c r="H3316" s="10" t="s">
        <v>6332</v>
      </c>
      <c r="I3316" s="7"/>
      <c r="J3316" s="8" t="s">
        <v>6428</v>
      </c>
      <c r="K3316" s="26"/>
      <c r="L3316" s="6" t="str">
        <f>IFERROR(VLOOKUP(E3316,A:I,9, FALSE),"")</f>
        <v>Jahr</v>
      </c>
      <c r="N3316" s="6"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P3316" s="6" t="s">
        <v>8574</v>
      </c>
      <c r="Q3316" s="6" t="s">
        <v>9092</v>
      </c>
    </row>
    <row r="3317" spans="1:17" ht="30" x14ac:dyDescent="0.25">
      <c r="A3317" s="5" t="str">
        <f>IF(TRIM(I3317)="","",E3317)</f>
        <v/>
      </c>
      <c r="B3317" s="5" t="str">
        <f>IF(TRIM(J3317)="","",H3317)</f>
        <v>Vertical resolution in pixels per unit.</v>
      </c>
      <c r="C3317" s="5" t="str">
        <f>LEFT(F3317,FIND(".",F3317,6))</f>
        <v>Xmp.video.</v>
      </c>
      <c r="D3317" s="5" t="str">
        <f>VLOOKUP(C3317,PrefixUebersetzung,2,FALSE)</f>
        <v>Xmp.video.</v>
      </c>
      <c r="E3317" s="5" t="str">
        <f>MID(F3317,FIND(".",F3317,6)+1,99)</f>
        <v>YResolution</v>
      </c>
      <c r="F3317" s="23" t="s">
        <v>6333</v>
      </c>
      <c r="G3317" s="5" t="s">
        <v>9678</v>
      </c>
      <c r="H3317" s="10" t="s">
        <v>6334</v>
      </c>
      <c r="I3317" s="7"/>
      <c r="J3317" s="8" t="s">
        <v>6429</v>
      </c>
      <c r="K3317" s="26"/>
      <c r="L3317" s="6" t="str">
        <f>IFERROR(VLOOKUP(E3317,A:I,9, FALSE),"")</f>
        <v>Auflösung Y</v>
      </c>
      <c r="N3317" s="6"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P3317" s="6" t="s">
        <v>8574</v>
      </c>
      <c r="Q3317" s="6" t="s">
        <v>9275</v>
      </c>
    </row>
    <row r="3318" spans="1:17" ht="75" x14ac:dyDescent="0.25">
      <c r="A3318" s="5" t="str">
        <f>IF(TRIM(I3318)="","",E3318)</f>
        <v>Advisory</v>
      </c>
      <c r="B3318" s="5" t="str">
        <f>IF(TRIM(J3318)="","",H3318)</f>
        <v>An unordered array specifying properties that were edited outside the authoring application. Each item should contain a single namespace and XPath separated by one ASCII space (U+0020).</v>
      </c>
      <c r="C3318" s="5" t="str">
        <f>LEFT(F3318,FIND(".",F3318,6))</f>
        <v>Xmp.xmp.</v>
      </c>
      <c r="D3318" s="5" t="str">
        <f>VLOOKUP(C3318,PrefixUebersetzung,2,FALSE)</f>
        <v>Xmp.xmp.</v>
      </c>
      <c r="E3318" s="5" t="str">
        <f>MID(F3318,FIND(".",F3318,6)+1,99)</f>
        <v>Advisory</v>
      </c>
      <c r="F3318" s="5" t="s">
        <v>2039</v>
      </c>
      <c r="G3318" s="5" t="s">
        <v>9679</v>
      </c>
      <c r="H3318" s="6" t="s">
        <v>3618</v>
      </c>
      <c r="I3318" s="7" t="s">
        <v>4608</v>
      </c>
      <c r="J3318" s="14" t="s">
        <v>5645</v>
      </c>
      <c r="K3318" s="26"/>
      <c r="N3318" s="6"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O3318" s="6" t="s">
        <v>8574</v>
      </c>
      <c r="P3318" s="6" t="s">
        <v>8574</v>
      </c>
    </row>
    <row r="3319" spans="1:17" ht="135" x14ac:dyDescent="0.25">
      <c r="A3319" s="5" t="str">
        <f>IF(TRIM(I3319)="","",E3319)</f>
        <v/>
      </c>
      <c r="B3319" s="5" t="str">
        <f>IF(TRIM(J3319)="","",H3319)</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3319" s="5" t="str">
        <f>LEFT(F3319,FIND(".",F3319,6))</f>
        <v>Xmp.xmp.</v>
      </c>
      <c r="D3319" s="5" t="str">
        <f>VLOOKUP(C3319,PrefixUebersetzung,2,FALSE)</f>
        <v>Xmp.xmp.</v>
      </c>
      <c r="E3319" s="5" t="str">
        <f>MID(F3319,FIND(".",F3319,6)+1,99)</f>
        <v>BaseURL</v>
      </c>
      <c r="F3319" s="5" t="s">
        <v>2040</v>
      </c>
      <c r="G3319" s="5" t="s">
        <v>9678</v>
      </c>
      <c r="H3319" s="6" t="s">
        <v>3619</v>
      </c>
      <c r="I3319" s="7"/>
      <c r="J3319" s="14" t="s">
        <v>5646</v>
      </c>
      <c r="K3319" s="26"/>
      <c r="L3319" s="6" t="str">
        <f>IFERROR(VLOOKUP(E3319,A:I,9, FALSE),"")</f>
        <v>Basis-URL</v>
      </c>
      <c r="N3319" s="6"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P3319" s="6" t="s">
        <v>8574</v>
      </c>
    </row>
    <row r="3320" spans="1:17" ht="30" x14ac:dyDescent="0.25">
      <c r="A3320" s="5" t="str">
        <f>IF(TRIM(I3320)="","",E3320)</f>
        <v>CreateDate</v>
      </c>
      <c r="B3320" s="5" t="str">
        <f>IF(TRIM(J3320)="","",H3320)</f>
        <v>The date and time the resource was originally created.</v>
      </c>
      <c r="C3320" s="5" t="str">
        <f>LEFT(F3320,FIND(".",F3320,6))</f>
        <v>Xmp.xmp.</v>
      </c>
      <c r="D3320" s="5" t="str">
        <f>VLOOKUP(C3320,PrefixUebersetzung,2,FALSE)</f>
        <v>Xmp.xmp.</v>
      </c>
      <c r="E3320" s="5" t="str">
        <f>MID(F3320,FIND(".",F3320,6)+1,99)</f>
        <v>CreateDate</v>
      </c>
      <c r="F3320" s="5" t="s">
        <v>2041</v>
      </c>
      <c r="G3320" s="5" t="s">
        <v>9678</v>
      </c>
      <c r="H3320" s="6" t="s">
        <v>3620</v>
      </c>
      <c r="I3320" s="7" t="s">
        <v>4610</v>
      </c>
      <c r="J3320" s="14" t="s">
        <v>5647</v>
      </c>
      <c r="K3320" s="26"/>
      <c r="N3320" s="6"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O3320" s="6" t="s">
        <v>8574</v>
      </c>
      <c r="P3320" s="6" t="s">
        <v>8574</v>
      </c>
    </row>
    <row r="3321" spans="1:17" ht="75" x14ac:dyDescent="0.25">
      <c r="A3321" s="5" t="str">
        <f>IF(TRIM(I3321)="","",E3321)</f>
        <v>CreatorTool</v>
      </c>
      <c r="B3321" s="5" t="str">
        <f>IF(TRIM(J3321)="","",H3321)</f>
        <v>The name of the first known tool used to create the resource. If history is present in the metadata, this value should be equivalent to that of xmpMM:History's softwareAgent property.</v>
      </c>
      <c r="C3321" s="5" t="str">
        <f>LEFT(F3321,FIND(".",F3321,6))</f>
        <v>Xmp.xmp.</v>
      </c>
      <c r="D3321" s="5" t="str">
        <f>VLOOKUP(C3321,PrefixUebersetzung,2,FALSE)</f>
        <v>Xmp.xmp.</v>
      </c>
      <c r="E3321" s="5" t="str">
        <f>MID(F3321,FIND(".",F3321,6)+1,99)</f>
        <v>CreatorTool</v>
      </c>
      <c r="F3321" s="5" t="s">
        <v>2042</v>
      </c>
      <c r="G3321" s="5" t="s">
        <v>9678</v>
      </c>
      <c r="H3321" s="6" t="s">
        <v>3621</v>
      </c>
      <c r="I3321" s="7" t="s">
        <v>4611</v>
      </c>
      <c r="J3321" s="14" t="s">
        <v>5659</v>
      </c>
      <c r="K3321" s="26"/>
      <c r="N3321" s="6"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6" t="s">
        <v>8574</v>
      </c>
      <c r="P3321" s="6" t="s">
        <v>8574</v>
      </c>
    </row>
    <row r="3322" spans="1:17" ht="150" x14ac:dyDescent="0.25">
      <c r="A3322" s="5" t="str">
        <f>IF(TRIM(I3322)="","",E3322)</f>
        <v/>
      </c>
      <c r="B3322" s="5" t="str">
        <f>IF(TRIM(J3322)="","",H3322)</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3322" s="5" t="str">
        <f>LEFT(F3322,FIND(".",F3322,6))</f>
        <v>Xmp.xmp.</v>
      </c>
      <c r="D3322" s="5" t="str">
        <f>VLOOKUP(C3322,PrefixUebersetzung,2,FALSE)</f>
        <v>Xmp.xmp.</v>
      </c>
      <c r="E3322" s="5" t="str">
        <f>MID(F3322,FIND(".",F3322,6)+1,99)</f>
        <v>Identifier</v>
      </c>
      <c r="F3322" s="5" t="s">
        <v>2043</v>
      </c>
      <c r="G3322" s="5" t="s">
        <v>9679</v>
      </c>
      <c r="H3322" s="6" t="s">
        <v>3622</v>
      </c>
      <c r="I3322" s="7"/>
      <c r="J3322" s="14" t="s">
        <v>6709</v>
      </c>
      <c r="K3322" s="26"/>
      <c r="L3322" s="6" t="str">
        <f>IFERROR(VLOOKUP(E3322,A:I,9, FALSE),"")</f>
        <v>Kennung</v>
      </c>
      <c r="N3322" s="6"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P3322" s="6" t="s">
        <v>8574</v>
      </c>
    </row>
    <row r="3323" spans="1:17" ht="60" x14ac:dyDescent="0.25">
      <c r="A3323" s="5" t="str">
        <f>IF(TRIM(I3323)="","",E3323)</f>
        <v>Label</v>
      </c>
      <c r="B3323" s="5" t="str">
        <f>IF(TRIM(J3323)="","",H3323)</f>
        <v>A word or short phrase that identifies a document as a member of a user-defined collection. Used to organize documents in a file browser.</v>
      </c>
      <c r="C3323" s="5" t="str">
        <f>LEFT(F3323,FIND(".",F3323,6))</f>
        <v>Xmp.xmp.</v>
      </c>
      <c r="D3323" s="5" t="str">
        <f>VLOOKUP(C3323,PrefixUebersetzung,2,FALSE)</f>
        <v>Xmp.xmp.</v>
      </c>
      <c r="E3323" s="5" t="str">
        <f>MID(F3323,FIND(".",F3323,6)+1,99)</f>
        <v>Label</v>
      </c>
      <c r="F3323" s="5" t="s">
        <v>2044</v>
      </c>
      <c r="G3323" s="5" t="s">
        <v>9678</v>
      </c>
      <c r="H3323" s="6" t="s">
        <v>3623</v>
      </c>
      <c r="I3323" s="7" t="s">
        <v>4612</v>
      </c>
      <c r="J3323" s="14" t="s">
        <v>6710</v>
      </c>
      <c r="K3323" s="26"/>
      <c r="N3323" s="6"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O3323" s="6" t="s">
        <v>8574</v>
      </c>
      <c r="P3323" s="6" t="s">
        <v>8574</v>
      </c>
    </row>
    <row r="3324" spans="1:17" ht="45" x14ac:dyDescent="0.25">
      <c r="A3324" s="5" t="str">
        <f>IF(TRIM(I3324)="","",E3324)</f>
        <v>MetadataDate</v>
      </c>
      <c r="B3324" s="5" t="str">
        <f>IF(TRIM(J3324)="","",H3324)</f>
        <v>The date and time that any metadata for this resource was last changed. It should be the same as or more recent than xmp:ModifyDate.</v>
      </c>
      <c r="C3324" s="5" t="str">
        <f>LEFT(F3324,FIND(".",F3324,6))</f>
        <v>Xmp.xmp.</v>
      </c>
      <c r="D3324" s="5" t="str">
        <f>VLOOKUP(C3324,PrefixUebersetzung,2,FALSE)</f>
        <v>Xmp.xmp.</v>
      </c>
      <c r="E3324" s="5" t="str">
        <f>MID(F3324,FIND(".",F3324,6)+1,99)</f>
        <v>MetadataDate</v>
      </c>
      <c r="F3324" s="5" t="s">
        <v>2045</v>
      </c>
      <c r="G3324" s="5" t="s">
        <v>9678</v>
      </c>
      <c r="H3324" s="6" t="s">
        <v>3624</v>
      </c>
      <c r="I3324" s="7" t="s">
        <v>5125</v>
      </c>
      <c r="J3324" s="14" t="s">
        <v>6711</v>
      </c>
      <c r="K3324" s="26"/>
      <c r="N3324" s="6"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O3324" s="6" t="s">
        <v>8574</v>
      </c>
      <c r="P3324" s="6" t="s">
        <v>8574</v>
      </c>
    </row>
    <row r="3325" spans="1:17" ht="75" x14ac:dyDescent="0.25">
      <c r="A3325" s="5" t="str">
        <f>IF(TRIM(I3325)="","",E3325)</f>
        <v>ModifyDate</v>
      </c>
      <c r="B3325" s="5" t="str">
        <f>IF(TRIM(J3325)="","",H3325)</f>
        <v>The date and time the resource was last modified. Note: The value of this property is not necessarily the same as the file's system modification date because it is set before the file is saved.</v>
      </c>
      <c r="C3325" s="5" t="str">
        <f>LEFT(F3325,FIND(".",F3325,6))</f>
        <v>Xmp.xmp.</v>
      </c>
      <c r="D3325" s="5" t="str">
        <f>VLOOKUP(C3325,PrefixUebersetzung,2,FALSE)</f>
        <v>Xmp.xmp.</v>
      </c>
      <c r="E3325" s="5" t="str">
        <f>MID(F3325,FIND(".",F3325,6)+1,99)</f>
        <v>ModifyDate</v>
      </c>
      <c r="F3325" s="5" t="s">
        <v>2046</v>
      </c>
      <c r="G3325" s="5" t="s">
        <v>9678</v>
      </c>
      <c r="H3325" s="6" t="s">
        <v>3625</v>
      </c>
      <c r="I3325" s="7" t="s">
        <v>4613</v>
      </c>
      <c r="J3325" s="14" t="s">
        <v>5648</v>
      </c>
      <c r="K3325" s="26"/>
      <c r="N3325" s="6"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6" t="s">
        <v>8574</v>
      </c>
      <c r="P3325" s="6" t="s">
        <v>8574</v>
      </c>
    </row>
    <row r="3326" spans="1:17" ht="30" x14ac:dyDescent="0.25">
      <c r="A3326" s="5" t="str">
        <f>IF(TRIM(I3326)="","",E3326)</f>
        <v>Nickname</v>
      </c>
      <c r="B3326" s="5" t="str">
        <f>IF(TRIM(J3326)="","",H3326)</f>
        <v>A short informal name for the resource.</v>
      </c>
      <c r="C3326" s="5" t="str">
        <f>LEFT(F3326,FIND(".",F3326,6))</f>
        <v>Xmp.xmp.</v>
      </c>
      <c r="D3326" s="5" t="str">
        <f>VLOOKUP(C3326,PrefixUebersetzung,2,FALSE)</f>
        <v>Xmp.xmp.</v>
      </c>
      <c r="E3326" s="5" t="str">
        <f>MID(F3326,FIND(".",F3326,6)+1,99)</f>
        <v>Nickname</v>
      </c>
      <c r="F3326" s="5" t="s">
        <v>2047</v>
      </c>
      <c r="G3326" s="5" t="s">
        <v>9678</v>
      </c>
      <c r="H3326" s="6" t="s">
        <v>3626</v>
      </c>
      <c r="I3326" s="7" t="s">
        <v>4614</v>
      </c>
      <c r="J3326" s="14" t="s">
        <v>5649</v>
      </c>
      <c r="K3326" s="26"/>
      <c r="N3326" s="6"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6" t="s">
        <v>8574</v>
      </c>
      <c r="P3326" s="6" t="s">
        <v>8574</v>
      </c>
      <c r="Q3326" s="6" t="s">
        <v>9093</v>
      </c>
    </row>
    <row r="3327" spans="1:17" ht="75" x14ac:dyDescent="0.25">
      <c r="A3327" s="5" t="str">
        <f>IF(TRIM(I3327)="","",E3327)</f>
        <v/>
      </c>
      <c r="B3327" s="5" t="str">
        <f>IF(TRIM(J3327)="","",H3327)</f>
        <v>A number that indicates a document's status relative to other documents, used to organize documents in a file browser. Values are user-defined within an application-defined range.</v>
      </c>
      <c r="C3327" s="5" t="str">
        <f>LEFT(F3327,FIND(".",F3327,6))</f>
        <v>Xmp.xmp.</v>
      </c>
      <c r="D3327" s="5" t="str">
        <f>VLOOKUP(C3327,PrefixUebersetzung,2,FALSE)</f>
        <v>Xmp.xmp.</v>
      </c>
      <c r="E3327" s="5" t="str">
        <f>MID(F3327,FIND(".",F3327,6)+1,99)</f>
        <v>Rating</v>
      </c>
      <c r="F3327" s="5" t="s">
        <v>2048</v>
      </c>
      <c r="G3327" s="5" t="s">
        <v>9678</v>
      </c>
      <c r="H3327" s="6" t="s">
        <v>3627</v>
      </c>
      <c r="I3327" s="7"/>
      <c r="J3327" s="14" t="s">
        <v>6712</v>
      </c>
      <c r="K3327" s="26"/>
      <c r="L3327" s="6" t="str">
        <f>IFERROR(VLOOKUP(E3327,A:I,9, FALSE),"")</f>
        <v>Bewertung</v>
      </c>
      <c r="N3327" s="6"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P3327" s="6" t="s">
        <v>8574</v>
      </c>
    </row>
    <row r="3328" spans="1:17" ht="45" x14ac:dyDescent="0.25">
      <c r="A3328" s="5" t="str">
        <f>IF(TRIM(I3328)="","",E3328)</f>
        <v>Thumbnails</v>
      </c>
      <c r="B3328" s="5" t="str">
        <f>IF(TRIM(J3328)="","",H3328)</f>
        <v>An alternative array of thumbnail images for a file, which can differ in characteristics such as size or image encoding.</v>
      </c>
      <c r="C3328" s="5" t="str">
        <f>LEFT(F3328,FIND(".",F3328,6))</f>
        <v>Xmp.xmp.</v>
      </c>
      <c r="D3328" s="5" t="str">
        <f>VLOOKUP(C3328,PrefixUebersetzung,2,FALSE)</f>
        <v>Xmp.xmp.</v>
      </c>
      <c r="E3328" s="5" t="str">
        <f>MID(F3328,FIND(".",F3328,6)+1,99)</f>
        <v>Thumbnails</v>
      </c>
      <c r="F3328" s="5" t="s">
        <v>2049</v>
      </c>
      <c r="G3328" s="5" t="s">
        <v>9678</v>
      </c>
      <c r="H3328" s="6" t="s">
        <v>3628</v>
      </c>
      <c r="I3328" s="7" t="s">
        <v>4615</v>
      </c>
      <c r="J3328" s="14" t="s">
        <v>6713</v>
      </c>
      <c r="K3328" s="26"/>
      <c r="N3328" s="6"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O3328" s="6" t="s">
        <v>8574</v>
      </c>
      <c r="P3328" s="6" t="s">
        <v>8574</v>
      </c>
    </row>
    <row r="3329" spans="1:17" ht="165" x14ac:dyDescent="0.25">
      <c r="A3329" s="5" t="str">
        <f>IF(TRIM(I3329)="","",E3329)</f>
        <v>JobRef</v>
      </c>
      <c r="B3329" s="5" t="str">
        <f>IF(TRIM(J3329)="","",H3329)</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3329" s="5" t="str">
        <f>LEFT(F3329,FIND(".",F3329,6))</f>
        <v>Xmp.xmpBJ.</v>
      </c>
      <c r="D3329" s="5" t="str">
        <f>VLOOKUP(C3329,PrefixUebersetzung,2,FALSE)</f>
        <v>Xmp.xmpBJ.</v>
      </c>
      <c r="E3329" s="5" t="str">
        <f>MID(F3329,FIND(".",F3329,6)+1,99)</f>
        <v>JobRef</v>
      </c>
      <c r="F3329" s="5" t="s">
        <v>2050</v>
      </c>
      <c r="G3329" s="5" t="s">
        <v>9678</v>
      </c>
      <c r="H3329" s="6" t="s">
        <v>3629</v>
      </c>
      <c r="I3329" s="7" t="s">
        <v>4616</v>
      </c>
      <c r="J3329" s="14" t="s">
        <v>5650</v>
      </c>
      <c r="K3329" s="26"/>
      <c r="N3329" s="6"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6" t="s">
        <v>8574</v>
      </c>
      <c r="P3329" s="6" t="s">
        <v>8574</v>
      </c>
    </row>
    <row r="3330" spans="1:17" ht="30" x14ac:dyDescent="0.25">
      <c r="A3330" s="5" t="str">
        <f>IF(TRIM(I3330)="","",E3330)</f>
        <v>absPeakAudioFilePath</v>
      </c>
      <c r="B3330" s="5" t="str">
        <f>IF(TRIM(J3330)="","",H3330)</f>
        <v>The absolute path to the file's peak audio file. If empty, no peak file exists.</v>
      </c>
      <c r="C3330" s="5" t="str">
        <f>LEFT(F3330,FIND(".",F3330,6))</f>
        <v>Xmp.xmpDM.</v>
      </c>
      <c r="D3330" s="5" t="str">
        <f>VLOOKUP(C3330,PrefixUebersetzung,2,FALSE)</f>
        <v>Xmp.xmpDM.</v>
      </c>
      <c r="E3330" s="5" t="str">
        <f>MID(F3330,FIND(".",F3330,6)+1,99)</f>
        <v>absPeakAudioFilePath</v>
      </c>
      <c r="F3330" s="5" t="s">
        <v>2051</v>
      </c>
      <c r="G3330" s="5" t="s">
        <v>9678</v>
      </c>
      <c r="H3330" s="6" t="s">
        <v>3630</v>
      </c>
      <c r="I3330" s="7" t="s">
        <v>5034</v>
      </c>
      <c r="J3330" s="14" t="s">
        <v>5651</v>
      </c>
      <c r="K3330" s="26"/>
      <c r="N3330" s="6"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6" t="s">
        <v>8574</v>
      </c>
      <c r="P3330" s="6" t="s">
        <v>8574</v>
      </c>
    </row>
    <row r="3331" spans="1:17" x14ac:dyDescent="0.25">
      <c r="A3331" s="5" t="str">
        <f>IF(TRIM(I3331)="","",E3331)</f>
        <v/>
      </c>
      <c r="B3331" s="5" t="str">
        <f>IF(TRIM(J3331)="","",H3331)</f>
        <v/>
      </c>
      <c r="C3331" s="5" t="str">
        <f>LEFT(F3331,FIND(".",F3331,6))</f>
        <v>Xmp.xmpDM.</v>
      </c>
      <c r="D3331" s="5" t="str">
        <f>VLOOKUP(C3331,PrefixUebersetzung,2,FALSE)</f>
        <v>Xmp.xmpDM.</v>
      </c>
      <c r="E3331" s="5" t="str">
        <f>MID(F3331,FIND(".",F3331,6)+1,99)</f>
        <v>album</v>
      </c>
      <c r="F3331" s="5" t="s">
        <v>2052</v>
      </c>
      <c r="G3331" s="5" t="s">
        <v>9678</v>
      </c>
      <c r="H3331" s="6" t="s">
        <v>3631</v>
      </c>
      <c r="I3331" s="7"/>
      <c r="K3331" s="26"/>
      <c r="L3331" s="6" t="str">
        <f>IFERROR(VLOOKUP(E3331,A:I,9, FALSE),"")</f>
        <v>Album</v>
      </c>
      <c r="M3331" s="6" t="str">
        <f>IFERROR(VLOOKUP(H3331,B:J,9,FALSE),"")</f>
        <v>Der Name des Albums.</v>
      </c>
      <c r="N3331" s="6"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row>
    <row r="3332" spans="1:17" ht="75" x14ac:dyDescent="0.25">
      <c r="A3332" s="5" t="str">
        <f>IF(TRIM(I3332)="","",E3332)</f>
        <v>altTapeName</v>
      </c>
      <c r="B3332" s="5" t="str">
        <f>IF(TRIM(J3332)="","",H3332)</f>
        <v>An alternative tape name, set via the project window or timecode dialog in Premiere. If an alternative name has been set and has not been reverted, that name is displayed.</v>
      </c>
      <c r="C3332" s="5" t="str">
        <f>LEFT(F3332,FIND(".",F3332,6))</f>
        <v>Xmp.xmpDM.</v>
      </c>
      <c r="D3332" s="5" t="str">
        <f>VLOOKUP(C3332,PrefixUebersetzung,2,FALSE)</f>
        <v>Xmp.xmpDM.</v>
      </c>
      <c r="E3332" s="5" t="str">
        <f>MID(F3332,FIND(".",F3332,6)+1,99)</f>
        <v>altTapeName</v>
      </c>
      <c r="F3332" s="5" t="s">
        <v>2053</v>
      </c>
      <c r="G3332" s="5" t="s">
        <v>9678</v>
      </c>
      <c r="H3332" s="6" t="s">
        <v>3632</v>
      </c>
      <c r="I3332" s="7" t="s">
        <v>5103</v>
      </c>
      <c r="J3332" s="14" t="s">
        <v>6714</v>
      </c>
      <c r="K3332" s="26"/>
      <c r="N3332" s="6"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6" t="s">
        <v>8574</v>
      </c>
      <c r="P3332" s="6" t="s">
        <v>8574</v>
      </c>
    </row>
    <row r="3333" spans="1:17" ht="30" x14ac:dyDescent="0.25">
      <c r="A3333" s="5" t="str">
        <f>IF(TRIM(I3333)="","",E3333)</f>
        <v>altTimecode</v>
      </c>
      <c r="B3333" s="5" t="str">
        <f>IF(TRIM(J3333)="","",H3333)</f>
        <v>A timecode set by the user. When specified, it is used instead of the startTimecode.</v>
      </c>
      <c r="C3333" s="5" t="str">
        <f>LEFT(F3333,FIND(".",F3333,6))</f>
        <v>Xmp.xmpDM.</v>
      </c>
      <c r="D3333" s="5" t="str">
        <f>VLOOKUP(C3333,PrefixUebersetzung,2,FALSE)</f>
        <v>Xmp.xmpDM.</v>
      </c>
      <c r="E3333" s="5" t="str">
        <f>MID(F3333,FIND(".",F3333,6)+1,99)</f>
        <v>altTimecode</v>
      </c>
      <c r="F3333" s="5" t="s">
        <v>2054</v>
      </c>
      <c r="G3333" s="5" t="s">
        <v>9678</v>
      </c>
      <c r="H3333" s="6" t="s">
        <v>3633</v>
      </c>
      <c r="I3333" s="7" t="s">
        <v>5105</v>
      </c>
      <c r="J3333" s="14" t="s">
        <v>5621</v>
      </c>
      <c r="K3333" s="26"/>
      <c r="N3333" s="6"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O3333" s="6" t="s">
        <v>8574</v>
      </c>
      <c r="P3333" s="6" t="s">
        <v>8574</v>
      </c>
    </row>
    <row r="3334" spans="1:17" ht="30" x14ac:dyDescent="0.25">
      <c r="A3334" s="5" t="str">
        <f>IF(TRIM(I3334)="","",E3334)</f>
        <v/>
      </c>
      <c r="B3334" s="5" t="str">
        <f>IF(TRIM(J3334)="","",H3334)</f>
        <v/>
      </c>
      <c r="C3334" s="5" t="str">
        <f>LEFT(F3334,FIND(".",F3334,6))</f>
        <v>Xmp.xmpDM.</v>
      </c>
      <c r="D3334" s="5" t="str">
        <f>VLOOKUP(C3334,PrefixUebersetzung,2,FALSE)</f>
        <v>Xmp.xmpDM.</v>
      </c>
      <c r="E3334" s="5" t="str">
        <f>MID(F3334,FIND(".",F3334,6)+1,99)</f>
        <v>artist</v>
      </c>
      <c r="F3334" s="5" t="s">
        <v>2055</v>
      </c>
      <c r="G3334" s="5" t="s">
        <v>9678</v>
      </c>
      <c r="H3334" s="6" t="s">
        <v>3634</v>
      </c>
      <c r="I3334" s="7"/>
      <c r="K3334" s="26"/>
      <c r="L3334" s="6" t="str">
        <f>IFERROR(VLOOKUP(E3334,A:I,9, FALSE),"")</f>
        <v>Künstler</v>
      </c>
      <c r="M3334" s="6" t="str">
        <f>IFERROR(VLOOKUP(H3334,B:J,9,FALSE),"")</f>
        <v>Der Name des Künstlers oder der Künstler.</v>
      </c>
      <c r="N3334" s="6"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row>
    <row r="3335" spans="1:17" ht="30" x14ac:dyDescent="0.25">
      <c r="A3335" s="5" t="str">
        <f>IF(TRIM(I3335)="","",E3335)</f>
        <v>audioChannelType</v>
      </c>
      <c r="B3335" s="5" t="str">
        <f>IF(TRIM(J3335)="","",H3335)</f>
        <v>The audio channel type. One of: Mono, Stereo, 5.1, 7.1, 16 Channel, Other.</v>
      </c>
      <c r="C3335" s="5" t="str">
        <f>LEFT(F3335,FIND(".",F3335,6))</f>
        <v>Xmp.xmpDM.</v>
      </c>
      <c r="D3335" s="5" t="str">
        <f>VLOOKUP(C3335,PrefixUebersetzung,2,FALSE)</f>
        <v>Xmp.xmpDM.</v>
      </c>
      <c r="E3335" s="5" t="str">
        <f>MID(F3335,FIND(".",F3335,6)+1,99)</f>
        <v>audioChannelType</v>
      </c>
      <c r="F3335" s="5" t="s">
        <v>2056</v>
      </c>
      <c r="G3335" s="5" t="s">
        <v>9678</v>
      </c>
      <c r="H3335" s="6" t="s">
        <v>9652</v>
      </c>
      <c r="I3335" s="7" t="s">
        <v>5029</v>
      </c>
      <c r="J3335" s="14" t="s">
        <v>9720</v>
      </c>
      <c r="K3335" s="26"/>
      <c r="N3335" s="6"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O3335" s="6" t="s">
        <v>8574</v>
      </c>
      <c r="P3335" s="6" t="s">
        <v>8574</v>
      </c>
    </row>
    <row r="3336" spans="1:17" ht="30" x14ac:dyDescent="0.25">
      <c r="A3336" s="5" t="str">
        <f>IF(TRIM(I3336)="","",E3336)</f>
        <v>audioCompressor</v>
      </c>
      <c r="B3336" s="5" t="str">
        <f>IF(TRIM(J3336)="","",H3336)</f>
        <v/>
      </c>
      <c r="C3336" s="5" t="str">
        <f>LEFT(F3336,FIND(".",F3336,6))</f>
        <v>Xmp.xmpDM.</v>
      </c>
      <c r="D3336" s="5" t="str">
        <f>VLOOKUP(C3336,PrefixUebersetzung,2,FALSE)</f>
        <v>Xmp.xmpDM.</v>
      </c>
      <c r="E3336" s="5" t="str">
        <f>MID(F3336,FIND(".",F3336,6)+1,99)</f>
        <v>audioCompressor</v>
      </c>
      <c r="F3336" s="5" t="s">
        <v>2057</v>
      </c>
      <c r="G3336" s="5" t="s">
        <v>9678</v>
      </c>
      <c r="H3336" s="6" t="s">
        <v>3636</v>
      </c>
      <c r="I3336" s="7" t="s">
        <v>5028</v>
      </c>
      <c r="K3336" s="26"/>
      <c r="M3336" s="6" t="str">
        <f>IFERROR(VLOOKUP(H3336,B:J,9,FALSE),"")</f>
        <v>Die verwendete Audio-Kompression . Zum Beispiel MP3.</v>
      </c>
      <c r="N3336" s="6"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6" t="s">
        <v>8574</v>
      </c>
    </row>
    <row r="3337" spans="1:17" ht="30" x14ac:dyDescent="0.25">
      <c r="A3337" s="5" t="str">
        <f>IF(TRIM(I3337)="","",E3337)</f>
        <v>audioModDate</v>
      </c>
      <c r="B3337" s="5" t="str">
        <f>IF(TRIM(J3337)="","",H3337)</f>
        <v>(deprecated) The date and time when the audio was last modified.</v>
      </c>
      <c r="C3337" s="5" t="str">
        <f>LEFT(F3337,FIND(".",F3337,6))</f>
        <v>Xmp.xmpDM.</v>
      </c>
      <c r="D3337" s="5" t="str">
        <f>VLOOKUP(C3337,PrefixUebersetzung,2,FALSE)</f>
        <v>Xmp.xmpDM.</v>
      </c>
      <c r="E3337" s="5" t="str">
        <f>MID(F3337,FIND(".",F3337,6)+1,99)</f>
        <v>audioModDate</v>
      </c>
      <c r="F3337" s="5" t="s">
        <v>2058</v>
      </c>
      <c r="G3337" s="5" t="s">
        <v>9678</v>
      </c>
      <c r="H3337" s="6" t="s">
        <v>9653</v>
      </c>
      <c r="I3337" s="7" t="s">
        <v>5027</v>
      </c>
      <c r="J3337" s="14" t="s">
        <v>9711</v>
      </c>
      <c r="K3337" s="26"/>
      <c r="N3337" s="6"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6" t="s">
        <v>8574</v>
      </c>
      <c r="P3337" s="6" t="s">
        <v>8574</v>
      </c>
    </row>
    <row r="3338" spans="1:17" ht="30" x14ac:dyDescent="0.25">
      <c r="A3338" s="5" t="str">
        <f>IF(TRIM(I3338)="","",E3338)</f>
        <v>audioSampleRate</v>
      </c>
      <c r="B3338" s="5" t="str">
        <f>IF(TRIM(J3338)="","",H3338)</f>
        <v>The audio sample rate. Can be any value, but commonly 32000, 44100, or 48000.</v>
      </c>
      <c r="C3338" s="5" t="str">
        <f>LEFT(F3338,FIND(".",F3338,6))</f>
        <v>Xmp.xmpDM.</v>
      </c>
      <c r="D3338" s="5" t="str">
        <f>VLOOKUP(C3338,PrefixUebersetzung,2,FALSE)</f>
        <v>Xmp.xmpDM.</v>
      </c>
      <c r="E3338" s="5" t="str">
        <f>MID(F3338,FIND(".",F3338,6)+1,99)</f>
        <v>audioSampleRate</v>
      </c>
      <c r="F3338" s="5" t="s">
        <v>2059</v>
      </c>
      <c r="G3338" s="5" t="s">
        <v>9678</v>
      </c>
      <c r="H3338" s="6" t="s">
        <v>9654</v>
      </c>
      <c r="I3338" s="7" t="s">
        <v>4457</v>
      </c>
      <c r="J3338" s="14" t="s">
        <v>9721</v>
      </c>
      <c r="K3338" s="26"/>
      <c r="N3338" s="6"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6" t="s">
        <v>8574</v>
      </c>
      <c r="P3338" s="6" t="s">
        <v>8574</v>
      </c>
    </row>
    <row r="3339" spans="1:17" ht="30" x14ac:dyDescent="0.25">
      <c r="A3339" s="5" t="str">
        <f>IF(TRIM(I3339)="","",E3339)</f>
        <v>audioSampleType</v>
      </c>
      <c r="B3339" s="5" t="str">
        <f>IF(TRIM(J3339)="","",H3339)</f>
        <v>The audio sample type. One of: 8Int, 16Int, 24Int, 32Int, 32Float, Compressed, Packed, Other.</v>
      </c>
      <c r="C3339" s="5" t="str">
        <f>LEFT(F3339,FIND(".",F3339,6))</f>
        <v>Xmp.xmpDM.</v>
      </c>
      <c r="D3339" s="5" t="str">
        <f>VLOOKUP(C3339,PrefixUebersetzung,2,FALSE)</f>
        <v>Xmp.xmpDM.</v>
      </c>
      <c r="E3339" s="5" t="str">
        <f>MID(F3339,FIND(".",F3339,6)+1,99)</f>
        <v>audioSampleType</v>
      </c>
      <c r="F3339" s="5" t="s">
        <v>2060</v>
      </c>
      <c r="G3339" s="5" t="s">
        <v>9678</v>
      </c>
      <c r="H3339" s="6" t="s">
        <v>9655</v>
      </c>
      <c r="I3339" s="7" t="s">
        <v>5030</v>
      </c>
      <c r="J3339" s="14" t="s">
        <v>9722</v>
      </c>
      <c r="K3339" s="26"/>
      <c r="N3339" s="6"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O3339" s="6" t="s">
        <v>8574</v>
      </c>
      <c r="P3339" s="6" t="s">
        <v>8574</v>
      </c>
    </row>
    <row r="3340" spans="1:17" x14ac:dyDescent="0.25">
      <c r="A3340" s="5" t="str">
        <f>IF(TRIM(I3340)="","",E3340)</f>
        <v/>
      </c>
      <c r="B3340" s="5" t="str">
        <f>IF(TRIM(J3340)="","",H3340)</f>
        <v/>
      </c>
      <c r="C3340" s="5" t="str">
        <f>LEFT(F3340,FIND(".",F3340,6))</f>
        <v>Xmp.xmpDM.</v>
      </c>
      <c r="D3340" s="5" t="str">
        <f>VLOOKUP(C3340,PrefixUebersetzung,2,FALSE)</f>
        <v>Xmp.xmpDM.</v>
      </c>
      <c r="E3340" s="5" t="str">
        <f>MID(F3340,FIND(".",F3340,6)+1,99)</f>
        <v>beatSpliceParams</v>
      </c>
      <c r="F3340" s="5" t="s">
        <v>2061</v>
      </c>
      <c r="G3340" s="5" t="s">
        <v>9678</v>
      </c>
      <c r="H3340" s="6" t="s">
        <v>3639</v>
      </c>
      <c r="I3340" s="7"/>
      <c r="K3340" s="26"/>
      <c r="N3340" s="6"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xml:space="preserve">Suffix not translated Description not translated </v>
      </c>
      <c r="O3340" s="6" t="s">
        <v>8574</v>
      </c>
      <c r="P3340" s="6" t="s">
        <v>8574</v>
      </c>
    </row>
    <row r="3341" spans="1:17" ht="105" x14ac:dyDescent="0.25">
      <c r="A3341" s="5" t="str">
        <f>IF(TRIM(I3341)="","",E3341)</f>
        <v>cameraAngle</v>
      </c>
      <c r="B3341" s="5" t="str">
        <f>IF(TRIM(J3341)="","",H3341)</f>
        <v>The orientation of the camera to the subject in a static shot, from a fixed set of industry standard terminology. Predefined values include:Low Angle, Eye Level, High Angle, Overhead Shot, Birds Eye Shot, Dutch Angle, POV, Over the Shoulder, Reaction Shot.</v>
      </c>
      <c r="C3341" s="5" t="str">
        <f>LEFT(F3341,FIND(".",F3341,6))</f>
        <v>Xmp.xmpDM.</v>
      </c>
      <c r="D3341" s="5" t="str">
        <f>VLOOKUP(C3341,PrefixUebersetzung,2,FALSE)</f>
        <v>Xmp.xmpDM.</v>
      </c>
      <c r="E3341" s="5" t="str">
        <f>MID(F3341,FIND(".",F3341,6)+1,99)</f>
        <v>cameraAngle</v>
      </c>
      <c r="F3341" s="2" t="s">
        <v>8517</v>
      </c>
      <c r="G3341" s="5" t="s">
        <v>9678</v>
      </c>
      <c r="H3341" s="3" t="s">
        <v>8518</v>
      </c>
      <c r="I3341" s="7" t="s">
        <v>8765</v>
      </c>
      <c r="J3341" s="8" t="s">
        <v>8787</v>
      </c>
      <c r="K3341" s="26"/>
      <c r="N3341" s="6"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O3341" s="6" t="s">
        <v>8574</v>
      </c>
      <c r="P3341" s="6" t="s">
        <v>8574</v>
      </c>
    </row>
    <row r="3342" spans="1:17" ht="60" x14ac:dyDescent="0.25">
      <c r="A3342" s="5" t="str">
        <f>IF(TRIM(I3342)="","",E3342)</f>
        <v/>
      </c>
      <c r="B3342" s="5" t="str">
        <f>IF(TRIM(J3342)="","",H3342)</f>
        <v>A description of the camera used for a shoot. Can be any string, but is usually simply a number, for example "1", "2", or more explicitly "Camera 1".</v>
      </c>
      <c r="C3342" s="5" t="str">
        <f>LEFT(F3342,FIND(".",F3342,6))</f>
        <v>Xmp.xmpDM.</v>
      </c>
      <c r="D3342" s="5" t="str">
        <f>VLOOKUP(C3342,PrefixUebersetzung,2,FALSE)</f>
        <v>Xmp.xmpDM.</v>
      </c>
      <c r="E3342" s="5" t="str">
        <f>MID(F3342,FIND(".",F3342,6)+1,99)</f>
        <v>cameraLabel</v>
      </c>
      <c r="F3342" s="2" t="s">
        <v>8519</v>
      </c>
      <c r="G3342" s="5" t="s">
        <v>9678</v>
      </c>
      <c r="H3342" s="3" t="s">
        <v>8520</v>
      </c>
      <c r="I3342" s="7"/>
      <c r="J3342" s="8" t="s">
        <v>8789</v>
      </c>
      <c r="K3342" s="26"/>
      <c r="L3342" s="6" t="str">
        <f>IFERROR(VLOOKUP(E3342,A:I,9, FALSE),"")</f>
        <v>Kamera-Label</v>
      </c>
      <c r="N3342" s="6"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6" t="s">
        <v>8574</v>
      </c>
    </row>
    <row r="3343" spans="1:17" ht="30" x14ac:dyDescent="0.25">
      <c r="A3343" s="5" t="str">
        <f>IF(TRIM(I3343)="","",E3343)</f>
        <v/>
      </c>
      <c r="B3343" s="5" t="str">
        <f>IF(TRIM(J3343)="","",H3343)</f>
        <v>The make and model of the camera used for a shoot.</v>
      </c>
      <c r="C3343" s="5" t="str">
        <f>LEFT(F3343,FIND(".",F3343,6))</f>
        <v>Xmp.xmpDM.</v>
      </c>
      <c r="D3343" s="5" t="str">
        <f>VLOOKUP(C3343,PrefixUebersetzung,2,FALSE)</f>
        <v>Xmp.xmpDM.</v>
      </c>
      <c r="E3343" s="5" t="str">
        <f>MID(F3343,FIND(".",F3343,6)+1,99)</f>
        <v>cameraModel</v>
      </c>
      <c r="F3343" s="2" t="s">
        <v>8521</v>
      </c>
      <c r="G3343" s="5" t="s">
        <v>9678</v>
      </c>
      <c r="H3343" s="3" t="s">
        <v>8522</v>
      </c>
      <c r="I3343" s="7"/>
      <c r="J3343" s="8" t="s">
        <v>8790</v>
      </c>
      <c r="K3343" s="26"/>
      <c r="L3343" s="6" t="str">
        <f>IFERROR(VLOOKUP(E3343,A:I,9, FALSE),"")</f>
        <v>Kameramodell</v>
      </c>
      <c r="N3343" s="6"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P3343" s="6" t="s">
        <v>8574</v>
      </c>
      <c r="Q3343" s="6" t="s">
        <v>9527</v>
      </c>
    </row>
    <row r="3344" spans="1:17" ht="135" x14ac:dyDescent="0.25">
      <c r="A3344" s="5" t="str">
        <f>IF(TRIM(I3344)="","",E3344)</f>
        <v>cameraMove</v>
      </c>
      <c r="B3344" s="5" t="str">
        <f>IF(TRIM(J3344)="","",H3344)</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3344" s="5" t="str">
        <f>LEFT(F3344,FIND(".",F3344,6))</f>
        <v>Xmp.xmpDM.</v>
      </c>
      <c r="D3344" s="5" t="str">
        <f>VLOOKUP(C3344,PrefixUebersetzung,2,FALSE)</f>
        <v>Xmp.xmpDM.</v>
      </c>
      <c r="E3344" s="5" t="str">
        <f>MID(F3344,FIND(".",F3344,6)+1,99)</f>
        <v>cameraMove</v>
      </c>
      <c r="F3344" s="2" t="s">
        <v>8523</v>
      </c>
      <c r="G3344" s="5" t="s">
        <v>9678</v>
      </c>
      <c r="H3344" s="3" t="s">
        <v>8524</v>
      </c>
      <c r="I3344" s="7" t="s">
        <v>8766</v>
      </c>
      <c r="J3344" s="8" t="s">
        <v>8791</v>
      </c>
      <c r="K3344" s="26"/>
      <c r="N3344" s="6"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6" t="s">
        <v>8574</v>
      </c>
      <c r="P3344" s="6" t="s">
        <v>8574</v>
      </c>
    </row>
    <row r="3345" spans="1:17" ht="30" x14ac:dyDescent="0.25">
      <c r="A3345" s="5" t="str">
        <f>IF(TRIM(I3345)="","",E3345)</f>
        <v>client</v>
      </c>
      <c r="B3345" s="5" t="str">
        <f>IF(TRIM(J3345)="","",H3345)</f>
        <v>The client for the job of which this shot or take is a part.</v>
      </c>
      <c r="C3345" s="5" t="str">
        <f>LEFT(F3345,FIND(".",F3345,6))</f>
        <v>Xmp.xmpDM.</v>
      </c>
      <c r="D3345" s="5" t="str">
        <f>VLOOKUP(C3345,PrefixUebersetzung,2,FALSE)</f>
        <v>Xmp.xmpDM.</v>
      </c>
      <c r="E3345" s="5" t="str">
        <f>MID(F3345,FIND(".",F3345,6)+1,99)</f>
        <v>client</v>
      </c>
      <c r="F3345" s="2" t="s">
        <v>8525</v>
      </c>
      <c r="G3345" s="5" t="s">
        <v>9678</v>
      </c>
      <c r="H3345" s="3" t="s">
        <v>8526</v>
      </c>
      <c r="I3345" s="7" t="s">
        <v>8767</v>
      </c>
      <c r="J3345" s="8" t="s">
        <v>8793</v>
      </c>
      <c r="K3345" s="26"/>
      <c r="N3345" s="6"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O3345" s="6" t="s">
        <v>8574</v>
      </c>
      <c r="P3345" s="6" t="s">
        <v>8574</v>
      </c>
    </row>
    <row r="3346" spans="1:17" x14ac:dyDescent="0.25">
      <c r="A3346" s="5" t="str">
        <f>IF(TRIM(I3346)="","",E3346)</f>
        <v/>
      </c>
      <c r="B3346" s="5" t="str">
        <f>IF(TRIM(J3346)="","",H3346)</f>
        <v>A user's comments.</v>
      </c>
      <c r="C3346" s="5" t="str">
        <f>LEFT(F3346,FIND(".",F3346,6))</f>
        <v>Xmp.xmpDM.</v>
      </c>
      <c r="D3346" s="5" t="str">
        <f>VLOOKUP(C3346,PrefixUebersetzung,2,FALSE)</f>
        <v>Xmp.xmpDM.</v>
      </c>
      <c r="E3346" s="5" t="str">
        <f>MID(F3346,FIND(".",F3346,6)+1,99)</f>
        <v>comment</v>
      </c>
      <c r="F3346" s="2" t="s">
        <v>8527</v>
      </c>
      <c r="G3346" s="5" t="s">
        <v>9678</v>
      </c>
      <c r="H3346" s="3" t="s">
        <v>8528</v>
      </c>
      <c r="I3346" s="7"/>
      <c r="J3346" s="8" t="s">
        <v>8795</v>
      </c>
      <c r="K3346" s="26"/>
      <c r="L3346" s="6" t="str">
        <f>IFERROR(VLOOKUP(E3346,A:I,9, FALSE),"")</f>
        <v>Kommentar</v>
      </c>
      <c r="N3346" s="6"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P3346" s="6" t="s">
        <v>8574</v>
      </c>
      <c r="Q3346" s="6" t="s">
        <v>9099</v>
      </c>
    </row>
    <row r="3347" spans="1:17" x14ac:dyDescent="0.25">
      <c r="A3347" s="5" t="str">
        <f>IF(TRIM(I3347)="","",E3347)</f>
        <v/>
      </c>
      <c r="B3347" s="5" t="str">
        <f>IF(TRIM(J3347)="","",H3347)</f>
        <v>The composer's name.</v>
      </c>
      <c r="C3347" s="5" t="str">
        <f>LEFT(F3347,FIND(".",F3347,6))</f>
        <v>Xmp.xmpDM.</v>
      </c>
      <c r="D3347" s="5" t="str">
        <f>VLOOKUP(C3347,PrefixUebersetzung,2,FALSE)</f>
        <v>Xmp.xmpDM.</v>
      </c>
      <c r="E3347" s="5" t="str">
        <f>MID(F3347,FIND(".",F3347,6)+1,99)</f>
        <v>composer</v>
      </c>
      <c r="F3347" s="5" t="s">
        <v>2062</v>
      </c>
      <c r="G3347" s="5" t="s">
        <v>9678</v>
      </c>
      <c r="H3347" s="6" t="s">
        <v>3640</v>
      </c>
      <c r="I3347" s="7"/>
      <c r="J3347" s="14" t="s">
        <v>4173</v>
      </c>
      <c r="K3347" s="26"/>
      <c r="L3347" s="6" t="str">
        <f>IFERROR(VLOOKUP(E3347,A:I,9, FALSE),"")</f>
        <v>Komponist</v>
      </c>
      <c r="N3347" s="6"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6" t="s">
        <v>8574</v>
      </c>
      <c r="Q3347" s="6" t="s">
        <v>9526</v>
      </c>
    </row>
    <row r="3348" spans="1:17" ht="30" x14ac:dyDescent="0.25">
      <c r="A3348" s="5" t="str">
        <f>IF(TRIM(I3348)="","",E3348)</f>
        <v>contributedMedia</v>
      </c>
      <c r="B3348" s="5" t="str">
        <f>IF(TRIM(J3348)="","",H3348)</f>
        <v>An unordered list of all media used to create this media.</v>
      </c>
      <c r="C3348" s="5" t="str">
        <f>LEFT(F3348,FIND(".",F3348,6))</f>
        <v>Xmp.xmpDM.</v>
      </c>
      <c r="D3348" s="5" t="str">
        <f>VLOOKUP(C3348,PrefixUebersetzung,2,FALSE)</f>
        <v>Xmp.xmpDM.</v>
      </c>
      <c r="E3348" s="5" t="str">
        <f>MID(F3348,FIND(".",F3348,6)+1,99)</f>
        <v>contributedMedia</v>
      </c>
      <c r="F3348" s="5" t="s">
        <v>2063</v>
      </c>
      <c r="G3348" s="5" t="s">
        <v>9679</v>
      </c>
      <c r="H3348" s="6" t="s">
        <v>3641</v>
      </c>
      <c r="I3348" s="7" t="s">
        <v>4619</v>
      </c>
      <c r="J3348" s="14" t="s">
        <v>5622</v>
      </c>
      <c r="K3348" s="26"/>
      <c r="N3348" s="6"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6" t="s">
        <v>8574</v>
      </c>
      <c r="P3348" s="6" t="s">
        <v>8574</v>
      </c>
    </row>
    <row r="3349" spans="1:17" ht="30" x14ac:dyDescent="0.25">
      <c r="A3349" s="5" t="str">
        <f>IF(TRIM(I3349)="","",E3349)</f>
        <v/>
      </c>
      <c r="B3349" s="5" t="str">
        <f>IF(TRIM(J3349)="","",H3349)</f>
        <v>(Deprecated in favour of dc:rights.) The copyright information.</v>
      </c>
      <c r="C3349" s="5" t="str">
        <f>LEFT(F3349,FIND(".",F3349,6))</f>
        <v>Xmp.xmpDM.</v>
      </c>
      <c r="D3349" s="5" t="str">
        <f>VLOOKUP(C3349,PrefixUebersetzung,2,FALSE)</f>
        <v>Xmp.xmpDM.</v>
      </c>
      <c r="E3349" s="5" t="str">
        <f>MID(F3349,FIND(".",F3349,6)+1,99)</f>
        <v>copyright</v>
      </c>
      <c r="F3349" s="5" t="s">
        <v>2064</v>
      </c>
      <c r="G3349" s="5" t="s">
        <v>9678</v>
      </c>
      <c r="H3349" s="6" t="s">
        <v>9656</v>
      </c>
      <c r="I3349" s="7"/>
      <c r="J3349" s="14" t="s">
        <v>9657</v>
      </c>
      <c r="K3349" s="26"/>
      <c r="L3349" s="6" t="str">
        <f>IFERROR(VLOOKUP(E3349,A:I,9, FALSE),"")</f>
        <v>Copyright</v>
      </c>
      <c r="N3349" s="6"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P3349" s="6" t="s">
        <v>8574</v>
      </c>
    </row>
    <row r="3350" spans="1:17" x14ac:dyDescent="0.25">
      <c r="A3350" s="5" t="str">
        <f>IF(TRIM(I3350)="","",E3350)</f>
        <v/>
      </c>
      <c r="B3350" s="5" t="str">
        <f>IF(TRIM(J3350)="","",H3350)</f>
        <v>The director of the scene.</v>
      </c>
      <c r="C3350" s="5" t="str">
        <f>LEFT(F3350,FIND(".",F3350,6))</f>
        <v>Xmp.xmpDM.</v>
      </c>
      <c r="D3350" s="5" t="str">
        <f>VLOOKUP(C3350,PrefixUebersetzung,2,FALSE)</f>
        <v>Xmp.xmpDM.</v>
      </c>
      <c r="E3350" s="5" t="str">
        <f>MID(F3350,FIND(".",F3350,6)+1,99)</f>
        <v>director</v>
      </c>
      <c r="F3350" s="2" t="s">
        <v>8529</v>
      </c>
      <c r="G3350" s="5" t="s">
        <v>9678</v>
      </c>
      <c r="H3350" s="3" t="s">
        <v>8530</v>
      </c>
      <c r="I3350" s="7"/>
      <c r="J3350" s="8" t="s">
        <v>8798</v>
      </c>
      <c r="K3350" s="26"/>
      <c r="L3350" s="6" t="str">
        <f>IFERROR(VLOOKUP(E3350,A:I,9, FALSE),"")</f>
        <v>Regisseur</v>
      </c>
      <c r="N3350" s="6"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P3350" s="6" t="s">
        <v>8574</v>
      </c>
      <c r="Q3350" s="6" t="s">
        <v>4178</v>
      </c>
    </row>
    <row r="3351" spans="1:17" x14ac:dyDescent="0.25">
      <c r="A3351" s="5" t="str">
        <f>IF(TRIM(I3351)="","",E3351)</f>
        <v>directorPhotography</v>
      </c>
      <c r="B3351" s="5" t="str">
        <f>IF(TRIM(J3351)="","",H3351)</f>
        <v>The director of photography for the scene.</v>
      </c>
      <c r="C3351" s="5" t="str">
        <f>LEFT(F3351,FIND(".",F3351,6))</f>
        <v>Xmp.xmpDM.</v>
      </c>
      <c r="D3351" s="5" t="str">
        <f>VLOOKUP(C3351,PrefixUebersetzung,2,FALSE)</f>
        <v>Xmp.xmpDM.</v>
      </c>
      <c r="E3351" s="5" t="str">
        <f>MID(F3351,FIND(".",F3351,6)+1,99)</f>
        <v>directorPhotography</v>
      </c>
      <c r="F3351" s="2" t="s">
        <v>8531</v>
      </c>
      <c r="G3351" s="5" t="s">
        <v>9678</v>
      </c>
      <c r="H3351" s="3" t="s">
        <v>8532</v>
      </c>
      <c r="I3351" s="5" t="s">
        <v>6495</v>
      </c>
      <c r="J3351" s="8" t="s">
        <v>8799</v>
      </c>
      <c r="K3351" s="26"/>
      <c r="N3351" s="6"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O3351" s="6" t="s">
        <v>8574</v>
      </c>
      <c r="P3351" s="6" t="s">
        <v>8574</v>
      </c>
    </row>
    <row r="3352" spans="1:17" ht="45" x14ac:dyDescent="0.25">
      <c r="A3352" s="5" t="str">
        <f>IF(TRIM(I3352)="","",E3352)</f>
        <v>discNumber</v>
      </c>
      <c r="B3352" s="5" t="str">
        <f>IF(TRIM(J3352)="","",H3352)</f>
        <v>If in a multi-disc set, might contain total number of discs. For example: 2/3.</v>
      </c>
      <c r="C3352" s="5" t="str">
        <f>LEFT(F3352,FIND(".",F3352,6))</f>
        <v>Xmp.xmpDM.</v>
      </c>
      <c r="D3352" s="5" t="str">
        <f>VLOOKUP(C3352,PrefixUebersetzung,2,FALSE)</f>
        <v>Xmp.xmpDM.</v>
      </c>
      <c r="E3352" s="5" t="str">
        <f>MID(F3352,FIND(".",F3352,6)+1,99)</f>
        <v>discNumber</v>
      </c>
      <c r="F3352" s="2" t="s">
        <v>8533</v>
      </c>
      <c r="G3352" s="5" t="s">
        <v>9678</v>
      </c>
      <c r="H3352" s="3" t="s">
        <v>8534</v>
      </c>
      <c r="I3352" s="5" t="s">
        <v>8973</v>
      </c>
      <c r="J3352" s="13" t="s">
        <v>8800</v>
      </c>
      <c r="K3352" s="26"/>
      <c r="N3352" s="6"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O3352" s="6" t="s">
        <v>8574</v>
      </c>
      <c r="P3352" s="6" t="s">
        <v>8574</v>
      </c>
    </row>
    <row r="3353" spans="1:17" x14ac:dyDescent="0.25">
      <c r="A3353" s="5" t="str">
        <f>IF(TRIM(I3353)="","",E3353)</f>
        <v/>
      </c>
      <c r="B3353" s="5" t="str">
        <f>IF(TRIM(J3353)="","",H3353)</f>
        <v>The duration of the media file.</v>
      </c>
      <c r="C3353" s="5" t="str">
        <f>LEFT(F3353,FIND(".",F3353,6))</f>
        <v>Xmp.xmpDM.</v>
      </c>
      <c r="D3353" s="5" t="str">
        <f>VLOOKUP(C3353,PrefixUebersetzung,2,FALSE)</f>
        <v>Xmp.xmpDM.</v>
      </c>
      <c r="E3353" s="5" t="str">
        <f>MID(F3353,FIND(".",F3353,6)+1,99)</f>
        <v>duration</v>
      </c>
      <c r="F3353" s="5" t="s">
        <v>2065</v>
      </c>
      <c r="G3353" s="5" t="s">
        <v>9678</v>
      </c>
      <c r="H3353" s="6" t="s">
        <v>3642</v>
      </c>
      <c r="I3353" s="7"/>
      <c r="J3353" s="14" t="s">
        <v>4174</v>
      </c>
      <c r="K3353" s="26"/>
      <c r="L3353" s="6" t="str">
        <f>IFERROR(VLOOKUP(E3353,A:I,9, FALSE),"")</f>
        <v>Dauer</v>
      </c>
      <c r="N3353" s="6"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P3353" s="6" t="s">
        <v>8574</v>
      </c>
      <c r="Q3353" s="6" t="s">
        <v>9530</v>
      </c>
    </row>
    <row r="3354" spans="1:17" x14ac:dyDescent="0.25">
      <c r="A3354" s="5" t="str">
        <f>IF(TRIM(I3354)="","",E3354)</f>
        <v/>
      </c>
      <c r="B3354" s="5" t="str">
        <f>IF(TRIM(J3354)="","",H3354)</f>
        <v>The engineer's name.</v>
      </c>
      <c r="C3354" s="5" t="str">
        <f>LEFT(F3354,FIND(".",F3354,6))</f>
        <v>Xmp.xmpDM.</v>
      </c>
      <c r="D3354" s="5" t="str">
        <f>VLOOKUP(C3354,PrefixUebersetzung,2,FALSE)</f>
        <v>Xmp.xmpDM.</v>
      </c>
      <c r="E3354" s="5" t="str">
        <f>MID(F3354,FIND(".",F3354,6)+1,99)</f>
        <v>engineer</v>
      </c>
      <c r="F3354" s="5" t="s">
        <v>2066</v>
      </c>
      <c r="G3354" s="5" t="s">
        <v>9678</v>
      </c>
      <c r="H3354" s="6" t="s">
        <v>3643</v>
      </c>
      <c r="I3354" s="7"/>
      <c r="J3354" s="14" t="s">
        <v>6926</v>
      </c>
      <c r="K3354" s="26"/>
      <c r="L3354" s="6" t="str">
        <f>IFERROR(VLOOKUP(E3354,A:I,9, FALSE),"")</f>
        <v>Ingenieur</v>
      </c>
      <c r="N3354" s="6"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P3354" s="6" t="s">
        <v>8574</v>
      </c>
      <c r="Q3354" s="6" t="s">
        <v>9531</v>
      </c>
    </row>
    <row r="3355" spans="1:17" ht="45" x14ac:dyDescent="0.25">
      <c r="A3355" s="5" t="str">
        <f>IF(TRIM(I3355)="","",E3355)</f>
        <v/>
      </c>
      <c r="B3355" s="5" t="str">
        <f>IF(TRIM(J3355)="","",H3355)</f>
        <v/>
      </c>
      <c r="C3355" s="5" t="str">
        <f>LEFT(F3355,FIND(".",F3355,6))</f>
        <v>Xmp.xmpDM.</v>
      </c>
      <c r="D3355" s="5" t="str">
        <f>VLOOKUP(C3355,PrefixUebersetzung,2,FALSE)</f>
        <v>Xmp.xmpDM.</v>
      </c>
      <c r="E3355" s="5" t="str">
        <f>MID(F3355,FIND(".",F3355,6)+1,99)</f>
        <v>fileDataRate</v>
      </c>
      <c r="F3355" s="5" t="s">
        <v>2067</v>
      </c>
      <c r="G3355" s="5" t="s">
        <v>9678</v>
      </c>
      <c r="H3355" s="6" t="s">
        <v>3644</v>
      </c>
      <c r="I3355" s="7"/>
      <c r="K3355" s="26"/>
      <c r="L3355" s="6" t="str">
        <f>IFERROR(VLOOKUP(E3355,A:I,9, FALSE),"")</f>
        <v>Datei Datenrate</v>
      </c>
      <c r="M3355" s="6" t="str">
        <f>IFERROR(VLOOKUP(H3355,B:J,9,FALSE),"")</f>
        <v>Die Datei-Datenrate in Megabyte pro Sekunde. Zum Beispiel: "36/10" = 3,6 MB / sec</v>
      </c>
      <c r="N3355" s="6"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row>
    <row r="3356" spans="1:17" x14ac:dyDescent="0.25">
      <c r="A3356" s="5" t="str">
        <f>IF(TRIM(I3356)="","",E3356)</f>
        <v/>
      </c>
      <c r="B3356" s="5" t="str">
        <f>IF(TRIM(J3356)="","",H3356)</f>
        <v/>
      </c>
      <c r="C3356" s="5" t="str">
        <f>LEFT(F3356,FIND(".",F3356,6))</f>
        <v>Xmp.xmpDM.</v>
      </c>
      <c r="D3356" s="5" t="str">
        <f>VLOOKUP(C3356,PrefixUebersetzung,2,FALSE)</f>
        <v>Xmp.xmpDM.</v>
      </c>
      <c r="E3356" s="5" t="str">
        <f>MID(F3356,FIND(".",F3356,6)+1,99)</f>
        <v>genre</v>
      </c>
      <c r="F3356" s="5" t="s">
        <v>2068</v>
      </c>
      <c r="G3356" s="5" t="s">
        <v>9678</v>
      </c>
      <c r="H3356" s="6" t="s">
        <v>3645</v>
      </c>
      <c r="I3356" s="7"/>
      <c r="K3356" s="26"/>
      <c r="L3356" s="6" t="str">
        <f>IFERROR(VLOOKUP(E3356,A:I,9, FALSE),"")</f>
        <v>Genre</v>
      </c>
      <c r="M3356" s="6" t="str">
        <f>IFERROR(VLOOKUP(H3356,B:J,9,FALSE),"")</f>
        <v>Der Name des Genres.</v>
      </c>
      <c r="N3356" s="6"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row>
    <row r="3357" spans="1:17" ht="30" x14ac:dyDescent="0.25">
      <c r="A3357" s="5" t="str">
        <f>IF(TRIM(I3357)="","",E3357)</f>
        <v>good</v>
      </c>
      <c r="B3357" s="5" t="str">
        <f>IF(TRIM(J3357)="","",H3357)</f>
        <v>A checkbox for tracking whether a shot is a keeper.</v>
      </c>
      <c r="C3357" s="5" t="str">
        <f>LEFT(F3357,FIND(".",F3357,6))</f>
        <v>Xmp.xmpDM.</v>
      </c>
      <c r="D3357" s="5" t="str">
        <f>VLOOKUP(C3357,PrefixUebersetzung,2,FALSE)</f>
        <v>Xmp.xmpDM.</v>
      </c>
      <c r="E3357" s="5" t="str">
        <f>MID(F3357,FIND(".",F3357,6)+1,99)</f>
        <v>good</v>
      </c>
      <c r="F3357" s="2" t="s">
        <v>8535</v>
      </c>
      <c r="G3357" s="5" t="s">
        <v>9678</v>
      </c>
      <c r="H3357" s="3" t="s">
        <v>8536</v>
      </c>
      <c r="I3357" s="5" t="s">
        <v>8577</v>
      </c>
      <c r="J3357" s="8" t="s">
        <v>8804</v>
      </c>
      <c r="K3357" s="26"/>
      <c r="N3357" s="6"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c>
      <c r="O3357" s="6" t="s">
        <v>8574</v>
      </c>
      <c r="P3357" s="6" t="s">
        <v>8574</v>
      </c>
    </row>
    <row r="3358" spans="1:17" x14ac:dyDescent="0.25">
      <c r="A3358" s="5" t="str">
        <f>IF(TRIM(I3358)="","",E3358)</f>
        <v>instrument</v>
      </c>
      <c r="B3358" s="5" t="str">
        <f>IF(TRIM(J3358)="","",H3358)</f>
        <v>The musical instrument.</v>
      </c>
      <c r="C3358" s="5" t="str">
        <f>LEFT(F3358,FIND(".",F3358,6))</f>
        <v>Xmp.xmpDM.</v>
      </c>
      <c r="D3358" s="5" t="str">
        <f>VLOOKUP(C3358,PrefixUebersetzung,2,FALSE)</f>
        <v>Xmp.xmpDM.</v>
      </c>
      <c r="E3358" s="5" t="str">
        <f>MID(F3358,FIND(".",F3358,6)+1,99)</f>
        <v>instrument</v>
      </c>
      <c r="F3358" s="5" t="s">
        <v>2069</v>
      </c>
      <c r="G3358" s="5" t="s">
        <v>9678</v>
      </c>
      <c r="H3358" s="6" t="s">
        <v>3646</v>
      </c>
      <c r="I3358" s="7" t="s">
        <v>4623</v>
      </c>
      <c r="J3358" s="14" t="s">
        <v>4176</v>
      </c>
      <c r="K3358" s="26"/>
      <c r="N3358" s="6"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O3358" s="6" t="s">
        <v>8574</v>
      </c>
      <c r="P3358" s="6" t="s">
        <v>8574</v>
      </c>
      <c r="Q3358" s="6" t="s">
        <v>9535</v>
      </c>
    </row>
    <row r="3359" spans="1:17" ht="30" x14ac:dyDescent="0.25">
      <c r="A3359" s="5" t="str">
        <f>IF(TRIM(I3359)="","",E3359)</f>
        <v>introTime</v>
      </c>
      <c r="B3359" s="5" t="str">
        <f>IF(TRIM(J3359)="","",H3359)</f>
        <v>The duration of lead time for queuing music.</v>
      </c>
      <c r="C3359" s="5" t="str">
        <f>LEFT(F3359,FIND(".",F3359,6))</f>
        <v>Xmp.xmpDM.</v>
      </c>
      <c r="D3359" s="5" t="str">
        <f>VLOOKUP(C3359,PrefixUebersetzung,2,FALSE)</f>
        <v>Xmp.xmpDM.</v>
      </c>
      <c r="E3359" s="5" t="str">
        <f>MID(F3359,FIND(".",F3359,6)+1,99)</f>
        <v>introTime</v>
      </c>
      <c r="F3359" s="5" t="s">
        <v>2070</v>
      </c>
      <c r="G3359" s="5" t="s">
        <v>9678</v>
      </c>
      <c r="H3359" s="6" t="s">
        <v>3647</v>
      </c>
      <c r="I3359" s="7" t="s">
        <v>5031</v>
      </c>
      <c r="J3359" s="14" t="s">
        <v>4177</v>
      </c>
      <c r="K3359" s="26"/>
      <c r="N3359" s="6"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6" t="s">
        <v>8574</v>
      </c>
      <c r="P3359" s="6" t="s">
        <v>8574</v>
      </c>
      <c r="Q3359" s="6" t="s">
        <v>9529</v>
      </c>
    </row>
    <row r="3360" spans="1:17" ht="30" x14ac:dyDescent="0.25">
      <c r="A3360" s="5" t="str">
        <f>IF(TRIM(I3360)="","",E3360)</f>
        <v>key</v>
      </c>
      <c r="B3360" s="5" t="str">
        <f>IF(TRIM(J3360)="","",H3360)</f>
        <v>The audio's musical key. One of: C, C#, D, D#, E, F, F#, G, G#, A, A#, B.</v>
      </c>
      <c r="C3360" s="5" t="str">
        <f>LEFT(F3360,FIND(".",F3360,6))</f>
        <v>Xmp.xmpDM.</v>
      </c>
      <c r="D3360" s="5" t="str">
        <f>VLOOKUP(C3360,PrefixUebersetzung,2,FALSE)</f>
        <v>Xmp.xmpDM.</v>
      </c>
      <c r="E3360" s="5" t="str">
        <f>MID(F3360,FIND(".",F3360,6)+1,99)</f>
        <v>key</v>
      </c>
      <c r="F3360" s="5" t="s">
        <v>2071</v>
      </c>
      <c r="G3360" s="5" t="s">
        <v>9678</v>
      </c>
      <c r="H3360" s="6" t="s">
        <v>3648</v>
      </c>
      <c r="I3360" s="7" t="s">
        <v>4624</v>
      </c>
      <c r="J3360" s="14" t="s">
        <v>5436</v>
      </c>
      <c r="K3360" s="26"/>
      <c r="N3360" s="6"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6" t="s">
        <v>8574</v>
      </c>
      <c r="P3360" s="6" t="s">
        <v>8574</v>
      </c>
    </row>
    <row r="3361" spans="1:17" x14ac:dyDescent="0.25">
      <c r="A3361" s="5" t="str">
        <f>IF(TRIM(I3361)="","",E3361)</f>
        <v>logComment</v>
      </c>
      <c r="B3361" s="5" t="str">
        <f>IF(TRIM(J3361)="","",H3361)</f>
        <v>User's log comments.</v>
      </c>
      <c r="C3361" s="5" t="str">
        <f>LEFT(F3361,FIND(".",F3361,6))</f>
        <v>Xmp.xmpDM.</v>
      </c>
      <c r="D3361" s="5" t="str">
        <f>VLOOKUP(C3361,PrefixUebersetzung,2,FALSE)</f>
        <v>Xmp.xmpDM.</v>
      </c>
      <c r="E3361" s="5" t="str">
        <f>MID(F3361,FIND(".",F3361,6)+1,99)</f>
        <v>logComment</v>
      </c>
      <c r="F3361" s="5" t="s">
        <v>2072</v>
      </c>
      <c r="G3361" s="5" t="s">
        <v>9678</v>
      </c>
      <c r="H3361" s="6" t="s">
        <v>3649</v>
      </c>
      <c r="I3361" s="7" t="s">
        <v>5032</v>
      </c>
      <c r="J3361" s="14" t="s">
        <v>5623</v>
      </c>
      <c r="K3361" s="26"/>
      <c r="N3361" s="6"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6" t="s">
        <v>8574</v>
      </c>
      <c r="P3361" s="6" t="s">
        <v>8574</v>
      </c>
      <c r="Q3361" s="6" t="s">
        <v>9099</v>
      </c>
    </row>
    <row r="3362" spans="1:17" x14ac:dyDescent="0.25">
      <c r="A3362" s="5" t="str">
        <f>IF(TRIM(I3362)="","",E3362)</f>
        <v>loop</v>
      </c>
      <c r="B3362" s="5" t="str">
        <f>IF(TRIM(J3362)="","",H3362)</f>
        <v>When true, the clip can be looped seamlessly.</v>
      </c>
      <c r="C3362" s="5" t="str">
        <f>LEFT(F3362,FIND(".",F3362,6))</f>
        <v>Xmp.xmpDM.</v>
      </c>
      <c r="D3362" s="5" t="str">
        <f>VLOOKUP(C3362,PrefixUebersetzung,2,FALSE)</f>
        <v>Xmp.xmpDM.</v>
      </c>
      <c r="E3362" s="5" t="str">
        <f>MID(F3362,FIND(".",F3362,6)+1,99)</f>
        <v>loop</v>
      </c>
      <c r="F3362" s="5" t="s">
        <v>2073</v>
      </c>
      <c r="G3362" s="5" t="s">
        <v>9678</v>
      </c>
      <c r="H3362" s="6" t="s">
        <v>9658</v>
      </c>
      <c r="I3362" s="7" t="s">
        <v>4625</v>
      </c>
      <c r="J3362" s="14" t="s">
        <v>5624</v>
      </c>
      <c r="K3362" s="26"/>
      <c r="N3362" s="6"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O3362" s="6" t="s">
        <v>8574</v>
      </c>
      <c r="P3362" s="6" t="s">
        <v>8574</v>
      </c>
    </row>
    <row r="3363" spans="1:17" x14ac:dyDescent="0.25">
      <c r="A3363" s="5" t="str">
        <f>IF(TRIM(I3363)="","",E3363)</f>
        <v/>
      </c>
      <c r="B3363" s="5" t="str">
        <f>IF(TRIM(J3363)="","",H3363)</f>
        <v>Lyrics text. No association with timecode.</v>
      </c>
      <c r="C3363" s="5" t="str">
        <f>LEFT(F3363,FIND(".",F3363,6))</f>
        <v>Xmp.xmpDM.</v>
      </c>
      <c r="D3363" s="5" t="str">
        <f>VLOOKUP(C3363,PrefixUebersetzung,2,FALSE)</f>
        <v>Xmp.xmpDM.</v>
      </c>
      <c r="E3363" s="5" t="str">
        <f>MID(F3363,FIND(".",F3363,6)+1,99)</f>
        <v>lyrics</v>
      </c>
      <c r="F3363" s="2" t="s">
        <v>8537</v>
      </c>
      <c r="G3363" s="5" t="s">
        <v>9678</v>
      </c>
      <c r="H3363" s="3" t="s">
        <v>8538</v>
      </c>
      <c r="I3363" s="7"/>
      <c r="J3363" s="8" t="s">
        <v>8820</v>
      </c>
      <c r="K3363" s="26"/>
      <c r="L3363" s="6" t="str">
        <f>IFERROR(VLOOKUP(E3363,A:I,9, FALSE),"")</f>
        <v>Liedtext</v>
      </c>
      <c r="N3363" s="6"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P3363" s="6" t="s">
        <v>8574</v>
      </c>
    </row>
    <row r="3364" spans="1:17" ht="30" x14ac:dyDescent="0.25">
      <c r="A3364" s="5" t="str">
        <f>IF(TRIM(I3364)="","",E3364)</f>
        <v>markers</v>
      </c>
      <c r="B3364" s="5" t="str">
        <f>IF(TRIM(J3364)="","",H3364)</f>
        <v>An ordered list of markers</v>
      </c>
      <c r="C3364" s="5" t="str">
        <f>LEFT(F3364,FIND(".",F3364,6))</f>
        <v>Xmp.xmpDM.</v>
      </c>
      <c r="D3364" s="5" t="str">
        <f>VLOOKUP(C3364,PrefixUebersetzung,2,FALSE)</f>
        <v>Xmp.xmpDM.</v>
      </c>
      <c r="E3364" s="5" t="str">
        <f>MID(F3364,FIND(".",F3364,6)+1,99)</f>
        <v>markers</v>
      </c>
      <c r="F3364" s="5" t="s">
        <v>2074</v>
      </c>
      <c r="G3364" s="5" t="s">
        <v>9680</v>
      </c>
      <c r="H3364" s="6" t="s">
        <v>3650</v>
      </c>
      <c r="I3364" s="7" t="s">
        <v>4626</v>
      </c>
      <c r="J3364" s="14" t="s">
        <v>5625</v>
      </c>
      <c r="K3364" s="26"/>
      <c r="N3364" s="6"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O3364" s="6" t="s">
        <v>8574</v>
      </c>
      <c r="P3364" s="6" t="s">
        <v>8574</v>
      </c>
      <c r="Q3364" s="6" t="s">
        <v>9132</v>
      </c>
    </row>
    <row r="3365" spans="1:17" ht="30" x14ac:dyDescent="0.25">
      <c r="A3365" s="5" t="str">
        <f>IF(TRIM(I3365)="","",E3365)</f>
        <v>metadataModDate</v>
      </c>
      <c r="B3365" s="5" t="str">
        <f>IF(TRIM(J3365)="","",H3365)</f>
        <v>(deprecated) The date and time when the metadata was last modified.</v>
      </c>
      <c r="C3365" s="5" t="str">
        <f>LEFT(F3365,FIND(".",F3365,6))</f>
        <v>Xmp.xmpDM.</v>
      </c>
      <c r="D3365" s="5" t="str">
        <f>VLOOKUP(C3365,PrefixUebersetzung,2,FALSE)</f>
        <v>Xmp.xmpDM.</v>
      </c>
      <c r="E3365" s="5" t="str">
        <f>MID(F3365,FIND(".",F3365,6)+1,99)</f>
        <v>metadataModDate</v>
      </c>
      <c r="F3365" s="5" t="s">
        <v>2075</v>
      </c>
      <c r="G3365" s="5" t="s">
        <v>9678</v>
      </c>
      <c r="H3365" s="6" t="s">
        <v>9712</v>
      </c>
      <c r="I3365" s="7" t="s">
        <v>5026</v>
      </c>
      <c r="J3365" s="14" t="s">
        <v>9659</v>
      </c>
      <c r="K3365" s="26"/>
      <c r="N3365" s="6"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6" t="s">
        <v>8574</v>
      </c>
      <c r="P3365" s="6" t="s">
        <v>8574</v>
      </c>
    </row>
    <row r="3366" spans="1:17" x14ac:dyDescent="0.25">
      <c r="A3366" s="5" t="str">
        <f>IF(TRIM(I3366)="","",E3366)</f>
        <v>numberOfBeats</v>
      </c>
      <c r="B3366" s="5" t="str">
        <f>IF(TRIM(J3366)="","",H3366)</f>
        <v>The number of beats.</v>
      </c>
      <c r="C3366" s="5" t="str">
        <f>LEFT(F3366,FIND(".",F3366,6))</f>
        <v>Xmp.xmpDM.</v>
      </c>
      <c r="D3366" s="5" t="str">
        <f>VLOOKUP(C3366,PrefixUebersetzung,2,FALSE)</f>
        <v>Xmp.xmpDM.</v>
      </c>
      <c r="E3366" s="5" t="str">
        <f>MID(F3366,FIND(".",F3366,6)+1,99)</f>
        <v>numberOfBeats</v>
      </c>
      <c r="F3366" s="5" t="s">
        <v>2076</v>
      </c>
      <c r="G3366" s="5" t="s">
        <v>9678</v>
      </c>
      <c r="H3366" s="6" t="s">
        <v>3651</v>
      </c>
      <c r="I3366" s="7" t="s">
        <v>6717</v>
      </c>
      <c r="J3366" s="14" t="s">
        <v>6716</v>
      </c>
      <c r="K3366" s="26"/>
      <c r="N3366" s="6"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O3366" s="6" t="s">
        <v>8574</v>
      </c>
      <c r="P3366" s="6" t="s">
        <v>8574</v>
      </c>
      <c r="Q3366" s="6" t="s">
        <v>6716</v>
      </c>
    </row>
    <row r="3367" spans="1:17" ht="30" x14ac:dyDescent="0.25">
      <c r="A3367" s="5" t="str">
        <f>IF(TRIM(I3367)="","",E3367)</f>
        <v>outCue</v>
      </c>
      <c r="B3367" s="5" t="str">
        <f>IF(TRIM(J3367)="","",H3367)</f>
        <v>The time at which to fade out.</v>
      </c>
      <c r="C3367" s="5" t="str">
        <f>LEFT(F3367,FIND(".",F3367,6))</f>
        <v>Xmp.xmpDM.</v>
      </c>
      <c r="D3367" s="5" t="str">
        <f>VLOOKUP(C3367,PrefixUebersetzung,2,FALSE)</f>
        <v>Xmp.xmpDM.</v>
      </c>
      <c r="E3367" s="5" t="str">
        <f>MID(F3367,FIND(".",F3367,6)+1,99)</f>
        <v>outCue</v>
      </c>
      <c r="F3367" s="5" t="s">
        <v>2077</v>
      </c>
      <c r="G3367" s="5" t="s">
        <v>9678</v>
      </c>
      <c r="H3367" s="6" t="s">
        <v>3652</v>
      </c>
      <c r="I3367" s="7" t="s">
        <v>4627</v>
      </c>
      <c r="J3367" s="14" t="s">
        <v>5626</v>
      </c>
      <c r="K3367" s="26"/>
      <c r="N3367" s="6"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6" t="s">
        <v>8574</v>
      </c>
      <c r="P3367" s="6" t="s">
        <v>8574</v>
      </c>
      <c r="Q3367" s="6" t="s">
        <v>9538</v>
      </c>
    </row>
    <row r="3368" spans="1:17" x14ac:dyDescent="0.25">
      <c r="A3368" s="5" t="str">
        <f>IF(TRIM(I3368)="","",E3368)</f>
        <v>partOfCompilation</v>
      </c>
      <c r="B3368" s="5" t="str">
        <f>IF(TRIM(J3368)="","",H3368)</f>
        <v>Part of compilation.</v>
      </c>
      <c r="C3368" s="5" t="str">
        <f>LEFT(F3368,FIND(".",F3368,6))</f>
        <v>Xmp.xmpDM.</v>
      </c>
      <c r="D3368" s="5" t="str">
        <f>VLOOKUP(C3368,PrefixUebersetzung,2,FALSE)</f>
        <v>Xmp.xmpDM.</v>
      </c>
      <c r="E3368" s="5" t="str">
        <f>MID(F3368,FIND(".",F3368,6)+1,99)</f>
        <v>partOfCompilation</v>
      </c>
      <c r="F3368" s="2" t="s">
        <v>8539</v>
      </c>
      <c r="G3368" s="5" t="s">
        <v>9678</v>
      </c>
      <c r="H3368" s="3" t="s">
        <v>8540</v>
      </c>
      <c r="I3368" s="24" t="s">
        <v>8841</v>
      </c>
      <c r="J3368" s="8" t="s">
        <v>8840</v>
      </c>
      <c r="K3368" s="26"/>
      <c r="N3368" s="6"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6" t="s">
        <v>8574</v>
      </c>
      <c r="P3368" s="6" t="s">
        <v>8574</v>
      </c>
      <c r="Q3368" s="6" t="s">
        <v>9333</v>
      </c>
    </row>
    <row r="3369" spans="1:17" ht="30" x14ac:dyDescent="0.25">
      <c r="A3369" s="5" t="str">
        <f>IF(TRIM(I3369)="","",E3369)</f>
        <v>projectName</v>
      </c>
      <c r="B3369" s="5" t="str">
        <f>IF(TRIM(J3369)="","",H3369)</f>
        <v>The name of the project of which this file is a part.</v>
      </c>
      <c r="C3369" s="5" t="str">
        <f>LEFT(F3369,FIND(".",F3369,6))</f>
        <v>Xmp.xmpDM.</v>
      </c>
      <c r="D3369" s="5" t="str">
        <f>VLOOKUP(C3369,PrefixUebersetzung,2,FALSE)</f>
        <v>Xmp.xmpDM.</v>
      </c>
      <c r="E3369" s="5" t="str">
        <f>MID(F3369,FIND(".",F3369,6)+1,99)</f>
        <v>projectName</v>
      </c>
      <c r="F3369" s="2" t="s">
        <v>8541</v>
      </c>
      <c r="G3369" s="5" t="s">
        <v>9678</v>
      </c>
      <c r="H3369" s="3" t="s">
        <v>8542</v>
      </c>
      <c r="I3369" s="7" t="s">
        <v>8579</v>
      </c>
      <c r="J3369" s="33" t="s">
        <v>8975</v>
      </c>
      <c r="K3369" s="26"/>
      <c r="N3369" s="6"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6" t="s">
        <v>8574</v>
      </c>
      <c r="P3369" s="6" t="s">
        <v>8574</v>
      </c>
      <c r="Q3369" s="6" t="s">
        <v>9429</v>
      </c>
    </row>
    <row r="3370" spans="1:17" ht="30" x14ac:dyDescent="0.25">
      <c r="A3370" s="5" t="str">
        <f>IF(TRIM(I3370)="","",E3370)</f>
        <v/>
      </c>
      <c r="B3370" s="5" t="str">
        <f>IF(TRIM(J3370)="","",H3370)</f>
        <v/>
      </c>
      <c r="C3370" s="5" t="str">
        <f>LEFT(F3370,FIND(".",F3370,6))</f>
        <v>Xmp.xmpDM.</v>
      </c>
      <c r="D3370" s="5" t="str">
        <f>VLOOKUP(C3370,PrefixUebersetzung,2,FALSE)</f>
        <v>Xmp.xmpDM.</v>
      </c>
      <c r="E3370" s="5" t="str">
        <f>MID(F3370,FIND(".",F3370,6)+1,99)</f>
        <v>projectRef</v>
      </c>
      <c r="F3370" s="5" t="s">
        <v>2078</v>
      </c>
      <c r="G3370" s="5" t="s">
        <v>9678</v>
      </c>
      <c r="H3370" s="6" t="s">
        <v>3653</v>
      </c>
      <c r="I3370" s="7"/>
      <c r="K3370" s="26"/>
      <c r="L3370" s="6" t="str">
        <f>IFERROR(VLOOKUP(E3370,A:I,9, FALSE),"")</f>
        <v>Projekt-Referenz</v>
      </c>
      <c r="M3370" s="6" t="str">
        <f>IFERROR(VLOOKUP(H3370,B:J,9,FALSE),"")</f>
        <v>Ein Verweis auf das Projekt, das diese Datei erstellt hat.</v>
      </c>
      <c r="N3370" s="6"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row>
    <row r="3371" spans="1:17" ht="60" x14ac:dyDescent="0.25">
      <c r="A3371" s="5" t="str">
        <f>IF(TRIM(I3371)="","",E3371)</f>
        <v/>
      </c>
      <c r="B3371" s="5" t="str">
        <f>IF(TRIM(J3371)="","",H3371)</f>
        <v/>
      </c>
      <c r="C3371" s="5" t="str">
        <f>LEFT(F3371,FIND(".",F3371,6))</f>
        <v>Xmp.xmpDM.</v>
      </c>
      <c r="D3371" s="5" t="str">
        <f>VLOOKUP(C3371,PrefixUebersetzung,2,FALSE)</f>
        <v>Xmp.xmpDM.</v>
      </c>
      <c r="E3371" s="5" t="str">
        <f>MID(F3371,FIND(".",F3371,6)+1,99)</f>
        <v>pullDown</v>
      </c>
      <c r="F3371" s="5" t="s">
        <v>2079</v>
      </c>
      <c r="G3371" s="5" t="s">
        <v>9678</v>
      </c>
      <c r="H3371" s="6" t="s">
        <v>3654</v>
      </c>
      <c r="I3371" s="7"/>
      <c r="K3371" s="26"/>
      <c r="N3371" s="6"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xml:space="preserve">Suffix not translated Description not translated </v>
      </c>
      <c r="O3371" s="6" t="s">
        <v>8574</v>
      </c>
      <c r="P3371" s="6" t="s">
        <v>8574</v>
      </c>
    </row>
    <row r="3372" spans="1:17" ht="30" x14ac:dyDescent="0.25">
      <c r="A3372" s="5" t="str">
        <f>IF(TRIM(I3372)="","",E3372)</f>
        <v>relativePeakAudioFilePath</v>
      </c>
      <c r="B3372" s="5" t="str">
        <f>IF(TRIM(J3372)="","",H3372)</f>
        <v>The relative path to the file's peak audio file. If empty, no peak file exists.</v>
      </c>
      <c r="C3372" s="5" t="str">
        <f>LEFT(F3372,FIND(".",F3372,6))</f>
        <v>Xmp.xmpDM.</v>
      </c>
      <c r="D3372" s="5" t="str">
        <f>VLOOKUP(C3372,PrefixUebersetzung,2,FALSE)</f>
        <v>Xmp.xmpDM.</v>
      </c>
      <c r="E3372" s="5" t="str">
        <f>MID(F3372,FIND(".",F3372,6)+1,99)</f>
        <v>relativePeakAudioFilePath</v>
      </c>
      <c r="F3372" s="5" t="s">
        <v>2080</v>
      </c>
      <c r="G3372" s="5" t="s">
        <v>9678</v>
      </c>
      <c r="H3372" s="6" t="s">
        <v>3655</v>
      </c>
      <c r="I3372" s="7" t="s">
        <v>5033</v>
      </c>
      <c r="J3372" s="14" t="s">
        <v>5616</v>
      </c>
      <c r="K3372" s="26"/>
      <c r="N3372" s="6"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6" t="s">
        <v>8574</v>
      </c>
      <c r="P3372" s="6" t="s">
        <v>8574</v>
      </c>
    </row>
    <row r="3373" spans="1:17" ht="30" x14ac:dyDescent="0.25">
      <c r="A3373" s="5" t="str">
        <f>IF(TRIM(I3373)="","",E3373)</f>
        <v>relativeTimestamp</v>
      </c>
      <c r="B3373" s="5" t="str">
        <f>IF(TRIM(J3373)="","",H3373)</f>
        <v>The start time of the media inside the audio project.</v>
      </c>
      <c r="C3373" s="5" t="str">
        <f>LEFT(F3373,FIND(".",F3373,6))</f>
        <v>Xmp.xmpDM.</v>
      </c>
      <c r="D3373" s="5" t="str">
        <f>VLOOKUP(C3373,PrefixUebersetzung,2,FALSE)</f>
        <v>Xmp.xmpDM.</v>
      </c>
      <c r="E3373" s="5" t="str">
        <f>MID(F3373,FIND(".",F3373,6)+1,99)</f>
        <v>relativeTimestamp</v>
      </c>
      <c r="F3373" s="5" t="s">
        <v>2081</v>
      </c>
      <c r="G3373" s="5" t="s">
        <v>9678</v>
      </c>
      <c r="H3373" s="6" t="s">
        <v>3656</v>
      </c>
      <c r="I3373" s="7" t="s">
        <v>4629</v>
      </c>
      <c r="J3373" s="14" t="s">
        <v>5615</v>
      </c>
      <c r="K3373" s="26"/>
      <c r="N3373" s="6"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c>
      <c r="O3373" s="6" t="s">
        <v>8574</v>
      </c>
      <c r="P3373" s="6" t="s">
        <v>8574</v>
      </c>
      <c r="Q3373" s="6" t="s">
        <v>9537</v>
      </c>
    </row>
    <row r="3374" spans="1:17" ht="30" x14ac:dyDescent="0.25">
      <c r="A3374" s="5" t="str">
        <f>IF(TRIM(I3374)="","",E3374)</f>
        <v/>
      </c>
      <c r="B3374" s="5" t="str">
        <f>IF(TRIM(J3374)="","",H3374)</f>
        <v>The date the title was released.</v>
      </c>
      <c r="C3374" s="5" t="str">
        <f>LEFT(F3374,FIND(".",F3374,6))</f>
        <v>Xmp.xmpDM.</v>
      </c>
      <c r="D3374" s="5" t="str">
        <f>VLOOKUP(C3374,PrefixUebersetzung,2,FALSE)</f>
        <v>Xmp.xmpDM.</v>
      </c>
      <c r="E3374" s="5" t="str">
        <f>MID(F3374,FIND(".",F3374,6)+1,99)</f>
        <v>releaseDate</v>
      </c>
      <c r="F3374" s="5" t="s">
        <v>2082</v>
      </c>
      <c r="G3374" s="5" t="s">
        <v>9678</v>
      </c>
      <c r="H3374" s="6" t="s">
        <v>3657</v>
      </c>
      <c r="I3374" s="7"/>
      <c r="J3374" s="14" t="s">
        <v>5419</v>
      </c>
      <c r="K3374" s="26"/>
      <c r="L3374" s="6" t="str">
        <f>IFERROR(VLOOKUP(E3374,A:I,9, FALSE),"")</f>
        <v>Freigabedatum</v>
      </c>
      <c r="N3374" s="6"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P3374" s="6" t="s">
        <v>8574</v>
      </c>
      <c r="Q3374" s="6" t="s">
        <v>9240</v>
      </c>
    </row>
    <row r="3375" spans="1:17" x14ac:dyDescent="0.25">
      <c r="A3375" s="5" t="str">
        <f>IF(TRIM(I3375)="","",E3375)</f>
        <v/>
      </c>
      <c r="B3375" s="5" t="str">
        <f>IF(TRIM(J3375)="","",H3375)</f>
        <v/>
      </c>
      <c r="C3375" s="5" t="str">
        <f>LEFT(F3375,FIND(".",F3375,6))</f>
        <v>Xmp.xmpDM.</v>
      </c>
      <c r="D3375" s="5" t="str">
        <f>VLOOKUP(C3375,PrefixUebersetzung,2,FALSE)</f>
        <v>Xmp.xmpDM.</v>
      </c>
      <c r="E3375" s="5" t="str">
        <f>MID(F3375,FIND(".",F3375,6)+1,99)</f>
        <v>resampleParams</v>
      </c>
      <c r="F3375" s="5" t="s">
        <v>2083</v>
      </c>
      <c r="G3375" s="5" t="s">
        <v>9678</v>
      </c>
      <c r="H3375" s="6" t="s">
        <v>3658</v>
      </c>
      <c r="I3375" s="7"/>
      <c r="K3375" s="26"/>
      <c r="N3375" s="6"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xml:space="preserve">Suffix not translated Description not translated </v>
      </c>
      <c r="O3375" s="6" t="s">
        <v>8574</v>
      </c>
      <c r="P3375" s="6" t="s">
        <v>8574</v>
      </c>
    </row>
    <row r="3376" spans="1:17" ht="30" x14ac:dyDescent="0.25">
      <c r="A3376" s="5" t="str">
        <f>IF(TRIM(I3376)="","",E3376)</f>
        <v>scaleType</v>
      </c>
      <c r="B3376" s="5" t="str">
        <f>IF(TRIM(J3376)="","",H3376)</f>
        <v>The musical scale used in the music. One of: Major, Minor, Both, Neither.</v>
      </c>
      <c r="C3376" s="5" t="str">
        <f>LEFT(F3376,FIND(".",F3376,6))</f>
        <v>Xmp.xmpDM.</v>
      </c>
      <c r="D3376" s="5" t="str">
        <f>VLOOKUP(C3376,PrefixUebersetzung,2,FALSE)</f>
        <v>Xmp.xmpDM.</v>
      </c>
      <c r="E3376" s="5" t="str">
        <f>MID(F3376,FIND(".",F3376,6)+1,99)</f>
        <v>scaleType</v>
      </c>
      <c r="F3376" s="5" t="s">
        <v>2084</v>
      </c>
      <c r="G3376" s="5" t="s">
        <v>9678</v>
      </c>
      <c r="H3376" s="6" t="s">
        <v>9660</v>
      </c>
      <c r="I3376" s="7" t="s">
        <v>4630</v>
      </c>
      <c r="J3376" s="14" t="s">
        <v>9661</v>
      </c>
      <c r="K3376" s="26"/>
      <c r="N3376" s="6"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6" t="s">
        <v>8574</v>
      </c>
      <c r="P3376" s="6" t="s">
        <v>8574</v>
      </c>
    </row>
    <row r="3377" spans="1:17" x14ac:dyDescent="0.25">
      <c r="A3377" s="5" t="str">
        <f>IF(TRIM(I3377)="","",E3377)</f>
        <v/>
      </c>
      <c r="B3377" s="5" t="str">
        <f>IF(TRIM(J3377)="","",H3377)</f>
        <v>The name of the scene.</v>
      </c>
      <c r="C3377" s="5" t="str">
        <f>LEFT(F3377,FIND(".",F3377,6))</f>
        <v>Xmp.xmpDM.</v>
      </c>
      <c r="D3377" s="5" t="str">
        <f>VLOOKUP(C3377,PrefixUebersetzung,2,FALSE)</f>
        <v>Xmp.xmpDM.</v>
      </c>
      <c r="E3377" s="5" t="str">
        <f>MID(F3377,FIND(".",F3377,6)+1,99)</f>
        <v>scene</v>
      </c>
      <c r="F3377" s="5" t="s">
        <v>2085</v>
      </c>
      <c r="G3377" s="5" t="s">
        <v>9678</v>
      </c>
      <c r="H3377" s="6" t="s">
        <v>3659</v>
      </c>
      <c r="I3377" s="7"/>
      <c r="J3377" s="14" t="s">
        <v>4178</v>
      </c>
      <c r="K3377" s="26"/>
      <c r="L3377" s="6" t="str">
        <f>IFERROR(VLOOKUP(E3377,A:I,9, FALSE),"")</f>
        <v>Szene</v>
      </c>
      <c r="N3377" s="6"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P3377" s="6" t="s">
        <v>8574</v>
      </c>
      <c r="Q3377" s="6" t="s">
        <v>4178</v>
      </c>
    </row>
    <row r="3378" spans="1:17" ht="30" x14ac:dyDescent="0.25">
      <c r="A3378" s="5" t="str">
        <f>IF(TRIM(I3378)="","",E3378)</f>
        <v>shotDate</v>
      </c>
      <c r="B3378" s="5" t="str">
        <f>IF(TRIM(J3378)="","",H3378)</f>
        <v>The date and time when the video was shot.</v>
      </c>
      <c r="C3378" s="5" t="str">
        <f>LEFT(F3378,FIND(".",F3378,6))</f>
        <v>Xmp.xmpDM.</v>
      </c>
      <c r="D3378" s="5" t="str">
        <f>VLOOKUP(C3378,PrefixUebersetzung,2,FALSE)</f>
        <v>Xmp.xmpDM.</v>
      </c>
      <c r="E3378" s="5" t="str">
        <f>MID(F3378,FIND(".",F3378,6)+1,99)</f>
        <v>shotDate</v>
      </c>
      <c r="F3378" s="5" t="s">
        <v>2086</v>
      </c>
      <c r="G3378" s="5" t="s">
        <v>9678</v>
      </c>
      <c r="H3378" s="6" t="s">
        <v>3660</v>
      </c>
      <c r="I3378" s="7" t="s">
        <v>4631</v>
      </c>
      <c r="J3378" s="14" t="s">
        <v>4179</v>
      </c>
      <c r="K3378" s="26"/>
      <c r="N3378" s="6"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O3378" s="6" t="s">
        <v>8574</v>
      </c>
      <c r="P3378" s="6" t="s">
        <v>8574</v>
      </c>
      <c r="Q3378" s="6" t="s">
        <v>9527</v>
      </c>
    </row>
    <row r="3379" spans="1:17" ht="30" x14ac:dyDescent="0.25">
      <c r="A3379" s="5" t="str">
        <f>IF(TRIM(I3379)="","",E3379)</f>
        <v/>
      </c>
      <c r="B3379" s="5" t="str">
        <f>IF(TRIM(J3379)="","",H3379)</f>
        <v>The day in a multiday shoot. For example: "Day 2", "Friday".</v>
      </c>
      <c r="C3379" s="5" t="str">
        <f>LEFT(F3379,FIND(".",F3379,6))</f>
        <v>Xmp.xmpDM.</v>
      </c>
      <c r="D3379" s="5" t="str">
        <f>VLOOKUP(C3379,PrefixUebersetzung,2,FALSE)</f>
        <v>Xmp.xmpDM.</v>
      </c>
      <c r="E3379" s="5" t="str">
        <f>MID(F3379,FIND(".",F3379,6)+1,99)</f>
        <v>shotDay</v>
      </c>
      <c r="F3379" s="2" t="s">
        <v>8543</v>
      </c>
      <c r="G3379" s="5" t="s">
        <v>9678</v>
      </c>
      <c r="H3379" s="3" t="s">
        <v>8544</v>
      </c>
      <c r="I3379" s="7"/>
      <c r="J3379" s="8" t="s">
        <v>8850</v>
      </c>
      <c r="K3379" s="26"/>
      <c r="N3379" s="6"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xml:space="preserve">Suffix not translated </v>
      </c>
      <c r="O3379" s="6" t="s">
        <v>8574</v>
      </c>
      <c r="P3379" s="6" t="s">
        <v>8574</v>
      </c>
    </row>
    <row r="3380" spans="1:17" ht="60" x14ac:dyDescent="0.25">
      <c r="A3380" s="5" t="str">
        <f>IF(TRIM(I3380)="","",E3380)</f>
        <v>shotLocation</v>
      </c>
      <c r="B3380" s="5" t="str">
        <f>IF(TRIM(J3380)="","",H3380)</f>
        <v>The name of the location where the video was shot. For example: "Oktoberfest, Munich Germany" For more accurate positioning, use the EXIF GPS values.</v>
      </c>
      <c r="C3380" s="5" t="str">
        <f>LEFT(F3380,FIND(".",F3380,6))</f>
        <v>Xmp.xmpDM.</v>
      </c>
      <c r="D3380" s="5" t="str">
        <f>VLOOKUP(C3380,PrefixUebersetzung,2,FALSE)</f>
        <v>Xmp.xmpDM.</v>
      </c>
      <c r="E3380" s="5" t="str">
        <f>MID(F3380,FIND(".",F3380,6)+1,99)</f>
        <v>shotLocation</v>
      </c>
      <c r="F3380" s="5" t="s">
        <v>2087</v>
      </c>
      <c r="G3380" s="5" t="s">
        <v>9678</v>
      </c>
      <c r="H3380" s="6" t="s">
        <v>3661</v>
      </c>
      <c r="I3380" s="7" t="s">
        <v>4632</v>
      </c>
      <c r="J3380" s="14" t="s">
        <v>9602</v>
      </c>
      <c r="K3380" s="26"/>
      <c r="N3380" s="6"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6" t="s">
        <v>8574</v>
      </c>
      <c r="P3380" s="6" t="s">
        <v>8574</v>
      </c>
    </row>
    <row r="3381" spans="1:17" x14ac:dyDescent="0.25">
      <c r="A3381" s="5" t="str">
        <f>IF(TRIM(I3381)="","",E3381)</f>
        <v>shotName</v>
      </c>
      <c r="B3381" s="5" t="str">
        <f>IF(TRIM(J3381)="","",H3381)</f>
        <v>The name of the shot or take.</v>
      </c>
      <c r="C3381" s="5" t="str">
        <f>LEFT(F3381,FIND(".",F3381,6))</f>
        <v>Xmp.xmpDM.</v>
      </c>
      <c r="D3381" s="5" t="str">
        <f>VLOOKUP(C3381,PrefixUebersetzung,2,FALSE)</f>
        <v>Xmp.xmpDM.</v>
      </c>
      <c r="E3381" s="5" t="str">
        <f>MID(F3381,FIND(".",F3381,6)+1,99)</f>
        <v>shotName</v>
      </c>
      <c r="F3381" s="5" t="s">
        <v>2088</v>
      </c>
      <c r="G3381" s="5" t="s">
        <v>9678</v>
      </c>
      <c r="H3381" s="6" t="s">
        <v>3662</v>
      </c>
      <c r="I3381" s="7" t="s">
        <v>4633</v>
      </c>
      <c r="J3381" s="14" t="s">
        <v>4633</v>
      </c>
      <c r="K3381" s="26"/>
      <c r="N3381" s="6"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6" t="s">
        <v>8574</v>
      </c>
      <c r="P3381" s="6" t="s">
        <v>8574</v>
      </c>
      <c r="Q3381" s="6" t="s">
        <v>9519</v>
      </c>
    </row>
    <row r="3382" spans="1:17" ht="45" x14ac:dyDescent="0.25">
      <c r="A3382" s="5" t="str">
        <f>IF(TRIM(I3382)="","",E3382)</f>
        <v>shotNumber</v>
      </c>
      <c r="B3382" s="5" t="str">
        <f>IF(TRIM(J3382)="","",H3382)</f>
        <v>The position of the shot in a script or production, relative to other shots. For example: 1, 2, 1a, 1b, 1.1, 1.2.</v>
      </c>
      <c r="C3382" s="5" t="str">
        <f>LEFT(F3382,FIND(".",F3382,6))</f>
        <v>Xmp.xmpDM.</v>
      </c>
      <c r="D3382" s="5" t="str">
        <f>VLOOKUP(C3382,PrefixUebersetzung,2,FALSE)</f>
        <v>Xmp.xmpDM.</v>
      </c>
      <c r="E3382" s="5" t="str">
        <f>MID(F3382,FIND(".",F3382,6)+1,99)</f>
        <v>shotNumber</v>
      </c>
      <c r="F3382" s="2" t="s">
        <v>8545</v>
      </c>
      <c r="G3382" s="5" t="s">
        <v>9678</v>
      </c>
      <c r="H3382" s="3" t="s">
        <v>8546</v>
      </c>
      <c r="I3382" s="7" t="s">
        <v>8771</v>
      </c>
      <c r="J3382" s="8" t="s">
        <v>8851</v>
      </c>
      <c r="K3382" s="26"/>
      <c r="N3382" s="6"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6" t="s">
        <v>8574</v>
      </c>
      <c r="P3382" s="6" t="s">
        <v>8574</v>
      </c>
    </row>
    <row r="3383" spans="1:17" ht="105" x14ac:dyDescent="0.25">
      <c r="A3383" s="5" t="str">
        <f>IF(TRIM(I3383)="","",E3383)</f>
        <v/>
      </c>
      <c r="B3383" s="5" t="str">
        <f>IF(TRIM(J3383)="","",H3383)</f>
        <v>The size or scale of the shot framing, from a fixed set of industry standard terminology. Predefined values include: ECU --extreme close-up, MCU -- medium close-up. CU -- close-up, MS -- medium shot, WS -- wide shot, MWS -- medium wide shot, EWS -- extreme wide shot.</v>
      </c>
      <c r="C3383" s="5" t="str">
        <f>LEFT(F3383,FIND(".",F3383,6))</f>
        <v>Xmp.xmpDM.</v>
      </c>
      <c r="D3383" s="5" t="str">
        <f>VLOOKUP(C3383,PrefixUebersetzung,2,FALSE)</f>
        <v>Xmp.xmpDM.</v>
      </c>
      <c r="E3383" s="5" t="str">
        <f>MID(F3383,FIND(".",F3383,6)+1,99)</f>
        <v>shotSize</v>
      </c>
      <c r="F3383" s="2" t="s">
        <v>8547</v>
      </c>
      <c r="G3383" s="5" t="s">
        <v>9678</v>
      </c>
      <c r="H3383" s="3" t="s">
        <v>8548</v>
      </c>
      <c r="I3383" s="7"/>
      <c r="J3383" s="8" t="s">
        <v>8852</v>
      </c>
      <c r="K3383" s="26"/>
      <c r="N3383" s="6"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xml:space="preserve">Suffix not translated </v>
      </c>
      <c r="O3383" s="6" t="s">
        <v>8574</v>
      </c>
      <c r="P3383" s="6" t="s">
        <v>8574</v>
      </c>
    </row>
    <row r="3384" spans="1:17" ht="60" x14ac:dyDescent="0.25">
      <c r="A3384" s="5" t="str">
        <f>IF(TRIM(I3384)="","",E3384)</f>
        <v>speakerPlacement</v>
      </c>
      <c r="B3384" s="5" t="str">
        <f>IF(TRIM(J3384)="","",H3384)</f>
        <v>A description of the speaker angles from center front in degrees. For example: "Left = -30, Right = 30, Center = 0, LFE = 45, Left Surround = -110, Right Surround = 110"</v>
      </c>
      <c r="C3384" s="5" t="str">
        <f>LEFT(F3384,FIND(".",F3384,6))</f>
        <v>Xmp.xmpDM.</v>
      </c>
      <c r="D3384" s="5" t="str">
        <f>VLOOKUP(C3384,PrefixUebersetzung,2,FALSE)</f>
        <v>Xmp.xmpDM.</v>
      </c>
      <c r="E3384" s="5" t="str">
        <f>MID(F3384,FIND(".",F3384,6)+1,99)</f>
        <v>speakerPlacement</v>
      </c>
      <c r="F3384" s="5" t="s">
        <v>2089</v>
      </c>
      <c r="G3384" s="5" t="s">
        <v>9678</v>
      </c>
      <c r="H3384" s="6" t="s">
        <v>3663</v>
      </c>
      <c r="I3384" s="7" t="s">
        <v>5068</v>
      </c>
      <c r="J3384" s="14" t="s">
        <v>6718</v>
      </c>
      <c r="K3384" s="26"/>
      <c r="N3384" s="6"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c>
      <c r="O3384" s="6" t="s">
        <v>8574</v>
      </c>
      <c r="P3384" s="6" t="s">
        <v>8574</v>
      </c>
    </row>
    <row r="3385" spans="1:17" ht="30" x14ac:dyDescent="0.25">
      <c r="A3385" s="5" t="str">
        <f>IF(TRIM(I3385)="","",E3385)</f>
        <v/>
      </c>
      <c r="B3385" s="5" t="str">
        <f>IF(TRIM(J3385)="","",H3385)</f>
        <v>The timecode of the first frame of video in the file, as obtained from the device control.</v>
      </c>
      <c r="C3385" s="5" t="str">
        <f>LEFT(F3385,FIND(".",F3385,6))</f>
        <v>Xmp.xmpDM.</v>
      </c>
      <c r="D3385" s="5" t="str">
        <f>VLOOKUP(C3385,PrefixUebersetzung,2,FALSE)</f>
        <v>Xmp.xmpDM.</v>
      </c>
      <c r="E3385" s="5" t="str">
        <f>MID(F3385,FIND(".",F3385,6)+1,99)</f>
        <v>startTimecode</v>
      </c>
      <c r="F3385" s="5" t="s">
        <v>2090</v>
      </c>
      <c r="G3385" s="5" t="s">
        <v>9678</v>
      </c>
      <c r="H3385" s="6" t="s">
        <v>3664</v>
      </c>
      <c r="I3385" s="7"/>
      <c r="J3385" s="14" t="s">
        <v>5614</v>
      </c>
      <c r="K3385" s="26"/>
      <c r="L3385" s="6" t="str">
        <f>IFERROR(VLOOKUP(E3385,A:I,9, FALSE),"")</f>
        <v>Zeitcode Start</v>
      </c>
      <c r="N3385" s="6"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P3385" s="6" t="s">
        <v>8574</v>
      </c>
    </row>
    <row r="3386" spans="1:17" ht="30" x14ac:dyDescent="0.25">
      <c r="A3386" s="5" t="str">
        <f>IF(TRIM(I3386)="","",E3386)</f>
        <v>stretchMode</v>
      </c>
      <c r="B3386" s="5" t="str">
        <f>IF(TRIM(J3386)="","",H3386)</f>
        <v>The audio stretch mode. One of: Fixed length, Time-Scale, Resample, Beat Splice, Hybrid.</v>
      </c>
      <c r="C3386" s="5" t="str">
        <f>LEFT(F3386,FIND(".",F3386,6))</f>
        <v>Xmp.xmpDM.</v>
      </c>
      <c r="D3386" s="5" t="str">
        <f>VLOOKUP(C3386,PrefixUebersetzung,2,FALSE)</f>
        <v>Xmp.xmpDM.</v>
      </c>
      <c r="E3386" s="5" t="str">
        <f>MID(F3386,FIND(".",F3386,6)+1,99)</f>
        <v>stretchMode</v>
      </c>
      <c r="F3386" s="5" t="s">
        <v>2091</v>
      </c>
      <c r="G3386" s="5" t="s">
        <v>9678</v>
      </c>
      <c r="H3386" s="6" t="s">
        <v>3665</v>
      </c>
      <c r="I3386" s="7" t="s">
        <v>5433</v>
      </c>
      <c r="J3386" s="14" t="s">
        <v>5432</v>
      </c>
      <c r="K3386" s="26"/>
      <c r="N3386" s="6"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c>
      <c r="O3386" s="6" t="s">
        <v>8574</v>
      </c>
      <c r="P3386" s="6" t="s">
        <v>8574</v>
      </c>
    </row>
    <row r="3387" spans="1:17" ht="30" x14ac:dyDescent="0.25">
      <c r="A3387" s="5" t="str">
        <f>IF(TRIM(I3387)="","",E3387)</f>
        <v/>
      </c>
      <c r="B3387" s="5" t="str">
        <f>IF(TRIM(J3387)="","",H3387)</f>
        <v>A numeric value indicating the absolute number of a take.</v>
      </c>
      <c r="C3387" s="5" t="str">
        <f>LEFT(F3387,FIND(".",F3387,6))</f>
        <v>Xmp.xmpDM.</v>
      </c>
      <c r="D3387" s="5" t="str">
        <f>VLOOKUP(C3387,PrefixUebersetzung,2,FALSE)</f>
        <v>Xmp.xmpDM.</v>
      </c>
      <c r="E3387" s="5" t="str">
        <f>MID(F3387,FIND(".",F3387,6)+1,99)</f>
        <v>takeNumber</v>
      </c>
      <c r="F3387" s="2" t="s">
        <v>8549</v>
      </c>
      <c r="G3387" s="5" t="s">
        <v>9678</v>
      </c>
      <c r="H3387" s="3" t="s">
        <v>8550</v>
      </c>
      <c r="I3387" s="7"/>
      <c r="J3387" s="8" t="s">
        <v>8855</v>
      </c>
      <c r="K3387" s="26"/>
      <c r="N3387" s="6"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xml:space="preserve">Suffix not translated </v>
      </c>
      <c r="O3387" s="6" t="s">
        <v>8574</v>
      </c>
      <c r="P3387" s="6" t="s">
        <v>8574</v>
      </c>
    </row>
    <row r="3388" spans="1:17" ht="45" x14ac:dyDescent="0.25">
      <c r="A3388" s="5" t="str">
        <f>IF(TRIM(I3388)="","",E3388)</f>
        <v/>
      </c>
      <c r="B3388" s="5" t="str">
        <f>IF(TRIM(J3388)="","",H3388)</f>
        <v>The name of the tape from which the clip was captured, as set during the capture process.</v>
      </c>
      <c r="C3388" s="5" t="str">
        <f>LEFT(F3388,FIND(".",F3388,6))</f>
        <v>Xmp.xmpDM.</v>
      </c>
      <c r="D3388" s="5" t="str">
        <f>VLOOKUP(C3388,PrefixUebersetzung,2,FALSE)</f>
        <v>Xmp.xmpDM.</v>
      </c>
      <c r="E3388" s="5" t="str">
        <f>MID(F3388,FIND(".",F3388,6)+1,99)</f>
        <v>tapeName</v>
      </c>
      <c r="F3388" s="5" t="s">
        <v>2092</v>
      </c>
      <c r="G3388" s="5" t="s">
        <v>9678</v>
      </c>
      <c r="H3388" s="6" t="s">
        <v>3666</v>
      </c>
      <c r="I3388" s="7"/>
      <c r="J3388" s="14" t="s">
        <v>5618</v>
      </c>
      <c r="K3388" s="26"/>
      <c r="L3388" s="6" t="str">
        <f>IFERROR(VLOOKUP(E3388,A:I,9, FALSE),"")</f>
        <v>Bandname</v>
      </c>
      <c r="N3388" s="6"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P3388" s="6" t="s">
        <v>8574</v>
      </c>
    </row>
    <row r="3389" spans="1:17" x14ac:dyDescent="0.25">
      <c r="A3389" s="5" t="str">
        <f>IF(TRIM(I3389)="","",E3389)</f>
        <v>tempo</v>
      </c>
      <c r="B3389" s="5" t="str">
        <f>IF(TRIM(J3389)="","",H3389)</f>
        <v>The audio's tempo.</v>
      </c>
      <c r="C3389" s="5" t="str">
        <f>LEFT(F3389,FIND(".",F3389,6))</f>
        <v>Xmp.xmpDM.</v>
      </c>
      <c r="D3389" s="5" t="str">
        <f>VLOOKUP(C3389,PrefixUebersetzung,2,FALSE)</f>
        <v>Xmp.xmpDM.</v>
      </c>
      <c r="E3389" s="5" t="str">
        <f>MID(F3389,FIND(".",F3389,6)+1,99)</f>
        <v>tempo</v>
      </c>
      <c r="F3389" s="5" t="s">
        <v>2093</v>
      </c>
      <c r="G3389" s="5" t="s">
        <v>9678</v>
      </c>
      <c r="H3389" s="6" t="s">
        <v>3667</v>
      </c>
      <c r="I3389" s="7" t="s">
        <v>4635</v>
      </c>
      <c r="J3389" s="14" t="s">
        <v>5612</v>
      </c>
      <c r="K3389" s="26"/>
      <c r="N3389" s="6"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6" t="s">
        <v>8574</v>
      </c>
      <c r="P3389" s="6" t="s">
        <v>8574</v>
      </c>
      <c r="Q3389" s="6" t="s">
        <v>9525</v>
      </c>
    </row>
    <row r="3390" spans="1:17" x14ac:dyDescent="0.25">
      <c r="A3390" s="5" t="str">
        <f>IF(TRIM(I3390)="","",E3390)</f>
        <v/>
      </c>
      <c r="B3390" s="5" t="str">
        <f>IF(TRIM(J3390)="","",H3390)</f>
        <v/>
      </c>
      <c r="C3390" s="5" t="str">
        <f>LEFT(F3390,FIND(".",F3390,6))</f>
        <v>Xmp.xmpDM.</v>
      </c>
      <c r="D3390" s="5" t="str">
        <f>VLOOKUP(C3390,PrefixUebersetzung,2,FALSE)</f>
        <v>Xmp.xmpDM.</v>
      </c>
      <c r="E3390" s="5" t="str">
        <f>MID(F3390,FIND(".",F3390,6)+1,99)</f>
        <v>timeScaleParams</v>
      </c>
      <c r="F3390" s="5" t="s">
        <v>2094</v>
      </c>
      <c r="G3390" s="5" t="s">
        <v>9678</v>
      </c>
      <c r="H3390" s="6" t="s">
        <v>3668</v>
      </c>
      <c r="I3390" s="7"/>
      <c r="K3390" s="26"/>
      <c r="N3390" s="6"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xml:space="preserve">Suffix not translated Description not translated </v>
      </c>
      <c r="O3390" s="6" t="s">
        <v>8574</v>
      </c>
      <c r="P3390" s="6" t="s">
        <v>8574</v>
      </c>
    </row>
    <row r="3391" spans="1:17" ht="30" x14ac:dyDescent="0.25">
      <c r="A3391" s="5" t="str">
        <f>IF(TRIM(I3391)="","",E3391)</f>
        <v>timeSignature</v>
      </c>
      <c r="B3391" s="5" t="str">
        <f>IF(TRIM(J3391)="","",H3391)</f>
        <v>The time signature of the music. One of: 2/4, 3/4, 4/4, 5/4, 7/4, 6/8, 9/8, 12/8, other.</v>
      </c>
      <c r="C3391" s="5" t="str">
        <f>LEFT(F3391,FIND(".",F3391,6))</f>
        <v>Xmp.xmpDM.</v>
      </c>
      <c r="D3391" s="5" t="str">
        <f>VLOOKUP(C3391,PrefixUebersetzung,2,FALSE)</f>
        <v>Xmp.xmpDM.</v>
      </c>
      <c r="E3391" s="5" t="str">
        <f>MID(F3391,FIND(".",F3391,6)+1,99)</f>
        <v>timeSignature</v>
      </c>
      <c r="F3391" s="5" t="s">
        <v>2095</v>
      </c>
      <c r="G3391" s="5" t="s">
        <v>9678</v>
      </c>
      <c r="H3391" s="6" t="s">
        <v>3669</v>
      </c>
      <c r="I3391" s="7" t="s">
        <v>5036</v>
      </c>
      <c r="J3391" s="14" t="s">
        <v>5431</v>
      </c>
      <c r="K3391" s="26"/>
      <c r="N3391" s="6"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c>
      <c r="O3391" s="6" t="s">
        <v>8574</v>
      </c>
      <c r="P3391" s="6" t="s">
        <v>8574</v>
      </c>
    </row>
    <row r="3392" spans="1:17" ht="30" x14ac:dyDescent="0.25">
      <c r="A3392" s="5" t="str">
        <f>IF(TRIM(I3392)="","",E3392)</f>
        <v/>
      </c>
      <c r="B3392" s="5" t="str">
        <f>IF(TRIM(J3392)="","",H3392)</f>
        <v>A numeric value indicating the order of the audio file within its original recording.</v>
      </c>
      <c r="C3392" s="5" t="str">
        <f>LEFT(F3392,FIND(".",F3392,6))</f>
        <v>Xmp.xmpDM.</v>
      </c>
      <c r="D3392" s="5" t="str">
        <f>VLOOKUP(C3392,PrefixUebersetzung,2,FALSE)</f>
        <v>Xmp.xmpDM.</v>
      </c>
      <c r="E3392" s="5" t="str">
        <f>MID(F3392,FIND(".",F3392,6)+1,99)</f>
        <v>trackNumber</v>
      </c>
      <c r="F3392" s="5" t="s">
        <v>2096</v>
      </c>
      <c r="G3392" s="5" t="s">
        <v>9678</v>
      </c>
      <c r="H3392" s="6" t="s">
        <v>3670</v>
      </c>
      <c r="I3392" s="7"/>
      <c r="J3392" s="14" t="s">
        <v>5613</v>
      </c>
      <c r="K3392" s="26"/>
      <c r="L3392" s="6" t="str">
        <f>IFERROR(VLOOKUP(E3392,A:I,9, FALSE),"")</f>
        <v>Track-Nummer</v>
      </c>
      <c r="N3392" s="6"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P3392" s="6" t="s">
        <v>8574</v>
      </c>
    </row>
    <row r="3393" spans="1:17" ht="60" x14ac:dyDescent="0.25">
      <c r="A3393" s="5" t="str">
        <f>IF(TRIM(I3393)="","",E3393)</f>
        <v>tracks</v>
      </c>
      <c r="B3393" s="5" t="str">
        <f>IF(TRIM(J3393)="","",H3393)</f>
        <v>An unordered list of tracks. A track is a named set of markers, which can specify a frame rate for all markers in the set. See also xmpDM:markers.</v>
      </c>
      <c r="C3393" s="5" t="str">
        <f>LEFT(F3393,FIND(".",F3393,6))</f>
        <v>Xmp.xmpDM.</v>
      </c>
      <c r="D3393" s="5" t="str">
        <f>VLOOKUP(C3393,PrefixUebersetzung,2,FALSE)</f>
        <v>Xmp.xmpDM.</v>
      </c>
      <c r="E3393" s="5" t="str">
        <f>MID(F3393,FIND(".",F3393,6)+1,99)</f>
        <v>tracks</v>
      </c>
      <c r="F3393" s="2" t="s">
        <v>8551</v>
      </c>
      <c r="G3393" s="5" t="s">
        <v>9679</v>
      </c>
      <c r="H3393" s="3" t="s">
        <v>8552</v>
      </c>
      <c r="I3393" s="7" t="s">
        <v>8861</v>
      </c>
      <c r="J3393" s="8" t="s">
        <v>8860</v>
      </c>
      <c r="K3393" s="26"/>
      <c r="N3393" s="6"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c>
      <c r="O3393" s="6" t="s">
        <v>8574</v>
      </c>
      <c r="P3393" s="6" t="s">
        <v>8574</v>
      </c>
    </row>
    <row r="3394" spans="1:17" ht="30" x14ac:dyDescent="0.25">
      <c r="A3394" s="5" t="str">
        <f>IF(TRIM(I3394)="","",E3394)</f>
        <v>videoAlphaMode</v>
      </c>
      <c r="B3394" s="5" t="str">
        <f>IF(TRIM(J3394)="","",H3394)</f>
        <v>The alpha mode. One of: straight, pre-multiplied.</v>
      </c>
      <c r="C3394" s="5" t="str">
        <f>LEFT(F3394,FIND(".",F3394,6))</f>
        <v>Xmp.xmpDM.</v>
      </c>
      <c r="D3394" s="5" t="str">
        <f>VLOOKUP(C3394,PrefixUebersetzung,2,FALSE)</f>
        <v>Xmp.xmpDM.</v>
      </c>
      <c r="E3394" s="5" t="str">
        <f>MID(F3394,FIND(".",F3394,6)+1,99)</f>
        <v>videoAlphaMode</v>
      </c>
      <c r="F3394" s="5" t="s">
        <v>2097</v>
      </c>
      <c r="G3394" s="5" t="s">
        <v>9678</v>
      </c>
      <c r="H3394" s="6" t="s">
        <v>3671</v>
      </c>
      <c r="I3394" s="7" t="s">
        <v>5035</v>
      </c>
      <c r="J3394" s="14" t="s">
        <v>5426</v>
      </c>
      <c r="K3394" s="26"/>
      <c r="N3394" s="6"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c>
      <c r="O3394" s="6" t="s">
        <v>8574</v>
      </c>
      <c r="P3394" s="6" t="s">
        <v>8574</v>
      </c>
      <c r="Q3394" s="6" t="s">
        <v>9521</v>
      </c>
    </row>
    <row r="3395" spans="1:17" ht="30" x14ac:dyDescent="0.25">
      <c r="A3395" s="5" t="str">
        <f>IF(TRIM(I3395)="","",E3395)</f>
        <v/>
      </c>
      <c r="B3395" s="5" t="str">
        <f>IF(TRIM(J3395)="","",H3395)</f>
        <v/>
      </c>
      <c r="C3395" s="5" t="str">
        <f>LEFT(F3395,FIND(".",F3395,6))</f>
        <v>Xmp.xmpDM.</v>
      </c>
      <c r="D3395" s="5" t="str">
        <f>VLOOKUP(C3395,PrefixUebersetzung,2,FALSE)</f>
        <v>Xmp.xmpDM.</v>
      </c>
      <c r="E3395" s="5" t="str">
        <f>MID(F3395,FIND(".",F3395,6)+1,99)</f>
        <v>videoAlphaPremultipleColor</v>
      </c>
      <c r="F3395" s="5" t="s">
        <v>2098</v>
      </c>
      <c r="G3395" s="5" t="s">
        <v>9678</v>
      </c>
      <c r="H3395" s="6" t="s">
        <v>3672</v>
      </c>
      <c r="I3395" s="7"/>
      <c r="K3395" s="26"/>
      <c r="N3395" s="6"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6" t="s">
        <v>8574</v>
      </c>
      <c r="P3395" s="6" t="s">
        <v>8574</v>
      </c>
    </row>
    <row r="3396" spans="1:17" x14ac:dyDescent="0.25">
      <c r="A3396" s="5" t="str">
        <f>IF(TRIM(I3396)="","",E3396)</f>
        <v/>
      </c>
      <c r="B3396" s="5" t="str">
        <f>IF(TRIM(J3396)="","",H3396)</f>
        <v/>
      </c>
      <c r="C3396" s="5" t="str">
        <f>LEFT(F3396,FIND(".",F3396,6))</f>
        <v>Xmp.xmpDM.</v>
      </c>
      <c r="D3396" s="5" t="str">
        <f>VLOOKUP(C3396,PrefixUebersetzung,2,FALSE)</f>
        <v>Xmp.xmpDM.</v>
      </c>
      <c r="E3396" s="5" t="str">
        <f>MID(F3396,FIND(".",F3396,6)+1,99)</f>
        <v>videoAlphaUnityIsTransparent</v>
      </c>
      <c r="F3396" s="5" t="s">
        <v>2099</v>
      </c>
      <c r="G3396" s="5" t="s">
        <v>9678</v>
      </c>
      <c r="H3396" s="6" t="s">
        <v>3673</v>
      </c>
      <c r="I3396" s="7"/>
      <c r="K3396" s="26"/>
      <c r="N3396" s="6"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6" t="s">
        <v>8574</v>
      </c>
      <c r="P3396" s="6" t="s">
        <v>8574</v>
      </c>
    </row>
    <row r="3397" spans="1:17" ht="45" x14ac:dyDescent="0.25">
      <c r="A3397" s="5" t="str">
        <f>IF(TRIM(I3397)="","",E3397)</f>
        <v>videoColorSpace</v>
      </c>
      <c r="B3397" s="5" t="str">
        <f>IF(TRIM(J3397)="","",H3397)</f>
        <v/>
      </c>
      <c r="C3397" s="5" t="str">
        <f>LEFT(F3397,FIND(".",F3397,6))</f>
        <v>Xmp.xmpDM.</v>
      </c>
      <c r="D3397" s="5" t="str">
        <f>VLOOKUP(C3397,PrefixUebersetzung,2,FALSE)</f>
        <v>Xmp.xmpDM.</v>
      </c>
      <c r="E3397" s="5" t="str">
        <f>MID(F3397,FIND(".",F3397,6)+1,99)</f>
        <v>videoColorSpace</v>
      </c>
      <c r="F3397" s="5" t="s">
        <v>2100</v>
      </c>
      <c r="G3397" s="5" t="s">
        <v>9678</v>
      </c>
      <c r="H3397" s="6" t="s">
        <v>3674</v>
      </c>
      <c r="I3397" s="7" t="s">
        <v>5037</v>
      </c>
      <c r="K3397" s="26"/>
      <c r="M3397" s="6" t="str">
        <f>IFERROR(VLOOKUP(H3397,B:J,9,FALSE),"")</f>
        <v>Der Farbraum. Gültige Werte: sRGB (verwendet von Photoshop), CCIR-601 (für NTSC), CCIR-709 (für HD).</v>
      </c>
      <c r="N3397" s="6"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6" t="s">
        <v>8574</v>
      </c>
    </row>
    <row r="3398" spans="1:17" ht="30" x14ac:dyDescent="0.25">
      <c r="A3398" s="5" t="str">
        <f>IF(TRIM(I3398)="","",E3398)</f>
        <v>videoCompressor</v>
      </c>
      <c r="B3398" s="5" t="str">
        <f>IF(TRIM(J3398)="","",H3398)</f>
        <v>Video compression used. For example, jpeg.</v>
      </c>
      <c r="C3398" s="5" t="str">
        <f>LEFT(F3398,FIND(".",F3398,6))</f>
        <v>Xmp.xmpDM.</v>
      </c>
      <c r="D3398" s="5" t="str">
        <f>VLOOKUP(C3398,PrefixUebersetzung,2,FALSE)</f>
        <v>Xmp.xmpDM.</v>
      </c>
      <c r="E3398" s="5" t="str">
        <f>MID(F3398,FIND(".",F3398,6)+1,99)</f>
        <v>videoCompressor</v>
      </c>
      <c r="F3398" s="5" t="s">
        <v>2101</v>
      </c>
      <c r="G3398" s="5" t="s">
        <v>9678</v>
      </c>
      <c r="H3398" s="6" t="s">
        <v>3675</v>
      </c>
      <c r="I3398" s="7" t="s">
        <v>5038</v>
      </c>
      <c r="J3398" s="14" t="s">
        <v>5574</v>
      </c>
      <c r="K3398" s="26"/>
      <c r="N3398" s="6"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c>
      <c r="O3398" s="6" t="s">
        <v>8574</v>
      </c>
      <c r="P3398" s="6" t="s">
        <v>8574</v>
      </c>
      <c r="Q3398" s="6" t="s">
        <v>9553</v>
      </c>
    </row>
    <row r="3399" spans="1:17" ht="30" x14ac:dyDescent="0.25">
      <c r="A3399" s="5" t="str">
        <f>IF(TRIM(I3399)="","",E3399)</f>
        <v>videoFieldOrder</v>
      </c>
      <c r="B3399" s="5" t="str">
        <f>IF(TRIM(J3399)="","",H3399)</f>
        <v>The field order for video. One of: Upper, Lower, Progressive.</v>
      </c>
      <c r="C3399" s="5" t="str">
        <f>LEFT(F3399,FIND(".",F3399,6))</f>
        <v>Xmp.xmpDM.</v>
      </c>
      <c r="D3399" s="5" t="str">
        <f>VLOOKUP(C3399,PrefixUebersetzung,2,FALSE)</f>
        <v>Xmp.xmpDM.</v>
      </c>
      <c r="E3399" s="5" t="str">
        <f>MID(F3399,FIND(".",F3399,6)+1,99)</f>
        <v>videoFieldOrder</v>
      </c>
      <c r="F3399" s="5" t="s">
        <v>2102</v>
      </c>
      <c r="G3399" s="5" t="s">
        <v>9678</v>
      </c>
      <c r="H3399" s="6" t="s">
        <v>3676</v>
      </c>
      <c r="I3399" s="7" t="s">
        <v>5039</v>
      </c>
      <c r="J3399" s="14" t="s">
        <v>5428</v>
      </c>
      <c r="K3399" s="26"/>
      <c r="N3399" s="6"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6" t="s">
        <v>8574</v>
      </c>
      <c r="P3399" s="6" t="s">
        <v>8574</v>
      </c>
    </row>
    <row r="3400" spans="1:17" ht="30" x14ac:dyDescent="0.25">
      <c r="A3400" s="5" t="str">
        <f>IF(TRIM(I3400)="","",E3400)</f>
        <v>videoFrameRate</v>
      </c>
      <c r="B3400" s="5" t="str">
        <f>IF(TRIM(J3400)="","",H3400)</f>
        <v>The video frame rate. One of: 24, NTSC, PAL.</v>
      </c>
      <c r="C3400" s="5" t="str">
        <f>LEFT(F3400,FIND(".",F3400,6))</f>
        <v>Xmp.xmpDM.</v>
      </c>
      <c r="D3400" s="5" t="str">
        <f>VLOOKUP(C3400,PrefixUebersetzung,2,FALSE)</f>
        <v>Xmp.xmpDM.</v>
      </c>
      <c r="E3400" s="5" t="str">
        <f>MID(F3400,FIND(".",F3400,6)+1,99)</f>
        <v>videoFrameRate</v>
      </c>
      <c r="F3400" s="5" t="s">
        <v>2103</v>
      </c>
      <c r="G3400" s="5" t="s">
        <v>9678</v>
      </c>
      <c r="H3400" s="6" t="s">
        <v>3677</v>
      </c>
      <c r="I3400" s="7" t="s">
        <v>5040</v>
      </c>
      <c r="J3400" s="14" t="s">
        <v>5429</v>
      </c>
      <c r="K3400" s="26"/>
      <c r="N3400" s="6"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6" t="s">
        <v>8574</v>
      </c>
      <c r="P3400" s="6" t="s">
        <v>8574</v>
      </c>
      <c r="Q3400" s="6" t="s">
        <v>9540</v>
      </c>
    </row>
    <row r="3401" spans="1:17" ht="30" x14ac:dyDescent="0.25">
      <c r="A3401" s="5" t="str">
        <f>IF(TRIM(I3401)="","",E3401)</f>
        <v>videoFrameSize</v>
      </c>
      <c r="B3401" s="5" t="str">
        <f>IF(TRIM(J3401)="","",H3401)</f>
        <v/>
      </c>
      <c r="C3401" s="5" t="str">
        <f>LEFT(F3401,FIND(".",F3401,6))</f>
        <v>Xmp.xmpDM.</v>
      </c>
      <c r="D3401" s="5" t="str">
        <f>VLOOKUP(C3401,PrefixUebersetzung,2,FALSE)</f>
        <v>Xmp.xmpDM.</v>
      </c>
      <c r="E3401" s="5" t="str">
        <f>MID(F3401,FIND(".",F3401,6)+1,99)</f>
        <v>videoFrameSize</v>
      </c>
      <c r="F3401" s="5" t="s">
        <v>2104</v>
      </c>
      <c r="G3401" s="5" t="s">
        <v>9678</v>
      </c>
      <c r="H3401" s="6" t="s">
        <v>3678</v>
      </c>
      <c r="I3401" s="7" t="s">
        <v>4637</v>
      </c>
      <c r="K3401" s="26"/>
      <c r="M3401" s="6" t="str">
        <f>IFERROR(VLOOKUP(H3401,B:J,9,FALSE),"")</f>
        <v>Die Rahmengröße. Zum Beispiel:  w:720, h: 480, unit:pixels</v>
      </c>
      <c r="N3401" s="6"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6" t="s">
        <v>8574</v>
      </c>
    </row>
    <row r="3402" spans="1:17" ht="30" x14ac:dyDescent="0.25">
      <c r="A3402" s="5" t="str">
        <f>IF(TRIM(I3402)="","",E3402)</f>
        <v>videoModDate</v>
      </c>
      <c r="B3402" s="5" t="str">
        <f>IF(TRIM(J3402)="","",H3402)</f>
        <v>(deprecated)The date and time when the video was last modified.</v>
      </c>
      <c r="C3402" s="5" t="str">
        <f>LEFT(F3402,FIND(".",F3402,6))</f>
        <v>Xmp.xmpDM.</v>
      </c>
      <c r="D3402" s="5" t="str">
        <f>VLOOKUP(C3402,PrefixUebersetzung,2,FALSE)</f>
        <v>Xmp.xmpDM.</v>
      </c>
      <c r="E3402" s="5" t="str">
        <f>MID(F3402,FIND(".",F3402,6)+1,99)</f>
        <v>videoModDate</v>
      </c>
      <c r="F3402" s="5" t="s">
        <v>2105</v>
      </c>
      <c r="G3402" s="5" t="s">
        <v>9678</v>
      </c>
      <c r="H3402" s="6" t="s">
        <v>9715</v>
      </c>
      <c r="I3402" s="7" t="s">
        <v>5041</v>
      </c>
      <c r="J3402" s="14" t="s">
        <v>9662</v>
      </c>
      <c r="K3402" s="26"/>
      <c r="N3402" s="6"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6" t="s">
        <v>8574</v>
      </c>
      <c r="P3402" s="6" t="s">
        <v>8574</v>
      </c>
    </row>
    <row r="3403" spans="1:17" ht="30" x14ac:dyDescent="0.25">
      <c r="A3403" s="5" t="str">
        <f>IF(TRIM(I3403)="","",E3403)</f>
        <v>videoPixelAspectRatio</v>
      </c>
      <c r="B3403" s="5" t="str">
        <f>IF(TRIM(J3403)="","",H3403)</f>
        <v>The aspect ratio, expressed as ht/wd. For example: "648/720" = 0.9</v>
      </c>
      <c r="C3403" s="5" t="str">
        <f>LEFT(F3403,FIND(".",F3403,6))</f>
        <v>Xmp.xmpDM.</v>
      </c>
      <c r="D3403" s="5" t="str">
        <f>VLOOKUP(C3403,PrefixUebersetzung,2,FALSE)</f>
        <v>Xmp.xmpDM.</v>
      </c>
      <c r="E3403" s="5" t="str">
        <f>MID(F3403,FIND(".",F3403,6)+1,99)</f>
        <v>videoPixelAspectRatio</v>
      </c>
      <c r="F3403" s="5" t="s">
        <v>2106</v>
      </c>
      <c r="G3403" s="5" t="s">
        <v>9678</v>
      </c>
      <c r="H3403" s="6" t="s">
        <v>3679</v>
      </c>
      <c r="I3403" s="7" t="s">
        <v>5042</v>
      </c>
      <c r="J3403" s="14" t="s">
        <v>5576</v>
      </c>
      <c r="K3403" s="26"/>
      <c r="N3403" s="6"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6" t="s">
        <v>8574</v>
      </c>
      <c r="P3403" s="6" t="s">
        <v>8574</v>
      </c>
    </row>
    <row r="3404" spans="1:17" ht="75" x14ac:dyDescent="0.25">
      <c r="A3404" s="5" t="str">
        <f>IF(TRIM(I3404)="","",E3404)</f>
        <v>videoPixelDepth</v>
      </c>
      <c r="B3404" s="5" t="str">
        <f>IF(TRIM(J3404)="","",H3404)</f>
        <v/>
      </c>
      <c r="C3404" s="5" t="str">
        <f>LEFT(F3404,FIND(".",F3404,6))</f>
        <v>Xmp.xmpDM.</v>
      </c>
      <c r="D3404" s="5" t="str">
        <f>VLOOKUP(C3404,PrefixUebersetzung,2,FALSE)</f>
        <v>Xmp.xmpDM.</v>
      </c>
      <c r="E3404" s="5" t="str">
        <f>MID(F3404,FIND(".",F3404,6)+1,99)</f>
        <v>videoPixelDepth</v>
      </c>
      <c r="F3404" s="5" t="s">
        <v>2107</v>
      </c>
      <c r="G3404" s="5" t="s">
        <v>9678</v>
      </c>
      <c r="H3404" s="6" t="s">
        <v>3680</v>
      </c>
      <c r="I3404" s="7" t="s">
        <v>5043</v>
      </c>
      <c r="K3404" s="26"/>
      <c r="M3404" s="6" t="str">
        <f>IFERROR(VLOOKUP(H3404,B:J,9,FALSE),"")</f>
        <v>Die Größe jeder Farbkomponente  in Bits eines Pixels. Standard-Windows-32-Bit-Pixel haben 8 Bit pro Komponente. Gültige Werte: 8Int, 16Int, 32Int, 32Float.</v>
      </c>
      <c r="N3404" s="6"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6" t="s">
        <v>8574</v>
      </c>
    </row>
    <row r="3405" spans="1:17" ht="120" x14ac:dyDescent="0.25">
      <c r="A3405" s="5" t="str">
        <f>IF(TRIM(I3405)="","",E3405)</f>
        <v>DerivedFrom</v>
      </c>
      <c r="B3405" s="5" t="str">
        <f>IF(TRIM(J3405)="","",H3405)</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3405" s="5" t="str">
        <f>LEFT(F3405,FIND(".",F3405,6))</f>
        <v>Xmp.xmpMM.</v>
      </c>
      <c r="D3405" s="5" t="str">
        <f>VLOOKUP(C3405,PrefixUebersetzung,2,FALSE)</f>
        <v>Xmp.xmpMM.</v>
      </c>
      <c r="E3405" s="5" t="str">
        <f>MID(F3405,FIND(".",F3405,6)+1,99)</f>
        <v>DerivedFrom</v>
      </c>
      <c r="F3405" s="5" t="s">
        <v>2108</v>
      </c>
      <c r="G3405" s="5" t="s">
        <v>9678</v>
      </c>
      <c r="H3405" s="6" t="s">
        <v>3681</v>
      </c>
      <c r="I3405" s="7" t="s">
        <v>4638</v>
      </c>
      <c r="J3405" s="14" t="s">
        <v>5652</v>
      </c>
      <c r="K3405" s="26"/>
      <c r="N3405" s="6"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6" t="s">
        <v>8574</v>
      </c>
      <c r="P3405" s="6" t="s">
        <v>8574</v>
      </c>
    </row>
    <row r="3406" spans="1:17" ht="45" x14ac:dyDescent="0.25">
      <c r="A3406" s="5" t="str">
        <f>IF(TRIM(I3406)="","",E3406)</f>
        <v>DocumentID</v>
      </c>
      <c r="B3406" s="5" t="str">
        <f>IF(TRIM(J3406)="","",H3406)</f>
        <v>The common identifier for all versions and renditions of a document. It should be based on a UUID; see Document and Instance IDs below.</v>
      </c>
      <c r="C3406" s="5" t="str">
        <f>LEFT(F3406,FIND(".",F3406,6))</f>
        <v>Xmp.xmpMM.</v>
      </c>
      <c r="D3406" s="5" t="str">
        <f>VLOOKUP(C3406,PrefixUebersetzung,2,FALSE)</f>
        <v>Xmp.xmpMM.</v>
      </c>
      <c r="E3406" s="5" t="str">
        <f>MID(F3406,FIND(".",F3406,6)+1,99)</f>
        <v>DocumentID</v>
      </c>
      <c r="F3406" s="5" t="s">
        <v>2109</v>
      </c>
      <c r="G3406" s="5" t="s">
        <v>9678</v>
      </c>
      <c r="H3406" s="6" t="s">
        <v>3682</v>
      </c>
      <c r="I3406" s="7" t="s">
        <v>4639</v>
      </c>
      <c r="J3406" s="14" t="s">
        <v>5653</v>
      </c>
      <c r="K3406" s="26"/>
      <c r="N3406" s="6"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6" t="s">
        <v>8574</v>
      </c>
      <c r="P3406" s="6" t="s">
        <v>8574</v>
      </c>
    </row>
    <row r="3407" spans="1:17" ht="135" x14ac:dyDescent="0.25">
      <c r="A3407" s="5" t="str">
        <f>IF(TRIM(I3407)="","",E3407)</f>
        <v/>
      </c>
      <c r="B3407" s="5" t="str">
        <f>IF(TRIM(J3407)="","",H3407)</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3407" s="5" t="str">
        <f>LEFT(F3407,FIND(".",F3407,6))</f>
        <v>Xmp.xmpMM.</v>
      </c>
      <c r="D3407" s="5" t="str">
        <f>VLOOKUP(C3407,PrefixUebersetzung,2,FALSE)</f>
        <v>Xmp.xmpMM.</v>
      </c>
      <c r="E3407" s="5" t="str">
        <f>MID(F3407,FIND(".",F3407,6)+1,99)</f>
        <v>History</v>
      </c>
      <c r="F3407" s="5" t="s">
        <v>2110</v>
      </c>
      <c r="G3407" s="5" t="s">
        <v>9680</v>
      </c>
      <c r="H3407" s="6" t="s">
        <v>3683</v>
      </c>
      <c r="I3407" s="7"/>
      <c r="J3407" s="14" t="s">
        <v>6719</v>
      </c>
      <c r="K3407" s="26"/>
      <c r="L3407" s="6" t="str">
        <f>IFERROR(VLOOKUP(E3407,A:I,9, FALSE),"")</f>
        <v>Historie</v>
      </c>
      <c r="N3407" s="6"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c>
      <c r="P3407" s="6" t="s">
        <v>8574</v>
      </c>
    </row>
    <row r="3408" spans="1:17" ht="30" x14ac:dyDescent="0.25">
      <c r="A3408" s="5" t="str">
        <f>IF(TRIM(I3408)="","",E3408)</f>
        <v/>
      </c>
      <c r="B3408" s="5" t="str">
        <f>IF(TRIM(J3408)="","",H3408)</f>
        <v>References to resources that were incorporated, byinclusion or reference, into this resource.</v>
      </c>
      <c r="C3408" s="5" t="str">
        <f>LEFT(F3408,FIND(".",F3408,6))</f>
        <v>Xmp.xmpMM.</v>
      </c>
      <c r="D3408" s="5" t="str">
        <f>VLOOKUP(C3408,PrefixUebersetzung,2,FALSE)</f>
        <v>Xmp.xmpMM.</v>
      </c>
      <c r="E3408" s="5" t="str">
        <f>MID(F3408,FIND(".",F3408,6)+1,99)</f>
        <v>Ingredients</v>
      </c>
      <c r="F3408" s="2" t="s">
        <v>8553</v>
      </c>
      <c r="G3408" s="5" t="s">
        <v>9679</v>
      </c>
      <c r="H3408" s="3" t="s">
        <v>8554</v>
      </c>
      <c r="I3408" s="7"/>
      <c r="J3408" s="8" t="s">
        <v>8807</v>
      </c>
      <c r="K3408" s="26"/>
      <c r="N3408" s="6"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v>
      </c>
      <c r="O3408" s="6" t="s">
        <v>8574</v>
      </c>
      <c r="P3408" s="6" t="s">
        <v>8574</v>
      </c>
    </row>
    <row r="3409" spans="1:17" ht="60" x14ac:dyDescent="0.25">
      <c r="A3409" s="5" t="str">
        <f>IF(TRIM(I3409)="","",E3409)</f>
        <v>InstanceID</v>
      </c>
      <c r="B3409" s="5" t="str">
        <f>IF(TRIM(J3409)="","",H3409)</f>
        <v>An identifier for a specific incarnation of a document, updated each time a file is saved. It should be based on a UUID; see Document and Instance IDs below.</v>
      </c>
      <c r="C3409" s="5" t="str">
        <f>LEFT(F3409,FIND(".",F3409,6))</f>
        <v>Xmp.xmpMM.</v>
      </c>
      <c r="D3409" s="5" t="str">
        <f>VLOOKUP(C3409,PrefixUebersetzung,2,FALSE)</f>
        <v>Xmp.xmpMM.</v>
      </c>
      <c r="E3409" s="5" t="str">
        <f>MID(F3409,FIND(".",F3409,6)+1,99)</f>
        <v>InstanceID</v>
      </c>
      <c r="F3409" s="5" t="s">
        <v>2111</v>
      </c>
      <c r="G3409" s="5" t="s">
        <v>9678</v>
      </c>
      <c r="H3409" s="6" t="s">
        <v>3684</v>
      </c>
      <c r="I3409" s="7" t="s">
        <v>4641</v>
      </c>
      <c r="J3409" s="14" t="s">
        <v>5654</v>
      </c>
      <c r="K3409" s="26"/>
      <c r="N3409" s="6"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c>
      <c r="O3409" s="6" t="s">
        <v>8574</v>
      </c>
      <c r="P3409" s="6" t="s">
        <v>8574</v>
      </c>
    </row>
    <row r="3410" spans="1:17" ht="30" x14ac:dyDescent="0.25">
      <c r="A3410" s="5" t="str">
        <f>IF(TRIM(I3410)="","",E3410)</f>
        <v>LastURL</v>
      </c>
      <c r="B3410" s="5" t="str">
        <f>IF(TRIM(J3410)="","",H3410)</f>
        <v>Deprecated for privacy protection.</v>
      </c>
      <c r="C3410" s="5" t="str">
        <f>LEFT(F3410,FIND(".",F3410,6))</f>
        <v>Xmp.xmpMM.</v>
      </c>
      <c r="D3410" s="5" t="str">
        <f>VLOOKUP(C3410,PrefixUebersetzung,2,FALSE)</f>
        <v>Xmp.xmpMM.</v>
      </c>
      <c r="E3410" s="5" t="str">
        <f>MID(F3410,FIND(".",F3410,6)+1,99)</f>
        <v>LastURL</v>
      </c>
      <c r="F3410" s="5" t="s">
        <v>2112</v>
      </c>
      <c r="G3410" s="5" t="s">
        <v>9678</v>
      </c>
      <c r="H3410" s="6" t="s">
        <v>3685</v>
      </c>
      <c r="I3410" s="7" t="s">
        <v>4642</v>
      </c>
      <c r="J3410" s="14" t="s">
        <v>6721</v>
      </c>
      <c r="K3410" s="26"/>
      <c r="N3410" s="6"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6" t="s">
        <v>8574</v>
      </c>
      <c r="P3410" s="6" t="s">
        <v>8574</v>
      </c>
      <c r="Q3410" s="6" t="s">
        <v>9245</v>
      </c>
    </row>
    <row r="3411" spans="1:17" ht="90" x14ac:dyDescent="0.25">
      <c r="A3411" s="5" t="str">
        <f>IF(TRIM(I3411)="","",E3411)</f>
        <v/>
      </c>
      <c r="B3411" s="5" t="str">
        <f>IF(TRIM(J3411)="","",H3411)</f>
        <v/>
      </c>
      <c r="C3411" s="5" t="str">
        <f>LEFT(F3411,FIND(".",F3411,6))</f>
        <v>Xmp.xmpMM.</v>
      </c>
      <c r="D3411" s="5" t="str">
        <f>VLOOKUP(C3411,PrefixUebersetzung,2,FALSE)</f>
        <v>Xmp.xmpMM.</v>
      </c>
      <c r="E3411" s="5" t="str">
        <f>MID(F3411,FIND(".",F3411,6)+1,99)</f>
        <v>ManagedFrom</v>
      </c>
      <c r="F3411" s="5" t="s">
        <v>2113</v>
      </c>
      <c r="G3411" s="5" t="s">
        <v>9678</v>
      </c>
      <c r="H3411" s="6" t="s">
        <v>3686</v>
      </c>
      <c r="I3411" s="7"/>
      <c r="K3411" s="26"/>
      <c r="N3411" s="6"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6" t="s">
        <v>8574</v>
      </c>
      <c r="P3411" s="6" t="s">
        <v>8574</v>
      </c>
    </row>
    <row r="3412" spans="1:17" ht="75" x14ac:dyDescent="0.25">
      <c r="A3412" s="5" t="str">
        <f>IF(TRIM(I3412)="","",E3412)</f>
        <v>Manager</v>
      </c>
      <c r="B3412" s="5" t="str">
        <f>IF(TRIM(J3412)="","",H3412)</f>
        <v>The name of the asset management system that manages this resource. Along with xmpMM: ManagerVariant, it tells applications which asset management system to contact concerning this document.</v>
      </c>
      <c r="C3412" s="5" t="str">
        <f>LEFT(F3412,FIND(".",F3412,6))</f>
        <v>Xmp.xmpMM.</v>
      </c>
      <c r="D3412" s="5" t="str">
        <f>VLOOKUP(C3412,PrefixUebersetzung,2,FALSE)</f>
        <v>Xmp.xmpMM.</v>
      </c>
      <c r="E3412" s="5" t="str">
        <f>MID(F3412,FIND(".",F3412,6)+1,99)</f>
        <v>Manager</v>
      </c>
      <c r="F3412" s="5" t="s">
        <v>2114</v>
      </c>
      <c r="G3412" s="5" t="s">
        <v>9678</v>
      </c>
      <c r="H3412" s="6" t="s">
        <v>3687</v>
      </c>
      <c r="I3412" s="7" t="s">
        <v>4219</v>
      </c>
      <c r="J3412" s="14" t="s">
        <v>6720</v>
      </c>
      <c r="K3412" s="26"/>
      <c r="N3412" s="6"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6" t="s">
        <v>8574</v>
      </c>
      <c r="P3412" s="6" t="s">
        <v>8574</v>
      </c>
    </row>
    <row r="3413" spans="1:17" ht="45" x14ac:dyDescent="0.25">
      <c r="A3413" s="5" t="str">
        <f>IF(TRIM(I3413)="","",E3413)</f>
        <v/>
      </c>
      <c r="B3413" s="5" t="str">
        <f>IF(TRIM(J3413)="","",H3413)</f>
        <v/>
      </c>
      <c r="C3413" s="5" t="str">
        <f>LEFT(F3413,FIND(".",F3413,6))</f>
        <v>Xmp.xmpMM.</v>
      </c>
      <c r="D3413" s="5" t="str">
        <f>VLOOKUP(C3413,PrefixUebersetzung,2,FALSE)</f>
        <v>Xmp.xmpMM.</v>
      </c>
      <c r="E3413" s="5" t="str">
        <f>MID(F3413,FIND(".",F3413,6)+1,99)</f>
        <v>ManagerVariant</v>
      </c>
      <c r="F3413" s="5" t="s">
        <v>2115</v>
      </c>
      <c r="G3413" s="5" t="s">
        <v>9678</v>
      </c>
      <c r="H3413" s="6" t="s">
        <v>3688</v>
      </c>
      <c r="I3413" s="7"/>
      <c r="K3413" s="26"/>
      <c r="N3413" s="6"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Suffix not translated Description not translated </v>
      </c>
      <c r="O3413" s="6" t="s">
        <v>8574</v>
      </c>
      <c r="P3413" s="6" t="s">
        <v>8574</v>
      </c>
    </row>
    <row r="3414" spans="1:17" ht="75" x14ac:dyDescent="0.25">
      <c r="A3414" s="5" t="str">
        <f>IF(TRIM(I3414)="","",E3414)</f>
        <v/>
      </c>
      <c r="B3414" s="5" t="str">
        <f>IF(TRIM(J3414)="","",H3414)</f>
        <v/>
      </c>
      <c r="C3414" s="5" t="str">
        <f>LEFT(F3414,FIND(".",F3414,6))</f>
        <v>Xmp.xmpMM.</v>
      </c>
      <c r="D3414" s="5" t="str">
        <f>VLOOKUP(C3414,PrefixUebersetzung,2,FALSE)</f>
        <v>Xmp.xmpMM.</v>
      </c>
      <c r="E3414" s="5" t="str">
        <f>MID(F3414,FIND(".",F3414,6)+1,99)</f>
        <v>ManageTo</v>
      </c>
      <c r="F3414" s="5" t="s">
        <v>2116</v>
      </c>
      <c r="G3414" s="5" t="s">
        <v>9678</v>
      </c>
      <c r="H3414" s="6" t="s">
        <v>3689</v>
      </c>
      <c r="I3414" s="7"/>
      <c r="K3414" s="26"/>
      <c r="N3414" s="6"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Suffix not translated Description not translated </v>
      </c>
      <c r="O3414" s="6" t="s">
        <v>8574</v>
      </c>
      <c r="P3414" s="6" t="s">
        <v>8574</v>
      </c>
    </row>
    <row r="3415" spans="1:17" ht="45" x14ac:dyDescent="0.25">
      <c r="A3415" s="5" t="str">
        <f>IF(TRIM(I3415)="","",E3415)</f>
        <v/>
      </c>
      <c r="B3415" s="5" t="str">
        <f>IF(TRIM(J3415)="","",H3415)</f>
        <v/>
      </c>
      <c r="C3415" s="5" t="str">
        <f>LEFT(F3415,FIND(".",F3415,6))</f>
        <v>Xmp.xmpMM.</v>
      </c>
      <c r="D3415" s="5" t="str">
        <f>VLOOKUP(C3415,PrefixUebersetzung,2,FALSE)</f>
        <v>Xmp.xmpMM.</v>
      </c>
      <c r="E3415" s="5" t="str">
        <f>MID(F3415,FIND(".",F3415,6)+1,99)</f>
        <v>ManageUI</v>
      </c>
      <c r="F3415" s="5" t="s">
        <v>2117</v>
      </c>
      <c r="G3415" s="5" t="s">
        <v>9678</v>
      </c>
      <c r="H3415" s="6" t="s">
        <v>3690</v>
      </c>
      <c r="I3415" s="7"/>
      <c r="K3415" s="26"/>
      <c r="N3415" s="6"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Suffix not translated Description not translated </v>
      </c>
      <c r="O3415" s="6" t="s">
        <v>8574</v>
      </c>
      <c r="P3415" s="6" t="s">
        <v>8574</v>
      </c>
    </row>
    <row r="3416" spans="1:17" ht="30" x14ac:dyDescent="0.25">
      <c r="A3416" s="5" t="str">
        <f>IF(TRIM(I3416)="","",E3416)</f>
        <v>OriginalDocumentID</v>
      </c>
      <c r="B3416" s="5" t="str">
        <f>IF(TRIM(J3416)="","",H3416)</f>
        <v>Refer to Part 1, Data Model, Serialization, and Core Properties, for definition.</v>
      </c>
      <c r="C3416" s="5" t="str">
        <f>LEFT(F3416,FIND(".",F3416,6))</f>
        <v>Xmp.xmpMM.</v>
      </c>
      <c r="D3416" s="5" t="str">
        <f>VLOOKUP(C3416,PrefixUebersetzung,2,FALSE)</f>
        <v>Xmp.xmpMM.</v>
      </c>
      <c r="E3416" s="5" t="str">
        <f>MID(F3416,FIND(".",F3416,6)+1,99)</f>
        <v>OriginalDocumentID</v>
      </c>
      <c r="F3416" s="2" t="s">
        <v>8555</v>
      </c>
      <c r="G3416" s="5" t="s">
        <v>9678</v>
      </c>
      <c r="H3416" s="3" t="s">
        <v>8556</v>
      </c>
      <c r="I3416" s="7" t="s">
        <v>8578</v>
      </c>
      <c r="J3416" s="8" t="s">
        <v>8837</v>
      </c>
      <c r="K3416" s="26"/>
      <c r="N3416" s="6"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6" t="s">
        <v>8574</v>
      </c>
      <c r="P3416" s="6" t="s">
        <v>8574</v>
      </c>
    </row>
    <row r="3417" spans="1:17" ht="195" x14ac:dyDescent="0.25">
      <c r="A3417" s="5" t="str">
        <f>IF(TRIM(I3417)="","",E3417)</f>
        <v/>
      </c>
      <c r="B3417" s="5" t="str">
        <f>IF(TRIM(J3417)="","",H3417)</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3417" s="5" t="str">
        <f>LEFT(F3417,FIND(".",F3417,6))</f>
        <v>Xmp.xmpMM.</v>
      </c>
      <c r="D3417" s="5" t="str">
        <f>VLOOKUP(C3417,PrefixUebersetzung,2,FALSE)</f>
        <v>Xmp.xmpMM.</v>
      </c>
      <c r="E3417" s="5" t="str">
        <f>MID(F3417,FIND(".",F3417,6)+1,99)</f>
        <v>Pantry</v>
      </c>
      <c r="F3417" s="2" t="s">
        <v>8557</v>
      </c>
      <c r="G3417" s="5" t="s">
        <v>9678</v>
      </c>
      <c r="H3417" s="3" t="s">
        <v>8558</v>
      </c>
      <c r="I3417" s="7"/>
      <c r="J3417" s="8" t="s">
        <v>8838</v>
      </c>
      <c r="K3417" s="26"/>
      <c r="N3417" s="6"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xml:space="preserve">Suffix not translated </v>
      </c>
      <c r="O3417" s="6" t="s">
        <v>8574</v>
      </c>
      <c r="P3417" s="6" t="s">
        <v>8574</v>
      </c>
    </row>
    <row r="3418" spans="1:17" ht="45" x14ac:dyDescent="0.25">
      <c r="A3418" s="5" t="str">
        <f>IF(TRIM(I3418)="","",E3418)</f>
        <v/>
      </c>
      <c r="B3418" s="5" t="str">
        <f>IF(TRIM(J3418)="","",H3418)</f>
        <v/>
      </c>
      <c r="C3418" s="5" t="str">
        <f>LEFT(F3418,FIND(".",F3418,6))</f>
        <v>Xmp.xmpMM.</v>
      </c>
      <c r="D3418" s="5" t="str">
        <f>VLOOKUP(C3418,PrefixUebersetzung,2,FALSE)</f>
        <v>Xmp.xmpMM.</v>
      </c>
      <c r="E3418" s="5" t="str">
        <f>MID(F3418,FIND(".",F3418,6)+1,99)</f>
        <v>RenditionClass</v>
      </c>
      <c r="F3418" s="5" t="s">
        <v>2118</v>
      </c>
      <c r="G3418" s="5" t="s">
        <v>9678</v>
      </c>
      <c r="H3418" s="6" t="s">
        <v>3691</v>
      </c>
      <c r="I3418" s="7"/>
      <c r="K3418" s="26"/>
      <c r="N3418" s="6"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Suffix not translated Description not translated </v>
      </c>
      <c r="O3418" s="6" t="s">
        <v>8574</v>
      </c>
      <c r="P3418" s="6" t="s">
        <v>8574</v>
      </c>
    </row>
    <row r="3419" spans="1:17" ht="45" x14ac:dyDescent="0.25">
      <c r="A3419" s="5" t="str">
        <f>IF(TRIM(I3419)="","",E3419)</f>
        <v/>
      </c>
      <c r="B3419" s="5" t="str">
        <f>IF(TRIM(J3419)="","",H3419)</f>
        <v>Deprecated in favor of xmpMM:DerivedFrom. A reference to the document of which this is a rendition.</v>
      </c>
      <c r="C3419" s="5" t="str">
        <f>LEFT(F3419,FIND(".",F3419,6))</f>
        <v>Xmp.xmpMM.</v>
      </c>
      <c r="D3419" s="5" t="str">
        <f>VLOOKUP(C3419,PrefixUebersetzung,2,FALSE)</f>
        <v>Xmp.xmpMM.</v>
      </c>
      <c r="E3419" s="5" t="str">
        <f>MID(F3419,FIND(".",F3419,6)+1,99)</f>
        <v>RenditionOf</v>
      </c>
      <c r="F3419" s="5" t="s">
        <v>2119</v>
      </c>
      <c r="G3419" s="5" t="s">
        <v>9678</v>
      </c>
      <c r="H3419" s="6" t="s">
        <v>3692</v>
      </c>
      <c r="I3419" s="7"/>
      <c r="J3419" s="14" t="s">
        <v>8847</v>
      </c>
      <c r="K3419" s="26"/>
      <c r="N3419" s="6"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Suffix not translated </v>
      </c>
      <c r="O3419" s="6" t="s">
        <v>8574</v>
      </c>
      <c r="P3419" s="6" t="s">
        <v>8574</v>
      </c>
    </row>
    <row r="3420" spans="1:17" ht="60" x14ac:dyDescent="0.25">
      <c r="A3420" s="5" t="str">
        <f>IF(TRIM(I3420)="","",E3420)</f>
        <v/>
      </c>
      <c r="B3420" s="5" t="str">
        <f>IF(TRIM(J3420)="","",H3420)</f>
        <v>Can be used to provide additional rendition parameters that are too complex or verbose to encode in xmpMM: RenditionClass.</v>
      </c>
      <c r="C3420" s="5" t="str">
        <f>LEFT(F3420,FIND(".",F3420,6))</f>
        <v>Xmp.xmpMM.</v>
      </c>
      <c r="D3420" s="5" t="str">
        <f>VLOOKUP(C3420,PrefixUebersetzung,2,FALSE)</f>
        <v>Xmp.xmpMM.</v>
      </c>
      <c r="E3420" s="5" t="str">
        <f>MID(F3420,FIND(".",F3420,6)+1,99)</f>
        <v>RenditionParams</v>
      </c>
      <c r="F3420" s="5" t="s">
        <v>2120</v>
      </c>
      <c r="G3420" s="5" t="s">
        <v>9678</v>
      </c>
      <c r="H3420" s="6" t="s">
        <v>3693</v>
      </c>
      <c r="I3420" s="7"/>
      <c r="J3420" s="14" t="s">
        <v>8848</v>
      </c>
      <c r="K3420" s="26"/>
      <c r="N3420" s="6"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Suffix not translated </v>
      </c>
      <c r="O3420" s="6" t="s">
        <v>8574</v>
      </c>
      <c r="P3420" s="6" t="s">
        <v>8574</v>
      </c>
    </row>
    <row r="3421" spans="1:17" ht="30" x14ac:dyDescent="0.25">
      <c r="A3421" s="5" t="str">
        <f>IF(TRIM(I3421)="","",E3421)</f>
        <v>SaveID</v>
      </c>
      <c r="B3421" s="5" t="str">
        <f>IF(TRIM(J3421)="","",H3421)</f>
        <v>Deprecated. Previously used only to support the xmpMM:LastURL property.</v>
      </c>
      <c r="C3421" s="5" t="str">
        <f>LEFT(F3421,FIND(".",F3421,6))</f>
        <v>Xmp.xmpMM.</v>
      </c>
      <c r="D3421" s="5" t="str">
        <f>VLOOKUP(C3421,PrefixUebersetzung,2,FALSE)</f>
        <v>Xmp.xmpMM.</v>
      </c>
      <c r="E3421" s="5" t="str">
        <f>MID(F3421,FIND(".",F3421,6)+1,99)</f>
        <v>SaveID</v>
      </c>
      <c r="F3421" s="5" t="s">
        <v>2121</v>
      </c>
      <c r="G3421" s="5" t="s">
        <v>9678</v>
      </c>
      <c r="H3421" s="6" t="s">
        <v>3694</v>
      </c>
      <c r="I3421" s="7" t="s">
        <v>5164</v>
      </c>
      <c r="J3421" s="30" t="s">
        <v>5655</v>
      </c>
      <c r="K3421" s="26"/>
      <c r="N3421" s="6"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c>
      <c r="O3421" s="6" t="s">
        <v>8574</v>
      </c>
      <c r="P3421" s="6" t="s">
        <v>8574</v>
      </c>
    </row>
    <row r="3422" spans="1:17" ht="105" x14ac:dyDescent="0.25">
      <c r="A3422" s="5" t="str">
        <f>IF(TRIM(I3422)="","",E3422)</f>
        <v>VersionID</v>
      </c>
      <c r="B3422" s="5" t="str">
        <f>IF(TRIM(J3422)="","",H3422)</f>
        <v>The document version identifier for this resource. Each version of a document gets a new identifier, usually simply by incrementing integers 1, 2, 3 . . . and so on. Media management systems can have other conventions or support branching which requires a more complex scheme.</v>
      </c>
      <c r="C3422" s="5" t="str">
        <f>LEFT(F3422,FIND(".",F3422,6))</f>
        <v>Xmp.xmpMM.</v>
      </c>
      <c r="D3422" s="5" t="str">
        <f>VLOOKUP(C3422,PrefixUebersetzung,2,FALSE)</f>
        <v>Xmp.xmpMM.</v>
      </c>
      <c r="E3422" s="5" t="str">
        <f>MID(F3422,FIND(".",F3422,6)+1,99)</f>
        <v>VersionID</v>
      </c>
      <c r="F3422" s="5" t="s">
        <v>2122</v>
      </c>
      <c r="G3422" s="5" t="s">
        <v>9678</v>
      </c>
      <c r="H3422" s="6" t="s">
        <v>3695</v>
      </c>
      <c r="I3422" s="7" t="s">
        <v>4643</v>
      </c>
      <c r="J3422" s="30" t="s">
        <v>6722</v>
      </c>
      <c r="K3422" s="26"/>
      <c r="N3422" s="6"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c r="O3422" s="6" t="s">
        <v>8574</v>
      </c>
      <c r="P3422" s="6" t="s">
        <v>8574</v>
      </c>
    </row>
    <row r="3423" spans="1:17" ht="180" x14ac:dyDescent="0.25">
      <c r="A3423" s="5" t="str">
        <f>IF(TRIM(I3423)="","",E3423)</f>
        <v>Versions</v>
      </c>
      <c r="B3423" s="5" t="str">
        <f>IF(TRIM(J3423)="","",H3423)</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3423" s="5" t="str">
        <f>LEFT(F3423,FIND(".",F3423,6))</f>
        <v>Xmp.xmpMM.</v>
      </c>
      <c r="D3423" s="5" t="str">
        <f>VLOOKUP(C3423,PrefixUebersetzung,2,FALSE)</f>
        <v>Xmp.xmpMM.</v>
      </c>
      <c r="E3423" s="5" t="str">
        <f>MID(F3423,FIND(".",F3423,6)+1,99)</f>
        <v>Versions</v>
      </c>
      <c r="F3423" s="5" t="s">
        <v>2123</v>
      </c>
      <c r="G3423" s="5" t="s">
        <v>9678</v>
      </c>
      <c r="H3423" s="6" t="s">
        <v>3696</v>
      </c>
      <c r="I3423" s="7" t="s">
        <v>4644</v>
      </c>
      <c r="J3423" s="30" t="s">
        <v>5656</v>
      </c>
      <c r="K3423" s="26"/>
      <c r="N3423" s="6"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c r="O3423" s="6" t="s">
        <v>8574</v>
      </c>
      <c r="P3423" s="6" t="s">
        <v>8574</v>
      </c>
    </row>
    <row r="3424" spans="1:17" x14ac:dyDescent="0.25">
      <c r="A3424" s="5" t="str">
        <f>IF(TRIM(I3424)="","",E3424)</f>
        <v>Certificate</v>
      </c>
      <c r="B3424" s="5" t="str">
        <f>IF(TRIM(J3424)="","",H3424)</f>
        <v>Online rights management certificate.</v>
      </c>
      <c r="C3424" s="5" t="str">
        <f>LEFT(F3424,FIND(".",F3424,6))</f>
        <v>Xmp.xmpRights.</v>
      </c>
      <c r="D3424" s="5" t="str">
        <f>VLOOKUP(C3424,PrefixUebersetzung,2,FALSE)</f>
        <v>Xmp.xmpRights.</v>
      </c>
      <c r="E3424" s="5" t="str">
        <f>MID(F3424,FIND(".",F3424,6)+1,99)</f>
        <v>Certificate</v>
      </c>
      <c r="F3424" s="5" t="s">
        <v>2124</v>
      </c>
      <c r="G3424" s="5" t="s">
        <v>9678</v>
      </c>
      <c r="H3424" s="6" t="s">
        <v>3697</v>
      </c>
      <c r="I3424" s="7" t="s">
        <v>4645</v>
      </c>
      <c r="J3424" s="30" t="s">
        <v>5657</v>
      </c>
      <c r="K3424" s="26"/>
      <c r="N3424" s="6"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c>
      <c r="O3424" s="6" t="s">
        <v>8574</v>
      </c>
      <c r="P3424" s="6" t="s">
        <v>8574</v>
      </c>
      <c r="Q3424" s="6" t="s">
        <v>9436</v>
      </c>
    </row>
    <row r="3425" spans="1:17" ht="30" x14ac:dyDescent="0.25">
      <c r="A3425" s="5" t="str">
        <f>IF(TRIM(I3425)="","",E3425)</f>
        <v>Marked</v>
      </c>
      <c r="B3425" s="5" t="str">
        <f>IF(TRIM(J3425)="","",H3425)</f>
        <v>Indicates that this is a rights-managed resource.</v>
      </c>
      <c r="C3425" s="5" t="str">
        <f>LEFT(F3425,FIND(".",F3425,6))</f>
        <v>Xmp.xmpRights.</v>
      </c>
      <c r="D3425" s="5" t="str">
        <f>VLOOKUP(C3425,PrefixUebersetzung,2,FALSE)</f>
        <v>Xmp.xmpRights.</v>
      </c>
      <c r="E3425" s="5" t="str">
        <f>MID(F3425,FIND(".",F3425,6)+1,99)</f>
        <v>Marked</v>
      </c>
      <c r="F3425" s="5" t="s">
        <v>2125</v>
      </c>
      <c r="G3425" s="5" t="s">
        <v>9678</v>
      </c>
      <c r="H3425" s="6" t="s">
        <v>3698</v>
      </c>
      <c r="I3425" s="7" t="s">
        <v>4646</v>
      </c>
      <c r="J3425" s="30" t="s">
        <v>5658</v>
      </c>
      <c r="K3425" s="26"/>
      <c r="N3425" s="6"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c>
      <c r="O3425" s="6" t="s">
        <v>8574</v>
      </c>
      <c r="P3425" s="6" t="s">
        <v>8574</v>
      </c>
      <c r="Q3425" s="6" t="s">
        <v>9368</v>
      </c>
    </row>
    <row r="3426" spans="1:17" ht="30" x14ac:dyDescent="0.25">
      <c r="A3426" s="5" t="str">
        <f>IF(TRIM(I3426)="","",E3426)</f>
        <v>Owner</v>
      </c>
      <c r="B3426" s="5" t="str">
        <f>IF(TRIM(J3426)="","",H3426)</f>
        <v>An unordered array specifying the legal owner(s) of a resource.</v>
      </c>
      <c r="C3426" s="5" t="str">
        <f>LEFT(F3426,FIND(".",F3426,6))</f>
        <v>Xmp.xmpRights.</v>
      </c>
      <c r="D3426" s="5" t="str">
        <f>VLOOKUP(C3426,PrefixUebersetzung,2,FALSE)</f>
        <v>Xmp.xmpRights.</v>
      </c>
      <c r="E3426" s="5" t="str">
        <f>MID(F3426,FIND(".",F3426,6)+1,99)</f>
        <v>Owner</v>
      </c>
      <c r="F3426" s="5" t="s">
        <v>2126</v>
      </c>
      <c r="G3426" s="5" t="s">
        <v>9679</v>
      </c>
      <c r="H3426" s="6" t="s">
        <v>3699</v>
      </c>
      <c r="I3426" s="7" t="s">
        <v>4647</v>
      </c>
      <c r="J3426" s="30" t="s">
        <v>5263</v>
      </c>
      <c r="K3426" s="26"/>
      <c r="N3426" s="6"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c>
      <c r="O3426" s="6" t="s">
        <v>8574</v>
      </c>
      <c r="P3426" s="6" t="s">
        <v>8574</v>
      </c>
    </row>
    <row r="3427" spans="1:17" ht="30" x14ac:dyDescent="0.25">
      <c r="A3427" s="5" t="str">
        <f>IF(TRIM(I3427)="","",E3427)</f>
        <v>UsageTerms</v>
      </c>
      <c r="B3427" s="5" t="str">
        <f>IF(TRIM(J3427)="","",H3427)</f>
        <v>Text instructions on how a resource can be legally used.</v>
      </c>
      <c r="C3427" s="5" t="str">
        <f>LEFT(F3427,FIND(".",F3427,6))</f>
        <v>Xmp.xmpRights.</v>
      </c>
      <c r="D3427" s="5" t="str">
        <f>VLOOKUP(C3427,PrefixUebersetzung,2,FALSE)</f>
        <v>Xmp.xmpRights.</v>
      </c>
      <c r="E3427" s="5" t="str">
        <f>MID(F3427,FIND(".",F3427,6)+1,99)</f>
        <v>UsageTerms</v>
      </c>
      <c r="F3427" s="5" t="s">
        <v>2127</v>
      </c>
      <c r="G3427" s="5" t="s">
        <v>9681</v>
      </c>
      <c r="H3427" s="6" t="s">
        <v>3700</v>
      </c>
      <c r="I3427" s="7" t="s">
        <v>5044</v>
      </c>
      <c r="J3427" s="30" t="s">
        <v>6723</v>
      </c>
      <c r="K3427" s="26"/>
      <c r="N3427" s="6"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c r="O3427" s="6" t="s">
        <v>8574</v>
      </c>
      <c r="P3427" s="6" t="s">
        <v>8574</v>
      </c>
      <c r="Q3427" s="6" t="s">
        <v>9515</v>
      </c>
    </row>
    <row r="3428" spans="1:17" ht="30" x14ac:dyDescent="0.25">
      <c r="A3428" s="5" t="str">
        <f>IF(TRIM(I3428)="","",E3428)</f>
        <v>WebStatement</v>
      </c>
      <c r="B3428" s="5" t="str">
        <f>IF(TRIM(J3428)="","",H3428)</f>
        <v>The location of a web page describing the owner and/or rights statement for this resource.</v>
      </c>
      <c r="C3428" s="5" t="str">
        <f>LEFT(F3428,FIND(".",F3428,6))</f>
        <v>Xmp.xmpRights.</v>
      </c>
      <c r="D3428" s="5" t="str">
        <f>VLOOKUP(C3428,PrefixUebersetzung,2,FALSE)</f>
        <v>Xmp.xmpRights.</v>
      </c>
      <c r="E3428" s="5" t="str">
        <f>MID(F3428,FIND(".",F3428,6)+1,99)</f>
        <v>WebStatement</v>
      </c>
      <c r="F3428" s="5" t="s">
        <v>2128</v>
      </c>
      <c r="G3428" s="5" t="s">
        <v>9678</v>
      </c>
      <c r="H3428" s="6" t="s">
        <v>3701</v>
      </c>
      <c r="I3428" s="7" t="s">
        <v>8974</v>
      </c>
      <c r="J3428" s="30" t="s">
        <v>6857</v>
      </c>
      <c r="K3428" s="26"/>
      <c r="N3428" s="6"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c>
      <c r="O3428" s="6" t="s">
        <v>8574</v>
      </c>
      <c r="P3428" s="6" t="s">
        <v>8574</v>
      </c>
    </row>
    <row r="3429" spans="1:17" ht="45" x14ac:dyDescent="0.25">
      <c r="A3429" s="5" t="str">
        <f>IF(TRIM(I3429)="","",E3429)</f>
        <v>Colorants</v>
      </c>
      <c r="B3429" s="5" t="str">
        <f>IF(TRIM(J3429)="","",H3429)</f>
        <v>An ordered array of colorants (swatches) that are used in the document (including any in contained documents).</v>
      </c>
      <c r="C3429" s="5" t="str">
        <f>LEFT(F3429,FIND(".",F3429,6))</f>
        <v>Xmp.xmpTPg.</v>
      </c>
      <c r="D3429" s="5" t="str">
        <f>VLOOKUP(C3429,PrefixUebersetzung,2,FALSE)</f>
        <v>Xmp.xmpTPg.</v>
      </c>
      <c r="E3429" s="5" t="str">
        <f>MID(F3429,FIND(".",F3429,6)+1,99)</f>
        <v>Colorants</v>
      </c>
      <c r="F3429" s="5" t="s">
        <v>2129</v>
      </c>
      <c r="G3429" s="5" t="s">
        <v>9678</v>
      </c>
      <c r="H3429" s="6" t="s">
        <v>3702</v>
      </c>
      <c r="I3429" s="7" t="s">
        <v>5163</v>
      </c>
      <c r="J3429" s="30" t="s">
        <v>6726</v>
      </c>
      <c r="K3429" s="26"/>
      <c r="N3429" s="6"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c>
      <c r="O3429" s="6" t="s">
        <v>8574</v>
      </c>
      <c r="P3429" s="6" t="s">
        <v>8574</v>
      </c>
    </row>
    <row r="3430" spans="1:17" ht="45" x14ac:dyDescent="0.25">
      <c r="A3430" s="5" t="str">
        <f>IF(TRIM(I3430)="","",E3430)</f>
        <v>Fonts</v>
      </c>
      <c r="B3430" s="5" t="str">
        <f>IF(TRIM(J3430)="","",H3430)</f>
        <v>An unordered array of fonts that are used in the document (including any in contained documents).</v>
      </c>
      <c r="C3430" s="5" t="str">
        <f>LEFT(F3430,FIND(".",F3430,6))</f>
        <v>Xmp.xmpTPg.</v>
      </c>
      <c r="D3430" s="5" t="str">
        <f>VLOOKUP(C3430,PrefixUebersetzung,2,FALSE)</f>
        <v>Xmp.xmpTPg.</v>
      </c>
      <c r="E3430" s="5" t="str">
        <f>MID(F3430,FIND(".",F3430,6)+1,99)</f>
        <v>Fonts</v>
      </c>
      <c r="F3430" s="5" t="s">
        <v>2130</v>
      </c>
      <c r="G3430" s="5" t="s">
        <v>9678</v>
      </c>
      <c r="H3430" s="6" t="s">
        <v>3703</v>
      </c>
      <c r="I3430" s="7" t="s">
        <v>4648</v>
      </c>
      <c r="J3430" s="30" t="s">
        <v>6724</v>
      </c>
      <c r="K3430" s="26"/>
      <c r="N3430" s="6"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c r="O3430" s="6" t="s">
        <v>8574</v>
      </c>
      <c r="P3430" s="6" t="s">
        <v>8574</v>
      </c>
    </row>
    <row r="3431" spans="1:17" ht="30" x14ac:dyDescent="0.25">
      <c r="A3431" s="5" t="str">
        <f>IF(TRIM(I3431)="","",E3431)</f>
        <v>MaxPageSize</v>
      </c>
      <c r="B3431" s="5" t="str">
        <f>IF(TRIM(J3431)="","",H3431)</f>
        <v>The size of the largest page in the document (including any in contained documents).</v>
      </c>
      <c r="C3431" s="5" t="str">
        <f>LEFT(F3431,FIND(".",F3431,6))</f>
        <v>Xmp.xmpTPg.</v>
      </c>
      <c r="D3431" s="5" t="str">
        <f>VLOOKUP(C3431,PrefixUebersetzung,2,FALSE)</f>
        <v>Xmp.xmpTPg.</v>
      </c>
      <c r="E3431" s="5" t="str">
        <f>MID(F3431,FIND(".",F3431,6)+1,99)</f>
        <v>MaxPageSize</v>
      </c>
      <c r="F3431" s="5" t="s">
        <v>2131</v>
      </c>
      <c r="G3431" s="5" t="s">
        <v>9678</v>
      </c>
      <c r="H3431" s="6" t="s">
        <v>3704</v>
      </c>
      <c r="I3431" s="7" t="s">
        <v>5046</v>
      </c>
      <c r="J3431" s="30" t="s">
        <v>6725</v>
      </c>
      <c r="K3431" s="26"/>
      <c r="N3431" s="6"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c>
      <c r="O3431" s="6" t="s">
        <v>8574</v>
      </c>
      <c r="P3431" s="6" t="s">
        <v>8574</v>
      </c>
    </row>
    <row r="3432" spans="1:17" ht="30" x14ac:dyDescent="0.25">
      <c r="A3432" s="5" t="str">
        <f>IF(TRIM(I3432)="","",E3432)</f>
        <v>NPages</v>
      </c>
      <c r="B3432" s="5" t="str">
        <f>IF(TRIM(J3432)="","",H3432)</f>
        <v>The number of pages in the document (including any in contained documents).</v>
      </c>
      <c r="C3432" s="5" t="str">
        <f>LEFT(F3432,FIND(".",F3432,6))</f>
        <v>Xmp.xmpTPg.</v>
      </c>
      <c r="D3432" s="5" t="str">
        <f>VLOOKUP(C3432,PrefixUebersetzung,2,FALSE)</f>
        <v>Xmp.xmpTPg.</v>
      </c>
      <c r="E3432" s="5" t="str">
        <f>MID(F3432,FIND(".",F3432,6)+1,99)</f>
        <v>NPages</v>
      </c>
      <c r="F3432" s="5" t="s">
        <v>2132</v>
      </c>
      <c r="G3432" s="5" t="s">
        <v>9678</v>
      </c>
      <c r="H3432" s="6" t="s">
        <v>3705</v>
      </c>
      <c r="I3432" s="7" t="s">
        <v>5045</v>
      </c>
      <c r="J3432" s="30" t="s">
        <v>6727</v>
      </c>
      <c r="K3432" s="26"/>
      <c r="N3432" s="6"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c>
      <c r="O3432" s="6" t="s">
        <v>8574</v>
      </c>
      <c r="P3432" s="6" t="s">
        <v>8574</v>
      </c>
    </row>
    <row r="3433" spans="1:17" ht="45" x14ac:dyDescent="0.25">
      <c r="A3433" s="5" t="str">
        <f>IF(TRIM(I3433)="","",E3433)</f>
        <v/>
      </c>
      <c r="B3433" s="5" t="str">
        <f>IF(TRIM(J3433)="","",H3433)</f>
        <v>An ordered array of plate names that are needed to print the document (including any in contained documents).</v>
      </c>
      <c r="C3433" s="5" t="str">
        <f>LEFT(F3433,FIND(".",F3433,6))</f>
        <v>Xmp.xmpTPg.</v>
      </c>
      <c r="D3433" s="5" t="str">
        <f>VLOOKUP(C3433,PrefixUebersetzung,2,FALSE)</f>
        <v>Xmp.xmpTPg.</v>
      </c>
      <c r="E3433" s="5" t="str">
        <f>MID(F3433,FIND(".",F3433,6)+1,99)</f>
        <v>PlateNames</v>
      </c>
      <c r="F3433" s="5" t="s">
        <v>2133</v>
      </c>
      <c r="G3433" s="5" t="s">
        <v>9680</v>
      </c>
      <c r="H3433" s="6" t="s">
        <v>3706</v>
      </c>
      <c r="I3433" s="7"/>
      <c r="J3433" s="8" t="s">
        <v>8843</v>
      </c>
      <c r="K3433" s="26"/>
      <c r="N3433" s="6"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xml:space="preserve">Suffix not translated </v>
      </c>
      <c r="O3433" s="6" t="s">
        <v>8574</v>
      </c>
      <c r="P3433" s="6" t="s">
        <v>8574</v>
      </c>
    </row>
  </sheetData>
  <autoFilter ref="A3:Q3433" xr:uid="{00000000-0009-0000-0000-000002000000}">
    <sortState xmlns:xlrd2="http://schemas.microsoft.com/office/spreadsheetml/2017/richdata2" ref="A4:Q3433">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2"/>
  <sheetViews>
    <sheetView workbookViewId="0">
      <pane ySplit="1" topLeftCell="A2" activePane="bottomLeft" state="frozen"/>
      <selection pane="bottomLeft" activeCell="A12" sqref="A12:XFD12"/>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7" customFormat="1" x14ac:dyDescent="0.25">
      <c r="A1" s="15" t="s">
        <v>3707</v>
      </c>
      <c r="B1" s="15" t="s">
        <v>9682</v>
      </c>
      <c r="C1" s="51" t="s">
        <v>8865</v>
      </c>
      <c r="D1" s="16" t="s">
        <v>8864</v>
      </c>
      <c r="E1" s="51" t="s">
        <v>8866</v>
      </c>
    </row>
    <row r="2" spans="1:5" x14ac:dyDescent="0.25">
      <c r="A2" s="2" t="s">
        <v>4799</v>
      </c>
      <c r="B2" s="2" t="s">
        <v>9663</v>
      </c>
      <c r="C2" s="2" t="s">
        <v>4800</v>
      </c>
      <c r="D2" s="3" t="s">
        <v>4801</v>
      </c>
      <c r="E2" s="3" t="s">
        <v>4802</v>
      </c>
    </row>
    <row r="3" spans="1:5" x14ac:dyDescent="0.25">
      <c r="A3" s="2" t="s">
        <v>4771</v>
      </c>
      <c r="B3" s="2" t="s">
        <v>9663</v>
      </c>
      <c r="C3" s="2" t="s">
        <v>4772</v>
      </c>
      <c r="D3" s="3" t="s">
        <v>4773</v>
      </c>
      <c r="E3" s="3" t="s">
        <v>4774</v>
      </c>
    </row>
    <row r="4" spans="1:5" x14ac:dyDescent="0.25">
      <c r="A4" s="2" t="s">
        <v>4775</v>
      </c>
      <c r="B4" s="2" t="s">
        <v>9663</v>
      </c>
      <c r="C4" s="2" t="s">
        <v>4776</v>
      </c>
      <c r="D4" s="3" t="s">
        <v>4777</v>
      </c>
      <c r="E4" s="3" t="s">
        <v>4778</v>
      </c>
    </row>
    <row r="5" spans="1:5" x14ac:dyDescent="0.25">
      <c r="A5" s="2" t="s">
        <v>4791</v>
      </c>
      <c r="B5" s="2" t="s">
        <v>9663</v>
      </c>
      <c r="C5" s="2" t="s">
        <v>4792</v>
      </c>
      <c r="D5" s="3" t="s">
        <v>4793</v>
      </c>
      <c r="E5" s="3" t="s">
        <v>4794</v>
      </c>
    </row>
    <row r="6" spans="1:5" x14ac:dyDescent="0.25">
      <c r="A6" s="2" t="s">
        <v>4795</v>
      </c>
      <c r="B6" s="2" t="s">
        <v>9663</v>
      </c>
      <c r="C6" s="2" t="s">
        <v>4796</v>
      </c>
      <c r="D6" s="3" t="s">
        <v>4797</v>
      </c>
      <c r="E6" s="3" t="s">
        <v>4798</v>
      </c>
    </row>
    <row r="7" spans="1:5" x14ac:dyDescent="0.25">
      <c r="A7" s="2" t="s">
        <v>4779</v>
      </c>
      <c r="B7" s="2" t="s">
        <v>9663</v>
      </c>
      <c r="C7" s="2" t="s">
        <v>4780</v>
      </c>
      <c r="D7" s="3" t="s">
        <v>4781</v>
      </c>
      <c r="E7" s="3" t="s">
        <v>4782</v>
      </c>
    </row>
    <row r="8" spans="1:5" x14ac:dyDescent="0.25">
      <c r="A8" s="2" t="s">
        <v>4783</v>
      </c>
      <c r="B8" s="2" t="s">
        <v>9663</v>
      </c>
      <c r="C8" s="2" t="s">
        <v>4784</v>
      </c>
      <c r="D8" s="3" t="s">
        <v>4785</v>
      </c>
      <c r="E8" s="3" t="s">
        <v>4786</v>
      </c>
    </row>
    <row r="9" spans="1:5" x14ac:dyDescent="0.25">
      <c r="A9" s="2" t="s">
        <v>4787</v>
      </c>
      <c r="B9" s="2" t="s">
        <v>9663</v>
      </c>
      <c r="C9" s="2" t="s">
        <v>4788</v>
      </c>
      <c r="D9" s="3" t="s">
        <v>4789</v>
      </c>
      <c r="E9" s="3" t="s">
        <v>4790</v>
      </c>
    </row>
    <row r="10" spans="1:5" ht="30" x14ac:dyDescent="0.25">
      <c r="A10" s="2" t="s">
        <v>4818</v>
      </c>
      <c r="B10" s="2" t="s">
        <v>9663</v>
      </c>
      <c r="C10" s="2" t="s">
        <v>4819</v>
      </c>
      <c r="D10" s="3" t="s">
        <v>4820</v>
      </c>
      <c r="E10" s="3" t="s">
        <v>4821</v>
      </c>
    </row>
    <row r="11" spans="1:5" ht="45" x14ac:dyDescent="0.25">
      <c r="A11" s="2" t="s">
        <v>9585</v>
      </c>
      <c r="B11" s="2" t="s">
        <v>9663</v>
      </c>
      <c r="C11" s="2" t="s">
        <v>9586</v>
      </c>
      <c r="D11" s="3" t="s">
        <v>9592</v>
      </c>
      <c r="E11" s="3" t="s">
        <v>9587</v>
      </c>
    </row>
    <row r="12" spans="1:5" ht="30" x14ac:dyDescent="0.25">
      <c r="A12" s="2" t="s">
        <v>9725</v>
      </c>
      <c r="B12" s="2" t="s">
        <v>9663</v>
      </c>
      <c r="C12" s="2" t="s">
        <v>9727</v>
      </c>
      <c r="D12" s="3" t="s">
        <v>9724</v>
      </c>
      <c r="E12" s="3" t="s">
        <v>9726</v>
      </c>
    </row>
    <row r="13" spans="1:5" ht="30" x14ac:dyDescent="0.25">
      <c r="A13" s="2" t="s">
        <v>4803</v>
      </c>
      <c r="B13" s="2" t="s">
        <v>9666</v>
      </c>
      <c r="C13" s="2" t="s">
        <v>4804</v>
      </c>
      <c r="D13" s="3" t="s">
        <v>4805</v>
      </c>
      <c r="E13" s="3" t="s">
        <v>4806</v>
      </c>
    </row>
    <row r="14" spans="1:5" ht="45" x14ac:dyDescent="0.25">
      <c r="A14" s="2" t="s">
        <v>4814</v>
      </c>
      <c r="B14" s="2" t="s">
        <v>9663</v>
      </c>
      <c r="C14" s="2" t="s">
        <v>4815</v>
      </c>
      <c r="D14" s="3" t="s">
        <v>4816</v>
      </c>
      <c r="E14" s="3" t="s">
        <v>4817</v>
      </c>
    </row>
    <row r="15" spans="1:5" ht="45" x14ac:dyDescent="0.25">
      <c r="A15" s="2" t="s">
        <v>9588</v>
      </c>
      <c r="B15" s="2" t="s">
        <v>9663</v>
      </c>
      <c r="C15" s="2" t="s">
        <v>9589</v>
      </c>
      <c r="D15" s="3" t="s">
        <v>9591</v>
      </c>
      <c r="E15" s="3" t="s">
        <v>9590</v>
      </c>
    </row>
    <row r="16" spans="1:5" ht="30" x14ac:dyDescent="0.25">
      <c r="A16" s="2" t="s">
        <v>7981</v>
      </c>
      <c r="B16" s="2" t="s">
        <v>9663</v>
      </c>
      <c r="C16" s="2" t="s">
        <v>7985</v>
      </c>
      <c r="D16" s="3" t="s">
        <v>7983</v>
      </c>
      <c r="E16" s="3" t="s">
        <v>7991</v>
      </c>
    </row>
    <row r="17" spans="1:5" ht="30" x14ac:dyDescent="0.25">
      <c r="A17" s="2" t="s">
        <v>7982</v>
      </c>
      <c r="B17" s="2" t="s">
        <v>9663</v>
      </c>
      <c r="C17" s="2" t="s">
        <v>7986</v>
      </c>
      <c r="D17" s="3" t="s">
        <v>7984</v>
      </c>
      <c r="E17" s="3" t="s">
        <v>7990</v>
      </c>
    </row>
    <row r="18" spans="1:5" ht="30" x14ac:dyDescent="0.25">
      <c r="A18" s="2" t="s">
        <v>7987</v>
      </c>
      <c r="B18" s="2" t="s">
        <v>9663</v>
      </c>
      <c r="C18" s="2" t="s">
        <v>7989</v>
      </c>
      <c r="D18" s="3" t="s">
        <v>7988</v>
      </c>
      <c r="E18" s="3" t="s">
        <v>7992</v>
      </c>
    </row>
    <row r="19" spans="1:5" ht="30" x14ac:dyDescent="0.25">
      <c r="A19" s="2" t="s">
        <v>9605</v>
      </c>
      <c r="B19" s="2" t="s">
        <v>9663</v>
      </c>
      <c r="C19" s="2" t="s">
        <v>9609</v>
      </c>
      <c r="D19" s="3" t="s">
        <v>9624</v>
      </c>
      <c r="E19" s="3" t="s">
        <v>9607</v>
      </c>
    </row>
    <row r="20" spans="1:5" ht="30" x14ac:dyDescent="0.25">
      <c r="A20" s="2" t="s">
        <v>9606</v>
      </c>
      <c r="B20" s="2" t="s">
        <v>9663</v>
      </c>
      <c r="C20" s="2" t="s">
        <v>9610</v>
      </c>
      <c r="D20" s="3" t="s">
        <v>9625</v>
      </c>
      <c r="E20" s="3" t="s">
        <v>9608</v>
      </c>
    </row>
    <row r="21" spans="1:5" x14ac:dyDescent="0.25">
      <c r="A21" s="2" t="s">
        <v>4807</v>
      </c>
      <c r="B21" s="2" t="s">
        <v>9663</v>
      </c>
      <c r="C21" s="2" t="s">
        <v>4822</v>
      </c>
      <c r="D21" s="3" t="s">
        <v>4808</v>
      </c>
      <c r="E21" s="3" t="s">
        <v>4809</v>
      </c>
    </row>
    <row r="22" spans="1:5" ht="30" x14ac:dyDescent="0.25">
      <c r="A22" s="2" t="s">
        <v>4810</v>
      </c>
      <c r="B22" s="2" t="s">
        <v>9663</v>
      </c>
      <c r="C22" s="2" t="s">
        <v>4811</v>
      </c>
      <c r="D22" s="3" t="s">
        <v>4812</v>
      </c>
      <c r="E22" s="3" t="s">
        <v>4813</v>
      </c>
    </row>
  </sheetData>
  <sortState xmlns:xlrd2="http://schemas.microsoft.com/office/spreadsheetml/2017/richdata2" ref="A2:E22">
    <sortCondition ref="A2:A22"/>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5"/>
  <sheetViews>
    <sheetView workbookViewId="0">
      <pane ySplit="1" topLeftCell="A2" activePane="bottomLeft" state="frozen"/>
      <selection pane="bottomLeft" activeCell="B2" sqref="B2"/>
    </sheetView>
  </sheetViews>
  <sheetFormatPr defaultColWidth="11.42578125" defaultRowHeight="15" x14ac:dyDescent="0.25"/>
  <cols>
    <col min="1" max="1" width="26" bestFit="1" customWidth="1"/>
    <col min="2" max="2" width="31" bestFit="1" customWidth="1"/>
  </cols>
  <sheetData>
    <row r="1" spans="1:2" s="4" customFormat="1" x14ac:dyDescent="0.25">
      <c r="A1" s="4" t="s">
        <v>4832</v>
      </c>
      <c r="B1" s="52" t="s">
        <v>8863</v>
      </c>
    </row>
    <row r="2" spans="1:2" x14ac:dyDescent="0.25">
      <c r="A2" s="1" t="s">
        <v>4675</v>
      </c>
      <c r="B2" s="1" t="s">
        <v>4833</v>
      </c>
    </row>
    <row r="3" spans="1:2" x14ac:dyDescent="0.25">
      <c r="A3" s="1" t="s">
        <v>4676</v>
      </c>
      <c r="B3" s="1" t="s">
        <v>4676</v>
      </c>
    </row>
    <row r="4" spans="1:2" x14ac:dyDescent="0.25">
      <c r="A4" s="1" t="s">
        <v>4677</v>
      </c>
      <c r="B4" s="1" t="s">
        <v>4677</v>
      </c>
    </row>
    <row r="5" spans="1:2" x14ac:dyDescent="0.25">
      <c r="A5" s="1" t="s">
        <v>4678</v>
      </c>
      <c r="B5" s="1" t="s">
        <v>4678</v>
      </c>
    </row>
    <row r="6" spans="1:2" x14ac:dyDescent="0.25">
      <c r="A6" s="1" t="s">
        <v>4679</v>
      </c>
      <c r="B6" s="1" t="s">
        <v>4679</v>
      </c>
    </row>
    <row r="7" spans="1:2" x14ac:dyDescent="0.25">
      <c r="A7" s="1" t="s">
        <v>4680</v>
      </c>
      <c r="B7" s="1" t="s">
        <v>4680</v>
      </c>
    </row>
    <row r="8" spans="1:2" x14ac:dyDescent="0.25">
      <c r="A8" s="1" t="s">
        <v>4681</v>
      </c>
      <c r="B8" s="1" t="s">
        <v>4681</v>
      </c>
    </row>
    <row r="9" spans="1:2" x14ac:dyDescent="0.25">
      <c r="A9" s="1" t="s">
        <v>4682</v>
      </c>
      <c r="B9" s="1" t="s">
        <v>4682</v>
      </c>
    </row>
    <row r="10" spans="1:2" x14ac:dyDescent="0.25">
      <c r="A10" s="1" t="s">
        <v>4683</v>
      </c>
      <c r="B10" s="1" t="s">
        <v>4683</v>
      </c>
    </row>
    <row r="11" spans="1:2" x14ac:dyDescent="0.25">
      <c r="A11" t="s">
        <v>7634</v>
      </c>
      <c r="B11" t="s">
        <v>7634</v>
      </c>
    </row>
    <row r="12" spans="1:2" x14ac:dyDescent="0.25">
      <c r="A12" t="s">
        <v>7635</v>
      </c>
      <c r="B12" t="s">
        <v>7635</v>
      </c>
    </row>
    <row r="13" spans="1:2" x14ac:dyDescent="0.25">
      <c r="A13" s="1" t="s">
        <v>4684</v>
      </c>
      <c r="B13" s="1" t="s">
        <v>4684</v>
      </c>
    </row>
    <row r="14" spans="1:2" x14ac:dyDescent="0.25">
      <c r="A14" s="1" t="s">
        <v>4685</v>
      </c>
      <c r="B14" s="1" t="s">
        <v>4685</v>
      </c>
    </row>
    <row r="15" spans="1:2" x14ac:dyDescent="0.25">
      <c r="A15" s="1" t="s">
        <v>4686</v>
      </c>
      <c r="B15" s="1" t="s">
        <v>4834</v>
      </c>
    </row>
    <row r="16" spans="1:2" x14ac:dyDescent="0.25">
      <c r="A16" s="1" t="s">
        <v>4687</v>
      </c>
      <c r="B16" s="1" t="s">
        <v>4687</v>
      </c>
    </row>
    <row r="17" spans="1:2" x14ac:dyDescent="0.25">
      <c r="A17" s="1" t="s">
        <v>4688</v>
      </c>
      <c r="B17" s="1" t="s">
        <v>4835</v>
      </c>
    </row>
    <row r="18" spans="1:2" x14ac:dyDescent="0.25">
      <c r="A18" s="1" t="s">
        <v>4689</v>
      </c>
      <c r="B18" s="1" t="s">
        <v>4689</v>
      </c>
    </row>
    <row r="19" spans="1:2" x14ac:dyDescent="0.25">
      <c r="A19" s="1" t="s">
        <v>4690</v>
      </c>
      <c r="B19" s="1" t="s">
        <v>4690</v>
      </c>
    </row>
    <row r="20" spans="1:2" x14ac:dyDescent="0.25">
      <c r="A20" s="1" t="s">
        <v>4691</v>
      </c>
      <c r="B20" s="1" t="s">
        <v>4691</v>
      </c>
    </row>
    <row r="21" spans="1:2" x14ac:dyDescent="0.25">
      <c r="A21" s="1" t="s">
        <v>4692</v>
      </c>
      <c r="B21" s="1" t="s">
        <v>4692</v>
      </c>
    </row>
    <row r="22" spans="1:2" x14ac:dyDescent="0.25">
      <c r="A22" s="1" t="s">
        <v>4693</v>
      </c>
      <c r="B22" s="1" t="s">
        <v>4693</v>
      </c>
    </row>
    <row r="23" spans="1:2" x14ac:dyDescent="0.25">
      <c r="A23" s="1" t="s">
        <v>4694</v>
      </c>
      <c r="B23" s="1" t="s">
        <v>4694</v>
      </c>
    </row>
    <row r="24" spans="1:2" x14ac:dyDescent="0.25">
      <c r="A24" s="1" t="s">
        <v>4695</v>
      </c>
      <c r="B24" s="1" t="s">
        <v>4695</v>
      </c>
    </row>
    <row r="25" spans="1:2" x14ac:dyDescent="0.25">
      <c r="A25" s="1" t="s">
        <v>4696</v>
      </c>
      <c r="B25" s="1" t="s">
        <v>4696</v>
      </c>
    </row>
    <row r="26" spans="1:2" x14ac:dyDescent="0.25">
      <c r="A26" s="1" t="s">
        <v>4697</v>
      </c>
      <c r="B26" s="1" t="s">
        <v>4697</v>
      </c>
    </row>
    <row r="27" spans="1:2" x14ac:dyDescent="0.25">
      <c r="A27" s="1" t="s">
        <v>4698</v>
      </c>
      <c r="B27" s="1" t="s">
        <v>4698</v>
      </c>
    </row>
    <row r="28" spans="1:2" x14ac:dyDescent="0.25">
      <c r="A28" s="1" t="s">
        <v>4699</v>
      </c>
      <c r="B28" s="1" t="s">
        <v>4699</v>
      </c>
    </row>
    <row r="29" spans="1:2" x14ac:dyDescent="0.25">
      <c r="A29" s="1" t="s">
        <v>4700</v>
      </c>
      <c r="B29" s="1" t="s">
        <v>4700</v>
      </c>
    </row>
    <row r="30" spans="1:2" x14ac:dyDescent="0.25">
      <c r="A30" s="1" t="s">
        <v>4701</v>
      </c>
      <c r="B30" s="1" t="s">
        <v>4701</v>
      </c>
    </row>
    <row r="31" spans="1:2" x14ac:dyDescent="0.25">
      <c r="A31" s="1" t="s">
        <v>4702</v>
      </c>
      <c r="B31" s="1" t="s">
        <v>4702</v>
      </c>
    </row>
    <row r="32" spans="1:2" x14ac:dyDescent="0.25">
      <c r="A32" s="1" t="s">
        <v>4703</v>
      </c>
      <c r="B32" s="1" t="s">
        <v>4703</v>
      </c>
    </row>
    <row r="33" spans="1:2" x14ac:dyDescent="0.25">
      <c r="A33" s="1" t="s">
        <v>4704</v>
      </c>
      <c r="B33" s="1" t="s">
        <v>4704</v>
      </c>
    </row>
    <row r="34" spans="1:2" x14ac:dyDescent="0.25">
      <c r="A34" s="1" t="s">
        <v>4705</v>
      </c>
      <c r="B34" s="1" t="s">
        <v>4705</v>
      </c>
    </row>
    <row r="35" spans="1:2" x14ac:dyDescent="0.25">
      <c r="A35" s="1" t="s">
        <v>4706</v>
      </c>
      <c r="B35" s="1" t="s">
        <v>4706</v>
      </c>
    </row>
    <row r="36" spans="1:2" x14ac:dyDescent="0.25">
      <c r="A36" s="1" t="s">
        <v>4707</v>
      </c>
      <c r="B36" s="1" t="s">
        <v>4707</v>
      </c>
    </row>
    <row r="37" spans="1:2" x14ac:dyDescent="0.25">
      <c r="A37" s="1" t="s">
        <v>4708</v>
      </c>
      <c r="B37" s="1" t="s">
        <v>4708</v>
      </c>
    </row>
    <row r="38" spans="1:2" x14ac:dyDescent="0.25">
      <c r="A38" s="1" t="s">
        <v>4709</v>
      </c>
      <c r="B38" s="1" t="s">
        <v>4709</v>
      </c>
    </row>
    <row r="39" spans="1:2" x14ac:dyDescent="0.25">
      <c r="A39" s="1" t="s">
        <v>4710</v>
      </c>
      <c r="B39" s="1" t="s">
        <v>4710</v>
      </c>
    </row>
    <row r="40" spans="1:2" x14ac:dyDescent="0.25">
      <c r="A40" s="1" t="s">
        <v>4711</v>
      </c>
      <c r="B40" s="1" t="s">
        <v>4711</v>
      </c>
    </row>
    <row r="41" spans="1:2" x14ac:dyDescent="0.25">
      <c r="A41" s="1" t="s">
        <v>4712</v>
      </c>
      <c r="B41" s="1" t="s">
        <v>4712</v>
      </c>
    </row>
    <row r="42" spans="1:2" x14ac:dyDescent="0.25">
      <c r="A42" s="1" t="s">
        <v>4713</v>
      </c>
      <c r="B42" s="1" t="s">
        <v>4713</v>
      </c>
    </row>
    <row r="43" spans="1:2" x14ac:dyDescent="0.25">
      <c r="A43" s="1" t="s">
        <v>4714</v>
      </c>
      <c r="B43" s="1" t="s">
        <v>4714</v>
      </c>
    </row>
    <row r="44" spans="1:2" x14ac:dyDescent="0.25">
      <c r="A44" s="1" t="s">
        <v>4715</v>
      </c>
      <c r="B44" s="1" t="s">
        <v>4715</v>
      </c>
    </row>
    <row r="45" spans="1:2" x14ac:dyDescent="0.25">
      <c r="A45" s="1" t="s">
        <v>4716</v>
      </c>
      <c r="B45" s="1" t="s">
        <v>4716</v>
      </c>
    </row>
    <row r="46" spans="1:2" x14ac:dyDescent="0.25">
      <c r="A46" s="1" t="s">
        <v>4717</v>
      </c>
      <c r="B46" s="1" t="s">
        <v>4717</v>
      </c>
    </row>
    <row r="47" spans="1:2" x14ac:dyDescent="0.25">
      <c r="A47" s="1" t="s">
        <v>4718</v>
      </c>
      <c r="B47" s="1" t="s">
        <v>4718</v>
      </c>
    </row>
    <row r="48" spans="1:2" x14ac:dyDescent="0.25">
      <c r="A48" s="1" t="s">
        <v>4719</v>
      </c>
      <c r="B48" s="1" t="s">
        <v>4719</v>
      </c>
    </row>
    <row r="49" spans="1:2" x14ac:dyDescent="0.25">
      <c r="A49" s="1" t="s">
        <v>4720</v>
      </c>
      <c r="B49" s="1" t="s">
        <v>4720</v>
      </c>
    </row>
    <row r="50" spans="1:2" x14ac:dyDescent="0.25">
      <c r="A50" s="1" t="s">
        <v>4721</v>
      </c>
      <c r="B50" s="1" t="s">
        <v>4721</v>
      </c>
    </row>
    <row r="51" spans="1:2" x14ac:dyDescent="0.25">
      <c r="A51" s="1" t="s">
        <v>4722</v>
      </c>
      <c r="B51" s="1" t="s">
        <v>4722</v>
      </c>
    </row>
    <row r="52" spans="1:2" x14ac:dyDescent="0.25">
      <c r="A52" s="1" t="s">
        <v>4723</v>
      </c>
      <c r="B52" s="1" t="s">
        <v>4723</v>
      </c>
    </row>
    <row r="53" spans="1:2" x14ac:dyDescent="0.25">
      <c r="A53" s="1" t="s">
        <v>4724</v>
      </c>
      <c r="B53" s="1" t="s">
        <v>4724</v>
      </c>
    </row>
    <row r="54" spans="1:2" x14ac:dyDescent="0.25">
      <c r="A54" s="1" t="s">
        <v>4725</v>
      </c>
      <c r="B54" s="1" t="s">
        <v>4725</v>
      </c>
    </row>
    <row r="55" spans="1:2" x14ac:dyDescent="0.25">
      <c r="A55" s="1" t="s">
        <v>4726</v>
      </c>
      <c r="B55" s="1" t="s">
        <v>4726</v>
      </c>
    </row>
    <row r="56" spans="1:2" x14ac:dyDescent="0.25">
      <c r="A56" s="1" t="s">
        <v>4727</v>
      </c>
      <c r="B56" s="1" t="s">
        <v>4727</v>
      </c>
    </row>
    <row r="57" spans="1:2" x14ac:dyDescent="0.25">
      <c r="A57" s="1" t="s">
        <v>4728</v>
      </c>
      <c r="B57" s="1" t="s">
        <v>4728</v>
      </c>
    </row>
    <row r="58" spans="1:2" x14ac:dyDescent="0.25">
      <c r="A58" s="1" t="s">
        <v>4729</v>
      </c>
      <c r="B58" s="1" t="s">
        <v>4729</v>
      </c>
    </row>
    <row r="59" spans="1:2" x14ac:dyDescent="0.25">
      <c r="A59" s="1" t="s">
        <v>4730</v>
      </c>
      <c r="B59" s="1" t="s">
        <v>4730</v>
      </c>
    </row>
    <row r="60" spans="1:2" x14ac:dyDescent="0.25">
      <c r="A60" s="1" t="s">
        <v>4731</v>
      </c>
      <c r="B60" s="1" t="s">
        <v>4731</v>
      </c>
    </row>
    <row r="61" spans="1:2" x14ac:dyDescent="0.25">
      <c r="A61" s="1" t="s">
        <v>4732</v>
      </c>
      <c r="B61" s="1" t="s">
        <v>4732</v>
      </c>
    </row>
    <row r="62" spans="1:2" x14ac:dyDescent="0.25">
      <c r="A62" s="1" t="s">
        <v>4733</v>
      </c>
      <c r="B62" s="1" t="s">
        <v>4733</v>
      </c>
    </row>
    <row r="63" spans="1:2" x14ac:dyDescent="0.25">
      <c r="A63" s="1" t="s">
        <v>4734</v>
      </c>
      <c r="B63" s="1" t="s">
        <v>4734</v>
      </c>
    </row>
    <row r="64" spans="1:2" x14ac:dyDescent="0.25">
      <c r="A64" s="1" t="s">
        <v>4735</v>
      </c>
      <c r="B64" s="1" t="s">
        <v>4735</v>
      </c>
    </row>
    <row r="65" spans="1:2" x14ac:dyDescent="0.25">
      <c r="A65" s="1" t="s">
        <v>4736</v>
      </c>
      <c r="B65" s="1" t="s">
        <v>4736</v>
      </c>
    </row>
    <row r="66" spans="1:2" x14ac:dyDescent="0.25">
      <c r="A66" s="1" t="s">
        <v>4737</v>
      </c>
      <c r="B66" s="1" t="s">
        <v>4737</v>
      </c>
    </row>
    <row r="67" spans="1:2" x14ac:dyDescent="0.25">
      <c r="A67" s="1" t="s">
        <v>4738</v>
      </c>
      <c r="B67" s="1" t="s">
        <v>4738</v>
      </c>
    </row>
    <row r="68" spans="1:2" x14ac:dyDescent="0.25">
      <c r="A68" s="1" t="s">
        <v>4739</v>
      </c>
      <c r="B68" s="1" t="s">
        <v>4739</v>
      </c>
    </row>
    <row r="69" spans="1:2" x14ac:dyDescent="0.25">
      <c r="A69" s="1" t="s">
        <v>4740</v>
      </c>
      <c r="B69" s="1" t="s">
        <v>4740</v>
      </c>
    </row>
    <row r="70" spans="1:2" x14ac:dyDescent="0.25">
      <c r="A70" s="1" t="s">
        <v>4741</v>
      </c>
      <c r="B70" s="1" t="s">
        <v>4836</v>
      </c>
    </row>
    <row r="71" spans="1:2" x14ac:dyDescent="0.25">
      <c r="A71" s="1" t="s">
        <v>4742</v>
      </c>
      <c r="B71" s="1" t="s">
        <v>4742</v>
      </c>
    </row>
    <row r="72" spans="1:2" x14ac:dyDescent="0.25">
      <c r="A72" s="1" t="s">
        <v>4743</v>
      </c>
      <c r="B72" s="1" t="s">
        <v>4743</v>
      </c>
    </row>
    <row r="73" spans="1:2" x14ac:dyDescent="0.25">
      <c r="A73" t="s">
        <v>7636</v>
      </c>
      <c r="B73" t="s">
        <v>7636</v>
      </c>
    </row>
    <row r="74" spans="1:2" x14ac:dyDescent="0.25">
      <c r="A74" s="1" t="s">
        <v>6336</v>
      </c>
      <c r="B74" s="1" t="s">
        <v>6335</v>
      </c>
    </row>
    <row r="75" spans="1:2" x14ac:dyDescent="0.25">
      <c r="A75" s="1" t="s">
        <v>4744</v>
      </c>
      <c r="B75" s="1" t="s">
        <v>4744</v>
      </c>
    </row>
    <row r="76" spans="1:2" x14ac:dyDescent="0.25">
      <c r="A76" s="1" t="s">
        <v>4745</v>
      </c>
      <c r="B76" s="1" t="s">
        <v>4745</v>
      </c>
    </row>
    <row r="77" spans="1:2" x14ac:dyDescent="0.25">
      <c r="A77" s="1" t="s">
        <v>4746</v>
      </c>
      <c r="B77" s="1" t="s">
        <v>4746</v>
      </c>
    </row>
    <row r="78" spans="1:2" x14ac:dyDescent="0.25">
      <c r="A78" t="s">
        <v>7637</v>
      </c>
      <c r="B78" t="s">
        <v>7637</v>
      </c>
    </row>
    <row r="79" spans="1:2" x14ac:dyDescent="0.25">
      <c r="A79" s="1" t="s">
        <v>4747</v>
      </c>
      <c r="B79" s="1" t="s">
        <v>4747</v>
      </c>
    </row>
    <row r="80" spans="1:2" x14ac:dyDescent="0.25">
      <c r="A80" t="s">
        <v>7630</v>
      </c>
      <c r="B80" t="s">
        <v>7630</v>
      </c>
    </row>
    <row r="81" spans="1:2" x14ac:dyDescent="0.25">
      <c r="A81" s="1" t="s">
        <v>4748</v>
      </c>
      <c r="B81" s="1" t="s">
        <v>4748</v>
      </c>
    </row>
    <row r="82" spans="1:2" x14ac:dyDescent="0.25">
      <c r="A82" s="1" t="s">
        <v>4749</v>
      </c>
      <c r="B82" s="1" t="s">
        <v>4749</v>
      </c>
    </row>
    <row r="83" spans="1:2" x14ac:dyDescent="0.25">
      <c r="A83" t="s">
        <v>7631</v>
      </c>
      <c r="B83" t="s">
        <v>7631</v>
      </c>
    </row>
    <row r="84" spans="1:2" x14ac:dyDescent="0.25">
      <c r="A84" s="1" t="s">
        <v>4750</v>
      </c>
      <c r="B84" s="1" t="s">
        <v>4750</v>
      </c>
    </row>
    <row r="85" spans="1:2" x14ac:dyDescent="0.25">
      <c r="A85" s="1" t="s">
        <v>4751</v>
      </c>
      <c r="B85" s="1" t="s">
        <v>4751</v>
      </c>
    </row>
    <row r="86" spans="1:2" x14ac:dyDescent="0.25">
      <c r="A86" s="1" t="s">
        <v>4752</v>
      </c>
      <c r="B86" s="1" t="s">
        <v>4752</v>
      </c>
    </row>
    <row r="87" spans="1:2" x14ac:dyDescent="0.25">
      <c r="A87" s="1" t="s">
        <v>4753</v>
      </c>
      <c r="B87" s="1" t="s">
        <v>4753</v>
      </c>
    </row>
    <row r="88" spans="1:2" x14ac:dyDescent="0.25">
      <c r="A88" s="1" t="s">
        <v>4754</v>
      </c>
      <c r="B88" s="1" t="s">
        <v>4754</v>
      </c>
    </row>
    <row r="89" spans="1:2" x14ac:dyDescent="0.25">
      <c r="A89" t="s">
        <v>7632</v>
      </c>
      <c r="B89" t="s">
        <v>7632</v>
      </c>
    </row>
    <row r="90" spans="1:2" x14ac:dyDescent="0.25">
      <c r="A90" s="1" t="s">
        <v>4755</v>
      </c>
      <c r="B90" s="1" t="s">
        <v>4755</v>
      </c>
    </row>
    <row r="91" spans="1:2" x14ac:dyDescent="0.25">
      <c r="A91" s="1" t="s">
        <v>4756</v>
      </c>
      <c r="B91" s="1" t="s">
        <v>4756</v>
      </c>
    </row>
    <row r="92" spans="1:2" x14ac:dyDescent="0.25">
      <c r="A92" s="1" t="s">
        <v>4757</v>
      </c>
      <c r="B92" s="1" t="s">
        <v>4757</v>
      </c>
    </row>
    <row r="93" spans="1:2" x14ac:dyDescent="0.25">
      <c r="A93" s="1" t="s">
        <v>4758</v>
      </c>
      <c r="B93" s="1" t="s">
        <v>4758</v>
      </c>
    </row>
    <row r="94" spans="1:2" x14ac:dyDescent="0.25">
      <c r="A94" s="1" t="s">
        <v>4759</v>
      </c>
      <c r="B94" s="1" t="s">
        <v>4759</v>
      </c>
    </row>
    <row r="95" spans="1:2" x14ac:dyDescent="0.25">
      <c r="A95" t="s">
        <v>7633</v>
      </c>
      <c r="B95" t="s">
        <v>7633</v>
      </c>
    </row>
    <row r="96" spans="1:2" x14ac:dyDescent="0.25">
      <c r="A96" s="1" t="s">
        <v>4760</v>
      </c>
      <c r="B96" s="1" t="s">
        <v>4760</v>
      </c>
    </row>
    <row r="97" spans="1:2" x14ac:dyDescent="0.25">
      <c r="A97" s="1" t="s">
        <v>4761</v>
      </c>
      <c r="B97" s="1" t="s">
        <v>4761</v>
      </c>
    </row>
    <row r="98" spans="1:2" x14ac:dyDescent="0.25">
      <c r="A98" s="1" t="s">
        <v>4762</v>
      </c>
      <c r="B98" s="1" t="s">
        <v>4762</v>
      </c>
    </row>
    <row r="99" spans="1:2" x14ac:dyDescent="0.25">
      <c r="A99" s="1" t="s">
        <v>4763</v>
      </c>
      <c r="B99" s="1" t="s">
        <v>4763</v>
      </c>
    </row>
    <row r="100" spans="1:2" x14ac:dyDescent="0.25">
      <c r="A100" s="1" t="s">
        <v>4764</v>
      </c>
      <c r="B100" s="1" t="s">
        <v>4764</v>
      </c>
    </row>
    <row r="101" spans="1:2" x14ac:dyDescent="0.25">
      <c r="A101" s="1" t="s">
        <v>6337</v>
      </c>
      <c r="B101" s="1" t="s">
        <v>6337</v>
      </c>
    </row>
    <row r="102" spans="1:2" x14ac:dyDescent="0.25">
      <c r="A102" s="1" t="s">
        <v>4765</v>
      </c>
      <c r="B102" s="1" t="s">
        <v>4765</v>
      </c>
    </row>
    <row r="103" spans="1:2" x14ac:dyDescent="0.25">
      <c r="A103" s="1" t="s">
        <v>4766</v>
      </c>
      <c r="B103" s="1" t="s">
        <v>4766</v>
      </c>
    </row>
    <row r="104" spans="1:2" x14ac:dyDescent="0.25">
      <c r="A104" s="1" t="s">
        <v>4767</v>
      </c>
      <c r="B104" s="1" t="s">
        <v>4767</v>
      </c>
    </row>
    <row r="105" spans="1:2" x14ac:dyDescent="0.25">
      <c r="A105" s="1" t="s">
        <v>4768</v>
      </c>
      <c r="B105" s="1" t="s">
        <v>4768</v>
      </c>
    </row>
    <row r="106" spans="1:2" x14ac:dyDescent="0.25">
      <c r="A106" s="1" t="s">
        <v>4769</v>
      </c>
      <c r="B106" s="1" t="s">
        <v>4769</v>
      </c>
    </row>
    <row r="107" spans="1:2" x14ac:dyDescent="0.25">
      <c r="A107" s="1" t="s">
        <v>4770</v>
      </c>
      <c r="B107" s="1" t="s">
        <v>4770</v>
      </c>
    </row>
    <row r="108" spans="1:2" x14ac:dyDescent="0.25">
      <c r="A108" s="6" t="s">
        <v>8559</v>
      </c>
      <c r="B108" s="6" t="s">
        <v>8559</v>
      </c>
    </row>
    <row r="109" spans="1:2" x14ac:dyDescent="0.25">
      <c r="A109" s="6" t="s">
        <v>8560</v>
      </c>
      <c r="B109" s="6" t="s">
        <v>8560</v>
      </c>
    </row>
    <row r="110" spans="1:2" x14ac:dyDescent="0.25">
      <c r="A110" s="6" t="s">
        <v>8561</v>
      </c>
      <c r="B110" s="6" t="s">
        <v>8562</v>
      </c>
    </row>
    <row r="111" spans="1:2" x14ac:dyDescent="0.25">
      <c r="A111" s="6" t="s">
        <v>8563</v>
      </c>
      <c r="B111" s="6" t="s">
        <v>8563</v>
      </c>
    </row>
    <row r="112" spans="1:2" x14ac:dyDescent="0.25">
      <c r="A112" t="s">
        <v>8564</v>
      </c>
      <c r="B112" t="s">
        <v>8564</v>
      </c>
    </row>
    <row r="113" spans="1:2" x14ac:dyDescent="0.25">
      <c r="A113" t="s">
        <v>8599</v>
      </c>
      <c r="B113" t="s">
        <v>8599</v>
      </c>
    </row>
    <row r="114" spans="1:2" x14ac:dyDescent="0.25">
      <c r="A114" t="s">
        <v>8600</v>
      </c>
      <c r="B114" t="s">
        <v>8600</v>
      </c>
    </row>
    <row r="115" spans="1:2" x14ac:dyDescent="0.25">
      <c r="A115" t="s">
        <v>8727</v>
      </c>
      <c r="B115" t="s">
        <v>8727</v>
      </c>
    </row>
  </sheetData>
  <autoFilter ref="A1:B1" xr:uid="{00000000-0009-0000-0000-000004000000}"/>
  <sortState xmlns:xlrd2="http://schemas.microsoft.com/office/spreadsheetml/2017/richdata2" ref="A2:B107">
    <sortCondition ref="B83"/>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2021-05-07T15:21:34Z</dcterms:modified>
</cp:coreProperties>
</file>