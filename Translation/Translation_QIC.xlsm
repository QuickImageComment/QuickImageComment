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05687589-2760-4F70-93B7-857DAF3C71D6}" xr6:coauthVersionLast="47" xr6:coauthVersionMax="47" xr10:uidLastSave="{00000000-0000-0000-0000-000000000000}"/>
  <bookViews>
    <workbookView xWindow="-120" yWindow="-120" windowWidth="29040" windowHeight="15720" firstSheet="1"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Message!$A$1:$F$177</definedName>
    <definedName name="_xlnm._FilterDatabase" localSheetId="4" hidden="1">MetaDataGroups!$A$1:$D$1</definedName>
    <definedName name="_xlnm._FilterDatabase" localSheetId="6" hidden="1">Others!$A$1:$F$138</definedName>
    <definedName name="_xlnm._FilterDatabase" localSheetId="5" hidden="1">PanelContent!$A$1:$D$1</definedName>
    <definedName name="_xlnm._FilterDatabase" localSheetId="2" hidden="1">TextsToTranslate!$A$1:$F$609</definedName>
    <definedName name="controltextlist" localSheetId="0">#REF!</definedName>
    <definedName name="controltextlist">#REF!</definedName>
    <definedName name="French">TextsToTranslate!$C$2:$C$573</definedName>
    <definedName name="OutputPath">Main!$B$1:$B$6</definedName>
  </definedNames>
  <calcPr calcId="191029"/>
</workbook>
</file>

<file path=xl/calcChain.xml><?xml version="1.0" encoding="utf-8"?>
<calcChain xmlns="http://schemas.openxmlformats.org/spreadsheetml/2006/main">
  <c r="F69" i="2" l="1"/>
  <c r="F456" i="1"/>
  <c r="E456" i="1"/>
  <c r="D456" i="1"/>
  <c r="F337" i="1"/>
  <c r="E337" i="1"/>
  <c r="D337" i="1"/>
  <c r="F334" i="1"/>
  <c r="E334" i="1"/>
  <c r="D334" i="1"/>
  <c r="F231" i="1"/>
  <c r="E231" i="1"/>
  <c r="D231" i="1"/>
  <c r="F519" i="1"/>
  <c r="E519" i="1"/>
  <c r="D519" i="1"/>
  <c r="F358" i="1"/>
  <c r="E358" i="1"/>
  <c r="D358" i="1"/>
  <c r="F518" i="1"/>
  <c r="E518" i="1"/>
  <c r="D518" i="1"/>
  <c r="F357" i="1"/>
  <c r="E357" i="1"/>
  <c r="D357" i="1"/>
  <c r="F454" i="1"/>
  <c r="E454" i="1"/>
  <c r="D454" i="1"/>
  <c r="F303" i="1"/>
  <c r="E303" i="1"/>
  <c r="D303" i="1"/>
  <c r="F425" i="1"/>
  <c r="E425" i="1"/>
  <c r="D425" i="1"/>
  <c r="F405" i="1"/>
  <c r="E405" i="1"/>
  <c r="D405" i="1"/>
  <c r="F342" i="1"/>
  <c r="E342" i="1"/>
  <c r="D342" i="1"/>
  <c r="F361" i="1"/>
  <c r="E361" i="1"/>
  <c r="D361" i="1"/>
  <c r="F386" i="1"/>
  <c r="E386" i="1"/>
  <c r="D386" i="1"/>
  <c r="F162" i="5"/>
  <c r="E71" i="1"/>
  <c r="D71" i="1"/>
  <c r="F71" i="1"/>
  <c r="F499" i="1"/>
  <c r="F556" i="1"/>
  <c r="E556" i="1"/>
  <c r="D556" i="1"/>
  <c r="F555" i="1"/>
  <c r="E555" i="1"/>
  <c r="D555" i="1"/>
  <c r="F589" i="1"/>
  <c r="E589" i="1"/>
  <c r="D589" i="1"/>
  <c r="F434" i="1"/>
  <c r="E434" i="1"/>
  <c r="D434" i="1"/>
  <c r="E35" i="1"/>
  <c r="D35" i="1"/>
  <c r="F35" i="1"/>
  <c r="F117" i="5"/>
  <c r="E117" i="5"/>
  <c r="F101" i="5"/>
  <c r="E101" i="5"/>
  <c r="F50" i="5"/>
  <c r="E50" i="5"/>
  <c r="F75" i="5"/>
  <c r="F73" i="5"/>
  <c r="F80" i="5"/>
  <c r="F74" i="5"/>
  <c r="F100" i="5"/>
  <c r="E100" i="5"/>
  <c r="F104" i="5"/>
  <c r="F76" i="5"/>
  <c r="F596" i="1"/>
  <c r="E596" i="1"/>
  <c r="D596" i="1"/>
  <c r="F490" i="1"/>
  <c r="E490" i="1"/>
  <c r="D490" i="1"/>
  <c r="F272" i="1"/>
  <c r="E272" i="1"/>
  <c r="D272" i="1"/>
  <c r="F489" i="1"/>
  <c r="E489" i="1"/>
  <c r="D489" i="1"/>
  <c r="F384" i="1"/>
  <c r="E384" i="1"/>
  <c r="D384" i="1"/>
  <c r="F385" i="1"/>
  <c r="E385" i="1"/>
  <c r="D385" i="1"/>
  <c r="F23" i="1"/>
  <c r="E23" i="1"/>
  <c r="D23" i="1"/>
  <c r="F181" i="1"/>
  <c r="E181" i="1"/>
  <c r="D181" i="1"/>
  <c r="E69" i="2"/>
  <c r="D152" i="1"/>
  <c r="F152" i="1"/>
  <c r="F119" i="2"/>
  <c r="E119" i="2"/>
  <c r="F153" i="1"/>
  <c r="E153" i="1"/>
  <c r="D153" i="1"/>
  <c r="F350" i="1"/>
  <c r="E350" i="1"/>
  <c r="D350" i="1"/>
  <c r="F117" i="2"/>
  <c r="F118" i="2"/>
  <c r="E117" i="2"/>
  <c r="E118" i="2"/>
  <c r="D408" i="1"/>
  <c r="F408" i="1"/>
  <c r="D557" i="1"/>
  <c r="F557" i="1"/>
  <c r="F177" i="5"/>
  <c r="E9" i="3"/>
  <c r="F2" i="2"/>
  <c r="E2" i="2"/>
  <c r="F113" i="5"/>
  <c r="F110" i="2"/>
  <c r="F107" i="2"/>
  <c r="F81" i="2"/>
  <c r="F78" i="2"/>
  <c r="F74" i="2"/>
  <c r="F70" i="2"/>
  <c r="F59" i="2"/>
  <c r="F39" i="2"/>
  <c r="F34" i="2"/>
  <c r="F23" i="2"/>
  <c r="F155" i="5"/>
  <c r="F152" i="5"/>
  <c r="F148" i="5"/>
  <c r="F146" i="5"/>
  <c r="F145" i="5"/>
  <c r="F144" i="5"/>
  <c r="F142" i="5"/>
  <c r="F135" i="5"/>
  <c r="F133" i="5"/>
  <c r="F129" i="5"/>
  <c r="F128" i="5"/>
  <c r="F122" i="5"/>
  <c r="F118" i="5"/>
  <c r="F103" i="5"/>
  <c r="F102" i="5"/>
  <c r="F95" i="5"/>
  <c r="F90" i="5"/>
  <c r="F81" i="5"/>
  <c r="F79" i="5"/>
  <c r="F77" i="5"/>
  <c r="F61" i="5"/>
  <c r="F60" i="5"/>
  <c r="F59" i="5"/>
  <c r="F58" i="5"/>
  <c r="F17" i="5"/>
  <c r="F16" i="5"/>
  <c r="F15" i="5"/>
  <c r="F10" i="5"/>
  <c r="F2" i="5"/>
  <c r="E3" i="1"/>
  <c r="E417" i="1"/>
  <c r="E415" i="1"/>
  <c r="E412" i="1"/>
  <c r="E410" i="1"/>
  <c r="E407" i="1"/>
  <c r="E406" i="1"/>
  <c r="E402" i="1"/>
  <c r="E401" i="1"/>
  <c r="E397" i="1"/>
  <c r="E393" i="1"/>
  <c r="E391" i="1"/>
  <c r="E389" i="1"/>
  <c r="E387" i="1"/>
  <c r="E382" i="1"/>
  <c r="E376" i="1"/>
  <c r="E375" i="1"/>
  <c r="E367" i="1"/>
  <c r="E364" i="1"/>
  <c r="E363" i="1"/>
  <c r="E362" i="1"/>
  <c r="E352" i="1"/>
  <c r="E348" i="1"/>
  <c r="E347" i="1"/>
  <c r="E346" i="1"/>
  <c r="E338" i="1"/>
  <c r="E335" i="1"/>
  <c r="E333" i="1"/>
  <c r="E327" i="1"/>
  <c r="E323" i="1"/>
  <c r="E322" i="1"/>
  <c r="E316" i="1"/>
  <c r="E314" i="1"/>
  <c r="E311" i="1"/>
  <c r="E309" i="1"/>
  <c r="E300" i="1"/>
  <c r="E298" i="1"/>
  <c r="E296" i="1"/>
  <c r="E286" i="1"/>
  <c r="E285" i="1"/>
  <c r="E284" i="1"/>
  <c r="E277" i="1"/>
  <c r="E274" i="1"/>
  <c r="E271" i="1"/>
  <c r="E265" i="1"/>
  <c r="E262" i="1"/>
  <c r="E261" i="1"/>
  <c r="E255" i="1"/>
  <c r="E250" i="1"/>
  <c r="E249" i="1"/>
  <c r="E238" i="1"/>
  <c r="E237" i="1"/>
  <c r="E230" i="1"/>
  <c r="E229" i="1"/>
  <c r="E228" i="1"/>
  <c r="E225" i="1"/>
  <c r="E224" i="1"/>
  <c r="E223" i="1"/>
  <c r="E216" i="1"/>
  <c r="E215" i="1"/>
  <c r="E212" i="1"/>
  <c r="E211" i="1"/>
  <c r="E206" i="1"/>
  <c r="E203" i="1"/>
  <c r="E202" i="1"/>
  <c r="E200" i="1"/>
  <c r="E192" i="1"/>
  <c r="E190" i="1"/>
  <c r="E188" i="1"/>
  <c r="E179" i="1"/>
  <c r="E177" i="1"/>
  <c r="E175" i="1"/>
  <c r="E167" i="1"/>
  <c r="E165" i="1"/>
  <c r="E164" i="1"/>
  <c r="E163" i="1"/>
  <c r="E155" i="1"/>
  <c r="E151" i="1"/>
  <c r="E149" i="1"/>
  <c r="E140" i="1"/>
  <c r="E138" i="1"/>
  <c r="E136" i="1"/>
  <c r="E130" i="1"/>
  <c r="E129" i="1"/>
  <c r="E126" i="1"/>
  <c r="E125" i="1"/>
  <c r="E120" i="1"/>
  <c r="E116" i="1"/>
  <c r="E115" i="1"/>
  <c r="E114" i="1"/>
  <c r="E113" i="1"/>
  <c r="E106" i="1"/>
  <c r="E105" i="1"/>
  <c r="E102" i="1"/>
  <c r="E101" i="1"/>
  <c r="E94" i="1"/>
  <c r="E93" i="1"/>
  <c r="E90" i="1"/>
  <c r="E89" i="1"/>
  <c r="E82" i="1"/>
  <c r="E81" i="1"/>
  <c r="E78" i="1"/>
  <c r="E77" i="1"/>
  <c r="E68" i="1"/>
  <c r="E67" i="1"/>
  <c r="E66" i="1"/>
  <c r="E64" i="1"/>
  <c r="E57" i="1"/>
  <c r="E56" i="1"/>
  <c r="E47" i="1"/>
  <c r="E45" i="1"/>
  <c r="E44" i="1"/>
  <c r="E42" i="1"/>
  <c r="E36" i="1"/>
  <c r="E34" i="1"/>
  <c r="E31" i="1"/>
  <c r="E30" i="1"/>
  <c r="E29" i="1"/>
  <c r="E22" i="1"/>
  <c r="E21" i="1"/>
  <c r="E17" i="1"/>
  <c r="E16" i="1"/>
  <c r="E9" i="1"/>
  <c r="E8" i="1"/>
  <c r="E5" i="1"/>
  <c r="E4" i="1"/>
  <c r="E70" i="5"/>
  <c r="F70" i="5"/>
  <c r="E10" i="5"/>
  <c r="E9" i="5"/>
  <c r="F9" i="5"/>
  <c r="F229" i="1"/>
  <c r="D229" i="1"/>
  <c r="D5" i="1"/>
  <c r="F5" i="1"/>
  <c r="F435" i="1"/>
  <c r="E435" i="1"/>
  <c r="D435" i="1"/>
  <c r="F436" i="1"/>
  <c r="E436" i="1"/>
  <c r="D436" i="1"/>
  <c r="F447" i="1"/>
  <c r="E447" i="1"/>
  <c r="D447" i="1"/>
  <c r="F469" i="1"/>
  <c r="E469" i="1"/>
  <c r="D469" i="1"/>
  <c r="F116" i="1"/>
  <c r="D116" i="1"/>
  <c r="F333" i="1"/>
  <c r="D333" i="1"/>
  <c r="F42" i="2"/>
  <c r="E42" i="2"/>
  <c r="F41" i="2"/>
  <c r="E41" i="2"/>
  <c r="D124" i="1"/>
  <c r="E124" i="1"/>
  <c r="F124" i="1"/>
  <c r="F112" i="5"/>
  <c r="E112" i="5"/>
  <c r="E118" i="5"/>
  <c r="F289" i="1"/>
  <c r="E289" i="1"/>
  <c r="D289" i="1"/>
  <c r="F462" i="1"/>
  <c r="E462" i="1"/>
  <c r="D462" i="1"/>
  <c r="F458" i="1"/>
  <c r="E458" i="1"/>
  <c r="D458" i="1"/>
  <c r="F584" i="1"/>
  <c r="E584" i="1"/>
  <c r="D584" i="1"/>
  <c r="F609" i="1"/>
  <c r="E609" i="1"/>
  <c r="D609" i="1"/>
  <c r="F608" i="1"/>
  <c r="E608" i="1"/>
  <c r="D608" i="1"/>
  <c r="F607" i="1"/>
  <c r="E607" i="1"/>
  <c r="D607" i="1"/>
  <c r="F606" i="1"/>
  <c r="E606" i="1"/>
  <c r="D606" i="1"/>
  <c r="E35" i="2"/>
  <c r="F35" i="2"/>
  <c r="E39" i="2"/>
  <c r="E129" i="5"/>
  <c r="E128" i="5"/>
  <c r="D560" i="1"/>
  <c r="E560" i="1"/>
  <c r="F560" i="1"/>
  <c r="D18" i="1"/>
  <c r="E18" i="1"/>
  <c r="F18" i="1"/>
  <c r="E114" i="5"/>
  <c r="F114" i="5"/>
  <c r="E102" i="5"/>
  <c r="E95" i="2"/>
  <c r="F95" i="2"/>
  <c r="E23" i="2"/>
  <c r="D514" i="1"/>
  <c r="E514" i="1"/>
  <c r="F514" i="1"/>
  <c r="D515" i="1"/>
  <c r="E515" i="1"/>
  <c r="F515" i="1"/>
  <c r="E74" i="2"/>
  <c r="E71" i="2"/>
  <c r="F71" i="2"/>
  <c r="D243" i="1"/>
  <c r="D73" i="1"/>
  <c r="E243" i="1"/>
  <c r="F243" i="1"/>
  <c r="E73" i="1"/>
  <c r="F73" i="1"/>
  <c r="F20" i="5"/>
  <c r="E20" i="5"/>
  <c r="F139" i="5"/>
  <c r="E139" i="5"/>
  <c r="F147" i="5"/>
  <c r="E147" i="5"/>
  <c r="E146" i="5"/>
  <c r="F508" i="1"/>
  <c r="E508" i="1"/>
  <c r="D508" i="1"/>
  <c r="F416" i="1"/>
  <c r="E416" i="1"/>
  <c r="D416" i="1"/>
  <c r="F371" i="1"/>
  <c r="E371" i="1"/>
  <c r="D371" i="1"/>
  <c r="F53" i="1"/>
  <c r="E53" i="1"/>
  <c r="D53" i="1"/>
  <c r="F509" i="1"/>
  <c r="E509" i="1"/>
  <c r="D509" i="1"/>
  <c r="F581" i="1"/>
  <c r="E581" i="1"/>
  <c r="D581" i="1"/>
  <c r="F413" i="1"/>
  <c r="E413" i="1"/>
  <c r="D413" i="1"/>
  <c r="D527" i="1"/>
  <c r="E527" i="1"/>
  <c r="F527" i="1"/>
  <c r="D246" i="1"/>
  <c r="E246" i="1"/>
  <c r="F246" i="1"/>
  <c r="D54" i="1"/>
  <c r="E54" i="1"/>
  <c r="F54" i="1"/>
  <c r="E96" i="2"/>
  <c r="F96" i="2"/>
  <c r="E17" i="5"/>
  <c r="E110" i="2"/>
  <c r="E107" i="2"/>
  <c r="D309" i="1"/>
  <c r="F309" i="1"/>
  <c r="D588" i="1"/>
  <c r="E588" i="1"/>
  <c r="F588" i="1"/>
  <c r="E91" i="2"/>
  <c r="F91" i="2"/>
  <c r="E75" i="2"/>
  <c r="F75" i="2"/>
  <c r="D348" i="1"/>
  <c r="F348" i="1"/>
  <c r="D166" i="1"/>
  <c r="E166" i="1"/>
  <c r="F166" i="1"/>
  <c r="F42" i="5"/>
  <c r="E123" i="5"/>
  <c r="F123" i="5"/>
  <c r="F466" i="1"/>
  <c r="E466" i="1"/>
  <c r="D466" i="1"/>
  <c r="E2" i="5"/>
  <c r="E122" i="5"/>
  <c r="D135" i="1"/>
  <c r="E135" i="1"/>
  <c r="F135" i="1"/>
  <c r="D242" i="1"/>
  <c r="E242" i="1"/>
  <c r="F242" i="1"/>
  <c r="D285" i="1"/>
  <c r="F285" i="1"/>
  <c r="D495" i="1"/>
  <c r="E495" i="1"/>
  <c r="F495" i="1"/>
  <c r="D206" i="1"/>
  <c r="F206" i="1"/>
  <c r="D494" i="1"/>
  <c r="E494" i="1"/>
  <c r="F494" i="1"/>
  <c r="D498" i="1"/>
  <c r="E498" i="1"/>
  <c r="F498" i="1"/>
  <c r="D442" i="1"/>
  <c r="E442" i="1"/>
  <c r="F442" i="1"/>
  <c r="E23" i="5"/>
  <c r="F23" i="5"/>
  <c r="F457" i="1"/>
  <c r="E457" i="1"/>
  <c r="D457" i="1"/>
  <c r="F132" i="1"/>
  <c r="E132" i="1"/>
  <c r="D132" i="1"/>
  <c r="F460" i="1"/>
  <c r="E460" i="1"/>
  <c r="D460" i="1"/>
  <c r="F459" i="1"/>
  <c r="E459" i="1"/>
  <c r="D459" i="1"/>
  <c r="F439" i="1"/>
  <c r="E439" i="1"/>
  <c r="D439" i="1"/>
  <c r="F121" i="1"/>
  <c r="E121" i="1"/>
  <c r="D121" i="1"/>
  <c r="F274" i="1"/>
  <c r="D274" i="1"/>
  <c r="F107" i="1"/>
  <c r="E107" i="1"/>
  <c r="D107" i="1"/>
  <c r="F450" i="1"/>
  <c r="E450" i="1"/>
  <c r="D450" i="1"/>
  <c r="D265" i="1"/>
  <c r="F265" i="1"/>
  <c r="D275" i="1"/>
  <c r="E275" i="1"/>
  <c r="F275" i="1"/>
  <c r="D345" i="1"/>
  <c r="E345" i="1"/>
  <c r="F345" i="1"/>
  <c r="D566" i="1"/>
  <c r="E566" i="1"/>
  <c r="F566" i="1"/>
  <c r="D123" i="1"/>
  <c r="E123" i="1"/>
  <c r="F123" i="1"/>
  <c r="F68" i="5"/>
  <c r="E68" i="5"/>
  <c r="E15" i="5"/>
  <c r="E16" i="5"/>
  <c r="E24" i="2"/>
  <c r="F24" i="2"/>
  <c r="E113" i="2"/>
  <c r="F113" i="2"/>
  <c r="E95" i="5"/>
  <c r="E70" i="2"/>
  <c r="F56" i="5"/>
  <c r="E56" i="5"/>
  <c r="E58" i="5"/>
  <c r="E60" i="5"/>
  <c r="E59" i="5"/>
  <c r="F55" i="5"/>
  <c r="E55" i="5"/>
  <c r="F57" i="5"/>
  <c r="E57" i="5"/>
  <c r="E61" i="5"/>
  <c r="E142" i="5"/>
  <c r="F545" i="1"/>
  <c r="E545" i="1"/>
  <c r="D545" i="1"/>
  <c r="F544" i="1"/>
  <c r="E544" i="1"/>
  <c r="D544" i="1"/>
  <c r="F380" i="1"/>
  <c r="E380" i="1"/>
  <c r="D380" i="1"/>
  <c r="F98" i="5"/>
  <c r="E98" i="5"/>
  <c r="F427" i="1"/>
  <c r="E427" i="1"/>
  <c r="D427" i="1"/>
  <c r="D479" i="1"/>
  <c r="E479" i="1"/>
  <c r="F479" i="1"/>
  <c r="E103" i="5"/>
  <c r="F174" i="5"/>
  <c r="E174" i="5"/>
  <c r="E135" i="5"/>
  <c r="E133" i="5"/>
  <c r="F163" i="1"/>
  <c r="D163" i="1"/>
  <c r="F162" i="1"/>
  <c r="E162" i="1"/>
  <c r="D162" i="1"/>
  <c r="F161" i="1"/>
  <c r="E161" i="1"/>
  <c r="D161" i="1"/>
  <c r="F225" i="1"/>
  <c r="D225" i="1"/>
  <c r="E77" i="5"/>
  <c r="F400" i="1"/>
  <c r="E400" i="1"/>
  <c r="D400" i="1"/>
  <c r="F315" i="1"/>
  <c r="E315" i="1"/>
  <c r="D315" i="1"/>
  <c r="F310" i="1"/>
  <c r="E310" i="1"/>
  <c r="D310" i="1"/>
  <c r="F245" i="1"/>
  <c r="E245" i="1"/>
  <c r="D245" i="1"/>
  <c r="F605" i="1"/>
  <c r="E605" i="1"/>
  <c r="D605" i="1"/>
  <c r="F604" i="1"/>
  <c r="E604" i="1"/>
  <c r="D604" i="1"/>
  <c r="F603" i="1"/>
  <c r="E603" i="1"/>
  <c r="D603" i="1"/>
  <c r="F602" i="1"/>
  <c r="E602" i="1"/>
  <c r="D602" i="1"/>
  <c r="F601" i="1"/>
  <c r="E601" i="1"/>
  <c r="D601" i="1"/>
  <c r="F600" i="1"/>
  <c r="E600" i="1"/>
  <c r="D600" i="1"/>
  <c r="F599" i="1"/>
  <c r="E599" i="1"/>
  <c r="D599" i="1"/>
  <c r="F598" i="1"/>
  <c r="E598" i="1"/>
  <c r="D598" i="1"/>
  <c r="F597" i="1"/>
  <c r="E597" i="1"/>
  <c r="D597" i="1"/>
  <c r="F595" i="1"/>
  <c r="E595" i="1"/>
  <c r="D595" i="1"/>
  <c r="F594" i="1"/>
  <c r="E594" i="1"/>
  <c r="D594" i="1"/>
  <c r="F593" i="1"/>
  <c r="E593" i="1"/>
  <c r="D593" i="1"/>
  <c r="F592" i="1"/>
  <c r="E592" i="1"/>
  <c r="D592" i="1"/>
  <c r="F591" i="1"/>
  <c r="E591" i="1"/>
  <c r="D591" i="1"/>
  <c r="F590" i="1"/>
  <c r="E590" i="1"/>
  <c r="D590" i="1"/>
  <c r="F587" i="1"/>
  <c r="E587" i="1"/>
  <c r="D587" i="1"/>
  <c r="F586" i="1"/>
  <c r="E586" i="1"/>
  <c r="D586" i="1"/>
  <c r="F585" i="1"/>
  <c r="E585" i="1"/>
  <c r="D585" i="1"/>
  <c r="F583" i="1"/>
  <c r="E583" i="1"/>
  <c r="D583" i="1"/>
  <c r="F582" i="1"/>
  <c r="E582" i="1"/>
  <c r="D582" i="1"/>
  <c r="F580" i="1"/>
  <c r="E580" i="1"/>
  <c r="D580" i="1"/>
  <c r="F579" i="1"/>
  <c r="E579" i="1"/>
  <c r="D579" i="1"/>
  <c r="F578" i="1"/>
  <c r="E578" i="1"/>
  <c r="D578" i="1"/>
  <c r="F577" i="1"/>
  <c r="E577" i="1"/>
  <c r="D577" i="1"/>
  <c r="F576" i="1"/>
  <c r="E576" i="1"/>
  <c r="D576" i="1"/>
  <c r="F575" i="1"/>
  <c r="E575" i="1"/>
  <c r="D575" i="1"/>
  <c r="F574" i="1"/>
  <c r="E574" i="1"/>
  <c r="D574" i="1"/>
  <c r="F573" i="1"/>
  <c r="E573" i="1"/>
  <c r="D573" i="1"/>
  <c r="F572" i="1"/>
  <c r="E572" i="1"/>
  <c r="D572" i="1"/>
  <c r="F571" i="1"/>
  <c r="E571" i="1"/>
  <c r="D571" i="1"/>
  <c r="F570" i="1"/>
  <c r="E570" i="1"/>
  <c r="D570" i="1"/>
  <c r="F569" i="1"/>
  <c r="E569" i="1"/>
  <c r="D569" i="1"/>
  <c r="F568" i="1"/>
  <c r="E568" i="1"/>
  <c r="D568" i="1"/>
  <c r="F567" i="1"/>
  <c r="E567" i="1"/>
  <c r="D567" i="1"/>
  <c r="F565" i="1"/>
  <c r="E565" i="1"/>
  <c r="D565" i="1"/>
  <c r="F564" i="1"/>
  <c r="E564" i="1"/>
  <c r="D564" i="1"/>
  <c r="F563" i="1"/>
  <c r="E563" i="1"/>
  <c r="D563" i="1"/>
  <c r="F562" i="1"/>
  <c r="E562" i="1"/>
  <c r="D562" i="1"/>
  <c r="F561" i="1"/>
  <c r="E561" i="1"/>
  <c r="D561" i="1"/>
  <c r="F559" i="1"/>
  <c r="E559" i="1"/>
  <c r="D559" i="1"/>
  <c r="F558" i="1"/>
  <c r="E558" i="1"/>
  <c r="D558" i="1"/>
  <c r="F554" i="1"/>
  <c r="E554" i="1"/>
  <c r="D554" i="1"/>
  <c r="F553" i="1"/>
  <c r="E553" i="1"/>
  <c r="D553" i="1"/>
  <c r="F552" i="1"/>
  <c r="E552" i="1"/>
  <c r="D552" i="1"/>
  <c r="F551" i="1"/>
  <c r="E551" i="1"/>
  <c r="D551" i="1"/>
  <c r="F550" i="1"/>
  <c r="E550" i="1"/>
  <c r="D550" i="1"/>
  <c r="F549" i="1"/>
  <c r="E549" i="1"/>
  <c r="D549" i="1"/>
  <c r="F548" i="1"/>
  <c r="E548" i="1"/>
  <c r="D548" i="1"/>
  <c r="F547" i="1"/>
  <c r="E547" i="1"/>
  <c r="D547" i="1"/>
  <c r="F546" i="1"/>
  <c r="E546" i="1"/>
  <c r="D546" i="1"/>
  <c r="F543" i="1"/>
  <c r="E543" i="1"/>
  <c r="D543" i="1"/>
  <c r="F542" i="1"/>
  <c r="E542" i="1"/>
  <c r="D542" i="1"/>
  <c r="F541" i="1"/>
  <c r="E541" i="1"/>
  <c r="D541" i="1"/>
  <c r="F540" i="1"/>
  <c r="E540" i="1"/>
  <c r="D540"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6" i="1"/>
  <c r="E526" i="1"/>
  <c r="D526" i="1"/>
  <c r="F525" i="1"/>
  <c r="E525" i="1"/>
  <c r="D525" i="1"/>
  <c r="F524" i="1"/>
  <c r="E524" i="1"/>
  <c r="D524" i="1"/>
  <c r="F523" i="1"/>
  <c r="E523" i="1"/>
  <c r="D523" i="1"/>
  <c r="F522" i="1"/>
  <c r="E522" i="1"/>
  <c r="D522" i="1"/>
  <c r="F521" i="1"/>
  <c r="E521" i="1"/>
  <c r="D521" i="1"/>
  <c r="F520" i="1"/>
  <c r="E520" i="1"/>
  <c r="D520" i="1"/>
  <c r="F517" i="1"/>
  <c r="E517" i="1"/>
  <c r="D517" i="1"/>
  <c r="F516" i="1"/>
  <c r="E516" i="1"/>
  <c r="D516" i="1"/>
  <c r="F513" i="1"/>
  <c r="E513" i="1"/>
  <c r="D513" i="1"/>
  <c r="F512" i="1"/>
  <c r="E512" i="1"/>
  <c r="D512" i="1"/>
  <c r="F511" i="1"/>
  <c r="E511" i="1"/>
  <c r="D511" i="1"/>
  <c r="F510" i="1"/>
  <c r="E510" i="1"/>
  <c r="D510" i="1"/>
  <c r="F507" i="1"/>
  <c r="E507" i="1"/>
  <c r="D507" i="1"/>
  <c r="F506" i="1"/>
  <c r="E506" i="1"/>
  <c r="D506" i="1"/>
  <c r="F505" i="1"/>
  <c r="E505" i="1"/>
  <c r="D505" i="1"/>
  <c r="F504" i="1"/>
  <c r="E504" i="1"/>
  <c r="D504" i="1"/>
  <c r="F503" i="1"/>
  <c r="E503" i="1"/>
  <c r="D503" i="1"/>
  <c r="F502" i="1"/>
  <c r="E502" i="1"/>
  <c r="D502" i="1"/>
  <c r="F501" i="1"/>
  <c r="E501" i="1"/>
  <c r="D501" i="1"/>
  <c r="F500" i="1"/>
  <c r="E500" i="1"/>
  <c r="D500" i="1"/>
  <c r="F497" i="1"/>
  <c r="E497" i="1"/>
  <c r="D497" i="1"/>
  <c r="F496" i="1"/>
  <c r="E496" i="1"/>
  <c r="D496" i="1"/>
  <c r="F493" i="1"/>
  <c r="E493" i="1"/>
  <c r="D493" i="1"/>
  <c r="F492" i="1"/>
  <c r="E492" i="1"/>
  <c r="D492" i="1"/>
  <c r="F491" i="1"/>
  <c r="E491" i="1"/>
  <c r="D491"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8" i="1"/>
  <c r="E478" i="1"/>
  <c r="D478" i="1"/>
  <c r="F477" i="1"/>
  <c r="E477" i="1"/>
  <c r="D477" i="1"/>
  <c r="F476" i="1"/>
  <c r="E476" i="1"/>
  <c r="D476" i="1"/>
  <c r="F475" i="1"/>
  <c r="E475" i="1"/>
  <c r="D475" i="1"/>
  <c r="F474" i="1"/>
  <c r="E474" i="1"/>
  <c r="D474" i="1"/>
  <c r="F473" i="1"/>
  <c r="E473" i="1"/>
  <c r="D473" i="1"/>
  <c r="F472" i="1"/>
  <c r="E472" i="1"/>
  <c r="D472" i="1"/>
  <c r="F471" i="1"/>
  <c r="E471" i="1"/>
  <c r="D471" i="1"/>
  <c r="F470" i="1"/>
  <c r="E470" i="1"/>
  <c r="D470" i="1"/>
  <c r="F468" i="1"/>
  <c r="E468" i="1"/>
  <c r="D468" i="1"/>
  <c r="F467" i="1"/>
  <c r="E467" i="1"/>
  <c r="D467" i="1"/>
  <c r="F465" i="1"/>
  <c r="E465" i="1"/>
  <c r="D465" i="1"/>
  <c r="F464" i="1"/>
  <c r="E464" i="1"/>
  <c r="D464" i="1"/>
  <c r="F463" i="1"/>
  <c r="E463" i="1"/>
  <c r="D463" i="1"/>
  <c r="F461" i="1"/>
  <c r="E461" i="1"/>
  <c r="D461" i="1"/>
  <c r="F455" i="1"/>
  <c r="E455" i="1"/>
  <c r="D455" i="1"/>
  <c r="F453" i="1"/>
  <c r="E453" i="1"/>
  <c r="D453" i="1"/>
  <c r="F452" i="1"/>
  <c r="E452" i="1"/>
  <c r="D452" i="1"/>
  <c r="F451" i="1"/>
  <c r="E451" i="1"/>
  <c r="D451" i="1"/>
  <c r="F449" i="1"/>
  <c r="E449" i="1"/>
  <c r="D449" i="1"/>
  <c r="F448" i="1"/>
  <c r="E448" i="1"/>
  <c r="D448" i="1"/>
  <c r="F446" i="1"/>
  <c r="E446" i="1"/>
  <c r="D446" i="1"/>
  <c r="F445" i="1"/>
  <c r="E445" i="1"/>
  <c r="D445" i="1"/>
  <c r="F444" i="1"/>
  <c r="E444" i="1"/>
  <c r="D444" i="1"/>
  <c r="F443" i="1"/>
  <c r="E443" i="1"/>
  <c r="D443" i="1"/>
  <c r="F441" i="1"/>
  <c r="E441" i="1"/>
  <c r="D441" i="1"/>
  <c r="F440" i="1"/>
  <c r="E440" i="1"/>
  <c r="D440" i="1"/>
  <c r="F438" i="1"/>
  <c r="E438" i="1"/>
  <c r="D438" i="1"/>
  <c r="F437" i="1"/>
  <c r="E437" i="1"/>
  <c r="D437" i="1"/>
  <c r="F433" i="1"/>
  <c r="E433" i="1"/>
  <c r="D433" i="1"/>
  <c r="F432" i="1"/>
  <c r="E432" i="1"/>
  <c r="D432" i="1"/>
  <c r="F431" i="1"/>
  <c r="E431" i="1"/>
  <c r="D431" i="1"/>
  <c r="F430" i="1"/>
  <c r="E430" i="1"/>
  <c r="D430" i="1"/>
  <c r="F429" i="1"/>
  <c r="E429" i="1"/>
  <c r="D429" i="1"/>
  <c r="F428" i="1"/>
  <c r="E428" i="1"/>
  <c r="D428" i="1"/>
  <c r="F426" i="1"/>
  <c r="E426" i="1"/>
  <c r="D426" i="1"/>
  <c r="F424" i="1"/>
  <c r="E424" i="1"/>
  <c r="D424" i="1"/>
  <c r="F423" i="1"/>
  <c r="E423" i="1"/>
  <c r="D423" i="1"/>
  <c r="F422" i="1"/>
  <c r="E422" i="1"/>
  <c r="D422" i="1"/>
  <c r="F421" i="1"/>
  <c r="E421" i="1"/>
  <c r="D421" i="1"/>
  <c r="F420" i="1"/>
  <c r="E420" i="1"/>
  <c r="D420" i="1"/>
  <c r="F419" i="1"/>
  <c r="E419" i="1"/>
  <c r="D419" i="1"/>
  <c r="F418" i="1"/>
  <c r="E418" i="1"/>
  <c r="D418" i="1"/>
  <c r="F417" i="1"/>
  <c r="D417" i="1"/>
  <c r="F415" i="1"/>
  <c r="D415" i="1"/>
  <c r="F414" i="1"/>
  <c r="E414" i="1"/>
  <c r="D414" i="1"/>
  <c r="F412" i="1"/>
  <c r="D412" i="1"/>
  <c r="F411" i="1"/>
  <c r="E411" i="1"/>
  <c r="D411" i="1"/>
  <c r="F410" i="1"/>
  <c r="D410" i="1"/>
  <c r="F409" i="1"/>
  <c r="E409" i="1"/>
  <c r="D409" i="1"/>
  <c r="F407" i="1"/>
  <c r="D407" i="1"/>
  <c r="F406" i="1"/>
  <c r="D406" i="1"/>
  <c r="F404" i="1"/>
  <c r="E404" i="1"/>
  <c r="D404" i="1"/>
  <c r="F403" i="1"/>
  <c r="E403" i="1"/>
  <c r="D403" i="1"/>
  <c r="F402" i="1"/>
  <c r="D402" i="1"/>
  <c r="F401" i="1"/>
  <c r="D401" i="1"/>
  <c r="F399" i="1"/>
  <c r="E399" i="1"/>
  <c r="D399" i="1"/>
  <c r="F398" i="1"/>
  <c r="E398" i="1"/>
  <c r="D398" i="1"/>
  <c r="F397" i="1"/>
  <c r="D397" i="1"/>
  <c r="F396" i="1"/>
  <c r="E396" i="1"/>
  <c r="D396" i="1"/>
  <c r="F395" i="1"/>
  <c r="E395" i="1"/>
  <c r="D395" i="1"/>
  <c r="F394" i="1"/>
  <c r="E394" i="1"/>
  <c r="D394" i="1"/>
  <c r="F393" i="1"/>
  <c r="D393" i="1"/>
  <c r="F392" i="1"/>
  <c r="E392" i="1"/>
  <c r="D392" i="1"/>
  <c r="F391" i="1"/>
  <c r="D391" i="1"/>
  <c r="F390" i="1"/>
  <c r="E390" i="1"/>
  <c r="D390" i="1"/>
  <c r="F389" i="1"/>
  <c r="D389" i="1"/>
  <c r="F388" i="1"/>
  <c r="E388" i="1"/>
  <c r="D388" i="1"/>
  <c r="F387" i="1"/>
  <c r="D387" i="1"/>
  <c r="F383" i="1"/>
  <c r="E383" i="1"/>
  <c r="D383" i="1"/>
  <c r="F382" i="1"/>
  <c r="D382" i="1"/>
  <c r="F381" i="1"/>
  <c r="E381" i="1"/>
  <c r="D381" i="1"/>
  <c r="F379" i="1"/>
  <c r="E379" i="1"/>
  <c r="D379" i="1"/>
  <c r="F378" i="1"/>
  <c r="E378" i="1"/>
  <c r="D378" i="1"/>
  <c r="F377" i="1"/>
  <c r="E377" i="1"/>
  <c r="D377" i="1"/>
  <c r="F376" i="1"/>
  <c r="D376" i="1"/>
  <c r="F375" i="1"/>
  <c r="D375" i="1"/>
  <c r="F374" i="1"/>
  <c r="E374" i="1"/>
  <c r="D374" i="1"/>
  <c r="F373" i="1"/>
  <c r="E373" i="1"/>
  <c r="D373" i="1"/>
  <c r="F372" i="1"/>
  <c r="E372" i="1"/>
  <c r="D372" i="1"/>
  <c r="F370" i="1"/>
  <c r="E370" i="1"/>
  <c r="D370" i="1"/>
  <c r="F369" i="1"/>
  <c r="E369" i="1"/>
  <c r="D369" i="1"/>
  <c r="F368" i="1"/>
  <c r="E368" i="1"/>
  <c r="D368" i="1"/>
  <c r="F367" i="1"/>
  <c r="D367" i="1"/>
  <c r="F366" i="1"/>
  <c r="E366" i="1"/>
  <c r="D366" i="1"/>
  <c r="F365" i="1"/>
  <c r="E365" i="1"/>
  <c r="D365" i="1"/>
  <c r="F364" i="1"/>
  <c r="D364" i="1"/>
  <c r="F363" i="1"/>
  <c r="D363" i="1"/>
  <c r="F362" i="1"/>
  <c r="D362" i="1"/>
  <c r="F360" i="1"/>
  <c r="E360" i="1"/>
  <c r="D360" i="1"/>
  <c r="F359" i="1"/>
  <c r="E359" i="1"/>
  <c r="D359" i="1"/>
  <c r="F356" i="1"/>
  <c r="E356" i="1"/>
  <c r="D356" i="1"/>
  <c r="F355" i="1"/>
  <c r="E355" i="1"/>
  <c r="D355" i="1"/>
  <c r="F354" i="1"/>
  <c r="E354" i="1"/>
  <c r="D354" i="1"/>
  <c r="F353" i="1"/>
  <c r="E353" i="1"/>
  <c r="D353" i="1"/>
  <c r="F352" i="1"/>
  <c r="D352" i="1"/>
  <c r="F351" i="1"/>
  <c r="E351" i="1"/>
  <c r="D351" i="1"/>
  <c r="F349" i="1"/>
  <c r="E349" i="1"/>
  <c r="D349" i="1"/>
  <c r="F347" i="1"/>
  <c r="D347" i="1"/>
  <c r="F346" i="1"/>
  <c r="D346" i="1"/>
  <c r="F344" i="1"/>
  <c r="E344" i="1"/>
  <c r="D344" i="1"/>
  <c r="F343" i="1"/>
  <c r="E343" i="1"/>
  <c r="D343" i="1"/>
  <c r="F341" i="1"/>
  <c r="E341" i="1"/>
  <c r="D341" i="1"/>
  <c r="F340" i="1"/>
  <c r="E340" i="1"/>
  <c r="D340" i="1"/>
  <c r="F339" i="1"/>
  <c r="E339" i="1"/>
  <c r="D339" i="1"/>
  <c r="F338" i="1"/>
  <c r="D338" i="1"/>
  <c r="F336" i="1"/>
  <c r="E336" i="1"/>
  <c r="D336" i="1"/>
  <c r="F335" i="1"/>
  <c r="D335" i="1"/>
  <c r="F332" i="1"/>
  <c r="E332" i="1"/>
  <c r="D332" i="1"/>
  <c r="F331" i="1"/>
  <c r="E331" i="1"/>
  <c r="D331" i="1"/>
  <c r="F330" i="1"/>
  <c r="E330" i="1"/>
  <c r="D330" i="1"/>
  <c r="F329" i="1"/>
  <c r="E329" i="1"/>
  <c r="D329" i="1"/>
  <c r="F328" i="1"/>
  <c r="E328" i="1"/>
  <c r="D328" i="1"/>
  <c r="F327" i="1"/>
  <c r="D327" i="1"/>
  <c r="F326" i="1"/>
  <c r="E326" i="1"/>
  <c r="D326" i="1"/>
  <c r="F325" i="1"/>
  <c r="E325" i="1"/>
  <c r="D325" i="1"/>
  <c r="F324" i="1"/>
  <c r="E324" i="1"/>
  <c r="D324" i="1"/>
  <c r="F323" i="1"/>
  <c r="D323" i="1"/>
  <c r="F322" i="1"/>
  <c r="D322" i="1"/>
  <c r="F321" i="1"/>
  <c r="E321" i="1"/>
  <c r="D321" i="1"/>
  <c r="F320" i="1"/>
  <c r="E320" i="1"/>
  <c r="D320" i="1"/>
  <c r="F319" i="1"/>
  <c r="E319" i="1"/>
  <c r="D319" i="1"/>
  <c r="F318" i="1"/>
  <c r="E318" i="1"/>
  <c r="D318" i="1"/>
  <c r="F317" i="1"/>
  <c r="E317" i="1"/>
  <c r="D317" i="1"/>
  <c r="F316" i="1"/>
  <c r="D316" i="1"/>
  <c r="F314" i="1"/>
  <c r="D314" i="1"/>
  <c r="F313" i="1"/>
  <c r="E313" i="1"/>
  <c r="D313" i="1"/>
  <c r="F312" i="1"/>
  <c r="E312" i="1"/>
  <c r="D312" i="1"/>
  <c r="F311" i="1"/>
  <c r="D311" i="1"/>
  <c r="F308" i="1"/>
  <c r="E308" i="1"/>
  <c r="D308" i="1"/>
  <c r="F307" i="1"/>
  <c r="E307" i="1"/>
  <c r="D307" i="1"/>
  <c r="F306" i="1"/>
  <c r="E306" i="1"/>
  <c r="D306" i="1"/>
  <c r="F305" i="1"/>
  <c r="E305" i="1"/>
  <c r="D305" i="1"/>
  <c r="F304" i="1"/>
  <c r="E304" i="1"/>
  <c r="D304" i="1"/>
  <c r="F302" i="1"/>
  <c r="E302" i="1"/>
  <c r="D302" i="1"/>
  <c r="F301" i="1"/>
  <c r="E301" i="1"/>
  <c r="D301" i="1"/>
  <c r="F300" i="1"/>
  <c r="D300" i="1"/>
  <c r="F299" i="1"/>
  <c r="E299" i="1"/>
  <c r="D299" i="1"/>
  <c r="F298" i="1"/>
  <c r="D298" i="1"/>
  <c r="F297" i="1"/>
  <c r="E297" i="1"/>
  <c r="D297" i="1"/>
  <c r="F296" i="1"/>
  <c r="D296" i="1"/>
  <c r="F295" i="1"/>
  <c r="E295" i="1"/>
  <c r="D295" i="1"/>
  <c r="F294" i="1"/>
  <c r="E294" i="1"/>
  <c r="D294" i="1"/>
  <c r="F293" i="1"/>
  <c r="E293" i="1"/>
  <c r="D293" i="1"/>
  <c r="F292" i="1"/>
  <c r="E292" i="1"/>
  <c r="D292" i="1"/>
  <c r="F291" i="1"/>
  <c r="E291" i="1"/>
  <c r="D291" i="1"/>
  <c r="F290" i="1"/>
  <c r="E290" i="1"/>
  <c r="D290" i="1"/>
  <c r="F288" i="1"/>
  <c r="E288" i="1"/>
  <c r="D288" i="1"/>
  <c r="F287" i="1"/>
  <c r="E287" i="1"/>
  <c r="D287" i="1"/>
  <c r="F286" i="1"/>
  <c r="D286" i="1"/>
  <c r="F284" i="1"/>
  <c r="D284" i="1"/>
  <c r="F283" i="1"/>
  <c r="E283" i="1"/>
  <c r="D283" i="1"/>
  <c r="F282" i="1"/>
  <c r="E282" i="1"/>
  <c r="D282" i="1"/>
  <c r="F281" i="1"/>
  <c r="E281" i="1"/>
  <c r="D281" i="1"/>
  <c r="F280" i="1"/>
  <c r="E280" i="1"/>
  <c r="D280" i="1"/>
  <c r="F279" i="1"/>
  <c r="E279" i="1"/>
  <c r="D279" i="1"/>
  <c r="F278" i="1"/>
  <c r="E278" i="1"/>
  <c r="D278" i="1"/>
  <c r="F277" i="1"/>
  <c r="D277" i="1"/>
  <c r="F276" i="1"/>
  <c r="E276" i="1"/>
  <c r="D276" i="1"/>
  <c r="F273" i="1"/>
  <c r="E273" i="1"/>
  <c r="D273" i="1"/>
  <c r="F271" i="1"/>
  <c r="D271" i="1"/>
  <c r="F270" i="1"/>
  <c r="E270" i="1"/>
  <c r="D270" i="1"/>
  <c r="F269" i="1"/>
  <c r="E269" i="1"/>
  <c r="D269" i="1"/>
  <c r="F268" i="1"/>
  <c r="E268" i="1"/>
  <c r="D268" i="1"/>
  <c r="F267" i="1"/>
  <c r="E267" i="1"/>
  <c r="D267" i="1"/>
  <c r="F266" i="1"/>
  <c r="E266" i="1"/>
  <c r="D266" i="1"/>
  <c r="F264" i="1"/>
  <c r="E264" i="1"/>
  <c r="D264" i="1"/>
  <c r="F263" i="1"/>
  <c r="E263" i="1"/>
  <c r="D263" i="1"/>
  <c r="F262" i="1"/>
  <c r="D262" i="1"/>
  <c r="F261" i="1"/>
  <c r="D261" i="1"/>
  <c r="F260" i="1"/>
  <c r="E260" i="1"/>
  <c r="D260" i="1"/>
  <c r="F259" i="1"/>
  <c r="E259" i="1"/>
  <c r="D259" i="1"/>
  <c r="F258" i="1"/>
  <c r="E258" i="1"/>
  <c r="D258" i="1"/>
  <c r="F257" i="1"/>
  <c r="E257" i="1"/>
  <c r="D257" i="1"/>
  <c r="F256" i="1"/>
  <c r="E256" i="1"/>
  <c r="D256" i="1"/>
  <c r="F255" i="1"/>
  <c r="D255" i="1"/>
  <c r="F254" i="1"/>
  <c r="E254" i="1"/>
  <c r="D254" i="1"/>
  <c r="F253" i="1"/>
  <c r="E253" i="1"/>
  <c r="D253" i="1"/>
  <c r="F252" i="1"/>
  <c r="E252" i="1"/>
  <c r="D252" i="1"/>
  <c r="F251" i="1"/>
  <c r="E251" i="1"/>
  <c r="D251" i="1"/>
  <c r="F250" i="1"/>
  <c r="D250" i="1"/>
  <c r="F249" i="1"/>
  <c r="D249" i="1"/>
  <c r="F248" i="1"/>
  <c r="E248" i="1"/>
  <c r="D248" i="1"/>
  <c r="F247" i="1"/>
  <c r="E247" i="1"/>
  <c r="D247" i="1"/>
  <c r="F244" i="1"/>
  <c r="E244" i="1"/>
  <c r="D244" i="1"/>
  <c r="F241" i="1"/>
  <c r="E241" i="1"/>
  <c r="D241" i="1"/>
  <c r="F240" i="1"/>
  <c r="E240" i="1"/>
  <c r="D240" i="1"/>
  <c r="F239" i="1"/>
  <c r="E239" i="1"/>
  <c r="D239" i="1"/>
  <c r="F238" i="1"/>
  <c r="D238" i="1"/>
  <c r="F237" i="1"/>
  <c r="D237" i="1"/>
  <c r="F236" i="1"/>
  <c r="E236" i="1"/>
  <c r="D236" i="1"/>
  <c r="F235" i="1"/>
  <c r="E235" i="1"/>
  <c r="D235" i="1"/>
  <c r="F234" i="1"/>
  <c r="E234" i="1"/>
  <c r="D234" i="1"/>
  <c r="F233" i="1"/>
  <c r="E233" i="1"/>
  <c r="D233" i="1"/>
  <c r="F232" i="1"/>
  <c r="E232" i="1"/>
  <c r="D232" i="1"/>
  <c r="F230" i="1"/>
  <c r="D230" i="1"/>
  <c r="F228" i="1"/>
  <c r="D228" i="1"/>
  <c r="F227" i="1"/>
  <c r="E227" i="1"/>
  <c r="D227" i="1"/>
  <c r="F226" i="1"/>
  <c r="E226" i="1"/>
  <c r="D226" i="1"/>
  <c r="F224" i="1"/>
  <c r="D224" i="1"/>
  <c r="F223" i="1"/>
  <c r="D223" i="1"/>
  <c r="F222" i="1"/>
  <c r="E222" i="1"/>
  <c r="D222" i="1"/>
  <c r="F221" i="1"/>
  <c r="E221" i="1"/>
  <c r="D221" i="1"/>
  <c r="F220" i="1"/>
  <c r="E220" i="1"/>
  <c r="D220" i="1"/>
  <c r="F219" i="1"/>
  <c r="E219" i="1"/>
  <c r="D219" i="1"/>
  <c r="F218" i="1"/>
  <c r="E218" i="1"/>
  <c r="D218" i="1"/>
  <c r="F217" i="1"/>
  <c r="E217" i="1"/>
  <c r="D217" i="1"/>
  <c r="F216" i="1"/>
  <c r="D216" i="1"/>
  <c r="F215" i="1"/>
  <c r="D215" i="1"/>
  <c r="F214" i="1"/>
  <c r="E214" i="1"/>
  <c r="D214" i="1"/>
  <c r="F213" i="1"/>
  <c r="E213" i="1"/>
  <c r="D213" i="1"/>
  <c r="F212" i="1"/>
  <c r="D212" i="1"/>
  <c r="F211" i="1"/>
  <c r="D211" i="1"/>
  <c r="F210" i="1"/>
  <c r="E210" i="1"/>
  <c r="D210" i="1"/>
  <c r="F209" i="1"/>
  <c r="E209" i="1"/>
  <c r="D209" i="1"/>
  <c r="F208" i="1"/>
  <c r="E208" i="1"/>
  <c r="D208" i="1"/>
  <c r="F207" i="1"/>
  <c r="E207" i="1"/>
  <c r="D207" i="1"/>
  <c r="F205" i="1"/>
  <c r="E205" i="1"/>
  <c r="D205" i="1"/>
  <c r="F204" i="1"/>
  <c r="E204" i="1"/>
  <c r="D204" i="1"/>
  <c r="F203" i="1"/>
  <c r="D203" i="1"/>
  <c r="F202" i="1"/>
  <c r="D202" i="1"/>
  <c r="F201" i="1"/>
  <c r="E201" i="1"/>
  <c r="D201" i="1"/>
  <c r="F200" i="1"/>
  <c r="D200" i="1"/>
  <c r="F199" i="1"/>
  <c r="E199" i="1"/>
  <c r="D199" i="1"/>
  <c r="F198" i="1"/>
  <c r="E198" i="1"/>
  <c r="D198" i="1"/>
  <c r="F197" i="1"/>
  <c r="E197" i="1"/>
  <c r="D197" i="1"/>
  <c r="F196" i="1"/>
  <c r="E196" i="1"/>
  <c r="D196" i="1"/>
  <c r="F195" i="1"/>
  <c r="E195" i="1"/>
  <c r="D195" i="1"/>
  <c r="F194" i="1"/>
  <c r="E194" i="1"/>
  <c r="D194" i="1"/>
  <c r="F193" i="1"/>
  <c r="E193" i="1"/>
  <c r="D193" i="1"/>
  <c r="F192" i="1"/>
  <c r="D192" i="1"/>
  <c r="F191" i="1"/>
  <c r="E191" i="1"/>
  <c r="D191" i="1"/>
  <c r="F190" i="1"/>
  <c r="D190" i="1"/>
  <c r="F189" i="1"/>
  <c r="E189" i="1"/>
  <c r="D189" i="1"/>
  <c r="F188" i="1"/>
  <c r="D188" i="1"/>
  <c r="F187" i="1"/>
  <c r="E187" i="1"/>
  <c r="D187" i="1"/>
  <c r="F186" i="1"/>
  <c r="E186" i="1"/>
  <c r="D186" i="1"/>
  <c r="F185" i="1"/>
  <c r="E185" i="1"/>
  <c r="D185" i="1"/>
  <c r="F184" i="1"/>
  <c r="E184" i="1"/>
  <c r="D184" i="1"/>
  <c r="F183" i="1"/>
  <c r="E183" i="1"/>
  <c r="D183" i="1"/>
  <c r="F182" i="1"/>
  <c r="E182" i="1"/>
  <c r="D182" i="1"/>
  <c r="F180" i="1"/>
  <c r="E180" i="1"/>
  <c r="D180" i="1"/>
  <c r="F179" i="1"/>
  <c r="D179" i="1"/>
  <c r="F178" i="1"/>
  <c r="E178" i="1"/>
  <c r="D178" i="1"/>
  <c r="F177" i="1"/>
  <c r="D177" i="1"/>
  <c r="F176" i="1"/>
  <c r="E176" i="1"/>
  <c r="D176" i="1"/>
  <c r="F175" i="1"/>
  <c r="D175" i="1"/>
  <c r="F174" i="1"/>
  <c r="E174" i="1"/>
  <c r="D174" i="1"/>
  <c r="F173" i="1"/>
  <c r="E173" i="1"/>
  <c r="D173" i="1"/>
  <c r="F172" i="1"/>
  <c r="E172" i="1"/>
  <c r="D172" i="1"/>
  <c r="F171" i="1"/>
  <c r="E171" i="1"/>
  <c r="D171" i="1"/>
  <c r="F170" i="1"/>
  <c r="E170" i="1"/>
  <c r="D170" i="1"/>
  <c r="F169" i="1"/>
  <c r="E169" i="1"/>
  <c r="D169" i="1"/>
  <c r="F168" i="1"/>
  <c r="E168" i="1"/>
  <c r="D168" i="1"/>
  <c r="F167" i="1"/>
  <c r="D167" i="1"/>
  <c r="F165" i="1"/>
  <c r="D165" i="1"/>
  <c r="F164" i="1"/>
  <c r="D164" i="1"/>
  <c r="F160" i="1"/>
  <c r="E160" i="1"/>
  <c r="D160" i="1"/>
  <c r="F159" i="1"/>
  <c r="E159" i="1"/>
  <c r="D159" i="1"/>
  <c r="F158" i="1"/>
  <c r="E158" i="1"/>
  <c r="D158" i="1"/>
  <c r="F157" i="1"/>
  <c r="E157" i="1"/>
  <c r="D157" i="1"/>
  <c r="F156" i="1"/>
  <c r="E156" i="1"/>
  <c r="D156" i="1"/>
  <c r="F155" i="1"/>
  <c r="D155" i="1"/>
  <c r="F154" i="1"/>
  <c r="E154" i="1"/>
  <c r="D154" i="1"/>
  <c r="F151" i="1"/>
  <c r="D151" i="1"/>
  <c r="F150" i="1"/>
  <c r="E150" i="1"/>
  <c r="D150" i="1"/>
  <c r="F149" i="1"/>
  <c r="D149" i="1"/>
  <c r="F148" i="1"/>
  <c r="E148" i="1"/>
  <c r="D148" i="1"/>
  <c r="F147" i="1"/>
  <c r="E147" i="1"/>
  <c r="D147" i="1"/>
  <c r="F146" i="1"/>
  <c r="E146" i="1"/>
  <c r="D146" i="1"/>
  <c r="F145" i="1"/>
  <c r="E145" i="1"/>
  <c r="D145" i="1"/>
  <c r="F143" i="1"/>
  <c r="E143" i="1"/>
  <c r="D143" i="1"/>
  <c r="F142" i="1"/>
  <c r="E142" i="1"/>
  <c r="D142" i="1"/>
  <c r="F141" i="1"/>
  <c r="E141" i="1"/>
  <c r="D141" i="1"/>
  <c r="F140" i="1"/>
  <c r="D140" i="1"/>
  <c r="F139" i="1"/>
  <c r="E139" i="1"/>
  <c r="D139" i="1"/>
  <c r="F138" i="1"/>
  <c r="D138" i="1"/>
  <c r="F137" i="1"/>
  <c r="E137" i="1"/>
  <c r="D137" i="1"/>
  <c r="F136" i="1"/>
  <c r="D136" i="1"/>
  <c r="F134" i="1"/>
  <c r="E134" i="1"/>
  <c r="D134" i="1"/>
  <c r="F133" i="1"/>
  <c r="E133" i="1"/>
  <c r="D133" i="1"/>
  <c r="F131" i="1"/>
  <c r="E131" i="1"/>
  <c r="D131" i="1"/>
  <c r="F130" i="1"/>
  <c r="D130" i="1"/>
  <c r="F129" i="1"/>
  <c r="D129" i="1"/>
  <c r="F128" i="1"/>
  <c r="E128" i="1"/>
  <c r="D128" i="1"/>
  <c r="F127" i="1"/>
  <c r="E127" i="1"/>
  <c r="D127" i="1"/>
  <c r="F126" i="1"/>
  <c r="D126" i="1"/>
  <c r="F125" i="1"/>
  <c r="D125" i="1"/>
  <c r="F122" i="1"/>
  <c r="E122" i="1"/>
  <c r="D122" i="1"/>
  <c r="F120" i="1"/>
  <c r="D120" i="1"/>
  <c r="F119" i="1"/>
  <c r="E119" i="1"/>
  <c r="D119" i="1"/>
  <c r="F118" i="1"/>
  <c r="E118" i="1"/>
  <c r="D118" i="1"/>
  <c r="F117" i="1"/>
  <c r="E117" i="1"/>
  <c r="D117" i="1"/>
  <c r="F115" i="1"/>
  <c r="D115" i="1"/>
  <c r="F114" i="1"/>
  <c r="D114" i="1"/>
  <c r="F113" i="1"/>
  <c r="D113" i="1"/>
  <c r="F112" i="1"/>
  <c r="E112" i="1"/>
  <c r="D112" i="1"/>
  <c r="F111" i="1"/>
  <c r="E111" i="1"/>
  <c r="D111" i="1"/>
  <c r="F110" i="1"/>
  <c r="E110" i="1"/>
  <c r="D110" i="1"/>
  <c r="F109" i="1"/>
  <c r="E109" i="1"/>
  <c r="D109" i="1"/>
  <c r="F108" i="1"/>
  <c r="E108" i="1"/>
  <c r="D108" i="1"/>
  <c r="F106" i="1"/>
  <c r="D106" i="1"/>
  <c r="F105" i="1"/>
  <c r="D105" i="1"/>
  <c r="F104" i="1"/>
  <c r="E104" i="1"/>
  <c r="D104" i="1"/>
  <c r="F103" i="1"/>
  <c r="E103" i="1"/>
  <c r="D103" i="1"/>
  <c r="F102" i="1"/>
  <c r="D102" i="1"/>
  <c r="F101" i="1"/>
  <c r="D101" i="1"/>
  <c r="F100" i="1"/>
  <c r="E100" i="1"/>
  <c r="D100" i="1"/>
  <c r="F99" i="1"/>
  <c r="E99" i="1"/>
  <c r="D99" i="1"/>
  <c r="F98" i="1"/>
  <c r="E98" i="1"/>
  <c r="D98" i="1"/>
  <c r="F97" i="1"/>
  <c r="E97" i="1"/>
  <c r="D97" i="1"/>
  <c r="F96" i="1"/>
  <c r="E96" i="1"/>
  <c r="D96" i="1"/>
  <c r="F95" i="1"/>
  <c r="E95" i="1"/>
  <c r="D95" i="1"/>
  <c r="F94" i="1"/>
  <c r="D94" i="1"/>
  <c r="F93" i="1"/>
  <c r="D93" i="1"/>
  <c r="F92" i="1"/>
  <c r="E92" i="1"/>
  <c r="D92" i="1"/>
  <c r="F91" i="1"/>
  <c r="E91" i="1"/>
  <c r="D91" i="1"/>
  <c r="F90" i="1"/>
  <c r="D90" i="1"/>
  <c r="F89" i="1"/>
  <c r="D89" i="1"/>
  <c r="F88" i="1"/>
  <c r="E88" i="1"/>
  <c r="D88" i="1"/>
  <c r="F87" i="1"/>
  <c r="E87" i="1"/>
  <c r="D87" i="1"/>
  <c r="F86" i="1"/>
  <c r="E86" i="1"/>
  <c r="D86" i="1"/>
  <c r="F85" i="1"/>
  <c r="E85" i="1"/>
  <c r="D85" i="1"/>
  <c r="F84" i="1"/>
  <c r="E84" i="1"/>
  <c r="D84" i="1"/>
  <c r="F83" i="1"/>
  <c r="E83" i="1"/>
  <c r="D83" i="1"/>
  <c r="F82" i="1"/>
  <c r="D82" i="1"/>
  <c r="F81" i="1"/>
  <c r="D81" i="1"/>
  <c r="F80" i="1"/>
  <c r="E80" i="1"/>
  <c r="D80" i="1"/>
  <c r="F79" i="1"/>
  <c r="E79" i="1"/>
  <c r="D79" i="1"/>
  <c r="F78" i="1"/>
  <c r="D78" i="1"/>
  <c r="F77" i="1"/>
  <c r="D77" i="1"/>
  <c r="F76" i="1"/>
  <c r="E76" i="1"/>
  <c r="D76" i="1"/>
  <c r="F75" i="1"/>
  <c r="E75" i="1"/>
  <c r="D75" i="1"/>
  <c r="F74" i="1"/>
  <c r="E74" i="1"/>
  <c r="D74" i="1"/>
  <c r="F72" i="1"/>
  <c r="E72" i="1"/>
  <c r="D72" i="1"/>
  <c r="F70" i="1"/>
  <c r="E70" i="1"/>
  <c r="D70" i="1"/>
  <c r="F69" i="1"/>
  <c r="E69" i="1"/>
  <c r="D69" i="1"/>
  <c r="F68" i="1"/>
  <c r="D68" i="1"/>
  <c r="F67" i="1"/>
  <c r="D67" i="1"/>
  <c r="F66" i="1"/>
  <c r="D66" i="1"/>
  <c r="F65" i="1"/>
  <c r="E65" i="1"/>
  <c r="D65" i="1"/>
  <c r="F64" i="1"/>
  <c r="D64" i="1"/>
  <c r="F63" i="1"/>
  <c r="E63" i="1"/>
  <c r="D63" i="1"/>
  <c r="F62" i="1"/>
  <c r="E62" i="1"/>
  <c r="D62" i="1"/>
  <c r="F61" i="1"/>
  <c r="E61" i="1"/>
  <c r="D61" i="1"/>
  <c r="F60" i="1"/>
  <c r="E60" i="1"/>
  <c r="D60" i="1"/>
  <c r="F59" i="1"/>
  <c r="E59" i="1"/>
  <c r="D59" i="1"/>
  <c r="F58" i="1"/>
  <c r="E58" i="1"/>
  <c r="D58" i="1"/>
  <c r="F57" i="1"/>
  <c r="D57" i="1"/>
  <c r="F56" i="1"/>
  <c r="D56" i="1"/>
  <c r="F55" i="1"/>
  <c r="E55" i="1"/>
  <c r="D55" i="1"/>
  <c r="F52" i="1"/>
  <c r="E52" i="1"/>
  <c r="D52" i="1"/>
  <c r="F51" i="1"/>
  <c r="E51" i="1"/>
  <c r="D51" i="1"/>
  <c r="F50" i="1"/>
  <c r="E50" i="1"/>
  <c r="D50" i="1"/>
  <c r="F48" i="1"/>
  <c r="E48" i="1"/>
  <c r="D48" i="1"/>
  <c r="F47" i="1"/>
  <c r="D47" i="1"/>
  <c r="F45" i="1"/>
  <c r="D45" i="1"/>
  <c r="F44" i="1"/>
  <c r="D44" i="1"/>
  <c r="F43" i="1"/>
  <c r="E43" i="1"/>
  <c r="D43" i="1"/>
  <c r="F49" i="1"/>
  <c r="E49" i="1"/>
  <c r="D49" i="1"/>
  <c r="F42" i="1"/>
  <c r="D42" i="1"/>
  <c r="F46" i="1"/>
  <c r="E46" i="1"/>
  <c r="D46" i="1"/>
  <c r="F41" i="1"/>
  <c r="E41" i="1"/>
  <c r="D41" i="1"/>
  <c r="F40" i="1"/>
  <c r="E40" i="1"/>
  <c r="D40" i="1"/>
  <c r="F39" i="1"/>
  <c r="E39" i="1"/>
  <c r="D39" i="1"/>
  <c r="F38" i="1"/>
  <c r="E38" i="1"/>
  <c r="D38" i="1"/>
  <c r="F37" i="1"/>
  <c r="E37" i="1"/>
  <c r="D37" i="1"/>
  <c r="F36" i="1"/>
  <c r="D36" i="1"/>
  <c r="F34" i="1"/>
  <c r="D34" i="1"/>
  <c r="F33" i="1"/>
  <c r="E33" i="1"/>
  <c r="D33" i="1"/>
  <c r="F32" i="1"/>
  <c r="E32" i="1"/>
  <c r="D32" i="1"/>
  <c r="F31" i="1"/>
  <c r="D31" i="1"/>
  <c r="F30" i="1"/>
  <c r="D30" i="1"/>
  <c r="F29" i="1"/>
  <c r="D29" i="1"/>
  <c r="F28" i="1"/>
  <c r="E28" i="1"/>
  <c r="D28" i="1"/>
  <c r="F27" i="1"/>
  <c r="E27" i="1"/>
  <c r="D27" i="1"/>
  <c r="F26" i="1"/>
  <c r="E26" i="1"/>
  <c r="D26" i="1"/>
  <c r="F25" i="1"/>
  <c r="E25" i="1"/>
  <c r="D25" i="1"/>
  <c r="F24" i="1"/>
  <c r="E24" i="1"/>
  <c r="D24" i="1"/>
  <c r="F22" i="1"/>
  <c r="D22" i="1"/>
  <c r="F21" i="1"/>
  <c r="D21" i="1"/>
  <c r="F20" i="1"/>
  <c r="E20" i="1"/>
  <c r="D20" i="1"/>
  <c r="F19" i="1"/>
  <c r="E19" i="1"/>
  <c r="D19" i="1"/>
  <c r="F17" i="1"/>
  <c r="D17" i="1"/>
  <c r="F16" i="1"/>
  <c r="D16" i="1"/>
  <c r="F15" i="1"/>
  <c r="E15" i="1"/>
  <c r="D15" i="1"/>
  <c r="F14" i="1"/>
  <c r="E14" i="1"/>
  <c r="D14" i="1"/>
  <c r="F13" i="1"/>
  <c r="E13" i="1"/>
  <c r="D13" i="1"/>
  <c r="F12" i="1"/>
  <c r="E12" i="1"/>
  <c r="D12" i="1"/>
  <c r="F11" i="1"/>
  <c r="E11" i="1"/>
  <c r="D11" i="1"/>
  <c r="F10" i="1"/>
  <c r="E10" i="1"/>
  <c r="D10" i="1"/>
  <c r="F9" i="1"/>
  <c r="D9" i="1"/>
  <c r="F8" i="1"/>
  <c r="D8" i="1"/>
  <c r="F7" i="1"/>
  <c r="E7" i="1"/>
  <c r="D7" i="1"/>
  <c r="F6" i="1"/>
  <c r="E6" i="1"/>
  <c r="D6" i="1"/>
  <c r="F4" i="1"/>
  <c r="D4" i="1"/>
  <c r="F3" i="1"/>
  <c r="D3" i="1"/>
  <c r="E90" i="5"/>
  <c r="E81" i="5"/>
  <c r="E79" i="5"/>
  <c r="E152" i="5"/>
  <c r="F38" i="2"/>
  <c r="E38" i="2"/>
  <c r="E34" i="2"/>
  <c r="E164" i="5"/>
  <c r="F164" i="5"/>
  <c r="F50" i="2"/>
  <c r="E50" i="2"/>
  <c r="E59" i="2"/>
  <c r="E28" i="2"/>
  <c r="F28" i="2"/>
  <c r="E10" i="2"/>
  <c r="F10" i="2"/>
  <c r="E127" i="5"/>
  <c r="F127" i="5"/>
  <c r="E22" i="2"/>
  <c r="F22" i="2"/>
  <c r="E155" i="5"/>
  <c r="E43" i="2"/>
  <c r="F43" i="2"/>
  <c r="E20" i="2"/>
  <c r="F20" i="2"/>
  <c r="E145" i="5"/>
  <c r="E144" i="5"/>
  <c r="E81" i="2"/>
  <c r="E66" i="2"/>
  <c r="F66" i="2"/>
  <c r="E78" i="2"/>
  <c r="E37" i="2"/>
  <c r="F37" i="2"/>
  <c r="E36" i="2"/>
  <c r="F36" i="2"/>
  <c r="E67" i="2"/>
  <c r="F67" i="2"/>
  <c r="E148" i="5"/>
  <c r="E138" i="2"/>
  <c r="F138" i="2"/>
  <c r="F137" i="2" l="1"/>
  <c r="E137" i="2"/>
  <c r="F136" i="2"/>
  <c r="E136" i="2"/>
  <c r="F135" i="2"/>
  <c r="E135" i="2"/>
  <c r="F134" i="2"/>
  <c r="E134" i="2"/>
  <c r="F133" i="2"/>
  <c r="E133" i="2"/>
  <c r="F132" i="2"/>
  <c r="E132" i="2"/>
  <c r="F131" i="2"/>
  <c r="E131" i="2"/>
  <c r="F130" i="2"/>
  <c r="E130" i="2"/>
  <c r="F129" i="2"/>
  <c r="E129" i="2"/>
  <c r="F128" i="2"/>
  <c r="E128" i="2"/>
  <c r="F127" i="2"/>
  <c r="E127" i="2"/>
  <c r="F126" i="2"/>
  <c r="E126" i="2"/>
  <c r="F125" i="2"/>
  <c r="E125" i="2"/>
  <c r="F124" i="2"/>
  <c r="E124" i="2"/>
  <c r="F123" i="2"/>
  <c r="E123" i="2"/>
  <c r="F122" i="2"/>
  <c r="E122" i="2"/>
  <c r="F121" i="2"/>
  <c r="E121" i="2"/>
  <c r="F120" i="2"/>
  <c r="E120" i="2"/>
  <c r="F116" i="2"/>
  <c r="E116" i="2"/>
  <c r="F115" i="2"/>
  <c r="E115" i="2"/>
  <c r="F114" i="2"/>
  <c r="E114" i="2"/>
  <c r="F112" i="2"/>
  <c r="E112" i="2"/>
  <c r="F111" i="2"/>
  <c r="E111" i="2"/>
  <c r="F109" i="2"/>
  <c r="E109" i="2"/>
  <c r="F108" i="2"/>
  <c r="E108" i="2"/>
  <c r="F106" i="2"/>
  <c r="E106" i="2"/>
  <c r="F105" i="2"/>
  <c r="E105" i="2"/>
  <c r="F104" i="2"/>
  <c r="E104" i="2"/>
  <c r="F103" i="2"/>
  <c r="E103" i="2"/>
  <c r="F102" i="2"/>
  <c r="E102" i="2"/>
  <c r="F101" i="2"/>
  <c r="E101" i="2"/>
  <c r="F100" i="2"/>
  <c r="E100" i="2"/>
  <c r="F99" i="2"/>
  <c r="E99" i="2"/>
  <c r="F98" i="2"/>
  <c r="E98" i="2"/>
  <c r="F97" i="2"/>
  <c r="E97" i="2"/>
  <c r="F94" i="2"/>
  <c r="E94" i="2"/>
  <c r="F93" i="2"/>
  <c r="E93" i="2"/>
  <c r="F92" i="2"/>
  <c r="E92" i="2"/>
  <c r="F90" i="2"/>
  <c r="E90" i="2"/>
  <c r="F89" i="2"/>
  <c r="E89" i="2"/>
  <c r="F88" i="2"/>
  <c r="E88" i="2"/>
  <c r="F87" i="2"/>
  <c r="E87" i="2"/>
  <c r="F86" i="2"/>
  <c r="E86" i="2"/>
  <c r="F85" i="2"/>
  <c r="E85" i="2"/>
  <c r="F84" i="2"/>
  <c r="E84" i="2"/>
  <c r="F83" i="2"/>
  <c r="E83" i="2"/>
  <c r="F82" i="2"/>
  <c r="E82" i="2"/>
  <c r="F80" i="2"/>
  <c r="E80" i="2"/>
  <c r="F79" i="2"/>
  <c r="E79" i="2"/>
  <c r="F77" i="2"/>
  <c r="E77" i="2"/>
  <c r="F76" i="2"/>
  <c r="E76" i="2"/>
  <c r="F73" i="2"/>
  <c r="E73" i="2"/>
  <c r="F72" i="2"/>
  <c r="E72" i="2"/>
  <c r="F68" i="2"/>
  <c r="E68" i="2"/>
  <c r="F65" i="2"/>
  <c r="E65" i="2"/>
  <c r="F64" i="2"/>
  <c r="E64" i="2"/>
  <c r="F63" i="2"/>
  <c r="E63" i="2"/>
  <c r="F62" i="2"/>
  <c r="E62" i="2"/>
  <c r="F61" i="2"/>
  <c r="E61" i="2"/>
  <c r="F60" i="2"/>
  <c r="E60" i="2"/>
  <c r="F58" i="2"/>
  <c r="E58" i="2"/>
  <c r="F57" i="2"/>
  <c r="E57" i="2"/>
  <c r="F56" i="2"/>
  <c r="E56" i="2"/>
  <c r="F55" i="2"/>
  <c r="E55" i="2"/>
  <c r="F54" i="2"/>
  <c r="E54" i="2"/>
  <c r="F53" i="2"/>
  <c r="E53" i="2"/>
  <c r="F52" i="2"/>
  <c r="E52" i="2"/>
  <c r="F51" i="2"/>
  <c r="E51" i="2"/>
  <c r="F49" i="2"/>
  <c r="E49" i="2"/>
  <c r="F48" i="2"/>
  <c r="E48" i="2"/>
  <c r="F47" i="2"/>
  <c r="E47" i="2"/>
  <c r="F46" i="2"/>
  <c r="E46" i="2"/>
  <c r="F45" i="2"/>
  <c r="E45" i="2"/>
  <c r="F44" i="2"/>
  <c r="E44" i="2"/>
  <c r="F40" i="2"/>
  <c r="E40" i="2"/>
  <c r="F33" i="2"/>
  <c r="E33" i="2"/>
  <c r="F32" i="2"/>
  <c r="E32" i="2"/>
  <c r="F31" i="2"/>
  <c r="E31" i="2"/>
  <c r="F30" i="2"/>
  <c r="E30" i="2"/>
  <c r="F29" i="2"/>
  <c r="E29" i="2"/>
  <c r="F27" i="2"/>
  <c r="E27" i="2"/>
  <c r="F26" i="2"/>
  <c r="E26" i="2"/>
  <c r="F25" i="2"/>
  <c r="E25" i="2"/>
  <c r="F21" i="2"/>
  <c r="E21" i="2"/>
  <c r="F19" i="2"/>
  <c r="E19" i="2"/>
  <c r="F18" i="2"/>
  <c r="E18" i="2"/>
  <c r="F17" i="2"/>
  <c r="E17" i="2"/>
  <c r="F16" i="2"/>
  <c r="E16" i="2"/>
  <c r="F15" i="2"/>
  <c r="E15" i="2"/>
  <c r="F14" i="2"/>
  <c r="E14" i="2"/>
  <c r="F13" i="2"/>
  <c r="E13" i="2"/>
  <c r="F12" i="2"/>
  <c r="E12" i="2"/>
  <c r="F11" i="2"/>
  <c r="E11" i="2"/>
  <c r="F9" i="2"/>
  <c r="E9" i="2"/>
  <c r="F8" i="2"/>
  <c r="E8" i="2"/>
  <c r="F7" i="2"/>
  <c r="E7" i="2"/>
  <c r="F6" i="2"/>
  <c r="E6" i="2"/>
  <c r="F5" i="2"/>
  <c r="E5" i="2"/>
  <c r="F4" i="2"/>
  <c r="E4" i="2"/>
  <c r="E71" i="5" l="1"/>
  <c r="F71" i="5"/>
  <c r="F11" i="5" l="1"/>
  <c r="E11" i="5"/>
  <c r="F173" i="5" l="1"/>
  <c r="E173" i="5"/>
  <c r="E63" i="5"/>
  <c r="F63" i="5"/>
  <c r="F62" i="5"/>
  <c r="E62" i="5"/>
  <c r="F97" i="5" l="1"/>
  <c r="E97" i="5"/>
  <c r="E141" i="5" l="1"/>
  <c r="F141" i="5"/>
  <c r="E149" i="5" l="1"/>
  <c r="F149" i="5"/>
  <c r="F83" i="5" l="1"/>
  <c r="E83" i="5"/>
  <c r="F161" i="5"/>
  <c r="E161" i="5"/>
  <c r="F2" i="1" l="1"/>
  <c r="E8" i="3" l="1"/>
  <c r="E7" i="3"/>
  <c r="E6" i="3"/>
  <c r="E5" i="3"/>
  <c r="C1" i="2"/>
  <c r="D1" i="2"/>
  <c r="F1" i="2" s="1"/>
  <c r="F3" i="2"/>
  <c r="E3" i="2"/>
  <c r="F176" i="5"/>
  <c r="E176" i="5"/>
  <c r="F175" i="5"/>
  <c r="E175" i="5"/>
  <c r="F172" i="5"/>
  <c r="E172" i="5"/>
  <c r="F171" i="5"/>
  <c r="E171" i="5"/>
  <c r="F170" i="5"/>
  <c r="E170" i="5"/>
  <c r="F169" i="5"/>
  <c r="E169" i="5"/>
  <c r="F168" i="5"/>
  <c r="E168" i="5"/>
  <c r="F167" i="5"/>
  <c r="E167" i="5"/>
  <c r="F166" i="5"/>
  <c r="E166" i="5"/>
  <c r="F165" i="5"/>
  <c r="E165" i="5"/>
  <c r="F163" i="5"/>
  <c r="E163" i="5"/>
  <c r="F160" i="5"/>
  <c r="E160" i="5"/>
  <c r="F159" i="5"/>
  <c r="E159" i="5"/>
  <c r="F158" i="5"/>
  <c r="E158" i="5"/>
  <c r="F157" i="5"/>
  <c r="E157" i="5"/>
  <c r="F156" i="5"/>
  <c r="E156" i="5"/>
  <c r="F154" i="5"/>
  <c r="E154" i="5"/>
  <c r="F153" i="5"/>
  <c r="E153" i="5"/>
  <c r="F150" i="5"/>
  <c r="E150" i="5"/>
  <c r="F32" i="5"/>
  <c r="E32" i="5"/>
  <c r="F143" i="5"/>
  <c r="E143" i="5"/>
  <c r="F140" i="5"/>
  <c r="E140" i="5"/>
  <c r="F151" i="5"/>
  <c r="E151" i="5"/>
  <c r="F138" i="5"/>
  <c r="E138" i="5"/>
  <c r="F137" i="5"/>
  <c r="E137" i="5"/>
  <c r="F136" i="5"/>
  <c r="E136" i="5"/>
  <c r="F134" i="5"/>
  <c r="E134" i="5"/>
  <c r="F132" i="5"/>
  <c r="E132" i="5"/>
  <c r="F131" i="5"/>
  <c r="E131" i="5"/>
  <c r="F130" i="5"/>
  <c r="E130" i="5"/>
  <c r="F126" i="5"/>
  <c r="E126" i="5"/>
  <c r="F125" i="5"/>
  <c r="E125" i="5"/>
  <c r="F124" i="5"/>
  <c r="E124" i="5"/>
  <c r="F121" i="5"/>
  <c r="E121" i="5"/>
  <c r="F120" i="5"/>
  <c r="E120" i="5"/>
  <c r="F119" i="5"/>
  <c r="E119" i="5"/>
  <c r="F116" i="5"/>
  <c r="E116" i="5"/>
  <c r="F115" i="5"/>
  <c r="E115" i="5"/>
  <c r="F111" i="5"/>
  <c r="E111" i="5"/>
  <c r="F110" i="5"/>
  <c r="E110" i="5"/>
  <c r="F109" i="5"/>
  <c r="E109" i="5"/>
  <c r="F108" i="5"/>
  <c r="E108" i="5"/>
  <c r="F107" i="5"/>
  <c r="E107" i="5"/>
  <c r="F106" i="5"/>
  <c r="E106" i="5"/>
  <c r="F105" i="5"/>
  <c r="E105" i="5"/>
  <c r="F99" i="5"/>
  <c r="E99" i="5"/>
  <c r="F96" i="5"/>
  <c r="E96" i="5"/>
  <c r="F94" i="5"/>
  <c r="E94" i="5"/>
  <c r="F93" i="5"/>
  <c r="E93" i="5"/>
  <c r="F92" i="5"/>
  <c r="E92" i="5"/>
  <c r="F91" i="5"/>
  <c r="E91" i="5"/>
  <c r="F89" i="5"/>
  <c r="E89" i="5"/>
  <c r="F88" i="5"/>
  <c r="E88" i="5"/>
  <c r="F87" i="5"/>
  <c r="E87" i="5"/>
  <c r="F86" i="5"/>
  <c r="E86" i="5"/>
  <c r="F85" i="5"/>
  <c r="E85" i="5"/>
  <c r="F84" i="5"/>
  <c r="E84" i="5"/>
  <c r="F82" i="5"/>
  <c r="E82" i="5"/>
  <c r="F78" i="5"/>
  <c r="E78" i="5"/>
  <c r="F72" i="5"/>
  <c r="E72" i="5"/>
  <c r="F69" i="5"/>
  <c r="E69" i="5"/>
  <c r="F67" i="5"/>
  <c r="E67" i="5"/>
  <c r="F66" i="5"/>
  <c r="E66" i="5"/>
  <c r="F65" i="5"/>
  <c r="E65" i="5"/>
  <c r="F64" i="5"/>
  <c r="E64" i="5"/>
  <c r="F54" i="5"/>
  <c r="E54" i="5"/>
  <c r="F53" i="5"/>
  <c r="E53" i="5"/>
  <c r="F52" i="5"/>
  <c r="E52" i="5"/>
  <c r="F51" i="5"/>
  <c r="E51" i="5"/>
  <c r="F49" i="5"/>
  <c r="E49" i="5"/>
  <c r="F48" i="5"/>
  <c r="E48" i="5"/>
  <c r="F47" i="5"/>
  <c r="E47" i="5"/>
  <c r="F46" i="5"/>
  <c r="E46" i="5"/>
  <c r="F45" i="5"/>
  <c r="E45" i="5"/>
  <c r="F44" i="5"/>
  <c r="E44" i="5"/>
  <c r="F43" i="5"/>
  <c r="E43" i="5"/>
  <c r="F41" i="5"/>
  <c r="E41" i="5"/>
  <c r="F40" i="5"/>
  <c r="E40" i="5"/>
  <c r="F39" i="5"/>
  <c r="E39" i="5"/>
  <c r="F38" i="5"/>
  <c r="E38" i="5"/>
  <c r="F37" i="5"/>
  <c r="E37" i="5"/>
  <c r="F36" i="5"/>
  <c r="E36" i="5"/>
  <c r="F35" i="5"/>
  <c r="E35" i="5"/>
  <c r="F34" i="5"/>
  <c r="E34" i="5"/>
  <c r="F33" i="5"/>
  <c r="E33" i="5"/>
  <c r="F31" i="5"/>
  <c r="E31" i="5"/>
  <c r="F30" i="5"/>
  <c r="E30" i="5"/>
  <c r="F29" i="5"/>
  <c r="E29" i="5"/>
  <c r="F28" i="5"/>
  <c r="E28" i="5"/>
  <c r="F27" i="5"/>
  <c r="E27" i="5"/>
  <c r="F26" i="5"/>
  <c r="E26" i="5"/>
  <c r="F25" i="5"/>
  <c r="E25" i="5"/>
  <c r="F24" i="5"/>
  <c r="E24" i="5"/>
  <c r="F22" i="5"/>
  <c r="E22" i="5"/>
  <c r="F19" i="5"/>
  <c r="E19" i="5"/>
  <c r="F18" i="5"/>
  <c r="E18" i="5"/>
  <c r="F14" i="5"/>
  <c r="E14" i="5"/>
  <c r="F13" i="5"/>
  <c r="E13" i="5"/>
  <c r="F12" i="5"/>
  <c r="E12" i="5"/>
  <c r="F21" i="5"/>
  <c r="E21" i="5"/>
  <c r="F8" i="5"/>
  <c r="E8" i="5"/>
  <c r="F7" i="5"/>
  <c r="E7" i="5"/>
  <c r="F6" i="5"/>
  <c r="E6" i="5"/>
  <c r="F5" i="5"/>
  <c r="E5" i="5"/>
  <c r="F4" i="5"/>
  <c r="E4" i="5"/>
  <c r="F3" i="5"/>
  <c r="E3" i="5"/>
  <c r="E2" i="1"/>
  <c r="D2" i="1"/>
  <c r="E1" i="2" l="1"/>
  <c r="F9" i="3"/>
  <c r="F15" i="3" s="1"/>
  <c r="G9" i="3"/>
  <c r="G15" i="3" s="1"/>
  <c r="F19" i="3"/>
  <c r="G19" i="3"/>
  <c r="D1" i="4"/>
  <c r="G8" i="3" s="1"/>
  <c r="G14" i="3" s="1"/>
  <c r="C1" i="4"/>
  <c r="F8" i="3" s="1"/>
  <c r="F14" i="3" s="1"/>
  <c r="D1" i="6"/>
  <c r="G7" i="3" s="1"/>
  <c r="G13" i="3" s="1"/>
  <c r="C1" i="6"/>
  <c r="F7" i="3" s="1"/>
  <c r="F13" i="3" s="1"/>
  <c r="D1" i="5"/>
  <c r="C1" i="5"/>
  <c r="C1" i="1"/>
  <c r="G5" i="3" s="1"/>
  <c r="G11" i="3" s="1"/>
  <c r="B1" i="1"/>
  <c r="F1" i="5" l="1"/>
  <c r="G18" i="3" s="1"/>
  <c r="G6" i="3"/>
  <c r="G12" i="3" s="1"/>
  <c r="E1" i="1"/>
  <c r="G17" i="3" s="1"/>
  <c r="E1" i="5"/>
  <c r="F18" i="3" s="1"/>
  <c r="F6" i="3"/>
  <c r="F12" i="3" s="1"/>
  <c r="D1" i="1"/>
  <c r="F5" i="3"/>
  <c r="F11" i="3" s="1"/>
  <c r="F17"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E9" authorId="0" shapeId="0" xr:uid="{CBFBD02C-AB8D-43A1-844E-A38D528888AA}">
      <text>
        <r>
          <rPr>
            <b/>
            <sz val="9"/>
            <color indexed="81"/>
            <rFont val="Tahoma"/>
            <charset val="1"/>
          </rPr>
          <t>Norbert Wagner:</t>
        </r>
        <r>
          <rPr>
            <sz val="9"/>
            <color indexed="81"/>
            <rFont val="Tahoma"/>
            <charset val="1"/>
          </rPr>
          <t xml:space="preserve">
Formula considers, that entry for _translationAcknowledge is empty</t>
        </r>
      </text>
    </comment>
    <comment ref="F9" authorId="0" shapeId="0" xr:uid="{CF890157-4FA7-4EE7-9019-5FD667DC3FCD}">
      <text>
        <r>
          <rPr>
            <b/>
            <sz val="9"/>
            <color indexed="81"/>
            <rFont val="Tahoma"/>
            <charset val="1"/>
          </rPr>
          <t>Norbert Wagner:</t>
        </r>
        <r>
          <rPr>
            <sz val="9"/>
            <color indexed="81"/>
            <rFont val="Tahoma"/>
            <charset val="1"/>
          </rPr>
          <t xml:space="preserve">
Formula considers, that entry for _translationAcknowledge is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9" authorId="0" shapeId="0" xr:uid="{00000000-0006-0000-0200-000001000000}">
      <text>
        <r>
          <rPr>
            <b/>
            <sz val="9"/>
            <color indexed="81"/>
            <rFont val="Tahoma"/>
            <family val="2"/>
          </rPr>
          <t>Abkürzung für Blau</t>
        </r>
      </text>
    </comment>
    <comment ref="B119" authorId="0" shapeId="0" xr:uid="{00000000-0006-0000-0200-000002000000}">
      <text>
        <r>
          <rPr>
            <b/>
            <sz val="9"/>
            <color indexed="81"/>
            <rFont val="Tahoma"/>
            <family val="2"/>
          </rPr>
          <t>Abreviation for Blue</t>
        </r>
      </text>
    </comment>
    <comment ref="A287" authorId="0" shapeId="0" xr:uid="{00000000-0006-0000-0200-000003000000}">
      <text>
        <r>
          <rPr>
            <b/>
            <sz val="9"/>
            <color indexed="81"/>
            <rFont val="Tahoma"/>
            <family val="2"/>
          </rPr>
          <t>Abkürzung für Grün</t>
        </r>
      </text>
    </comment>
    <comment ref="B287" authorId="0" shapeId="0" xr:uid="{00000000-0006-0000-0200-000004000000}">
      <text>
        <r>
          <rPr>
            <b/>
            <sz val="9"/>
            <color indexed="81"/>
            <rFont val="Tahoma"/>
            <family val="2"/>
          </rPr>
          <t>Abreviation for Green</t>
        </r>
      </text>
    </comment>
    <comment ref="A468" authorId="0" shapeId="0" xr:uid="{00000000-0006-0000-0200-000005000000}">
      <text>
        <r>
          <rPr>
            <sz val="9"/>
            <color indexed="81"/>
            <rFont val="Tahoma"/>
            <charset val="1"/>
          </rPr>
          <t>Abkürzung für Rot</t>
        </r>
      </text>
    </comment>
    <comment ref="B468"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<sst xmlns="http://schemas.openxmlformats.org/spreadsheetml/2006/main" count="3292" uniqueCount="2893">
  <si>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</si>
  <si>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</si>
  <si>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</si>
  <si>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</si>
  <si>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</si>
  <si>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</si>
  <si>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</si>
  <si>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</si>
  <si>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</si>
  <si>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</si>
  <si>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</si>
  <si>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</si>
  <si>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</si>
  <si>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</si>
  <si>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</si>
  <si>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</si>
  <si>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</si>
  <si>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</si>
  <si>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</si>
  <si>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</si>
  <si>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</si>
  <si>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</si>
  <si>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</si>
  <si>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</si>
  <si>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</si>
  <si>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</si>
  <si>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</si>
  <si>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</si>
  <si>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</si>
  <si>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</si>
  <si>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</si>
  <si>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</si>
  <si>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</si>
  <si>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</si>
  <si>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</si>
  <si>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</si>
  <si>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</si>
  <si>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</si>
  <si>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</si>
  <si>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</si>
  <si>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</si>
  <si>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</si>
  <si>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</si>
  <si>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</si>
  <si>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</si>
  <si>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</si>
  <si>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</si>
  <si>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</si>
  <si>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</si>
  <si>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</si>
  <si>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</si>
  <si>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</si>
  <si>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</si>
  <si>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</si>
  <si>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</si>
  <si>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</si>
  <si>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</si>
  <si>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</si>
  <si>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</si>
  <si>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</si>
  <si>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</si>
  <si>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</si>
  <si>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</si>
  <si>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</si>
  <si>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</si>
  <si>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</si>
  <si>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</si>
  <si>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</si>
  <si>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</si>
  <si>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</si>
  <si>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</si>
  <si>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</si>
  <si>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</si>
  <si>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</si>
  <si>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</si>
  <si>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</si>
  <si>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</si>
  <si>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</si>
  <si>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</si>
  <si>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</si>
  <si>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</si>
  <si>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</si>
  <si>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</si>
  <si>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</si>
  <si>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</si>
  <si>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</si>
  <si>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</si>
  <si>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</si>
  <si>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</si>
  <si>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</si>
  <si>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</si>
  <si>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</si>
  <si>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</si>
  <si>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</si>
  <si>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</si>
  <si>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</si>
  <si>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</si>
  <si>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</si>
  <si>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</si>
  <si>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</si>
  <si>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</si>
  <si>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</si>
  <si>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</si>
  <si>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</si>
  <si>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</si>
  <si>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</si>
  <si>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</si>
  <si>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</si>
  <si>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</si>
  <si>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</si>
  <si>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</si>
  <si>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</si>
  <si>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</si>
  <si>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</si>
  <si>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</si>
  <si>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</si>
  <si>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</si>
  <si>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</si>
  <si>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</si>
  <si>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</si>
  <si>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</si>
  <si>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</si>
  <si>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</si>
  <si>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</si>
  <si>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</si>
  <si>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</si>
  <si>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</si>
  <si>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</si>
  <si>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</si>
  <si>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</si>
  <si>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</si>
  <si>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</si>
  <si>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</si>
  <si>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</si>
  <si>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</si>
  <si>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</si>
  <si>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</si>
  <si>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</si>
  <si>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</si>
  <si>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</si>
  <si>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</si>
  <si>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</si>
  <si>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</si>
  <si>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</si>
  <si>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</si>
  <si>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</si>
  <si>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</si>
  <si>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</si>
  <si>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</si>
  <si>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</si>
  <si>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</si>
  <si>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</si>
  <si>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</si>
  <si>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</si>
  <si>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</si>
  <si>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</si>
  <si>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</si>
  <si>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</si>
  <si>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</si>
  <si>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</si>
  <si>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</si>
  <si>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</si>
  <si>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</si>
  <si>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</si>
  <si>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</si>
  <si>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</si>
  <si>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</si>
  <si>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</si>
  <si>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</si>
  <si>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</si>
  <si>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</si>
  <si>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</si>
  <si>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</si>
  <si>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</si>
  <si>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</si>
  <si>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</si>
  <si>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</si>
  <si>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</si>
  <si>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</si>
  <si>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</si>
  <si>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</si>
  <si>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</si>
  <si>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</si>
  <si>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</si>
  <si>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</si>
  <si>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</si>
  <si>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</si>
  <si>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</si>
  <si>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</si>
  <si>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</si>
  <si>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</si>
  <si>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</si>
  <si>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</si>
  <si>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</si>
  <si>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</si>
  <si>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</si>
  <si>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</si>
  <si>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</si>
  <si>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</si>
  <si>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</si>
  <si>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</si>
  <si>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</si>
  <si>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</si>
  <si>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</si>
  <si>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</si>
  <si>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</si>
  <si>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</si>
  <si>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</si>
  <si>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</si>
  <si>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</si>
  <si>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</si>
  <si>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</si>
  <si>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</si>
  <si>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</si>
  <si>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</si>
  <si>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</si>
  <si>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</si>
  <si>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</si>
  <si>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</si>
  <si>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</si>
  <si>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</si>
  <si>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</si>
  <si>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</si>
  <si>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</si>
  <si>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</si>
  <si>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</si>
  <si>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</si>
  <si>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</si>
  <si>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</si>
  <si>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</si>
  <si>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</si>
  <si>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</si>
  <si>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</si>
  <si>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</si>
  <si>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</si>
  <si>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</si>
  <si>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</si>
  <si>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</si>
  <si>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</si>
  <si>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</si>
  <si>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</si>
  <si>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</si>
  <si>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</si>
  <si>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</si>
  <si>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</si>
  <si>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</si>
  <si>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</si>
  <si>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</si>
  <si>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</si>
  <si>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</si>
  <si>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</si>
  <si>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</si>
  <si>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</si>
  <si>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</si>
  <si>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</si>
  <si>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</si>
  <si>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</si>
  <si>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</si>
  <si>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</si>
  <si>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</si>
  <si>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</si>
  <si>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</si>
  <si>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</si>
  <si>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</si>
  <si>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</si>
  <si>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</si>
  <si>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</si>
  <si>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</si>
  <si>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</si>
  <si>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</si>
  <si>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</si>
  <si>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</si>
  <si>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</si>
  <si>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</si>
  <si>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</si>
  <si>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</si>
  <si>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</si>
  <si>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</si>
  <si>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</si>
  <si>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</si>
  <si>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</si>
  <si>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</si>
  <si>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</si>
  <si>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</si>
  <si>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</si>
  <si>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</si>
  <si>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</si>
  <si>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</si>
  <si>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</si>
  <si>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</si>
  <si>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</si>
  <si>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</si>
  <si>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</si>
  <si>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</si>
  <si>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</si>
  <si>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</si>
  <si>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</si>
  <si>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</si>
  <si>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</si>
  <si>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</si>
  <si>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</si>
  <si>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</si>
  <si>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</si>
  <si>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</si>
  <si>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</si>
  <si>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</si>
  <si>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</si>
  <si>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</si>
  <si>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</si>
  <si>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</si>
  <si>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</si>
  <si>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</si>
  <si>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</si>
  <si>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</si>
  <si>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</si>
  <si>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</si>
  <si>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</si>
  <si>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</si>
  <si>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</si>
  <si>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</si>
  <si>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</si>
  <si>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</si>
  <si>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</si>
  <si>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</si>
  <si>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</si>
  <si>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</si>
  <si>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</si>
  <si>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</si>
  <si>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</si>
  <si>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</si>
  <si>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</si>
  <si>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</si>
  <si>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</si>
  <si>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</si>
  <si>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</si>
  <si>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</si>
  <si>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</si>
  <si>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</si>
  <si>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</si>
  <si>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</si>
  <si>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</si>
  <si>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</si>
  <si>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</si>
  <si>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</si>
  <si>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</si>
  <si>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</si>
  <si>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</si>
  <si>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</si>
  <si>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</si>
  <si>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</si>
  <si>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</si>
  <si>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</si>
  <si>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</si>
  <si>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</si>
  <si>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</si>
  <si>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</si>
  <si>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</si>
  <si>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</si>
  <si>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</si>
  <si>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</si>
  <si>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</si>
  <si>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</si>
  <si>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</si>
  <si>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</si>
  <si>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</si>
  <si>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</si>
  <si>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</si>
  <si>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</si>
  <si>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</si>
  <si>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</si>
  <si>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</si>
  <si>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</si>
  <si>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</si>
  <si>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</si>
  <si>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</si>
  <si>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</si>
  <si>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</si>
  <si>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</si>
  <si>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</si>
  <si>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</si>
  <si>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</si>
  <si>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</si>
  <si>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</si>
  <si>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</si>
  <si>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</si>
  <si>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</si>
  <si>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</si>
  <si>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</si>
  <si>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</si>
  <si>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</si>
  <si>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</si>
  <si>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</si>
  <si>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</si>
  <si>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</si>
  <si>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</si>
  <si>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</si>
  <si>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</si>
  <si>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</si>
  <si>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</si>
  <si>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</si>
  <si>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</si>
  <si>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</si>
  <si>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</si>
  <si>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</si>
  <si>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</si>
  <si>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</si>
  <si>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</si>
  <si>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</si>
  <si>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</si>
  <si>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</si>
  <si>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</si>
  <si>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</si>
  <si>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</si>
  <si>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</si>
  <si>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</si>
  <si>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</si>
  <si>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</si>
  <si>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</si>
  <si>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</si>
  <si>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</si>
  <si>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</si>
  <si>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</si>
  <si>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</si>
  <si>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</si>
  <si>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</si>
  <si>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</si>
  <si>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</si>
  <si>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</si>
  <si>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</si>
  <si>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</si>
  <si>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</si>
  <si>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</si>
  <si>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</si>
  <si>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</si>
  <si>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</si>
  <si>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</si>
  <si>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</si>
  <si>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</si>
  <si>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</si>
  <si>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</si>
  <si>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</si>
  <si>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</si>
  <si>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</si>
  <si>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</si>
  <si>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</si>
  <si>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</si>
  <si>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</si>
  <si>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</si>
  <si>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</si>
  <si>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</si>
  <si>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</si>
  <si>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</si>
  <si>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</si>
  <si>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</si>
  <si>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</si>
  <si>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</si>
  <si>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</si>
  <si>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</si>
  <si>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</si>
  <si>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</si>
  <si>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</si>
  <si>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</si>
  <si>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</si>
  <si>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</si>
  <si>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</si>
  <si>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</si>
  <si>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</si>
  <si>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</si>
  <si>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</si>
  <si>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</si>
  <si>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</si>
  <si>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</si>
  <si>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</si>
  <si>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</si>
  <si>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</si>
  <si>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</si>
  <si>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</si>
  <si>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</si>
  <si>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</si>
  <si>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</si>
  <si>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</si>
  <si>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</si>
  <si>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</si>
  <si>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</si>
  <si>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</si>
  <si>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</si>
  <si>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</si>
  <si>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</si>
  <si>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</si>
  <si>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</si>
  <si>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</si>
  <si>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</si>
  <si>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</si>
  <si>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</si>
  <si>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</si>
  <si>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</si>
  <si>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</si>
  <si>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</si>
  <si>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</si>
  <si>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</si>
  <si>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</si>
  <si>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</si>
  <si>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</si>
  <si>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</si>
  <si>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</si>
  <si>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</si>
  <si>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</si>
  <si>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</si>
  <si>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</si>
  <si>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</si>
  <si>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</si>
  <si>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</si>
  <si>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</si>
  <si>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</si>
  <si>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</si>
  <si>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</si>
  <si>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</si>
  <si>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</si>
  <si>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</si>
  <si>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</si>
  <si>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</si>
  <si>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</si>
  <si>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</si>
  <si>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</si>
  <si>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</si>
  <si>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</si>
  <si>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</si>
  <si>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</si>
  <si>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</si>
  <si>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</si>
  <si>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</si>
  <si>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</si>
  <si>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</si>
  <si>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</si>
  <si>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</si>
  <si>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</si>
  <si>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</si>
  <si>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</si>
  <si>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</si>
  <si>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</si>
  <si>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</si>
  <si>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</si>
  <si>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</si>
  <si>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</si>
  <si>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</si>
  <si>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</si>
  <si>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</si>
  <si>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</si>
  <si>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</si>
  <si>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</si>
  <si>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</si>
  <si>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</si>
  <si>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</si>
  <si>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</si>
  <si>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</si>
  <si>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</si>
  <si>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</si>
  <si>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</si>
  <si>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</si>
  <si>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</si>
  <si>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</si>
  <si>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</si>
  <si>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</si>
  <si>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</si>
  <si>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</si>
  <si>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</si>
  <si>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</si>
  <si>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</si>
  <si>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</si>
  <si>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</si>
  <si>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</si>
  <si>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</si>
  <si>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</si>
  <si>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</si>
  <si>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</si>
  <si>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</si>
  <si>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</si>
  <si>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</si>
  <si>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</si>
  <si>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</si>
  <si>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</si>
  <si>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</si>
  <si>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</si>
  <si>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</si>
  <si>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</si>
  <si>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</si>
  <si>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</si>
  <si>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</si>
  <si>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</si>
  <si>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</si>
  <si>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</si>
  <si>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</si>
  <si>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</si>
  <si>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</si>
  <si>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</si>
  <si>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</si>
  <si>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</si>
  <si>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</si>
  <si>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</si>
  <si>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</si>
  <si>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</si>
  <si>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</si>
  <si>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</si>
  <si>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</si>
  <si>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</si>
  <si>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</si>
  <si>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</si>
  <si>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</si>
  <si>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</si>
  <si>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</si>
  <si>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</si>
  <si>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</si>
  <si>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</si>
  <si>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</si>
  <si>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</si>
  <si>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</si>
  <si>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</si>
  <si>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</si>
  <si>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</si>
  <si>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</si>
  <si>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</si>
  <si>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</si>
  <si>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</si>
  <si>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</si>
  <si>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</si>
  <si>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</si>
  <si>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</si>
  <si>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</si>
  <si>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</si>
  <si>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</si>
  <si>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</si>
  <si>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</si>
  <si>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</si>
  <si>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</si>
  <si>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</si>
  <si>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</si>
  <si>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</si>
  <si>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</si>
  <si>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</si>
  <si>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</si>
  <si>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</si>
  <si>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</si>
  <si>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</si>
  <si>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</si>
  <si>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</si>
  <si>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</si>
  <si>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</si>
  <si>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</si>
  <si>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</si>
  <si>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</si>
  <si>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</si>
  <si>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</si>
  <si>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</si>
  <si>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</si>
  <si>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</si>
  <si>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</si>
  <si>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</si>
  <si>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</si>
  <si>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</si>
  <si>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</si>
  <si>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</si>
  <si>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</si>
  <si>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</si>
  <si>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</si>
  <si>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</si>
  <si>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</si>
  <si>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</si>
  <si>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</si>
  <si>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</si>
  <si>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</si>
  <si>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</si>
  <si>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</si>
  <si>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</si>
  <si>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</si>
  <si>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</si>
  <si>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</si>
  <si>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</si>
  <si>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</si>
  <si>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</si>
  <si>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</si>
  <si>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</si>
  <si>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</si>
  <si>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</si>
  <si>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</si>
  <si>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</si>
  <si>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</si>
  <si>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</si>
  <si>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</si>
  <si>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</si>
  <si>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</si>
  <si>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</si>
  <si>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</si>
  <si>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</si>
  <si>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</si>
  <si>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</si>
  <si>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</si>
  <si>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</si>
  <si>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</si>
  <si>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</si>
  <si>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</si>
  <si>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</si>
  <si>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</si>
  <si>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</si>
  <si>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</si>
  <si>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</si>
  <si>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</si>
  <si>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</si>
  <si>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</si>
  <si>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</si>
  <si>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</si>
  <si>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</si>
  <si>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</si>
  <si>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</si>
  <si>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</si>
  <si>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</si>
  <si>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</si>
  <si>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</si>
  <si>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</si>
  <si>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</si>
  <si>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</si>
  <si>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</si>
  <si>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</si>
  <si>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</si>
  <si>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</si>
  <si>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</si>
  <si>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</si>
  <si>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</si>
  <si>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</si>
  <si>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</si>
  <si>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</si>
  <si>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</si>
  <si>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</si>
  <si>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</si>
  <si>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</si>
  <si>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</si>
  <si>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</si>
  <si>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</si>
  <si>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</si>
  <si>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</si>
  <si>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</si>
  <si>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</si>
  <si>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</si>
  <si>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</si>
  <si>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</si>
  <si>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</si>
  <si>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</si>
  <si>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</si>
  <si>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</si>
  <si>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</si>
  <si>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</si>
  <si>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</si>
  <si>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</si>
  <si>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</si>
  <si>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</si>
  <si>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</si>
  <si>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</si>
  <si>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</si>
  <si>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</si>
  <si>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</si>
  <si>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</si>
  <si>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</si>
  <si>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</si>
  <si>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</si>
  <si>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</si>
  <si>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</si>
  <si>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</si>
  <si>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</si>
  <si>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</si>
  <si>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</si>
  <si>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</si>
  <si>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</si>
  <si>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</si>
  <si>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</si>
  <si>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</si>
  <si>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</si>
  <si>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</si>
  <si>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</si>
  <si>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</si>
  <si>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</si>
  <si>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</si>
  <si>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</si>
  <si>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</si>
  <si>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</si>
  <si>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</si>
  <si>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</si>
  <si>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</si>
  <si>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</si>
  <si>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</si>
  <si>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</si>
  <si>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</si>
  <si>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</si>
  <si>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</si>
  <si>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</si>
  <si>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</si>
  <si>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</si>
  <si>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</si>
  <si>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</si>
  <si>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</si>
  <si>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</si>
  <si>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</si>
  <si>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</si>
  <si>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</si>
  <si>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</si>
  <si>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</si>
  <si>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</si>
  <si>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</si>
  <si>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</si>
  <si>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</si>
  <si>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</si>
  <si>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</si>
  <si>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</si>
  <si>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</si>
  <si>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</si>
  <si>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</si>
  <si>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</si>
  <si>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</si>
  <si>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</si>
  <si>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</si>
  <si>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</si>
  <si>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</si>
  <si>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</si>
  <si>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</si>
  <si>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</si>
  <si>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</si>
  <si>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</si>
  <si>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</si>
  <si>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</si>
  <si>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</si>
  <si>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</si>
  <si>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</si>
  <si>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</si>
  <si>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</si>
  <si>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</si>
  <si>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</si>
  <si>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</si>
  <si>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</si>
  <si>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</si>
  <si>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</si>
  <si>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</si>
  <si>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</si>
  <si>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</si>
  <si>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</si>
  <si>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</si>
  <si>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</si>
  <si>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</si>
  <si>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</si>
  <si>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</si>
  <si>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</si>
  <si>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</si>
  <si>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</si>
  <si>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</si>
  <si>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</si>
  <si>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</si>
  <si>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</si>
  <si>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</si>
  <si>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</si>
  <si>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</si>
  <si>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</si>
  <si>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</si>
  <si>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</si>
  <si>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</si>
  <si>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</si>
  <si>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</si>
  <si>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</si>
  <si>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</si>
  <si>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</si>
  <si>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</si>
  <si>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</si>
  <si>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</si>
  <si>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</si>
  <si>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</si>
  <si>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</si>
  <si>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</si>
  <si>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</si>
  <si>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</si>
  <si>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</si>
  <si>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</si>
  <si>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</si>
  <si>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</si>
  <si>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</si>
  <si>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</si>
  <si>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</si>
  <si>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</si>
  <si>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</si>
  <si>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</si>
  <si>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</si>
  <si>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</si>
  <si>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</si>
  <si>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</si>
  <si>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</si>
  <si>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</si>
  <si>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</si>
  <si>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</si>
  <si>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</si>
  <si>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</si>
  <si>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</si>
  <si>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</si>
  <si>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</si>
  <si>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</si>
  <si>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</si>
  <si>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</si>
  <si>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</si>
  <si>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</si>
  <si>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</si>
  <si>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</si>
  <si>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</si>
  <si>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</si>
  <si>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</si>
  <si>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</si>
  <si>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</si>
  <si>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</si>
  <si>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</si>
  <si>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</si>
  <si>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</si>
  <si>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</si>
  <si>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</si>
  <si>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</si>
  <si>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</si>
  <si>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</si>
  <si>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</si>
  <si>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</si>
  <si>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</si>
  <si>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</si>
  <si>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</si>
  <si>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</si>
  <si>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</si>
  <si>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</si>
  <si>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</si>
  <si>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</si>
  <si>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</si>
  <si>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</si>
  <si>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</si>
  <si>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</si>
  <si>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</si>
  <si>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</si>
  <si>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</si>
  <si>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</si>
  <si>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</si>
  <si>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</si>
  <si>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</si>
  <si>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</si>
  <si>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</si>
  <si>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</si>
  <si>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</si>
  <si>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</si>
  <si>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</si>
  <si>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</si>
  <si>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</si>
  <si>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</si>
  <si>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</si>
  <si>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</si>
  <si>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</si>
  <si>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</si>
  <si>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</si>
  <si>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</si>
  <si>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</si>
  <si>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</si>
  <si>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</si>
  <si>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</si>
  <si>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</si>
  <si>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</si>
  <si>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</si>
  <si>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</si>
  <si>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</si>
  <si>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</si>
  <si>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</si>
  <si>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</si>
  <si>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</si>
  <si>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</si>
  <si>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</si>
  <si>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</si>
  <si>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</si>
  <si>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</si>
  <si>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</si>
  <si>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</si>
  <si>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</si>
  <si>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</si>
  <si>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</si>
  <si>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</si>
  <si>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</si>
  <si>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</si>
  <si>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</si>
  <si>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</si>
  <si>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</si>
  <si>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</si>
  <si>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</si>
  <si>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</si>
  <si>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</si>
  <si>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</si>
  <si>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</si>
  <si>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</si>
  <si>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</si>
  <si>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</si>
  <si>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</si>
  <si>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</si>
  <si>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</si>
  <si>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</si>
  <si>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</si>
  <si>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</si>
  <si>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</si>
  <si>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</si>
  <si>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</si>
  <si>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</si>
  <si>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</si>
  <si>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</si>
  <si>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</si>
  <si>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</si>
  <si>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</si>
  <si>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</si>
  <si>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</si>
  <si>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</si>
  <si>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</si>
  <si>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</si>
  <si>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</si>
  <si>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</si>
  <si>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</si>
  <si>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</si>
  <si>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</si>
  <si>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</si>
  <si>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</si>
  <si>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</si>
  <si>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</si>
  <si>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</si>
  <si>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</si>
  <si>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</si>
  <si>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</si>
  <si>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</si>
  <si>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</si>
  <si>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</si>
  <si>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</si>
  <si>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</si>
  <si>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</si>
  <si>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</si>
  <si>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</si>
  <si>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</si>
  <si>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</si>
  <si>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</si>
  <si>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</si>
  <si>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</si>
  <si>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</si>
  <si>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</si>
  <si>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</si>
  <si>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</si>
  <si>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</si>
  <si>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</si>
  <si>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</si>
  <si>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</si>
  <si>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</si>
  <si>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</si>
  <si>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</si>
  <si>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</si>
  <si>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</si>
  <si>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</si>
  <si>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</si>
  <si>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</si>
  <si>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</si>
  <si>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</si>
  <si>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</si>
  <si>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</si>
  <si>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</si>
  <si>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</si>
  <si>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</si>
  <si>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</si>
  <si>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</si>
  <si>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</si>
  <si>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</si>
  <si>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</si>
  <si>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</si>
  <si>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</si>
  <si>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</si>
  <si>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</si>
  <si>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</si>
  <si>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</si>
  <si>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</si>
  <si>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</si>
  <si>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</si>
  <si>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</si>
  <si>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</si>
  <si>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</si>
  <si>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</si>
  <si>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</si>
  <si>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</si>
  <si>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</si>
  <si>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</si>
  <si>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</si>
  <si>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</si>
  <si>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</si>
  <si>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</si>
  <si>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</si>
  <si>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</si>
  <si>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</si>
  <si>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</si>
  <si>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</si>
  <si>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</si>
  <si>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</si>
  <si>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</si>
  <si>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</si>
  <si>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</si>
  <si>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</si>
  <si>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</si>
  <si>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</si>
  <si>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</si>
  <si>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</si>
  <si>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</si>
  <si>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</si>
  <si>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</si>
  <si>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</si>
  <si>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</si>
  <si>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</si>
  <si>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</si>
  <si>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</si>
  <si>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</si>
  <si>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</si>
  <si>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</si>
  <si>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</si>
  <si>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</si>
  <si>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</si>
  <si>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</si>
  <si>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</si>
  <si>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</si>
  <si>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</si>
  <si>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</si>
  <si>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</si>
  <si>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</si>
  <si>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</si>
  <si>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</si>
  <si>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</si>
  <si>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</si>
  <si>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</si>
  <si>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</si>
  <si>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</si>
  <si>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</si>
  <si>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</si>
  <si>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</si>
  <si>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</si>
  <si>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</si>
  <si>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</si>
  <si>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</si>
  <si>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</si>
  <si>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</si>
  <si>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</si>
  <si>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</si>
  <si>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</si>
  <si>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</si>
  <si>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</si>
  <si>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</si>
  <si>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</si>
  <si>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</si>
  <si>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</si>
  <si>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</si>
  <si>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</si>
  <si>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</si>
  <si>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</si>
  <si>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</si>
  <si>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</si>
  <si>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</si>
  <si>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</si>
  <si>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</si>
  <si>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</si>
  <si>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</si>
  <si>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</si>
  <si>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</si>
  <si>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</si>
  <si>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</si>
  <si>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</si>
  <si>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</si>
  <si>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</si>
  <si>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</si>
  <si>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</si>
  <si>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</si>
  <si>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</si>
  <si>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</si>
  <si>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</si>
  <si>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</si>
  <si>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</si>
  <si>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</si>
  <si>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</si>
  <si>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</si>
  <si>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</si>
  <si>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</si>
  <si>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</si>
  <si>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</si>
  <si>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</si>
  <si>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</si>
  <si>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</si>
  <si>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</si>
  <si>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</si>
  <si>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</si>
  <si>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</si>
  <si>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</si>
  <si>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</si>
  <si>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</si>
  <si>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</si>
  <si>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</si>
  <si>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</si>
  <si>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</si>
  <si>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</si>
  <si>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</si>
  <si>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</si>
  <si>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</si>
  <si>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</si>
  <si>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</si>
  <si>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</si>
  <si>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</si>
  <si>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</si>
  <si>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</si>
  <si>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</si>
  <si>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</si>
  <si>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</si>
  <si>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</si>
  <si>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</si>
  <si>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</si>
  <si>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</si>
  <si>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</si>
  <si>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</si>
  <si>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</si>
  <si>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</si>
  <si>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</si>
  <si>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</si>
  <si>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</si>
  <si>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</si>
  <si>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</si>
  <si>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</si>
  <si>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</si>
  <si>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</si>
  <si>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</si>
  <si>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</si>
  <si>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</si>
  <si>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</si>
  <si>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</si>
  <si>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</si>
  <si>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</si>
  <si>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</si>
  <si>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</si>
  <si>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</si>
  <si>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</si>
  <si>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</si>
  <si>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</si>
  <si>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</si>
  <si>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</si>
  <si>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</si>
  <si>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</si>
  <si>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</si>
  <si>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</si>
  <si>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</si>
  <si>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</si>
  <si>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</si>
  <si>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</si>
  <si>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</si>
  <si>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</si>
  <si>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</si>
  <si>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</si>
  <si>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</si>
  <si>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</si>
  <si>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</si>
  <si>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</si>
  <si>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</si>
  <si>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</si>
  <si>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</si>
  <si>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</si>
  <si>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</si>
  <si>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</si>
  <si>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</si>
  <si>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</si>
  <si>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</si>
  <si>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</si>
  <si>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</si>
  <si>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</si>
  <si>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</si>
  <si>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</si>
  <si>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</si>
  <si>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</si>
  <si>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</si>
  <si>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</si>
  <si>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</si>
  <si>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</si>
  <si>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</si>
  <si>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</si>
  <si>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</si>
  <si>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</si>
  <si>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</si>
  <si>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</si>
  <si>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</si>
  <si>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</si>
  <si>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</si>
  <si>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</si>
  <si>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</si>
  <si>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</si>
  <si>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</si>
  <si>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</si>
  <si>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</si>
  <si>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</si>
  <si>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</si>
  <si>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</si>
  <si>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</si>
  <si>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</si>
  <si>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</si>
  <si>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</si>
  <si>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</si>
  <si>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</si>
  <si>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</si>
  <si>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</si>
  <si>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</si>
  <si>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</si>
  <si>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</si>
  <si>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</si>
  <si>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</si>
  <si>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</si>
  <si>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</si>
  <si>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</si>
  <si>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</si>
  <si>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</si>
  <si>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</si>
  <si>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</si>
  <si>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</si>
  <si>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</si>
  <si>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</si>
  <si>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</si>
  <si>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</si>
  <si>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</si>
  <si>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</si>
  <si>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</si>
  <si>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</si>
  <si>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</si>
  <si>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</si>
  <si>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</si>
  <si>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</si>
  <si>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</si>
  <si>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</si>
  <si>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</si>
  <si>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</si>
  <si>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</si>
  <si>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</si>
  <si>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</si>
  <si>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</si>
  <si>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</si>
  <si>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</si>
  <si>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</si>
  <si>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</si>
  <si>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</si>
  <si>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</si>
  <si>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</si>
  <si>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</si>
  <si>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</si>
  <si>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</si>
  <si>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</si>
  <si>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</si>
  <si>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</si>
  <si>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</si>
  <si>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</si>
  <si>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</si>
  <si>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</si>
  <si>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</si>
  <si>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</si>
  <si>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</si>
  <si>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</si>
  <si>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</si>
  <si>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</si>
  <si>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</si>
  <si>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</si>
  <si>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</si>
  <si>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</si>
  <si>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</si>
  <si>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</si>
  <si>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</si>
  <si>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</si>
  <si>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</si>
  <si>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</si>
  <si>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</si>
  <si>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</si>
  <si>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</si>
  <si>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</si>
  <si>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</si>
  <si>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</si>
  <si>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</si>
  <si>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</si>
  <si>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</si>
  <si>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</si>
  <si>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</si>
  <si>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</si>
  <si>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</si>
  <si>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</si>
  <si>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</si>
  <si>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</si>
  <si>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</si>
  <si>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</si>
  <si>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</si>
  <si>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</si>
  <si>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</si>
  <si>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</si>
  <si>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</si>
  <si>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</si>
  <si>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</si>
  <si>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</si>
  <si>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</si>
  <si>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</si>
  <si>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</si>
  <si>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</si>
  <si>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</si>
  <si>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</si>
  <si>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</si>
  <si>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</si>
  <si>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</si>
  <si>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</si>
  <si>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</si>
  <si>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</si>
  <si>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</si>
  <si>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</si>
  <si>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</si>
  <si>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</si>
  <si>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</si>
  <si>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</si>
  <si>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</si>
  <si>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</si>
  <si>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</si>
  <si>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</si>
  <si>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</si>
  <si>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</si>
  <si>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</si>
  <si>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</si>
  <si>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</si>
  <si>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</si>
  <si>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</si>
  <si>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</si>
  <si>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</si>
  <si>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</si>
  <si>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</si>
  <si>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</si>
  <si>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</si>
  <si>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</si>
  <si>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</si>
  <si>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</si>
  <si>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</si>
  <si>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</si>
  <si>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</si>
  <si>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</si>
  <si>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</si>
  <si>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</si>
  <si>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</si>
  <si>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</si>
  <si>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</si>
  <si>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</si>
  <si>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</si>
  <si>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</si>
  <si>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</si>
  <si>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</si>
  <si>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</si>
  <si>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</si>
  <si>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</si>
  <si>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</si>
  <si>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</si>
  <si>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</si>
  <si>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</si>
  <si>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</si>
  <si>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</si>
  <si>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</si>
  <si>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</si>
  <si>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</si>
  <si>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</si>
  <si>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</si>
  <si>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</si>
  <si>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</si>
  <si>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</si>
  <si>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</si>
  <si>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</si>
  <si>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</si>
  <si>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</si>
  <si>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</si>
  <si>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</si>
  <si>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</si>
  <si>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</si>
  <si>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</si>
  <si>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</si>
  <si>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</si>
  <si>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</si>
  <si>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</si>
  <si>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</si>
  <si>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</si>
  <si>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</si>
  <si>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</si>
  <si>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</si>
  <si>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</si>
  <si>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</si>
  <si>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</si>
  <si>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</si>
  <si>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</si>
  <si>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</si>
  <si>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</si>
  <si>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</si>
  <si>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</si>
  <si>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</si>
  <si>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</si>
  <si>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</si>
  <si>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</si>
  <si>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</si>
  <si>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</si>
  <si>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</si>
  <si>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</si>
  <si>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</si>
  <si>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</si>
  <si>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</si>
  <si>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</si>
  <si>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</si>
  <si>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</si>
  <si>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</si>
  <si>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</si>
  <si>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</si>
  <si>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</si>
  <si>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</si>
  <si>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</si>
  <si>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</si>
  <si>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</si>
  <si>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</si>
  <si>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</si>
  <si>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</si>
  <si>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</si>
  <si>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</si>
  <si>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</si>
  <si>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</si>
  <si>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</si>
  <si>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</si>
  <si>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</si>
  <si>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</si>
  <si>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</si>
  <si>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</si>
  <si>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</si>
  <si>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</si>
  <si>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</si>
  <si>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</si>
  <si>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</si>
  <si>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</si>
  <si>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</si>
  <si>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</si>
  <si>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</si>
  <si>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</si>
  <si>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</si>
  <si>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</si>
  <si>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</si>
  <si>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</si>
  <si>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</si>
  <si>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</si>
  <si>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</si>
  <si>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</si>
  <si>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</si>
  <si>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</si>
  <si>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</si>
  <si>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</si>
  <si>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</si>
  <si>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</si>
  <si>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</si>
  <si>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</si>
  <si>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</si>
  <si>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</si>
  <si>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</si>
  <si>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</si>
  <si>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</si>
  <si>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</si>
  <si>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</si>
  <si>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</si>
  <si>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</si>
  <si>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</si>
  <si>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</si>
  <si>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</si>
  <si>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</si>
  <si>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</si>
  <si>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</si>
  <si>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</si>
  <si>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</si>
  <si>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</si>
  <si>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</si>
  <si>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</si>
  <si>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</si>
  <si>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</si>
  <si>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</si>
  <si>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</si>
  <si>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</si>
  <si>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</si>
  <si>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</si>
  <si>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</si>
  <si>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</si>
  <si>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</si>
  <si>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</si>
  <si>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</si>
  <si>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</si>
  <si>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</si>
  <si>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</si>
  <si>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</si>
  <si>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</si>
  <si>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</si>
  <si>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</si>
  <si>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</si>
  <si>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</si>
  <si>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</si>
  <si>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</si>
  <si>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</si>
  <si>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</si>
  <si>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</si>
  <si>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</si>
  <si>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</si>
  <si>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</si>
  <si>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</si>
  <si>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</si>
  <si>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</si>
  <si>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</si>
  <si>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</si>
  <si>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</si>
  <si>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</si>
  <si>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</si>
  <si>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</si>
  <si>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</si>
  <si>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</si>
  <si>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</si>
  <si>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</si>
  <si>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</si>
  <si>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</si>
  <si>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</si>
  <si>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</si>
  <si>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</si>
  <si>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</si>
  <si>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</si>
  <si>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</si>
  <si>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</si>
  <si>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</si>
  <si>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</si>
  <si>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</si>
  <si>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</si>
  <si>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</si>
  <si>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</si>
  <si>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</si>
  <si>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</si>
  <si>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</si>
  <si>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</si>
  <si>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</si>
  <si>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</si>
  <si>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</si>
  <si>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</si>
  <si>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</si>
  <si>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</si>
  <si>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</si>
  <si>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</si>
  <si>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</si>
  <si>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</si>
  <si>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</si>
  <si>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</si>
  <si>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</si>
  <si>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</si>
  <si>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</si>
  <si>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</si>
  <si>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</si>
  <si>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</si>
  <si>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</si>
  <si>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</si>
  <si>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</si>
  <si>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</si>
  <si>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</si>
  <si>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</si>
  <si>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</si>
  <si>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</si>
  <si>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</si>
  <si>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</si>
  <si>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</si>
  <si>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</si>
  <si>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</si>
  <si>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</si>
  <si>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</si>
  <si>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</si>
  <si>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</si>
  <si>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</si>
  <si>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</si>
  <si>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</si>
  <si>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</si>
  <si>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</si>
  <si>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</si>
  <si>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</si>
  <si>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</si>
  <si>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</si>
  <si>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</si>
  <si>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</si>
  <si>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</si>
  <si>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</si>
  <si>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</si>
  <si>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</si>
  <si>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</si>
  <si>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</si>
  <si>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</si>
  <si>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</si>
  <si>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</si>
  <si>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</si>
  <si>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</si>
  <si>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</si>
  <si>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</si>
  <si>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</si>
  <si>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</si>
  <si>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</si>
  <si>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</si>
  <si>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</si>
  <si>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</si>
  <si>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</si>
  <si>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</si>
  <si>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</si>
  <si>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</si>
  <si>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</si>
  <si>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</si>
  <si>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</si>
  <si>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</si>
  <si>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</si>
  <si>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</si>
  <si>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</si>
  <si>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</si>
  <si>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</si>
  <si>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</si>
  <si>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</si>
  <si>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</si>
  <si>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</si>
  <si>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</si>
  <si>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</si>
  <si>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</si>
  <si>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</si>
  <si>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</si>
  <si>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</si>
  <si>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</si>
  <si>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</si>
  <si>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</si>
  <si>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</si>
  <si>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</si>
  <si>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</si>
  <si>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</si>
  <si>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errorMailTemplate</t>
  </si>
  <si>
    <t>QuickImageComment Fehler</t>
  </si>
  <si>
    <t>GitHub Issue</t>
  </si>
  <si>
    <t>Mail vorbereiten</t>
  </si>
  <si>
    <t>QuickImageComment Error</t>
  </si>
  <si>
    <t>Details zum Fehler</t>
  </si>
  <si>
    <t>Error details</t>
  </si>
  <si>
    <t>Schwerwiegender Fehler in der Anwendung</t>
  </si>
  <si>
    <t>Serious error in the application</t>
  </si>
  <si>
    <t>Prepare mail</t>
  </si>
  <si>
    <t>Local date/time format</t>
  </si>
  <si>
    <t>ISO/IPTC Datum/Zeit-Format</t>
  </si>
  <si>
    <t>ISO/IPTC date/time format</t>
  </si>
  <si>
    <t>fmtExifDateTime</t>
  </si>
  <si>
    <t>Exif Datum/Zeit-Format</t>
  </si>
  <si>
    <t>Exif date/time format</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</si>
  <si>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</si>
  <si>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</si>
  <si>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</si>
  <si>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</si>
  <si>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</si>
  <si>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</si>
  <si>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</si>
  <si>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</si>
  <si>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</si>
  <si>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</si>
  <si>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</si>
  <si>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</si>
  <si>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</si>
  <si>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</si>
  <si>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</si>
  <si>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</si>
  <si>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</si>
  <si>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</si>
  <si>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</si>
  <si>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</si>
  <si>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</si>
  <si>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</si>
  <si>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</si>
  <si>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</si>
  <si>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</si>
  <si>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</si>
  <si>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</si>
  <si>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</si>
  <si>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</si>
  <si>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</si>
  <si>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</si>
  <si>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</si>
  <si>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</si>
  <si>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</si>
  <si>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</si>
  <si>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</si>
  <si>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</si>
  <si>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</si>
  <si>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</si>
  <si>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</si>
  <si>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</si>
  <si>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</si>
  <si>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</si>
  <si>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</si>
  <si>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</si>
  <si>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</si>
  <si>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</si>
  <si>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</si>
  <si>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</si>
  <si>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</si>
  <si>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</si>
  <si>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</si>
  <si>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</si>
  <si>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</si>
  <si>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</si>
  <si>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</si>
  <si>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</si>
  <si>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</si>
  <si>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</si>
  <si>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</si>
  <si>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</si>
  <si>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</si>
  <si>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</si>
  <si>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</si>
  <si>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</si>
  <si>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</si>
  <si>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</si>
  <si>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</si>
  <si>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</si>
  <si>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</si>
  <si>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</si>
  <si>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</si>
  <si>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</si>
  <si>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</si>
  <si>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</si>
  <si>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</si>
  <si>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</si>
  <si>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</si>
  <si>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</si>
  <si>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</si>
  <si>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</si>
  <si>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</si>
  <si>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</si>
  <si>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</si>
  <si>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</si>
  <si>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</si>
  <si>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</si>
  <si>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</si>
  <si>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</si>
  <si>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</si>
  <si>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</si>
  <si>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</si>
  <si>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</si>
  <si>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</si>
  <si>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</si>
  <si>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</si>
  <si>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</si>
  <si>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</si>
  <si>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</si>
  <si>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</si>
  <si>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</si>
  <si>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</si>
  <si>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</si>
  <si>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</si>
  <si>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</si>
  <si>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</si>
  <si>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</si>
  <si>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</si>
  <si>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</si>
  <si>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</si>
  <si>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</si>
  <si>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</si>
  <si>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</si>
  <si>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</si>
  <si>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</si>
  <si>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</si>
  <si>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</si>
  <si>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</si>
  <si>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</si>
  <si>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</si>
  <si>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</si>
  <si>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</si>
  <si>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</si>
  <si>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</si>
  <si>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</si>
  <si>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</si>
  <si>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</si>
  <si>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</si>
  <si>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</si>
  <si>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</si>
  <si>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</si>
  <si>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</si>
  <si>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</si>
  <si>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</si>
  <si>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</si>
  <si>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</si>
  <si>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</si>
  <si>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</si>
  <si>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</si>
  <si>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</si>
  <si>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</si>
  <si>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</si>
  <si>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</si>
  <si>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</si>
  <si>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</si>
  <si>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</si>
  <si>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</si>
  <si>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</si>
  <si>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</si>
  <si>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</si>
  <si>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</si>
  <si>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</si>
  <si>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</si>
  <si>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</si>
  <si>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</si>
  <si>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</si>
  <si>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</si>
  <si>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</si>
  <si>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</si>
  <si>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</si>
  <si>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</si>
  <si>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</si>
  <si>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</si>
  <si>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</si>
  <si>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</si>
  <si>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</si>
  <si>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</si>
  <si>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</si>
  <si>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</si>
  <si>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</si>
  <si>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</si>
  <si>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</si>
  <si>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</si>
  <si>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</si>
  <si>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</si>
  <si>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</si>
  <si>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</si>
  <si>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</si>
  <si>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</si>
  <si>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</si>
  <si>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</si>
  <si>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</si>
  <si>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</si>
  <si>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</si>
  <si>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</si>
  <si>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</si>
  <si>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</si>
  <si>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</si>
  <si>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</si>
  <si>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</si>
  <si>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</si>
  <si>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</si>
  <si>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</si>
  <si>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</si>
  <si>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</si>
  <si>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</si>
  <si>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</si>
  <si>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</si>
  <si>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</si>
  <si>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</si>
  <si>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</si>
  <si>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</si>
  <si>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</si>
  <si>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</si>
  <si>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</si>
  <si>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</si>
  <si>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</si>
  <si>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</si>
  <si>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</si>
  <si>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</si>
  <si>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</si>
  <si>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</si>
  <si>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</si>
  <si>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</si>
  <si>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</si>
  <si>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</si>
  <si>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</si>
  <si>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</si>
  <si>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</si>
  <si>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</si>
  <si>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</si>
  <si>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</si>
  <si>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</si>
  <si>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</si>
  <si>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</si>
  <si>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</si>
  <si>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</si>
  <si>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</si>
  <si>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</si>
  <si>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</si>
  <si>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</si>
  <si>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</si>
  <si>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</si>
  <si>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</si>
  <si>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</si>
  <si>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</si>
  <si>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</si>
  <si>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</si>
  <si>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</si>
  <si>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</si>
  <si>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</si>
  <si>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</si>
  <si>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</si>
  <si>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</si>
  <si>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</si>
  <si>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</si>
  <si>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</si>
  <si>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</si>
  <si>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</si>
  <si>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</si>
  <si>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</si>
  <si>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</si>
  <si>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</si>
  <si>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</si>
  <si>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</si>
  <si>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</si>
  <si>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</si>
  <si>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</si>
  <si>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</si>
  <si>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</si>
  <si>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</si>
  <si>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</si>
  <si>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</si>
  <si>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</si>
  <si>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</si>
  <si>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</si>
  <si>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</si>
  <si>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</si>
  <si>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</si>
  <si>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</si>
  <si>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</si>
  <si>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</si>
  <si>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</si>
  <si>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</si>
  <si>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</si>
  <si>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</si>
  <si>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</si>
  <si>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</si>
  <si>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</si>
  <si>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</si>
  <si>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</si>
  <si>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</si>
  <si>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</si>
  <si>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</si>
  <si>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</si>
  <si>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</si>
  <si>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</si>
  <si>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</si>
  <si>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</si>
  <si>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</si>
  <si>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</si>
  <si>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</si>
  <si>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</si>
  <si>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</si>
  <si>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</si>
  <si>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</si>
  <si>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</si>
  <si>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</si>
  <si>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</si>
  <si>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</si>
  <si>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</si>
  <si>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</si>
  <si>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</si>
  <si>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</si>
  <si>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</si>
  <si>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</si>
  <si>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</si>
  <si>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</si>
  <si>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</si>
  <si>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t>
  </si>
  <si>
    <t>Bearbeiten-extern: Icon aus Programm-Pfad</t>
  </si>
  <si>
    <t>Edit-external: Icon from program path</t>
  </si>
  <si>
    <t>filterTextAllFiles</t>
  </si>
  <si>
    <t>Alle Dateien</t>
  </si>
  <si>
    <t>All Files</t>
  </si>
  <si>
    <t>filterTextIcoFiles</t>
  </si>
  <si>
    <t>ICO Dateien</t>
  </si>
  <si>
    <t>ICO Files</t>
  </si>
  <si>
    <t>3:1 Raster</t>
  </si>
  <si>
    <t>5:1 Raster</t>
  </si>
  <si>
    <t>3:1 grid</t>
  </si>
  <si>
    <t>5:1 grid</t>
  </si>
  <si>
    <t>Karte - Einstellungen</t>
  </si>
  <si>
    <t>Map - Settings</t>
  </si>
  <si>
    <t>Auswählen</t>
  </si>
  <si>
    <t>Select</t>
  </si>
  <si>
    <t>Radius Anzeige Aufnahmerichtung</t>
  </si>
  <si>
    <t>Radius display direction of view</t>
  </si>
  <si>
    <t>Pixel</t>
  </si>
  <si>
    <t>Opazität Linien</t>
  </si>
  <si>
    <t>Opacity lines</t>
  </si>
  <si>
    <t>Opazität Füllbereich</t>
  </si>
  <si>
    <t>Opacity filled area</t>
  </si>
  <si>
    <t>%</t>
  </si>
  <si>
    <t>Einstellungen für Anzeige des Suchkreises und für Aufnahmerichtung mit Aufnahmewinkel</t>
  </si>
  <si>
    <t>Settings for displaying the search circle and for recording direction with recording angle</t>
  </si>
  <si>
    <t>E_dataTableFileNameInvalid</t>
  </si>
  <si>
    <t>E_dataTableFolderNotExists</t>
  </si>
  <si>
    <t>Error in parameter:\nFindDataTableFileName\n\nFolder for saving the data read for the search does not exist:\n\1</t>
  </si>
  <si>
    <t>E_writingDataTable</t>
  </si>
  <si>
    <t>Error when writing into\n\1\nto store data read for search:\n\2\n\nPerhaps the value of parameter FindDataTableFileName is not valid.</t>
  </si>
  <si>
    <t>Fehler beim Schreiben in\n\1\nzum Speichern der für die Suche gelesenen Daten:\n\2\n\nMöglicherweise ist der Wert des Parameters FindDataTableFileName nicht gültig.</t>
  </si>
  <si>
    <t>Fehler in Parameter:\nFindDataTableFileName\n\nOrdner zum Speichern der für Suche gelesenen Daten ist nicht vorhanden:\n\1</t>
  </si>
  <si>
    <t>Fehler in Parameter:\nFindDataTableFileName\n\nDateiname zum Speichern der für die Suche gelesenen Daten hat kein gültiges Format: \n\n\1\n\n\2</t>
  </si>
  <si>
    <t>Error in parameter:\nFindDataTableFileName\n\nFile name to store data read for search has no valid format:\n\n\1\n\n\2</t>
  </si>
  <si>
    <t>&amp;Kopieren nach ...</t>
  </si>
  <si>
    <t>&amp;Copy to ...</t>
  </si>
  <si>
    <t>Ve&amp;rschieben nach ...</t>
  </si>
  <si>
    <t>&amp;Move to ...</t>
  </si>
  <si>
    <t>Bearbeiten-&amp;extern</t>
  </si>
  <si>
    <t>Edit-&amp;external</t>
  </si>
  <si>
    <t>Français</t>
  </si>
  <si>
    <t>- touches de fonction, e.x. F8, F11</t>
  </si>
  <si>
    <t>Tout sélectionner</t>
  </si>
  <si>
    <t>&amp;Supprimer tous les réglages de masque</t>
  </si>
  <si>
    <t>&amp;Affichage</t>
  </si>
  <si>
    <t>&amp;Fermer</t>
  </si>
  <si>
    <t>Image dans sa propre fenêtre</t>
  </si>
  <si>
    <t>&amp;Fichier</t>
  </si>
  <si>
    <t>&amp;Rafraichir la liste des fichiers</t>
  </si>
  <si>
    <t>&amp;Paramètres</t>
  </si>
  <si>
    <t>La première</t>
  </si>
  <si>
    <t>&amp;Définitions des champs</t>
  </si>
  <si>
    <t>&amp;Effacer</t>
  </si>
  <si>
    <t>&amp;Masque personnalisé</t>
  </si>
  <si>
    <t>Supprimer les &amp;métadonnées</t>
  </si>
  <si>
    <t>&amp;Suivant</t>
  </si>
  <si>
    <t>&amp;Enregistrer</t>
  </si>
  <si>
    <t>&amp;Facteur du zoom</t>
  </si>
  <si>
    <t>&amp;Précédent</t>
  </si>
  <si>
    <t>&amp;Zoom/rotation</t>
  </si>
  <si>
    <t>(pour les données XMP tapez Lang-Alt)</t>
  </si>
  <si>
    <t>* Texte avec fond gris pour rendre les blancs visibles</t>
  </si>
  <si>
    <t>... Créé le</t>
  </si>
  <si>
    <t>... Modifié le</t>
  </si>
  <si>
    <t>... Taille</t>
  </si>
  <si>
    <t>... Nom</t>
  </si>
  <si>
    <t>&lt;jour court&gt; YYYY-MM-DD HH:mm:ss</t>
  </si>
  <si>
    <t>&lt;jour court&gt; DD.MM.YYYY HH:mm:ss</t>
  </si>
  <si>
    <t>&lt;jour long&gt; DD.MM.YYYY HH:mm:ss</t>
  </si>
  <si>
    <t>Annuler</t>
  </si>
  <si>
    <t>Requête</t>
  </si>
  <si>
    <t>Modifier requête</t>
  </si>
  <si>
    <t>Temps écoulé</t>
  </si>
  <si>
    <t>Dans des situations particulières, veuillez rectifier les informations dans les images / vidéos.</t>
  </si>
  <si>
    <t>valeur actuelle</t>
  </si>
  <si>
    <t>Les</t>
  </si>
  <si>
    <t>Tout Changer ?</t>
  </si>
  <si>
    <t>Reset de tous les paramètres</t>
  </si>
  <si>
    <t>Fermer tout</t>
  </si>
  <si>
    <t>Ancien nom du fichier</t>
  </si>
  <si>
    <t>Propriétés arbitraires modifiables</t>
  </si>
  <si>
    <t>Autres ...</t>
  </si>
  <si>
    <t>Autres fenêtres équivalentes</t>
  </si>
  <si>
    <t>D'autres valeures sont permisent</t>
  </si>
  <si>
    <t>Changement dans cette version</t>
  </si>
  <si>
    <t>Changement dans cette version ...</t>
  </si>
  <si>
    <t>Historique des changements</t>
  </si>
  <si>
    <t>Début</t>
  </si>
  <si>
    <t>Ajouter avec une virgule</t>
  </si>
  <si>
    <t>Ajouter avec une virgule [,]</t>
  </si>
  <si>
    <t>Ajouter avec un espace</t>
  </si>
  <si>
    <t>Ajouter avec un espace [Touche espace]</t>
  </si>
  <si>
    <t>Ajouter avec un point-virgule</t>
  </si>
  <si>
    <t>Ajouter avec un point-virgule [;]</t>
  </si>
  <si>
    <t>&amp;Ajuster</t>
  </si>
  <si>
    <t>Ajuster la vue</t>
  </si>
  <si>
    <t>Mosaïque</t>
  </si>
  <si>
    <t>L'affichage pourra être modifié ultérieurement,</t>
  </si>
  <si>
    <t>Appliquer et Fermer</t>
  </si>
  <si>
    <t>No. de décim. (min.)</t>
  </si>
  <si>
    <t>Nombre de fichiers chargés</t>
  </si>
  <si>
    <t>Nombre de lignes pour l’entrée</t>
  </si>
  <si>
    <t>Afficher</t>
  </si>
  <si>
    <t>Afficher les détails de l'image</t>
  </si>
  <si>
    <t>Afficher les titres</t>
  </si>
  <si>
    <t>Afficher la carte</t>
  </si>
  <si>
    <t>Afficher le nom/la description en anglais (original)</t>
  </si>
  <si>
    <t>Modifier l’enregistrement &amp;date/heure</t>
  </si>
  <si>
    <t>Recherche d'une nouvelle version</t>
  </si>
  <si>
    <t>Recherche d'une nouvelle version ...</t>
  </si>
  <si>
    <t>Résolution</t>
  </si>
  <si>
    <t>Date d'enregistrement</t>
  </si>
  <si>
    <t>Date d'enregistrement YYYYMMDD</t>
  </si>
  <si>
    <t>Modifier la date et l’heure de l’enregistrement</t>
  </si>
  <si>
    <t>Emplacement d’enregistrement dans le rayon de</t>
  </si>
  <si>
    <t>Durée d’enregistrement avec centième de secondes.</t>
  </si>
  <si>
    <t>Cacher</t>
  </si>
  <si>
    <t>Cacher - Icones dans le menu</t>
  </si>
  <si>
    <t>Exécuter</t>
  </si>
  <si>
    <t>Configurer les colonnes cachées</t>
  </si>
  <si>
    <t>Images sélectionnées</t>
  </si>
  <si>
    <t>Les éléments sélectionnés ont des valeurs différentes (\1-\2). Tout définir à la nouvelle valeur ?</t>
  </si>
  <si>
    <t>Personnaliser l'apparence</t>
  </si>
  <si>
    <t>Sélection</t>
  </si>
  <si>
    <t>Effacer la sélection</t>
  </si>
  <si>
    <t>Accepter la sélection</t>
  </si>
  <si>
    <t>Transférer la sélection vers</t>
  </si>
  <si>
    <t>Sélectionner ...</t>
  </si>
  <si>
    <t>Ajustement automatique de la taille</t>
  </si>
  <si>
    <t>Batch commandes</t>
  </si>
  <si>
    <t>Editer</t>
  </si>
  <si>
    <t>Editeur-externe: Icône du chemin d’accès au programme</t>
  </si>
  <si>
    <t>Fermer</t>
  </si>
  <si>
    <t>Lors de l’ajout, contrôler si le texte commence par un des caractères suivants</t>
  </si>
  <si>
    <t>Lors de l’insertion, contrôler si le texte se termine par un des caractères suivants</t>
  </si>
  <si>
    <t>En entrant dans le masque principal</t>
  </si>
  <si>
    <t>Édition unique : si aucun artiste n’a été entré, utiliser</t>
  </si>
  <si>
    <t>En cas d’erreur ou de problème dans les méta-données : barre dans la liste "Vue d’ensemble".</t>
  </si>
  <si>
    <t>En cas d'erreur ou de contournement dans les méta-données, afficher la boîte à message.</t>
  </si>
  <si>
    <t>Lors d'un double clic sur la zone de liste des commentaires prédéfinis</t>
  </si>
  <si>
    <t>Au démarrage du programme/batch : passer plusieurs fichiers</t>
  </si>
  <si>
    <t>Lorsque vous changez de nom et supprimez des fichiers, pensez également aux extensions suivantes (séparées par ';'</t>
  </si>
  <si>
    <t>les deux</t>
  </si>
  <si>
    <t>Exemple</t>
  </si>
  <si>
    <t>Temps d'exposition</t>
  </si>
  <si>
    <t>Paramètres définis par l'utilisateur</t>
  </si>
  <si>
    <t>Boutons définis par l’utilisateur</t>
  </si>
  <si>
    <t>Légende</t>
  </si>
  <si>
    <t>Détails de l’image dans la fenêtre</t>
  </si>
  <si>
    <t>Effacer l'image</t>
  </si>
  <si>
    <t>Image avec une grille</t>
  </si>
  <si>
    <t>Faire pivoter l’image vers la gauche</t>
  </si>
  <si>
    <t>Faire pivoter l’image vers la droite</t>
  </si>
  <si>
    <t>Enregistrer l’image et passer à la première image</t>
  </si>
  <si>
    <t>Enregistrer l’image et passer à la dernière image</t>
  </si>
  <si>
    <t>Enregistrer l’image et passer à l’image suivante</t>
  </si>
  <si>
    <t>Enregistrer l’image et passer à l’image précédente</t>
  </si>
  <si>
    <t>Image non trouvée:</t>
  </si>
  <si>
    <t>Fichiers image (*.BMP;*.JPG;*.GIF)|*.BMP;*.JPG;*.GIF|Tous les fichiers (*.*)|*.*</t>
  </si>
  <si>
    <t>Images dans les dossiers et sous-dossiers</t>
  </si>
  <si>
    <t>Images/Vidéos</t>
  </si>
  <si>
    <t>Taille image</t>
  </si>
  <si>
    <t>Définir la grille d’image</t>
  </si>
  <si>
    <t>Fréquence d'images</t>
  </si>
  <si>
    <t>Bing Cartes Aériennes</t>
  </si>
  <si>
    <t>Bing Cartes Rue</t>
  </si>
  <si>
    <t>jusqu'à 7 propropriétés arbitraire</t>
  </si>
  <si>
    <t>Faire défiler les valeurs récemment enregistrées</t>
  </si>
  <si>
    <t>Défilement avec image haut/bas - Nombre d’images</t>
  </si>
  <si>
    <t>Ouverture</t>
  </si>
  <si>
    <t>Largeur</t>
  </si>
  <si>
    <t>Longueur de focale</t>
  </si>
  <si>
    <t>Encodage pour Exif.Photo.Commentaire de l’utilisateur</t>
  </si>
  <si>
    <t>Créer une liste de contrôle</t>
  </si>
  <si>
    <t>Fichier</t>
  </si>
  <si>
    <t>Ouvrir le fichier pour l’image de fond</t>
  </si>
  <si>
    <t>Affichage des fichiers</t>
  </si>
  <si>
    <t>Préciser le fichier de date relatif à la date d'enregistrement</t>
  </si>
  <si>
    <t>Détails</t>
  </si>
  <si>
    <t>Re&amp;nommer les fichiers</t>
  </si>
  <si>
    <t>&amp;Comparer les fichiers</t>
  </si>
  <si>
    <t>Renommer les fichiers</t>
  </si>
  <si>
    <t>Comparer les fichiers</t>
  </si>
  <si>
    <t>Extensions de fichiers - afficher un cadre (séparé par ";")</t>
  </si>
  <si>
    <t>Extensions de fichiers - afficher les propriétés (séparé par ";")</t>
  </si>
  <si>
    <t>Filtre</t>
  </si>
  <si>
    <t>Taille du fichier</t>
  </si>
  <si>
    <t>Rafraîchir la liste des fichiers</t>
  </si>
  <si>
    <t>Name du fichier</t>
  </si>
  <si>
    <t>Enregistrer les données à la fermeture</t>
  </si>
  <si>
    <t>Lire les données</t>
  </si>
  <si>
    <t>Politique de confidentialité</t>
  </si>
  <si>
    <t>Afficher le tableau des données</t>
  </si>
  <si>
    <t>Type de données</t>
  </si>
  <si>
    <t>Sélectionnez/modifiez le modèle de données</t>
  </si>
  <si>
    <t>Sélectionner et modifier le modèle de données</t>
  </si>
  <si>
    <t xml:space="preserve"> Information détaillée de la license</t>
  </si>
  <si>
    <t>Détails de l'erreur</t>
  </si>
  <si>
    <t>Appliquer directement sur le masque principa</t>
  </si>
  <si>
    <t>Télécharger</t>
  </si>
  <si>
    <t>Rotation à gauche</t>
  </si>
  <si>
    <t>Rotation à droite</t>
  </si>
  <si>
    <t>par</t>
  </si>
  <si>
    <t>solide</t>
  </si>
  <si>
    <t>E&amp;xporter uniquement les propriétés sélectionnées des images</t>
  </si>
  <si>
    <t>&amp;Outils</t>
  </si>
  <si>
    <t>Propriétés</t>
  </si>
  <si>
    <t>Propriétés arbitraires</t>
  </si>
  <si>
    <t>Propriétés d'affichage</t>
  </si>
  <si>
    <t>Liste simple (peut être triée)</t>
  </si>
  <si>
    <t>Liste simple (peut être triée) - English</t>
  </si>
  <si>
    <t>Liste simple, groupe à la fin de la balise (peut être triée)</t>
  </si>
  <si>
    <t>Liste simple, groupe à la fin de la balise (peut être triée) - English</t>
  </si>
  <si>
    <t>Insérer/Remplacer</t>
  </si>
  <si>
    <t>incl. cartes pour affichage uniquement (* ...)</t>
  </si>
  <si>
    <t>Paramètres</t>
  </si>
  <si>
    <t>Changer les paramètres</t>
  </si>
  <si>
    <t xml:space="preserve">Choisir les paramètres </t>
  </si>
  <si>
    <t>Paramètres de mise en cache</t>
  </si>
  <si>
    <t>Charger les paramètres - ajouter</t>
  </si>
  <si>
    <t>Charger les paramètres - remplacer</t>
  </si>
  <si>
    <t>Enregistrer les paramètres</t>
  </si>
  <si>
    <t>Enregsitrer les paramètres dans \1</t>
  </si>
  <si>
    <t>Enregsitrer les paramètres sous ...</t>
  </si>
  <si>
    <t>Les paramètres de personnalisation du masque ont été modifiés.</t>
  </si>
  <si>
    <t>Ouvrir le fichier des paramètres</t>
  </si>
  <si>
    <t>Enregistrer le fichier des paramètres</t>
  </si>
  <si>
    <t>Édition d’une seule image</t>
  </si>
  <si>
    <t>Supprimer les métadonnées uniques</t>
  </si>
  <si>
    <t>Mise à l’échelle recommandée (pour correspondre aux tailles de police disponibles)</t>
  </si>
  <si>
    <t>Fin</t>
  </si>
  <si>
    <t>Supprimer</t>
  </si>
  <si>
    <t>Contient les mots-clés IPTC</t>
  </si>
  <si>
    <t>en-US English (Etats-Unis)</t>
  </si>
  <si>
    <t>Résultat de la définition</t>
  </si>
  <si>
    <t>Remplacer les caractères non autorisés dans les noms de fichiers</t>
  </si>
  <si>
    <t>Premiers paramètres utilisateur</t>
  </si>
  <si>
    <t>Créer</t>
  </si>
  <si>
    <t>Créé le</t>
  </si>
  <si>
    <t>Prolongé</t>
  </si>
  <si>
    <t>Paramètres avancés</t>
  </si>
  <si>
    <t>es-ES Spanish (Espagne)</t>
  </si>
  <si>
    <t>Exif commentaire</t>
  </si>
  <si>
    <t>Exif artiste</t>
  </si>
  <si>
    <t>Exportation des propriétés</t>
  </si>
  <si>
    <t>Exporter dans</t>
  </si>
  <si>
    <t>Exporter depuis</t>
  </si>
  <si>
    <t>Exporter toutes les propriétés des images sélectionnées</t>
  </si>
  <si>
    <t>Outils</t>
  </si>
  <si>
    <t>Ligne de mire</t>
  </si>
  <si>
    <t>Si elles sont lancées: Déposer dans la fenêtre</t>
  </si>
  <si>
    <t>Famille</t>
  </si>
  <si>
    <t>Couleur</t>
  </si>
  <si>
    <t>Erreur lors du chargement de la configuration du masque.</t>
  </si>
  <si>
    <t>Champs</t>
  </si>
  <si>
    <t>Définitions des champs</t>
  </si>
  <si>
    <t>Ajuster champs</t>
  </si>
  <si>
    <t>Nom du champ</t>
  </si>
  <si>
    <t>Afficher la fenêtre et mettre en pause après l’exécution</t>
  </si>
  <si>
    <t>Titre de la fenêtre</t>
  </si>
  <si>
    <t>Text choisi</t>
  </si>
  <si>
    <t>Adapter</t>
  </si>
  <si>
    <t>Ne pas supprimer les métadonnées suivantes (exceptions)</t>
  </si>
  <si>
    <t>Les données invalides suivantes ont été trouvées lors de l’importation. Elles ne sont pas incluses dans la recherche.</t>
  </si>
  <si>
    <t>Format: Category-line="#&lt;category&gt;", les autres lignes sont des entrées pour la catégorie</t>
  </si>
  <si>
    <t>Position de la trame [s]</t>
  </si>
  <si>
    <t>Echelle libre</t>
  </si>
  <si>
    <t>Modifié le</t>
  </si>
  <si>
    <t>Ouvrir les programmes</t>
  </si>
  <si>
    <t>Enregistrer la valeur</t>
  </si>
  <si>
    <t>pointillé</t>
  </si>
  <si>
    <t>Google Maps-rue</t>
  </si>
  <si>
    <t>Changer les données GPS</t>
  </si>
  <si>
    <t>Graphiques</t>
  </si>
  <si>
    <t>Taille</t>
  </si>
  <si>
    <t>Supprimer les groupes (avec les exceptions)</t>
  </si>
  <si>
    <t>Luminosité.</t>
  </si>
  <si>
    <t>Fabricant</t>
  </si>
  <si>
    <t>Aide</t>
  </si>
  <si>
    <t>Image d'arrière-plan</t>
  </si>
  <si>
    <t>Couleur arrière-plan</t>
  </si>
  <si>
    <t>Remarque dans l’onglet Aperçu si l’image ne contient pas de mots-clés prédéfinis</t>
  </si>
  <si>
    <t>Ajouter</t>
  </si>
  <si>
    <t>Hauteur</t>
  </si>
  <si>
    <t>Dans le champ commentaire : Déplacer le curseur vers le bas de la liste, affiche les commentaires récents</t>
  </si>
  <si>
    <t>Dans le champ commentaire: Enregistrer avec la touche Retour et afficher l’image suivante</t>
  </si>
  <si>
    <t>Dans le masque de saisie, espacez vers le haut</t>
  </si>
  <si>
    <t>Affichage initial</t>
  </si>
  <si>
    <t>Fichiers d’initialisation (*.ini)|*.ini|Tous les fichiers (*.*)|*.*</t>
  </si>
  <si>
    <t>Résultat</t>
  </si>
  <si>
    <t>IPTC mots clé</t>
  </si>
  <si>
    <t>ISO-paramètres</t>
  </si>
  <si>
    <t>Un mot-clé par ligne, les espaces sont autorisés</t>
  </si>
  <si>
    <t>Contrôler maintenant, si une nouvelle version est disponible</t>
  </si>
  <si>
    <t>JPEG commentaire (Image commentaire)</t>
  </si>
  <si>
    <t>JPEG commentaire</t>
  </si>
  <si>
    <t>Fabriquant de la caméra</t>
  </si>
  <si>
    <t>Modèle de caméra</t>
  </si>
  <si>
    <t>Carte</t>
  </si>
  <si>
    <t>Carte dans sa propre fenêtre</t>
  </si>
  <si>
    <t>Carte dans l'explorateur Standard</t>
  </si>
  <si>
    <t>Pas d'emplacement marqué</t>
  </si>
  <si>
    <t>aucun</t>
  </si>
  <si>
    <t>Aucune sélection possible, le dossier du programme est protégé en écriture</t>
  </si>
  <si>
    <t>Pas de raccourcis valide. Valide lorsque</t>
  </si>
  <si>
    <t>Commentaire</t>
  </si>
  <si>
    <t>Enregistrer les commentaires dans</t>
  </si>
  <si>
    <t>Configuration de l'éditeur-externe</t>
  </si>
  <si>
    <t>Ajuster la ligne d’en-tête</t>
  </si>
  <si>
    <t>Copier</t>
  </si>
  <si>
    <t>Effacer critères</t>
  </si>
  <si>
    <t>Critères du fichier actuel</t>
  </si>
  <si>
    <t>Artiste</t>
  </si>
  <si>
    <t>Artiste (auteur)</t>
  </si>
  <si>
    <t>Changer d'artiste (auteur)</t>
  </si>
  <si>
    <t>Artiste (auteur) enregistrer dans</t>
  </si>
  <si>
    <t>Paysage</t>
  </si>
  <si>
    <t>Longueur</t>
  </si>
  <si>
    <t>Dernière</t>
  </si>
  <si>
    <t>Commentaires récents</t>
  </si>
  <si>
    <t>Dernier contrôle</t>
  </si>
  <si>
    <t>Type de ligne</t>
  </si>
  <si>
    <t>Editer la liste</t>
  </si>
  <si>
    <t>Liste des données non valides</t>
  </si>
  <si>
    <t>Liste des métadonnées disponibles</t>
  </si>
  <si>
    <t>Liste des colonnes disponibles</t>
  </si>
  <si>
    <t>Liste avec les titres (ne peut pas être triée)</t>
  </si>
  <si>
    <t>Liste des raccourcis clavier attribués</t>
  </si>
  <si>
    <t>Effacer</t>
  </si>
  <si>
    <t>Préparer un email</t>
  </si>
  <si>
    <t>Ajouter des champs marqués à la vue d’ensemble</t>
  </si>
  <si>
    <t>Ajouter des champs marqués à des champs modifiables</t>
  </si>
  <si>
    <t>Ajouter des champs marqués aux champs de recherche</t>
  </si>
  <si>
    <t>Ajouter des champs marqués à la table dans "Edition Multi images"</t>
  </si>
  <si>
    <t>Personnaliser la fenêtre "\1"</t>
  </si>
  <si>
    <t>Personnalisation</t>
  </si>
  <si>
    <t>Pointeur de la souris</t>
  </si>
  <si>
    <t>Mémoire principale maximale utilisée (au-dessus, pas de mise en cache)</t>
  </si>
  <si>
    <t>Nombre maximum de commentaires récents, qui sont enregistrés</t>
  </si>
  <si>
    <t>Nombre maximal d’images, qui sont mises en mémoire tampon pour l’affichage</t>
  </si>
  <si>
    <t>Nombre maximal d’images mises en mémoire tampon pour la liste de fichiers</t>
  </si>
  <si>
    <t>Nombre maximal de valeurs/emplacements par champ de saisie configurable</t>
  </si>
  <si>
    <t>Nombre maximum de valeurs pour "artiste" qui sont sauvegardées</t>
  </si>
  <si>
    <t>Durée du média</t>
  </si>
  <si>
    <t xml:space="preserve"> Sélection multiple</t>
  </si>
  <si>
    <t>Édition multi images</t>
  </si>
  <si>
    <t>Menu entrée "\1"</t>
  </si>
  <si>
    <t>Menu entrée "Affichage - Ajuster" ou bouttons de commande</t>
  </si>
  <si>
    <t>Eléments de menu</t>
  </si>
  <si>
    <t>Métadonnées</t>
  </si>
  <si>
    <t>Métadonnées 1</t>
  </si>
  <si>
    <t>Métadonnées 2</t>
  </si>
  <si>
    <t>Supprimer les métadonnées</t>
  </si>
  <si>
    <t>avec l'échelle</t>
  </si>
  <si>
    <t>Modèle</t>
  </si>
  <si>
    <t>Monter</t>
  </si>
  <si>
    <t>Descendre</t>
  </si>
  <si>
    <t>Suivant</t>
  </si>
  <si>
    <t>Prochain contrôle</t>
  </si>
  <si>
    <t>Nom</t>
  </si>
  <si>
    <t>Nom (afficher)</t>
  </si>
  <si>
    <t>Noms anglais (original)</t>
  </si>
  <si>
    <t>Navigation avec onglet à splitbar</t>
  </si>
  <si>
    <t>Nouveau</t>
  </si>
  <si>
    <t>Nouveau - vide</t>
  </si>
  <si>
    <t>Nouveau - avec les données du masque principal</t>
  </si>
  <si>
    <t>Ajouter de nouveaux mots-clés</t>
  </si>
  <si>
    <t>Ajouter un nouveau commentaire à un commentaire existant</t>
  </si>
  <si>
    <t>Insérer un nouveau commentaire avant le commentaire existant</t>
  </si>
  <si>
    <t>Toujours ajouter un numéro</t>
  </si>
  <si>
    <t>Uniquement pour les images RAW avec des informations d’orientation Exif : L’image est tournée après le décodage.\r\nSi cette option est sélectionnée, elle s’applique à toutes les images lues avec ce décodeur.\r\nNote: Certains décodeurs RAW tournent déjà selon l’orientation Exif, d’autres non. D’où cette option de configuration.</t>
  </si>
  <si>
    <t>Uniquement l'image et les champs de saisie</t>
  </si>
  <si>
    <t>Uniquement l'image et les champs de saisie centraux</t>
  </si>
  <si>
    <t>Afficher uniquement les méta-données contenues dans l’image sélectionnée</t>
  </si>
  <si>
    <t>Ouvrir ...</t>
  </si>
  <si>
    <t>Ouvre le menu pour la vue des fichiers</t>
  </si>
  <si>
    <t>Optimisé pour la lecture seule</t>
  </si>
  <si>
    <t>Optimisé pour lecture seule (options d’entrée masquées)</t>
  </si>
  <si>
    <t>Options avant le nom du fichier</t>
  </si>
  <si>
    <t>Dossier</t>
  </si>
  <si>
    <t>Changer dossier</t>
  </si>
  <si>
    <t>Sélectionner dossier ...</t>
  </si>
  <si>
    <t>Panneau gauche</t>
  </si>
  <si>
    <t>Panneau haut</t>
  </si>
  <si>
    <t>Panneau droite</t>
  </si>
  <si>
    <t>Panneau bas</t>
  </si>
  <si>
    <t>Espace réservé à la position du curseur</t>
  </si>
  <si>
    <t>Insérer ou modifier un espace réservé</t>
  </si>
  <si>
    <t>Espace réservé pour\r\nnoms des fichiers:\r\n%f ou %~f\r\n(Voir l'Aide).</t>
  </si>
  <si>
    <t>Suffix</t>
  </si>
  <si>
    <t>Préfixe</t>
  </si>
  <si>
    <t>Programme</t>
  </si>
  <si>
    <t>Sélectionner un programme ...</t>
  </si>
  <si>
    <t>Options du programme</t>
  </si>
  <si>
    <t>Emplacement :</t>
  </si>
  <si>
    <t>Dossier du programme \ configuration</t>
  </si>
  <si>
    <t>Vérifier si la traduction est terminée</t>
  </si>
  <si>
    <t>Code source, problèmes et discussions</t>
  </si>
  <si>
    <t>QuickImageComment Erreur</t>
  </si>
  <si>
    <t>Couleur de bordure</t>
  </si>
  <si>
    <t>Couleur de bordure pour le marquage</t>
  </si>
  <si>
    <t>Appliquer la grille</t>
  </si>
  <si>
    <t>Définir la grille ...</t>
  </si>
  <si>
    <t>Appliquer immédiatement les changements de grille (Attention : cela entraîne des temps d’attente pour rafraîchir l’image)</t>
  </si>
  <si>
    <t>Largeur grille</t>
  </si>
  <si>
    <t>Couleur de la grille</t>
  </si>
  <si>
    <t>Taille de la grille</t>
  </si>
  <si>
    <t>Hauteur grille</t>
  </si>
  <si>
    <t>RAW : Rotation après décodage</t>
  </si>
  <si>
    <t>Droite</t>
  </si>
  <si>
    <t>remplir à droite  avec           jusqu'à</t>
  </si>
  <si>
    <t>Vérifier régulièrement si une nouvelle version est disponible</t>
  </si>
  <si>
    <t>Modifier la séquence - ligne</t>
  </si>
  <si>
    <t>Ecrire Exif dans UTF8</t>
  </si>
  <si>
    <t>Ecrire IPTC dans UTF8</t>
  </si>
  <si>
    <t>Police</t>
  </si>
  <si>
    <t>Grave erreur l'application</t>
  </si>
  <si>
    <t>Créer des captures d’écran</t>
  </si>
  <si>
    <t>Secondes</t>
  </si>
  <si>
    <t>Mise à l’échelle séparée pour les vignettes/tuiles</t>
  </si>
  <si>
    <t>Mise à l’échelle distincte pour la barre d’outils</t>
  </si>
  <si>
    <t>Numéro de série</t>
  </si>
  <si>
    <t>Lignes graduées</t>
  </si>
  <si>
    <t>Echelle</t>
  </si>
  <si>
    <t>Doivent-ils être sauvés dans "\1"?</t>
  </si>
  <si>
    <t>Voulez-vous les enregistrés dans un fichier de paramètres ?</t>
  </si>
  <si>
    <t>Autre</t>
  </si>
  <si>
    <t>Autres</t>
  </si>
  <si>
    <t>Trier</t>
  </si>
  <si>
    <t>Trier par</t>
  </si>
  <si>
    <t>Trié</t>
  </si>
  <si>
    <t>Tri - croissant</t>
  </si>
  <si>
    <t>Nom de la colonne</t>
  </si>
  <si>
    <t>Insérer le nom de la colonne</t>
  </si>
  <si>
    <t>Enregistrer</t>
  </si>
  <si>
    <t>Enregistrer sous ...</t>
  </si>
  <si>
    <t>Enregistrer ?</t>
  </si>
  <si>
    <t>Emplacement de stockage pour les paramètres utilisateur</t>
  </si>
  <si>
    <t>Dons</t>
  </si>
  <si>
    <t>Dons …</t>
  </si>
  <si>
    <t>Langue</t>
  </si>
  <si>
    <t>Langues</t>
  </si>
  <si>
    <t>Commencer</t>
  </si>
  <si>
    <t>Heures</t>
  </si>
  <si>
    <t>Chercher</t>
  </si>
  <si>
    <t>Chercher à l'aide des propriétés</t>
  </si>
  <si>
    <t>Rechercher à l'aide des Propriétés - Modifier la requête</t>
  </si>
  <si>
    <t>Icones dans la barre de menu</t>
  </si>
  <si>
    <t>Bandeau de commande</t>
  </si>
  <si>
    <t>D. &lt;mois long&gt; YYYY HH:mm:ss</t>
  </si>
  <si>
    <t>Jours</t>
  </si>
  <si>
    <t>Créer une liste de balises</t>
  </si>
  <si>
    <t>Nom de la balise</t>
  </si>
  <si>
    <t>Balise no.</t>
  </si>
  <si>
    <t>Raccourci</t>
  </si>
  <si>
    <t>Raccourci "\1" déjà utilisée pour "\2".</t>
  </si>
  <si>
    <t>Liste des touches de raccourci</t>
  </si>
  <si>
    <t>Début de la sous-chaîne</t>
  </si>
  <si>
    <t>Séparateur</t>
  </si>
  <si>
    <t>DD-&lt;mois court&gt;-YYYY HH:mm:ss</t>
  </si>
  <si>
    <t>Tutoriels sur YouTube</t>
  </si>
  <si>
    <t>A propos ...</t>
  </si>
  <si>
    <t>A propos de QuickImageComment</t>
  </si>
  <si>
    <t>Transférer [Return]</t>
  </si>
  <si>
    <t>Remplacer</t>
  </si>
  <si>
    <t>Aperçu</t>
  </si>
  <si>
    <t>Renommer</t>
  </si>
  <si>
    <t>Vacances</t>
  </si>
  <si>
    <t>Temps restant</t>
  </si>
  <si>
    <t>Déplacer vers ...</t>
  </si>
  <si>
    <t>Division verticale</t>
  </si>
  <si>
    <t>Définir ...</t>
  </si>
  <si>
    <t>Sources/composants étrangers utilisés</t>
  </si>
  <si>
    <t>Actualiser l’arborescence des dossiers</t>
  </si>
  <si>
    <t>Vidéo</t>
  </si>
  <si>
    <t>à droite</t>
  </si>
  <si>
    <t>Mots-clés &amp;IPTC prédéfinis</t>
  </si>
  <si>
    <t>&amp;Commentaires prédéfinis</t>
  </si>
  <si>
    <t>Mots-clés IPTC prédéfinis</t>
  </si>
  <si>
    <t>Changer Mots-clés &amp;IPTC prédéfinis</t>
  </si>
  <si>
    <t>Commentaires prédéfinis</t>
  </si>
  <si>
    <t>Couleur premier-plan</t>
  </si>
  <si>
    <t>Précédent</t>
  </si>
  <si>
    <t>Nom du modèle</t>
  </si>
  <si>
    <t>Afficher les miniatures</t>
  </si>
  <si>
    <t>Sélectionner parmi les programmes ouverts</t>
  </si>
  <si>
    <t>Page Web</t>
  </si>
  <si>
    <t>Ouvrir la page web - télécharger</t>
  </si>
  <si>
    <t>Si sélectionné, ces images peuvent également être recherchées\r\n(Field Image.MetaDataWarnings...)</t>
  </si>
  <si>
    <t>Valeur</t>
  </si>
  <si>
    <t>Valeur de base</t>
  </si>
  <si>
    <t>Show values in original formatShow values in original format</t>
  </si>
  <si>
    <t>Temps</t>
  </si>
  <si>
    <t>Changer temps - Jours</t>
  </si>
  <si>
    <t>Zone d’entrée centrale</t>
  </si>
  <si>
    <t>Zoom - ajusté</t>
  </si>
  <si>
    <t>Valeurs valides</t>
  </si>
  <si>
    <t>Derniers dossiers sélectionnés ici</t>
  </si>
  <si>
    <t>Attribuer</t>
  </si>
  <si>
    <t>- combinaisons de touches avec Ctrl</t>
  </si>
  <si>
    <t>&amp;Copier vers ...</t>
  </si>
  <si>
    <t>Sélectionner</t>
  </si>
  <si>
    <t>Editeur-&amp;externe</t>
  </si>
  <si>
    <t>Liste avec les titres (ne peut pas être triée) - Anglais</t>
  </si>
  <si>
    <t>comboBoxMetaDataType.SelectedIndex n'est pas valide</t>
  </si>
  <si>
    <t>Le fichier de configuration \n\1\nne peut pas être sauvegardé. Veuillez activer l’accès en écriture.</t>
  </si>
  <si>
    <t>Erreur dans le fichier de configuration. "\1" n'est pas une valeur acceptée pour "\2".\nValide sont "oui" and "non".</t>
  </si>
  <si>
    <t>Erreur avec\n\1</t>
  </si>
  <si>
    <t>Le dossier\n\n\1\n\nn'existe pas.</t>
  </si>
  <si>
    <t>Fichier d'aide \n\1\nn'a pas été trouvé.</t>
  </si>
  <si>
    <t>La valeur pour\n\1\nest trop grande (&gt; \2)F</t>
  </si>
  <si>
    <t>La valeur pour\n\1\nest trop petite (&lt; \2)</t>
  </si>
  <si>
    <t>La valeur pour\n\1\nn’est pas dans la liste des valeurs valides</t>
  </si>
  <si>
    <t>Erreur dans le fichier de configuration. "\1" n'est pas accepté pour "\2".\n\n\3</t>
  </si>
  <si>
    <t>Le fichier "\1" n’est pas renommé.\nLe nouveau nom serait "\2".</t>
  </si>
  <si>
    <t>Input not valid. A number, at least 2, doit être entré.</t>
  </si>
  <si>
    <t>La métadonnée "\1" ne peut pas être modifiée.</t>
  </si>
  <si>
    <t>La métadonnée "\1" ne peut pas être effacée.</t>
  </si>
  <si>
    <t>Le texte "\1" est entré deux fois dans le fichier de langue</t>
  </si>
  <si>
    <t>Le changement est actif au prochain démarrage du programme.</t>
  </si>
  <si>
    <t>Le composant du navigateur Web n'a pas encore été mis en place. Veuillez répéter l’action.</t>
  </si>
  <si>
    <t>L’entrée pour "\1" est supprimée car l’élément de menu associé n’existe plus.</t>
  </si>
  <si>
    <t>À l'heure actuelle, cette fonction n'est pas utilisable..</t>
  </si>
  <si>
    <t>Aucune photo ou vidéo ne correspond à ces critères.</t>
  </si>
  <si>
    <t>Il n'y a pas de fichier d'aide pour cette langue. L’aide sera affichée en anglais.</t>
  </si>
  <si>
    <t>Aucune image n'a été sélectionnée. Annuler.</t>
  </si>
  <si>
    <t>Il n'y a pas de traduction disponible pour les métadonnées. Affichage uniquement en anglais.</t>
  </si>
  <si>
    <t>Aucune, ou une seule image choisie.</t>
  </si>
  <si>
    <t>aucun résultat</t>
  </si>
  <si>
    <t>L’élément de menu comporte des sous-éléments. Par conséquent, aucun bouton personnalisé ne peut être assigné.</t>
  </si>
  <si>
    <t>Captures d’écran enregistrées dans le dossier \n"\1".</t>
  </si>
  <si>
    <t>Recherche de texte infructueuse.</t>
  </si>
  <si>
    <t>Comment does not start with one of the defined characters (\1).\nEnregistrer malgré tout ?</t>
  </si>
  <si>
    <t>Comment does not end with one of the defined characters (\1).\nEnregistrer malgré tout ?</t>
  </si>
  <si>
    <t>Supprimer le paramètre\n\n\1\n\n?</t>
  </si>
  <si>
    <t>Effacer la configuration\n\n\1\n\n?</t>
  </si>
  <si>
    <t>À l'avenir, le logiciel pourra vérifier s'il existe une nouvelle version disponible.. Il est possible de régler cela en utilisant le menu \n\n ? - rechercher une nouvelle version maintenant … \n\nVoulez-vous ouvrir cette fenêtre ?</t>
  </si>
  <si>
    <t>Le nom "\1" existe déjà.\nRemplacer ?</t>
  </si>
  <si>
    <t>Supprimer la personnalisation pour tous les masques ?</t>
  </si>
  <si>
    <t>Enregistrer la configuration ?</t>
  </si>
  <si>
    <t>Le nom du fichier ne peut pas être exclu de la comparaison.</t>
  </si>
  <si>
    <t xml:space="preserve"> Valeur de filtre invalide pour \1\n\n\2</t>
  </si>
  <si>
    <t>Aucun changement sélectionné.</t>
  </si>
  <si>
    <t>Aucune paramètre sélectionné</t>
  </si>
  <si>
    <t>Aucun fichier sélectionné.</t>
  </si>
  <si>
    <t>Aucun filtre fourni.</t>
  </si>
  <si>
    <t>Artiste (Auteur)</t>
  </si>
  <si>
    <t>Artiste et commentaires</t>
  </si>
  <si>
    <t>Commentaires</t>
  </si>
  <si>
    <t>Listes des commentaires</t>
  </si>
  <si>
    <t>Fichiers</t>
  </si>
  <si>
    <t>Détails de l'image</t>
  </si>
  <si>
    <t>Mots clé IPTC</t>
  </si>
  <si>
    <t>tout</t>
  </si>
  <si>
    <t>toutes les métadonnées Exif\n</t>
  </si>
  <si>
    <t>toutes les métadonnées Exif - excepter\n</t>
  </si>
  <si>
    <t>toutes les métadonnées Iptc\n</t>
  </si>
  <si>
    <t>toutes les métadonnées Iptc - excepter\n</t>
  </si>
  <si>
    <t>toutes les métadonnées Xmp\n</t>
  </si>
  <si>
    <t>toutes les métadonnées Xmp - excepter\n</t>
  </si>
  <si>
    <t>(aussi dans \1)</t>
  </si>
  <si>
    <t>Tout fermer</t>
  </si>
  <si>
    <t>\n   Artiste (Auteur)</t>
  </si>
  <si>
    <t>\n   Commentaires</t>
  </si>
  <si>
    <t>\n   Mots clé IPTC</t>
  </si>
  <si>
    <t>Une erreur s'est produite lors de la dernière utilisation.</t>
  </si>
  <si>
    <t>Programmes (*.exe)|*.exe|Tous les fichiers (*.*)|*.*</t>
  </si>
  <si>
    <t>Erreur de lecture des métadonnées for\n</t>
  </si>
  <si>
    <t>Erreur d'écriture \1\n\n\2</t>
  </si>
  <si>
    <t>Exporter les propriétés de toutes les images dans le dossier</t>
  </si>
  <si>
    <t>Dernière modification</t>
  </si>
  <si>
    <t>Impossible d'accéder au fichier</t>
  </si>
  <si>
    <t>Fichier en lecture seul</t>
  </si>
  <si>
    <t>Fichier trop volumineux, les métadonnées ne peuvent pas être lues.</t>
  </si>
  <si>
    <t>Tous les fichiers</t>
  </si>
  <si>
    <t>Fichiers ICO</t>
  </si>
  <si>
    <t>Les données ont été lues à partir du fichier. Mise à jour en cours ...</t>
  </si>
  <si>
    <t>Libre</t>
  </si>
  <si>
    <t>Pas d'accès</t>
  </si>
  <si>
    <t>Mémoire principal</t>
  </si>
  <si>
    <t>Pas d'image\npour ce\nType de vidéo</t>
  </si>
  <si>
    <t>pas configuré</t>
  </si>
  <si>
    <t>Ouverture du dernier dossier ouvert ...</t>
  </si>
  <si>
    <t>Dossier de lecture ... \1</t>
  </si>
  <si>
    <t>Lecture</t>
  </si>
  <si>
    <t>Il est possible d'aligner les différentes entrées en les enregistrant..</t>
  </si>
  <si>
    <t>Analyser le dossier</t>
  </si>
  <si>
    <t>est vide</t>
  </si>
  <si>
    <t>n'est pas vide</t>
  </si>
  <si>
    <t>ne commence pas pars</t>
  </si>
  <si>
    <t>commence pars</t>
  </si>
  <si>
    <t>Sélectionnez le programme …</t>
  </si>
  <si>
    <t>afficher</t>
  </si>
  <si>
    <t>Fichiers text (*.txt)|*.txt|Tous les fichiers (*.*)|*.*</t>
  </si>
  <si>
    <t>Doit être une valeur entière de 0 à 255.</t>
  </si>
  <si>
    <t>Doit être une valeur entière de -128 à 127.</t>
  </si>
  <si>
    <t>Doit être une valeur entière de 0 à 65535.</t>
  </si>
  <si>
    <t>Doit être une valeur entière de -2147483648 à 2147483647.</t>
  </si>
  <si>
    <t>Doit être une valeur entière de -32768 à 32767.</t>
  </si>
  <si>
    <t>La version est à jour.</t>
  </si>
  <si>
    <t>Le fichier "\1" possède dans "\2" une valeur de date/heure:\n\3\qui ne peut pas être identifiée comme une date de fichier:\n\4</t>
  </si>
  <si>
    <t>Erreur lors de l’exécution de la requête:\n\n\1</t>
  </si>
  <si>
    <t>Erreur lors de l’expansion des branches du dossier:\n\1</t>
  </si>
  <si>
    <t>Le fichier "\1" ne peut être ouvert :\n\n\2</t>
  </si>
  <si>
    <t>Error: Le charactère "\1" n'est pas accepté ici.</t>
  </si>
  <si>
    <t>Erreur lors du déplacement du fichier d’initialisation Exiv2:\n\1</t>
  </si>
  <si>
    <t>Erreur lors de la requête OpenStreetMap: \n\n\1</t>
  </si>
  <si>
    <t>Erreur lors de la substitution d'un espace réservé:\n\n\1\n\nFichier \2 sur \3 (\4) et les suivants n’ont pas été sauvegardés.</t>
  </si>
  <si>
    <t>Erreur lors de la lecture du fichier:\n\1</t>
  </si>
  <si>
    <t>Erreur lors de la lecture du dossier:\n\1</t>
  </si>
  <si>
    <t>Erreur lors de la lecture du fichier de configuration utilisateur:\n\1</t>
  </si>
  <si>
    <t>Erreur lors de la sauvegarde  "\1":\n\n\2</t>
  </si>
  <si>
    <t>SimplePSD: Code erreur =\1</t>
  </si>
  <si>
    <t>Erreur lors de la conversion en liste générique, balise:\1\n\2</t>
  </si>
  <si>
    <t>Erreur de programme : Aucun texte défini pour \1. Veuillez envoyer un courriel à quickimagecomment@gmail.com.</t>
  </si>
  <si>
    <t>Impossible de vérifier la version. Erreur:\n\1</t>
  </si>
  <si>
    <t>Le fichier "\1" n'a aucune valeur ou une valeur invalide pour la date/heure dans "\2" :\n\3</t>
  </si>
  <si>
    <t>Fichier vidéo sélectionné:\n\n\1\n\nImpossible de modifier les fichiers vidéo. Annuler.</t>
  </si>
  <si>
    <t>Maps for display only (defined by a link e.g. to Google Maps) are not usable.\n\nErreur:\n\1</t>
  </si>
  <si>
    <t>Les modifications suivantes ne sont pas encore enregistrées:\n\1\n\nEnregistrer (oui, non) et continuer ou annuler ?</t>
  </si>
  <si>
    <t>Formats acceptés:\1\n\nyyyy = année\nMM = mois (01-12)\ndd = jour (01-31)\n\nExemple: 2020-03-15</t>
  </si>
  <si>
    <t>Formats acceptés:\1\n\nyyyy = année\nMM = mois (01-12)\ndd = jour (01-31)\nHH = heure (00-23)\nmm = minute (00-59)\nss = seconde (00-59)\n\nExemple: 2020:03:15 16:38:45</t>
  </si>
  <si>
    <t>Formats acceptés:\1\n\nyyyy = année\nMM = mois (01-12)\ndd = jour (01-31)\nHH = heure (00-23)\nmm = minute (00-59)\nss = seconde (00-59)\n\nExemple: 2020-03-15T16:38:45\n\nIn addition, the time zone can be specified in the form +hh:mm or -hh:mm. \nExemple: 2012-04-28T14:23:58+02:00</t>
  </si>
  <si>
    <t>(Il y a \1 jours)</t>
  </si>
  <si>
    <t>Erreur lors du déplacement du fichier de configuration utilisateur:\n\1</t>
  </si>
  <si>
    <t>SimplePSD: Ouverture impossible du fichier</t>
  </si>
  <si>
    <t>Erreur lors du changement de nom de fichier:\n\n\1</t>
  </si>
  <si>
    <t>Erreur dans \1, row \2: valeur manquante.</t>
  </si>
  <si>
    <t>Erreur lors de la substitution d'un espace réservé:\n\n\1</t>
  </si>
  <si>
    <t>"\1" n’est pas connu. Veuillez vérifier l’orthographe (ou sélectionnez dans la liste ci-dessus).</t>
  </si>
  <si>
    <t>Entrer le dossier ou le fichier (avec le chemin complet):</t>
  </si>
  <si>
    <t>"\1" est répété dans la liste des variables properties.\n\nPossible reasons:\n- the property is configured twice in the list of changeable properties\n- it is a property which is also changed via input fields for artist or comment\n\nPlease check configuration in masks "Settings" and "Field definitions".</t>
  </si>
  <si>
    <t>\1\nne peut pas être activé:\nle masque "Définitions du champ" est déjà configuré pour écrire cette propriété.</t>
  </si>
  <si>
    <t>Avant de commencer l’exportation : vérifier les paramètres ?</t>
  </si>
  <si>
    <t>Enregistrer les paramètres sous:</t>
  </si>
  <si>
    <t>Input starts with number, but is not a valid coordinate. Valid are entries like:\n52.432N 8.345E\n52°30'18.4 "S 8°42'32.9 "W\nUn point ou une virgule peuvent être utilisés comme séparateur décimal.</t>
  </si>
  <si>
    <t>Créer le :</t>
  </si>
  <si>
    <t>**Pour reproduire**\nÉtapes pour reproduire le comportement:\n1. ...\n2. ...\n\n**Additional context**\nAdd any other context about the problem here.\n\n</t>
  </si>
  <si>
    <t>Emplacement de stockage pour les paramètres utilisateur:\n\n%Appdata%:\nSi plusieurs utilisateurs sont créés sur l’ordinateur, chaque utilisateur a ses propres paramètres.\nLes paramètres sont conservés lors de la mise à niveau vers une version plus récente du programme.\nIl faut aussi choisir, si le dossier du programme est protégé en écriture.\n\nRépertoire du programme, dossier config :\nRecommandé pour une utilisation portable sur clé USB : les paramètres sont également sur clé USB, aucun paramètre ne sera stocké sur un autre ordinateur.\nLors de la mise à niveau vers une version plus récente du programme, les paramètres doivent être copiés manuellement, ou les fichiers du programme se trouvant dans le dossier utilisé doivent être écrasés.\nCe sous-dossier dans le répertoire du programme ne doit pas être protégé en écriture.</t>
  </si>
  <si>
    <t>Charger les données à partir du modèle : Aucun modèle sélectionné</t>
  </si>
  <si>
    <t xml:space="preserve"> Charger les données à partir du modèle :</t>
  </si>
  <si>
    <t>\n  nouvelle:</t>
  </si>
  <si>
    <t>\n  old:</t>
  </si>
  <si>
    <t>À insérer en fraction, le numérateur et le dénominateur sont de type SLong (-2147483648 à 2147483647), séparés par une barre oblique.\nExemple: -12/100</t>
  </si>
  <si>
    <t>Formats acceptés:\nHH:mm\nHH:mm:ss\n\nHH = heure (00-23)\nmm = minute (00-59)\nss = seconde (00-59)\n\nExemple: 16:38:45\n\nEn outre, le fuseau horaire peut être spécifié sous la forme +hh:mm ou -hh:mm. \nExemple: 14:23:58+02:00</t>
  </si>
  <si>
    <t>Les types de données suivants ne peuvent pas être entrés ou supprimés:</t>
  </si>
  <si>
    <t>Following values have been changed, but no option for save is selected:\n\1\n\nEnregistrer malgré tout ?</t>
  </si>
  <si>
    <t>"\1" n’est pas un raccourci clavier valide.</t>
  </si>
  <si>
    <t>Following data changes are not yet saved:\n</t>
  </si>
  <si>
    <t>Paramètres d’affichage de la zone de recherche, de la direction et de l'angle de la prise de vue</t>
  </si>
  <si>
    <t>Carte - Paramètres</t>
  </si>
  <si>
    <t>Opacité de la zone de remplissage</t>
  </si>
  <si>
    <t>Opacité des lignes</t>
  </si>
  <si>
    <t>Angle de la prise de vue</t>
  </si>
  <si>
    <t>Erreur de paramètre:\nFindDataTableFileName\n\nLe format du fichier utilisé pour stocker la table de données pour la recherche n'est pas valide:\n\n\1\n\n\2</t>
  </si>
  <si>
    <t>Erreur de paramètre:\nFindDataTableFileName\n\nLe dossier pour l’enregistrement de la table de données pour la recherche n’existe pas:\n\1</t>
  </si>
  <si>
    <t>Erreur lors de l’écriture dans\n\1\npour stocker la table de données pour la recherche:\n\2\n\nPeut-être la valeur du paramètre FindDataTableFileName n'est pas valable.</t>
  </si>
  <si>
    <t>Afficher dans l'onglet "Mosaïque" - Image</t>
  </si>
  <si>
    <t>Afficher dans l'onglet "Mosaïque" - Vidéo</t>
  </si>
  <si>
    <t>Display Image in own window  - Vidéo</t>
  </si>
  <si>
    <t>Exportation des propriétés dans un fichier texte</t>
  </si>
  <si>
    <t>Display of files in view "Tiles" - Vidéo</t>
  </si>
  <si>
    <t>_translationAcknowledgment</t>
  </si>
  <si>
    <t>Traduction en français par Régis</t>
  </si>
  <si>
    <t>Miniatures</t>
  </si>
  <si>
    <t>Backup der Bild-Datei erstellen</t>
  </si>
  <si>
    <t>Make backup from image file</t>
  </si>
  <si>
    <t>X_permanentDelete_files</t>
  </si>
  <si>
    <t>Do you really want to permanently delete the following \1 files?\n\2</t>
  </si>
  <si>
    <t>Möchten Sie die folgenden \1 Dateien wirklich unwiderruflich löschen?\n\2</t>
  </si>
  <si>
    <t>Unwiderruflich Löschen</t>
  </si>
  <si>
    <t>Permanently delete</t>
  </si>
  <si>
    <t>Mit Schaltfläche "Löschen" werden Dateien unwiderruflich gelöscht</t>
  </si>
  <si>
    <t>With "Delete" button files are deleted permanently</t>
  </si>
  <si>
    <t>Bild löschen (verschieben in Papierkorb)</t>
  </si>
  <si>
    <t>Delete image (move to recycle bin)</t>
  </si>
  <si>
    <t>toolTipDeleteButtonRecycleBin</t>
  </si>
  <si>
    <t>toolTipDeleteButtonPermanently</t>
  </si>
  <si>
    <t>Kopieren (Inhalt der markierten Zelle)</t>
  </si>
  <si>
    <t>Copy (content of the selected cell)</t>
  </si>
  <si>
    <t>Faire une sauvegarde de l'image</t>
  </si>
  <si>
    <t>Supprimer l'image (déplacer dans la corbeille)</t>
  </si>
  <si>
    <t>Copier (contenu de la cellule sélectionnée)</t>
  </si>
  <si>
    <t>permanently 	Le bouton "Supprimer" permet d'effacer les fichiers définitivement</t>
  </si>
  <si>
    <t>Supprimer définitivement</t>
  </si>
  <si>
    <t xml:space="preserve">Voulez-vous vraiment supprimer définitivement les \1 fichiers suivants ?\n\2 </t>
  </si>
  <si>
    <t>toolTipDeleteButtonUnknown</t>
  </si>
  <si>
    <t>Bild/Video löschen; abhängig von den Einstellungen des Papierkorbs wird in den Papierkorb verschoben oder unwiderruflich gelöscht</t>
  </si>
  <si>
    <t>Bild/Video unwiderruflich löschen</t>
  </si>
  <si>
    <t>Delete image/video permanently</t>
  </si>
  <si>
    <t>Supprimer une image/vidéo définitivement</t>
  </si>
  <si>
    <t>Delete image/video; depending on the settings of  Recycle Bin, it is moved to the Recycle Bin or deleted permanently</t>
  </si>
  <si>
    <t>Möchten Sie die folgenden \1 Dateien wirklich löschen?\n\2</t>
  </si>
  <si>
    <t>Do You really want to delete following \1 files?\n\2</t>
  </si>
  <si>
    <t>Delete image/video; depending on the settings of Recycle Bin, it is moved to Recycle Bin or deleted permanently</t>
  </si>
  <si>
    <t>Effacer l'image/vidéo; en fonction des paramètres de la corbeille, il est déplacé vers la corbeille ou supprimé définitivement</t>
  </si>
  <si>
    <t>Supprimer l'image/vidéo; en fonction des paramètres de la corbeille, il est déplacé vers la corbeille ou supprimé définitivement</t>
  </si>
  <si>
    <t>does not contain</t>
  </si>
  <si>
    <t>imageOrientation</t>
  </si>
  <si>
    <t>Bildausrichtung</t>
  </si>
  <si>
    <t>Image orientation</t>
  </si>
  <si>
    <t>Untertitel in Slideshow</t>
  </si>
  <si>
    <t>Subtitles in slideshow</t>
  </si>
  <si>
    <t>MetaDataDefForSlideshow</t>
  </si>
  <si>
    <t>Dateien - Kommentar</t>
  </si>
  <si>
    <t>Files - comment</t>
  </si>
  <si>
    <t>Slideshow</t>
  </si>
  <si>
    <t>Maske kann mit rechter Maustaste in der Slideshow wieder angezeigt werden.</t>
  </si>
  <si>
    <t>Mask can be displayed again in the slideshow with the right mouse button.</t>
  </si>
  <si>
    <t>Maske bei Start der Slideshow nicht mehr anzeigen</t>
  </si>
  <si>
    <t>Mask no longer displayed at the start of the slideshow</t>
  </si>
  <si>
    <t>Schriftart/Schriftgröße für Untertitel</t>
  </si>
  <si>
    <t>Font/font size for subtitles</t>
  </si>
  <si>
    <t>Felder für Untertitel anpassen</t>
  </si>
  <si>
    <t>Customize fields for subtitles</t>
  </si>
  <si>
    <t>Schriftfarbe Untertitel</t>
  </si>
  <si>
    <t>Subtitle font color</t>
  </si>
  <si>
    <t>Zeitverzögerung</t>
  </si>
  <si>
    <t>Time delay</t>
  </si>
  <si>
    <t>I_changeGPSviaMap</t>
  </si>
  <si>
    <t>Q_changeGPSviaMapOrAdd</t>
  </si>
  <si>
    <t>Das Feld\n\n\1\n\nkann nicht direkt geändert werden.\nInformationen zum AufnahmeOrt können aber über eine Karte geändert werden. Details in der Hilfe unter "Aufnahmeort auf Karte".</t>
  </si>
  <si>
    <t>The field\n\n\1\n\ncannot be changed directly.\nHowever, information on the recording location can be changed via a map. Details in the help under "Recording location on map".</t>
  </si>
  <si>
    <t>Informationen zum AufnahmeOrt können einfacher über eine Karte geändert werden. Details in der Hilfe unter "Aufnahmeort auf Karte". Soll\n\n\1\n\ntrotzdem zu den änderbaren Eigenschaften hinzugefügt werden?</t>
  </si>
  <si>
    <t>Information on the recording location can be changed more easily using a map. Details in the help under "Recording location on map". Should\n\n\1\n\nonetheless be added to the changeable properties?</t>
  </si>
  <si>
    <t>Das Feld\n\n\1\n\nkann nicht zu den änderbaren Eigenschaften hinzugefügt werden. Um seinen Wert zu ändern ist ein Eingabefeld im zentralen Eingabebereich vorhanden.</t>
  </si>
  <si>
    <t>The field\n\n\1\n\ncannot be added to the changeable properties. To change its value, there is an input field in the central input area.</t>
  </si>
  <si>
    <t>I_IptcKeyWordsString</t>
  </si>
  <si>
    <t>Das Feld\n\n\1\n\nkann nicht zu den änderbaren Eigenschaften hinzugefügt werden. Für IPTC Schlüsselworte gibt es einen eigenen Eingabebereich. Details in der Hilfe unter "Haupt-Maske".</t>
  </si>
  <si>
    <t>I_changeCommentArtistAccSettings</t>
  </si>
  <si>
    <t>Das Feld\n\n\1\n\nkann nicht zu den änderbaren Eigenschaften hinzugefügt werden. Es beinhaltet die Werte von verschiedenen Feldern für Künstler, die jeweils einzeln geändert werden können.</t>
  </si>
  <si>
    <t>I_changeArtistCombined</t>
  </si>
  <si>
    <t>I_changeCommentCombined</t>
  </si>
  <si>
    <t>Das Feld\n\n\1\n\nkann nicht zu den änderbaren Eigenschaften hinzugefügt werden. Es beinhaltet die Werte von verschiedenen Feldern für Kommentar, die jeweils einzeln geändert werden können.</t>
  </si>
  <si>
    <t>The field\n\n\1\n\ncannot be added to the changeable properties. There is a separate input area for IPTC keywords. Details in the help under "Main mask".</t>
  </si>
  <si>
    <t>Q_addRefKey</t>
  </si>
  <si>
    <t>The property\n\n\1\n\ncannot be changed because it is derived from properties that cannot be changed \n\n\2\n\n.</t>
  </si>
  <si>
    <t>Die Eigenschaft\n\n\1\n\nkann nicht geändert werden, weil sie von nicht änderbaren Eigenschaften abgeleitet ist\n\n\2</t>
  </si>
  <si>
    <t>Q_addRefKeyPartially</t>
  </si>
  <si>
    <t>Die Eigenschaft\n\n\1\n\nkann nicht direkt geändert werden, weil sie von\n\n\2\nabgeleitet ist.\nSoll\n\n\2\nzu den änderbaren Eigenschaften hinzugefügt werden?</t>
  </si>
  <si>
    <t>Die Eigenschaft\n\n\1\n\nkann nicht direkt geändert werden, weil sie von\n\n\2\nabgeleitet ist.\nSollen die änderbaren Eigenschaften\n\n\3\nzu den änderbaren Eigenschaften hinzugefügt werden?</t>
  </si>
  <si>
    <t>The property\n\n\1\n\ncannot be changed directly because it is derived from\n\n\2\nShould\n\n\2\nbe added to the changeable properties?</t>
  </si>
  <si>
    <t>The property\n\n\1\n\ncannot be changed directly because it is derived from\n\n\2\nShould the changeable properities\n\n\3\nbe added to the changeable properties?</t>
  </si>
  <si>
    <t>Q_ExifEasyAddRefKey</t>
  </si>
  <si>
    <t>Die Eigenschaft\n\n\1\n\nkann nicht direkt geändert werden, weil sie von anderen Eigenschaften abhängt, für das aktuell gewählte Bild von \n\n\2\n\nSoll \n\n\2\n\nzu den änderbaren Eigenschaften hinzugefügt werden?</t>
  </si>
  <si>
    <t>The property\n\n\1\n\ncannot be changed directly because it depends on other properties. For the currently selected image it depends on \n\n\2\n\nShould \n\n\2\n\nbe added to the changeable properties?</t>
  </si>
  <si>
    <t>E_RefKeyNotChangeable</t>
  </si>
  <si>
    <t>The field\n\n\1\n\ncannot be added to the changeable properties. It contains the values of various fields for artist, each of which can be changed individually.</t>
  </si>
  <si>
    <t>The field\n\n\1\n\ncannot be added to the changeable properties. It contains the values of various fields for comment, each of which can be changed individually.</t>
  </si>
  <si>
    <t>... nach Kommentar</t>
  </si>
  <si>
    <t>... Comment</t>
  </si>
  <si>
    <t>Opazität des Hintergrundes wenn Untertitel über Bild</t>
  </si>
  <si>
    <t>Wenn Bild Höhe ausfüllt, Untertitel transparent im Bild, sonst unter Bild</t>
  </si>
  <si>
    <t>Untertitel immer unter dem Bild anzeigen</t>
  </si>
  <si>
    <t>Untertitel nicht anzeigen</t>
  </si>
  <si>
    <t>Opacity of background when subtitle over image</t>
  </si>
  <si>
    <t>If image fills height, subtitle transparent in image, otherwise below image</t>
  </si>
  <si>
    <t>Do not show subtitles</t>
  </si>
  <si>
    <t>Always show subtitles below the image</t>
  </si>
  <si>
    <t>&amp;Slideshow</t>
  </si>
  <si>
    <t>Neue Version \1  mit folgenden Änderungen verfügbar:\n\n\2</t>
  </si>
  <si>
    <t>New version \1 with following changes available:\n\n\2</t>
  </si>
  <si>
    <t>Nouvelle version \1 avec les modifications suivantes disponibles:\n\n\2</t>
  </si>
  <si>
    <t>Änderungen verwerfen</t>
  </si>
  <si>
    <t>Discard changes</t>
  </si>
  <si>
    <t>W_nominatimInvalidParameter</t>
  </si>
  <si>
    <t>Kein gültiger Parameter für Nominatim Structered Query:\n\n\1\n\nWird ignoriert.</t>
  </si>
  <si>
    <t>Abfrage enthält nicht die Einschränkung, die über die Karte definiert wird (\1, Umkreis \2 \3).\nFür diese Einschränkung ist zusätzlich eine Berechnung notwendig, die hier nicht abgebildet werden kann.</t>
  </si>
  <si>
    <t>Query does not contain the constraint defined by the map (\1, radius \2 \3).\nFor this constraint, an additional calculation is necessary, which cannot be mapped here.</t>
  </si>
  <si>
    <t>Maßstab in Karte einblenden</t>
  </si>
  <si>
    <t>Längeneinheiten</t>
  </si>
  <si>
    <t>km / m</t>
  </si>
  <si>
    <t>mi / ft</t>
  </si>
  <si>
    <t>Nominatim strukturierte Abfrage</t>
  </si>
  <si>
    <t>Hausnummer und Straßenname</t>
  </si>
  <si>
    <t>Postleitzahl</t>
  </si>
  <si>
    <t>Land</t>
  </si>
  <si>
    <t>Staat</t>
  </si>
  <si>
    <t>Landkreis</t>
  </si>
  <si>
    <t>Stadt</t>
  </si>
  <si>
    <t>Einstellungen für Slideshow</t>
  </si>
  <si>
    <t>Show scale on map</t>
  </si>
  <si>
    <t>Units of length</t>
  </si>
  <si>
    <t>Nominatim structured query</t>
  </si>
  <si>
    <t>Housenumber and streetname</t>
  </si>
  <si>
    <t>Postal code</t>
  </si>
  <si>
    <t>Country</t>
  </si>
  <si>
    <t>State</t>
  </si>
  <si>
    <t>County</t>
  </si>
  <si>
    <t>City</t>
  </si>
  <si>
    <t>Settings for slideshow</t>
  </si>
  <si>
    <t>Karte ausblenden wenn keine GPS Daten verfügbar</t>
  </si>
  <si>
    <t>Hide map if no GPS data available</t>
  </si>
  <si>
    <t>Problembehandlung</t>
  </si>
  <si>
    <t>Troubleshooting</t>
  </si>
  <si>
    <t>Kein Bild ausgewählt oder Bild hat keine GPS-Daten.\r\n\r\nHier klicken, um trotzdem die Karte anzuzeigen.\r\n\r\n\r\nUm die Karte immer anzuzeigen: \r\nIn den Eistellungen der Karte (Schaltfläche oben rechts)\r\n"Karte ausblenden wenn keine GPS Daten verfügbar"\r\ndeaktivieren</t>
  </si>
  <si>
    <t>No image selected or image has no GPS data.\r\n\r\nClick here to display the map anyway.\r\n\r\n\r\nTo always display the map: \r\nIn the map settings (top right button)\r\nuncheck\r\n "Hide map if no GPS data available"</t>
  </si>
  <si>
    <t>... Commentaire</t>
  </si>
  <si>
    <t>Annuler les modifications</t>
  </si>
  <si>
    <t>Fichiers - commentaires</t>
  </si>
  <si>
    <t>Paramètres du diaporama</t>
  </si>
  <si>
    <t>Champs personnalisés pour les sous-titres</t>
  </si>
  <si>
    <t>Numéro de maison et nom de rue</t>
  </si>
  <si>
    <t>Masquer la carte si aucune donnée GPS n'est disponible</t>
  </si>
  <si>
    <t>Aucune image n'est sélectionnée ou l'image n'a pas de données GPS.\NCliquez ici pour afficher la carte quand même.\NPour toujours afficher la carte : \r\NDans les paramètres de la carte (bouton en haut à droite)\r\nne pas cocher \r\n "Masquer la carte si aucune donnée GPS n'est disponible"</t>
  </si>
  <si>
    <t>Pays</t>
  </si>
  <si>
    <t>Comté</t>
  </si>
  <si>
    <t>Unités de longueur</t>
  </si>
  <si>
    <t>Le masque n'est plus affiché au début du diaporama</t>
  </si>
  <si>
    <t>Le masque peut être réaffiché dans le diaporama avec le bouton droit de la souris.</t>
  </si>
  <si>
    <t>Afficher l'échelle sur la carte</t>
  </si>
  <si>
    <t>Requête structurée Nominatim</t>
  </si>
  <si>
    <t>Opacité de l'arrière-plan lorsque le sous-titre est superposé à l'image</t>
  </si>
  <si>
    <t>Code postal</t>
  </si>
  <si>
    <t>Résolution des problèmes</t>
  </si>
  <si>
    <t>Police/taille de police pour les sous-titres</t>
  </si>
  <si>
    <t>Couleur de la police des sous-titres</t>
  </si>
  <si>
    <t>Diaporama</t>
  </si>
  <si>
    <t>État</t>
  </si>
  <si>
    <t>Ville</t>
  </si>
  <si>
    <t>Toujours afficher les sous-titres sous l'image</t>
  </si>
  <si>
    <t>Ne pas afficher les sous-titres</t>
  </si>
  <si>
    <t>Si l'image remplit la hauteur, les sous-titres sont transparents dans l'image, sinon ils sont affichés en dessous de l'image.</t>
  </si>
  <si>
    <t>Délai</t>
  </si>
  <si>
    <t>Orientation de l'image</t>
  </si>
  <si>
    <t>Sous-titres dans le diaporama</t>
  </si>
  <si>
    <t>severeFolderReadError</t>
  </si>
  <si>
    <t>La propriété\n\n\1\n\nne peut pas être modifiée car elle est dérivée de propriétés qui ne peuvent pas être modifiées\n\n\2\n\n.</t>
  </si>
  <si>
    <t>Le champ\n\n\1\n\nne peut pas être ajouté aux propriétés modifiables. Il contient les valeurs de différents champs pour l'artiste, chacun pouvant être modifié individuellement.</t>
  </si>
  <si>
    <t>Le champ\n\n\1\n\nne peut pas être ajouté aux propriétés modifiables. Pour modifier sa valeur, il existe un champ de saisie dans la zone de saisie centrale.</t>
  </si>
  <si>
    <t>Le champ\n\n\1\n\nne peut pas être ajouté aux propriétés modifiables. Il contient les valeurs de plusieurs champs de commentaires, chacun pouvant être modifié individuellement.</t>
  </si>
  <si>
    <t>Le champ\n\n\1\n\nne peut pas être modifié directement. Toutefois, les informations sur le lieu d'enregistrement peuvent être modifiées à l'aide d'une carte. Détails dans l'aide sous "Lieu d'enregistrement sur la carte".</t>
  </si>
  <si>
    <t>Le champ\n\n\1\n\nne peut pas être ajouté aux propriétés modifiables. Il existe une zone de saisie distincte pour les mots-clés IPTC. Détails dans l'aide sous "Masque principal".</t>
  </si>
  <si>
    <t>La propriété\n\n\1\n\nne peut pas être modifiée directement parce qu'elle est dérivée de\n\n\2\n la propriété\n\n\2\ndoit-elle être ajoutée aux propriétés modifiables ?</t>
  </si>
  <si>
    <t>La propriété\n\n\1\n\nne peut pas être modifiée directement parce qu'elle est dérivée de la propriété\n\n\2\n\n. Faut-il\n\n\3\n\nl'ajouter aux propriétés modifiables ?</t>
  </si>
  <si>
    <t>Les informations sur le lieu d'enregistrement peuvent être modifiées plus facilement à l'aide d'une carte. Détails dans l'aide sous "Lieu d'enregistrement sur la carte". Les propriétés modifiables doivent-elles être ajoutées \n\n\1\n\naux propriétés modifiables ?</t>
  </si>
  <si>
    <t>La propriété\n\n\1\n\nne peut pas être modifiée directement car elle dépend d'autres propriétés. Pour l'image actuellement sélectionnée, elle dépend de \n\n\2\n\n. Faut-il ajouter \n\n\2\n\naux propriétés modifiables ?</t>
  </si>
  <si>
    <t>No valid parameter for Nominatim Structured Query:\n\n\1\n\nis ignored.</t>
  </si>
  <si>
    <t>Aucun paramètre valide pour Nominatim Structured Query:\n\n\1\n\nest ignoré.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</si>
</sst>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
      <b/>
      <sz val="11"/>
      <color theme="1"/>
      <name val="Lucida Console"/>
      <family val="3"/>
    </font>
    <font>
      <sz val="11"/>
      <color theme="1"/>
      <name val="Lucida Console"/>
      <family val="3"/>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5">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0" fontId="16" fillId="0" borderId="0" xfId="0" applyFont="1" applyAlignment="1">
      <alignment horizontal="center" vertical="center"/>
    </xf>
    <xf numFmtId="0" fontId="0" fillId="0" borderId="0" xfId="0" applyAlignment="1">
      <alignment horizontal="left"/>
    </xf>
    <xf numFmtId="49" fontId="23" fillId="0" borderId="0" xfId="0" applyNumberFormat="1" applyFont="1" applyAlignment="1">
      <alignment horizontal="left"/>
    </xf>
    <xf numFmtId="0" fontId="24" fillId="0" borderId="0" xfId="0" applyFont="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5" workbookViewId="0">
      <selection activeCell="A30" sqref="A3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1523</v>
      </c>
      <c r="B1" s="26"/>
      <c r="C1" s="27" t="s">
        <v>1524</v>
      </c>
    </row>
    <row r="2" spans="1:3" x14ac:dyDescent="0.25">
      <c r="A2" s="16" t="s">
        <v>1494</v>
      </c>
      <c r="B2" s="16"/>
      <c r="C2" s="16" t="s">
        <v>1466</v>
      </c>
    </row>
    <row r="3" spans="1:3" x14ac:dyDescent="0.25">
      <c r="A3" s="9" t="s">
        <v>1519</v>
      </c>
      <c r="B3" s="9"/>
      <c r="C3" s="9" t="s">
        <v>1520</v>
      </c>
    </row>
    <row r="4" spans="1:3" ht="30" x14ac:dyDescent="0.25">
      <c r="A4" s="9" t="s">
        <v>1495</v>
      </c>
      <c r="B4" s="9"/>
      <c r="C4" s="9" t="s">
        <v>1467</v>
      </c>
    </row>
    <row r="5" spans="1:3" ht="30" x14ac:dyDescent="0.25">
      <c r="A5" s="9" t="s">
        <v>1496</v>
      </c>
      <c r="B5" s="9"/>
      <c r="C5" s="9" t="s">
        <v>1470</v>
      </c>
    </row>
    <row r="6" spans="1:3" ht="30" x14ac:dyDescent="0.25">
      <c r="A6" s="9" t="s">
        <v>1497</v>
      </c>
      <c r="B6" s="9"/>
      <c r="C6" s="9" t="s">
        <v>1498</v>
      </c>
    </row>
    <row r="7" spans="1:3" ht="60" x14ac:dyDescent="0.25">
      <c r="A7" s="9" t="s">
        <v>1499</v>
      </c>
      <c r="B7" s="9"/>
      <c r="C7" s="9" t="s">
        <v>1471</v>
      </c>
    </row>
    <row r="8" spans="1:3" ht="45" x14ac:dyDescent="0.25">
      <c r="A8" s="9" t="s">
        <v>1548</v>
      </c>
      <c r="B8" s="9"/>
      <c r="C8" s="9" t="s">
        <v>1549</v>
      </c>
    </row>
    <row r="9" spans="1:3" x14ac:dyDescent="0.25">
      <c r="A9" s="9" t="s">
        <v>1500</v>
      </c>
      <c r="B9" s="9"/>
      <c r="C9" s="9" t="s">
        <v>1472</v>
      </c>
    </row>
    <row r="10" spans="1:3" ht="90" x14ac:dyDescent="0.25">
      <c r="A10" s="9" t="s">
        <v>1550</v>
      </c>
      <c r="B10" s="9"/>
      <c r="C10" s="9" t="s">
        <v>1551</v>
      </c>
    </row>
    <row r="11" spans="1:3" x14ac:dyDescent="0.25">
      <c r="A11" s="2"/>
      <c r="B11" s="2"/>
      <c r="C11" s="2"/>
    </row>
    <row r="12" spans="1:3" x14ac:dyDescent="0.25">
      <c r="A12" s="16" t="s">
        <v>1501</v>
      </c>
      <c r="B12" s="16"/>
      <c r="C12" s="16" t="s">
        <v>1552</v>
      </c>
    </row>
    <row r="13" spans="1:3" ht="30" x14ac:dyDescent="0.25">
      <c r="A13" s="2" t="s">
        <v>1502</v>
      </c>
      <c r="B13" s="2"/>
      <c r="C13" s="2" t="s">
        <v>1521</v>
      </c>
    </row>
    <row r="14" spans="1:3" ht="90" x14ac:dyDescent="0.25">
      <c r="A14" s="9" t="s">
        <v>1553</v>
      </c>
      <c r="B14" s="9"/>
      <c r="C14" s="9" t="s">
        <v>1503</v>
      </c>
    </row>
    <row r="15" spans="1:3" ht="60" x14ac:dyDescent="0.25">
      <c r="A15" s="9" t="s">
        <v>1554</v>
      </c>
      <c r="B15" s="9"/>
      <c r="C15" s="9" t="s">
        <v>1555</v>
      </c>
    </row>
    <row r="16" spans="1:3" ht="75" x14ac:dyDescent="0.25">
      <c r="A16" s="9" t="s">
        <v>1505</v>
      </c>
      <c r="B16" s="9"/>
      <c r="C16" s="9" t="s">
        <v>1504</v>
      </c>
    </row>
    <row r="17" spans="1:3" ht="60" x14ac:dyDescent="0.25">
      <c r="A17" s="9" t="s">
        <v>1506</v>
      </c>
      <c r="B17" s="9"/>
      <c r="C17" s="9" t="s">
        <v>1507</v>
      </c>
    </row>
    <row r="18" spans="1:3" x14ac:dyDescent="0.25">
      <c r="A18" s="9" t="s">
        <v>1508</v>
      </c>
      <c r="B18" s="9"/>
      <c r="C18" s="9" t="s">
        <v>1469</v>
      </c>
    </row>
    <row r="19" spans="1:3" ht="60" x14ac:dyDescent="0.25">
      <c r="A19" s="9" t="s">
        <v>2001</v>
      </c>
      <c r="B19" s="9"/>
      <c r="C19" s="9" t="s">
        <v>1491</v>
      </c>
    </row>
    <row r="20" spans="1:3" ht="30" x14ac:dyDescent="0.25">
      <c r="A20" s="9" t="s">
        <v>1509</v>
      </c>
      <c r="B20" s="9"/>
      <c r="C20" s="9" t="s">
        <v>1473</v>
      </c>
    </row>
    <row r="21" spans="1:3" ht="75" x14ac:dyDescent="0.25">
      <c r="A21" s="9" t="s">
        <v>2002</v>
      </c>
      <c r="B21" s="9"/>
      <c r="C21" s="9" t="s">
        <v>1522</v>
      </c>
    </row>
    <row r="22" spans="1:3" ht="45" x14ac:dyDescent="0.25">
      <c r="A22" s="9" t="s">
        <v>1510</v>
      </c>
      <c r="B22" s="9"/>
      <c r="C22" s="9" t="s">
        <v>1492</v>
      </c>
    </row>
    <row r="23" spans="1:3" x14ac:dyDescent="0.25">
      <c r="A23" s="9"/>
      <c r="B23" s="9"/>
      <c r="C23" s="9"/>
    </row>
    <row r="24" spans="1:3" x14ac:dyDescent="0.25">
      <c r="A24" s="6" t="s">
        <v>1511</v>
      </c>
      <c r="B24" s="6"/>
      <c r="C24" s="6" t="s">
        <v>1465</v>
      </c>
    </row>
    <row r="25" spans="1:3" x14ac:dyDescent="0.25">
      <c r="A25" s="9" t="s">
        <v>1512</v>
      </c>
      <c r="B25" s="9"/>
      <c r="C25" s="9" t="s">
        <v>749</v>
      </c>
    </row>
    <row r="26" spans="1:3" ht="30" x14ac:dyDescent="0.25">
      <c r="A26" s="9" t="s">
        <v>1513</v>
      </c>
      <c r="B26" s="9"/>
      <c r="C26" s="9" t="s">
        <v>939</v>
      </c>
    </row>
    <row r="27" spans="1:3" x14ac:dyDescent="0.25">
      <c r="A27" s="9" t="s">
        <v>1514</v>
      </c>
      <c r="B27" s="9"/>
      <c r="C27" s="9" t="s">
        <v>937</v>
      </c>
    </row>
    <row r="28" spans="1:3" x14ac:dyDescent="0.25">
      <c r="A28" s="17" t="s">
        <v>1515</v>
      </c>
      <c r="B28" s="17"/>
      <c r="C28" s="17" t="s">
        <v>1517</v>
      </c>
    </row>
    <row r="29" spans="1:3" x14ac:dyDescent="0.25">
      <c r="A29" s="9" t="s">
        <v>1516</v>
      </c>
      <c r="B29" s="9"/>
      <c r="C29" s="9" t="s">
        <v>938</v>
      </c>
    </row>
    <row r="30" spans="1:3" ht="30" x14ac:dyDescent="0.25">
      <c r="A30" s="17" t="s">
        <v>1518</v>
      </c>
      <c r="B30" s="17"/>
      <c r="C30" s="17" t="s">
        <v>1493</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9"/>
  <sheetViews>
    <sheetView tabSelected="1" workbookViewId="0">
      <selection activeCell="D19" sqref="D19"/>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535</v>
      </c>
      <c r="B1" s="18" t="s">
        <v>1814</v>
      </c>
      <c r="D1" t="s">
        <v>1468</v>
      </c>
      <c r="E1" s="25" t="s">
        <v>108</v>
      </c>
      <c r="F1" s="25" t="s">
        <v>109</v>
      </c>
      <c r="G1" s="19" t="s">
        <v>2094</v>
      </c>
    </row>
    <row r="2" spans="1:7" x14ac:dyDescent="0.25">
      <c r="B2" s="18" t="s">
        <v>1815</v>
      </c>
    </row>
    <row r="3" spans="1:7" x14ac:dyDescent="0.25">
      <c r="B3" s="18"/>
    </row>
    <row r="4" spans="1:7" x14ac:dyDescent="0.25">
      <c r="B4" s="18"/>
      <c r="D4" s="24" t="s">
        <v>94</v>
      </c>
      <c r="E4" s="24"/>
    </row>
    <row r="5" spans="1:7" x14ac:dyDescent="0.25">
      <c r="B5" s="18"/>
      <c r="D5" t="s">
        <v>1475</v>
      </c>
      <c r="E5">
        <f>COUNTA(TextsToTranslate!A:A)-1</f>
        <v>608</v>
      </c>
      <c r="F5">
        <f>COUNTA(TextsToTranslate!B:B)-1</f>
        <v>608</v>
      </c>
      <c r="G5">
        <f>COUNTA(TextsToTranslate!C:C)-1</f>
        <v>608</v>
      </c>
    </row>
    <row r="6" spans="1:7" x14ac:dyDescent="0.25">
      <c r="B6" s="18"/>
      <c r="D6" t="s">
        <v>1476</v>
      </c>
      <c r="E6">
        <f>COUNTA(Message!B:B)-1</f>
        <v>176</v>
      </c>
      <c r="F6">
        <f>COUNTA(Message!C:C)-1</f>
        <v>176</v>
      </c>
      <c r="G6">
        <f>COUNTA(Message!D:D)-1</f>
        <v>176</v>
      </c>
    </row>
    <row r="7" spans="1:7" x14ac:dyDescent="0.25">
      <c r="D7" t="s">
        <v>1477</v>
      </c>
      <c r="E7">
        <f>COUNTA(MetaDataGroups!B:B)-1</f>
        <v>18</v>
      </c>
      <c r="F7">
        <f>COUNTA(MetaDataGroups!C:C)-1</f>
        <v>18</v>
      </c>
      <c r="G7">
        <f>COUNTA(MetaDataGroups!D:D)-1</f>
        <v>18</v>
      </c>
    </row>
    <row r="8" spans="1:7" x14ac:dyDescent="0.25">
      <c r="D8" t="s">
        <v>1478</v>
      </c>
      <c r="E8">
        <f>COUNTA(PanelContent!B:B)-1</f>
        <v>12</v>
      </c>
      <c r="F8">
        <f>COUNTA(PanelContent!C:C)-1</f>
        <v>12</v>
      </c>
      <c r="G8">
        <f>COUNTA(PanelContent!D:D)-1</f>
        <v>12</v>
      </c>
    </row>
    <row r="9" spans="1:7" x14ac:dyDescent="0.25">
      <c r="D9" s="15" t="s">
        <v>1479</v>
      </c>
      <c r="E9">
        <f>COUNTA(Others!B:B)</f>
        <v>137</v>
      </c>
      <c r="F9">
        <f>COUNTA(Others!C:C)</f>
        <v>137</v>
      </c>
      <c r="G9">
        <f>COUNTA(Others!D:D)-1</f>
        <v>137</v>
      </c>
    </row>
    <row r="10" spans="1:7" x14ac:dyDescent="0.25">
      <c r="D10" s="24" t="s">
        <v>1474</v>
      </c>
      <c r="E10" s="24"/>
    </row>
    <row r="11" spans="1:7" x14ac:dyDescent="0.25">
      <c r="B11" s="31" t="s">
        <v>1525</v>
      </c>
      <c r="D11" t="s">
        <v>1480</v>
      </c>
      <c r="F11">
        <f t="shared" ref="F11:G15" si="0">$E5-F5</f>
        <v>0</v>
      </c>
      <c r="G11">
        <f t="shared" si="0"/>
        <v>0</v>
      </c>
    </row>
    <row r="12" spans="1:7" x14ac:dyDescent="0.25">
      <c r="D12" t="s">
        <v>1481</v>
      </c>
      <c r="F12">
        <f t="shared" si="0"/>
        <v>0</v>
      </c>
      <c r="G12">
        <f t="shared" si="0"/>
        <v>0</v>
      </c>
    </row>
    <row r="13" spans="1:7" x14ac:dyDescent="0.25">
      <c r="D13" t="s">
        <v>1482</v>
      </c>
      <c r="F13">
        <f t="shared" si="0"/>
        <v>0</v>
      </c>
      <c r="G13">
        <f t="shared" si="0"/>
        <v>0</v>
      </c>
    </row>
    <row r="14" spans="1:7" x14ac:dyDescent="0.25">
      <c r="D14" t="s">
        <v>1483</v>
      </c>
      <c r="F14">
        <f t="shared" si="0"/>
        <v>0</v>
      </c>
      <c r="G14">
        <f t="shared" si="0"/>
        <v>0</v>
      </c>
    </row>
    <row r="15" spans="1:7" x14ac:dyDescent="0.25">
      <c r="D15" t="s">
        <v>1484</v>
      </c>
      <c r="F15">
        <f t="shared" si="0"/>
        <v>0</v>
      </c>
      <c r="G15">
        <f t="shared" si="0"/>
        <v>0</v>
      </c>
    </row>
    <row r="17" spans="4:7" x14ac:dyDescent="0.25">
      <c r="D17" t="s">
        <v>1485</v>
      </c>
      <c r="F17">
        <f>COUNTIFS(TextsToTranslate!D:D,"*!*")</f>
        <v>0</v>
      </c>
      <c r="G17">
        <f>COUNTIFS(TextsToTranslate!E:E,"*!*")</f>
        <v>0</v>
      </c>
    </row>
    <row r="18" spans="4:7" x14ac:dyDescent="0.25">
      <c r="D18" t="s">
        <v>1486</v>
      </c>
      <c r="F18">
        <f>COUNTIFS(Message!E:E,"*!*")</f>
        <v>0</v>
      </c>
      <c r="G18">
        <f>COUNTIFS(Message!F:F,"*!*")</f>
        <v>0</v>
      </c>
    </row>
    <row r="19" spans="4:7" x14ac:dyDescent="0.25">
      <c r="D19" t="s">
        <v>1487</v>
      </c>
      <c r="F19">
        <f>COUNTIFS(Others!E:E,"*!*")</f>
        <v>0</v>
      </c>
      <c r="G19">
        <f>COUNTIFS(Others!F:F,"*!*")</f>
        <v>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609"/>
  <sheetViews>
    <sheetView zoomScaleNormal="100" workbookViewId="0">
      <pane ySplit="1" topLeftCell="A357" activePane="bottomLeft" state="frozen"/>
      <selection pane="bottomLeft" activeCell="A2" sqref="A2:F609"/>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t="str">
        <f>Main!G1</f>
        <v>Français</v>
      </c>
      <c r="D1" s="21" t="str">
        <f>"Parameter check  "&amp; B1</f>
        <v>Parameter check  English</v>
      </c>
      <c r="E1" s="21" t="str">
        <f>"Parameter check  "&amp; C1</f>
        <v>Parameter check  Français</v>
      </c>
      <c r="F1" s="20" t="s">
        <v>265</v>
      </c>
    </row>
    <row r="2" spans="1:6" x14ac:dyDescent="0.25">
      <c r="A2" s="3" t="s">
        <v>534</v>
      </c>
      <c r="B2" s="3" t="s">
        <v>531</v>
      </c>
      <c r="C2" s="2" t="s">
        <v>2095</v>
      </c>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533</v>
      </c>
      <c r="B3" s="3" t="s">
        <v>532</v>
      </c>
      <c r="C3" s="3" t="s">
        <v>2553</v>
      </c>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577</v>
      </c>
      <c r="B4" s="3" t="s">
        <v>571</v>
      </c>
      <c r="C4" s="3" t="s">
        <v>2701</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2076</v>
      </c>
      <c r="B5" s="3" t="s">
        <v>2076</v>
      </c>
      <c r="C5" s="3" t="s">
        <v>2076</v>
      </c>
      <c r="D5" s="3" t="str">
        <f>IF(SIGN(IFERROR(SEARCH("\1",$A5),0))=SIGN(IFERROR(SEARCH("\1",B5),0)),".","!")&amp;
   IF(SIGN(IFERROR(SEARCH("\2",$A5),0))=SIGN(IFERROR(SEARCH("\2",B5),0)),".","!")&amp;
   IF(SIGN(IFERROR(SEARCH("\3",$A5),0))=SIGN(IFERROR(SEARCH("\3",B5),0)),".","!")</f>
        <v>...</v>
      </c>
      <c r="E5" s="3" t="str">
        <f>IF(SIGN(IFERROR(SEARCH("\1",$A5),0))=SIGN(IFERROR(SEARCH("\1",C5),0)),".","!")&amp;
   IF(SIGN(IFERROR(SEARCH("\2",$A5),0))=SIGN(IFERROR(SEARCH("\2",C5),0)),".","!")&amp;
   IF(SIGN(IFERROR(SEARCH("\3",$A5),0))=SIGN(IFERROR(SEARCH("\3",C5),0)),".","!")</f>
        <v>...</v>
      </c>
      <c r="F5" s="3">
        <f>LEN(A5)</f>
        <v>1</v>
      </c>
    </row>
    <row r="6" spans="1:6" x14ac:dyDescent="0.25">
      <c r="A6" s="3" t="s">
        <v>1152</v>
      </c>
      <c r="B6" s="3" t="s">
        <v>1152</v>
      </c>
      <c r="C6" s="2" t="s">
        <v>1152</v>
      </c>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9</v>
      </c>
    </row>
    <row r="7" spans="1:6" x14ac:dyDescent="0.25">
      <c r="A7" s="3" t="s">
        <v>1</v>
      </c>
      <c r="B7" s="3" t="s">
        <v>2</v>
      </c>
      <c r="C7" s="2" t="s">
        <v>2096</v>
      </c>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15</v>
      </c>
    </row>
    <row r="8" spans="1:6" x14ac:dyDescent="0.25">
      <c r="A8" s="3" t="s">
        <v>3</v>
      </c>
      <c r="B8" s="3" t="s">
        <v>4</v>
      </c>
      <c r="C8" s="2" t="s">
        <v>2097</v>
      </c>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34</v>
      </c>
    </row>
    <row r="9" spans="1:6" x14ac:dyDescent="0.25">
      <c r="A9" s="3" t="s">
        <v>5</v>
      </c>
      <c r="B9" s="3" t="s">
        <v>6</v>
      </c>
      <c r="C9" s="2" t="s">
        <v>2098</v>
      </c>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7</v>
      </c>
      <c r="B10" s="3" t="s">
        <v>8</v>
      </c>
      <c r="C10" s="2" t="s">
        <v>2099</v>
      </c>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8</v>
      </c>
    </row>
    <row r="11" spans="1:6" x14ac:dyDescent="0.25">
      <c r="A11" s="3" t="s">
        <v>9</v>
      </c>
      <c r="B11" s="3" t="s">
        <v>10</v>
      </c>
      <c r="C11" s="2" t="s">
        <v>10</v>
      </c>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5</v>
      </c>
    </row>
    <row r="12" spans="1:6" x14ac:dyDescent="0.25">
      <c r="A12" s="3" t="s">
        <v>11</v>
      </c>
      <c r="B12" s="3" t="s">
        <v>1090</v>
      </c>
      <c r="C12" s="2" t="s">
        <v>2100</v>
      </c>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24</v>
      </c>
    </row>
    <row r="13" spans="1:6" x14ac:dyDescent="0.25">
      <c r="A13" s="3" t="s">
        <v>12</v>
      </c>
      <c r="B13" s="3" t="s">
        <v>13</v>
      </c>
      <c r="C13" s="2" t="s">
        <v>2101</v>
      </c>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6</v>
      </c>
    </row>
    <row r="14" spans="1:6" x14ac:dyDescent="0.25">
      <c r="A14" s="3" t="s">
        <v>1067</v>
      </c>
      <c r="B14" s="3" t="s">
        <v>417</v>
      </c>
      <c r="C14" s="2" t="s">
        <v>2102</v>
      </c>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25</v>
      </c>
    </row>
    <row r="15" spans="1:6" x14ac:dyDescent="0.25">
      <c r="A15" s="3" t="s">
        <v>14</v>
      </c>
      <c r="B15" s="3" t="s">
        <v>15</v>
      </c>
      <c r="C15" s="2" t="s">
        <v>2103</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14</v>
      </c>
    </row>
    <row r="16" spans="1:6" x14ac:dyDescent="0.25">
      <c r="A16" s="3" t="s">
        <v>1192</v>
      </c>
      <c r="B16" s="3" t="s">
        <v>1194</v>
      </c>
      <c r="C16" s="2" t="s">
        <v>2104</v>
      </c>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7</v>
      </c>
    </row>
    <row r="17" spans="1:6" x14ac:dyDescent="0.25">
      <c r="A17" s="3" t="s">
        <v>16</v>
      </c>
      <c r="B17" s="3" t="s">
        <v>971</v>
      </c>
      <c r="C17" s="2" t="s">
        <v>2105</v>
      </c>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17</v>
      </c>
    </row>
    <row r="18" spans="1:6" x14ac:dyDescent="0.25">
      <c r="A18" s="3" t="s">
        <v>2088</v>
      </c>
      <c r="B18" s="3" t="s">
        <v>2089</v>
      </c>
      <c r="C18" t="s">
        <v>2554</v>
      </c>
      <c r="D18" s="3" t="str">
        <f>IF(SIGN(IFERROR(SEARCH("\1",$A18),0))=SIGN(IFERROR(SEARCH("\1",B18),0)),".","!")&amp;
   IF(SIGN(IFERROR(SEARCH("\2",$A18),0))=SIGN(IFERROR(SEARCH("\2",B18),0)),".","!")&amp;
   IF(SIGN(IFERROR(SEARCH("\3",$A18),0))=SIGN(IFERROR(SEARCH("\3",B18),0)),".","!")</f>
        <v>...</v>
      </c>
      <c r="E18" s="3" t="str">
        <f>IF(SIGN(IFERROR(SEARCH("\1",$A18),0))=SIGN(IFERROR(SEARCH("\1",C18),0)),".","!")&amp;
   IF(SIGN(IFERROR(SEARCH("\2",$A18),0))=SIGN(IFERROR(SEARCH("\2",C18),0)),".","!")&amp;
   IF(SIGN(IFERROR(SEARCH("\3",$A18),0))=SIGN(IFERROR(SEARCH("\3",C18),0)),".","!")</f>
        <v>...</v>
      </c>
      <c r="F18" s="3">
        <f>LEN(A18)</f>
        <v>18</v>
      </c>
    </row>
    <row r="19" spans="1:6" x14ac:dyDescent="0.25">
      <c r="A19" s="3" t="s">
        <v>17</v>
      </c>
      <c r="B19" s="3" t="s">
        <v>18</v>
      </c>
      <c r="C19" s="2" t="s">
        <v>2106</v>
      </c>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8</v>
      </c>
    </row>
    <row r="20" spans="1:6" x14ac:dyDescent="0.25">
      <c r="A20" s="3" t="s">
        <v>19</v>
      </c>
      <c r="B20" s="3" t="s">
        <v>418</v>
      </c>
      <c r="C20" s="2" t="s">
        <v>2107</v>
      </c>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15</v>
      </c>
    </row>
    <row r="21" spans="1:6" x14ac:dyDescent="0.25">
      <c r="A21" s="3" t="s">
        <v>20</v>
      </c>
      <c r="B21" s="3" t="s">
        <v>21</v>
      </c>
      <c r="C21" s="2" t="s">
        <v>2108</v>
      </c>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21</v>
      </c>
    </row>
    <row r="22" spans="1:6" x14ac:dyDescent="0.25">
      <c r="A22" s="3" t="s">
        <v>22</v>
      </c>
      <c r="B22" s="3" t="s">
        <v>23</v>
      </c>
      <c r="C22" s="2" t="s">
        <v>2109</v>
      </c>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9</v>
      </c>
    </row>
    <row r="23" spans="1:6" x14ac:dyDescent="0.25">
      <c r="A23" s="3" t="s">
        <v>2813</v>
      </c>
      <c r="B23" s="3" t="s">
        <v>2813</v>
      </c>
      <c r="C23" s="3" t="s">
        <v>2813</v>
      </c>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10</v>
      </c>
    </row>
    <row r="24" spans="1:6" x14ac:dyDescent="0.25">
      <c r="A24" s="3" t="s">
        <v>24</v>
      </c>
      <c r="B24" s="3" t="s">
        <v>25</v>
      </c>
      <c r="C24" s="2" t="s">
        <v>2110</v>
      </c>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10</v>
      </c>
    </row>
    <row r="25" spans="1:6" x14ac:dyDescent="0.25">
      <c r="A25" s="3" t="s">
        <v>26</v>
      </c>
      <c r="B25" s="3" t="s">
        <v>27</v>
      </c>
      <c r="C25" s="2" t="s">
        <v>2111</v>
      </c>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20</v>
      </c>
    </row>
    <row r="26" spans="1:6" x14ac:dyDescent="0.25">
      <c r="A26" s="3" t="s">
        <v>28</v>
      </c>
      <c r="B26" s="3" t="s">
        <v>29</v>
      </c>
      <c r="C26" s="2" t="s">
        <v>2112</v>
      </c>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11</v>
      </c>
    </row>
    <row r="27" spans="1:6" x14ac:dyDescent="0.25">
      <c r="A27" s="3" t="s">
        <v>1088</v>
      </c>
      <c r="B27" s="3" t="s">
        <v>1091</v>
      </c>
      <c r="C27" s="2" t="s">
        <v>2113</v>
      </c>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12</v>
      </c>
    </row>
    <row r="28" spans="1:6" x14ac:dyDescent="0.25">
      <c r="A28" s="3" t="s">
        <v>30</v>
      </c>
      <c r="B28" s="3" t="s">
        <v>31</v>
      </c>
      <c r="C28" s="2" t="s">
        <v>31</v>
      </c>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13</v>
      </c>
    </row>
    <row r="29" spans="1:6" x14ac:dyDescent="0.25">
      <c r="A29" s="3" t="s">
        <v>276</v>
      </c>
      <c r="B29" s="3" t="s">
        <v>309</v>
      </c>
      <c r="C29" s="2" t="s">
        <v>2114</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27</v>
      </c>
    </row>
    <row r="30" spans="1:6" x14ac:dyDescent="0.25">
      <c r="A30" s="3" t="s">
        <v>32</v>
      </c>
      <c r="B30" s="3" t="s">
        <v>33</v>
      </c>
      <c r="C30" s="2" t="s">
        <v>33</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16</v>
      </c>
    </row>
    <row r="31" spans="1:6" x14ac:dyDescent="0.25">
      <c r="A31" s="3" t="s">
        <v>284</v>
      </c>
      <c r="B31" s="3" t="s">
        <v>310</v>
      </c>
      <c r="C31" s="2" t="s">
        <v>2115</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61</v>
      </c>
    </row>
    <row r="32" spans="1:6" x14ac:dyDescent="0.25">
      <c r="A32" s="3" t="s">
        <v>1756</v>
      </c>
      <c r="B32" s="3" t="s">
        <v>1761</v>
      </c>
      <c r="C32" s="2" t="s">
        <v>2116</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20</v>
      </c>
    </row>
    <row r="33" spans="1:6" x14ac:dyDescent="0.25">
      <c r="A33" s="3" t="s">
        <v>1755</v>
      </c>
      <c r="B33" s="3" t="s">
        <v>1760</v>
      </c>
      <c r="C33" s="2" t="s">
        <v>2117</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20</v>
      </c>
    </row>
    <row r="34" spans="1:6" x14ac:dyDescent="0.25">
      <c r="A34" s="3" t="s">
        <v>1754</v>
      </c>
      <c r="B34" s="3" t="s">
        <v>1759</v>
      </c>
      <c r="C34" s="2" t="s">
        <v>2118</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14</v>
      </c>
    </row>
    <row r="35" spans="1:6" x14ac:dyDescent="0.25">
      <c r="A35" s="3" t="s">
        <v>2803</v>
      </c>
      <c r="B35" s="3" t="s">
        <v>2804</v>
      </c>
      <c r="C35" s="15" t="s">
        <v>2851</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18</v>
      </c>
    </row>
    <row r="36" spans="1:6" x14ac:dyDescent="0.25">
      <c r="A36" s="3" t="s">
        <v>1753</v>
      </c>
      <c r="B36" s="3" t="s">
        <v>1758</v>
      </c>
      <c r="C36" s="2" t="s">
        <v>2119</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13</v>
      </c>
    </row>
    <row r="37" spans="1:6" x14ac:dyDescent="0.25">
      <c r="A37" s="3" t="s">
        <v>1156</v>
      </c>
      <c r="B37" s="3" t="s">
        <v>1161</v>
      </c>
      <c r="C37" s="2" t="s">
        <v>2120</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36</v>
      </c>
    </row>
    <row r="38" spans="1:6" x14ac:dyDescent="0.25">
      <c r="A38" s="3" t="s">
        <v>1155</v>
      </c>
      <c r="B38" s="3" t="s">
        <v>1160</v>
      </c>
      <c r="C38" s="2" t="s">
        <v>2121</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36</v>
      </c>
    </row>
    <row r="39" spans="1:6" x14ac:dyDescent="0.25">
      <c r="A39" s="3" t="s">
        <v>1157</v>
      </c>
      <c r="B39" s="3" t="s">
        <v>1162</v>
      </c>
      <c r="C39" s="2" t="s">
        <v>2122</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36</v>
      </c>
    </row>
    <row r="40" spans="1:6" x14ac:dyDescent="0.25">
      <c r="A40" s="3" t="s">
        <v>35</v>
      </c>
      <c r="B40" s="3" t="s">
        <v>35</v>
      </c>
      <c r="C40" s="3" t="s">
        <v>35</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3</v>
      </c>
    </row>
    <row r="41" spans="1:6" x14ac:dyDescent="0.25">
      <c r="A41" s="3" t="s">
        <v>36</v>
      </c>
      <c r="B41" s="3" t="s">
        <v>36</v>
      </c>
      <c r="C41" s="3" t="s">
        <v>36</v>
      </c>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3</v>
      </c>
    </row>
    <row r="42" spans="1:6" x14ac:dyDescent="0.25">
      <c r="A42" s="3" t="s">
        <v>37</v>
      </c>
      <c r="B42" s="3" t="s">
        <v>37</v>
      </c>
      <c r="C42" s="3" t="s">
        <v>37</v>
      </c>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34</v>
      </c>
      <c r="B43" s="3" t="s">
        <v>34</v>
      </c>
      <c r="C43" s="3" t="s">
        <v>34</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4</v>
      </c>
    </row>
    <row r="44" spans="1:6" x14ac:dyDescent="0.25">
      <c r="A44" s="3" t="s">
        <v>38</v>
      </c>
      <c r="B44" s="3" t="s">
        <v>38</v>
      </c>
      <c r="C44" s="2" t="s">
        <v>38</v>
      </c>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39</v>
      </c>
      <c r="B45" s="3" t="s">
        <v>39</v>
      </c>
      <c r="C45" s="3" t="s">
        <v>39</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2061</v>
      </c>
      <c r="B46" s="3" t="s">
        <v>2063</v>
      </c>
      <c r="C46" s="3" t="s">
        <v>2063</v>
      </c>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10</v>
      </c>
    </row>
    <row r="47" spans="1:6" x14ac:dyDescent="0.25">
      <c r="A47" s="3" t="s">
        <v>40</v>
      </c>
      <c r="B47" s="3" t="s">
        <v>40</v>
      </c>
      <c r="C47" s="2" t="s">
        <v>40</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41</v>
      </c>
      <c r="B48" s="3" t="s">
        <v>41</v>
      </c>
      <c r="C48" s="3" t="s">
        <v>41</v>
      </c>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3</v>
      </c>
    </row>
    <row r="49" spans="1:6" x14ac:dyDescent="0.25">
      <c r="A49" s="3" t="s">
        <v>2062</v>
      </c>
      <c r="B49" s="3" t="s">
        <v>2064</v>
      </c>
      <c r="C49" s="3" t="s">
        <v>2064</v>
      </c>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10</v>
      </c>
    </row>
    <row r="50" spans="1:6" x14ac:dyDescent="0.25">
      <c r="A50" s="3" t="s">
        <v>42</v>
      </c>
      <c r="B50" s="3" t="s">
        <v>42</v>
      </c>
      <c r="C50" s="2" t="s">
        <v>42</v>
      </c>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3</v>
      </c>
    </row>
    <row r="51" spans="1:6" x14ac:dyDescent="0.25">
      <c r="A51" s="3" t="s">
        <v>43</v>
      </c>
      <c r="B51" s="3" t="s">
        <v>43</v>
      </c>
      <c r="C51" s="3" t="s">
        <v>43</v>
      </c>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3</v>
      </c>
    </row>
    <row r="52" spans="1:6" x14ac:dyDescent="0.25">
      <c r="A52" s="3" t="s">
        <v>215</v>
      </c>
      <c r="B52" s="3" t="s">
        <v>1036</v>
      </c>
      <c r="C52" s="2" t="s">
        <v>2123</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9</v>
      </c>
    </row>
    <row r="53" spans="1:6" x14ac:dyDescent="0.25">
      <c r="A53" s="3" t="s">
        <v>1973</v>
      </c>
      <c r="B53" s="3" t="s">
        <v>1974</v>
      </c>
      <c r="C53" s="2" t="s">
        <v>2124</v>
      </c>
      <c r="D53" s="3" t="str">
        <f>IF(SIGN(IFERROR(SEARCH("\1",$A53),0))=SIGN(IFERROR(SEARCH("\1",B53),0)),".","!")&amp;
   IF(SIGN(IFERROR(SEARCH("\2",$A53),0))=SIGN(IFERROR(SEARCH("\2",B53),0)),".","!")&amp;
   IF(SIGN(IFERROR(SEARCH("\3",$A53),0))=SIGN(IFERROR(SEARCH("\3",B53),0)),".","!")</f>
        <v>...</v>
      </c>
      <c r="E53" s="3" t="str">
        <f>IF(SIGN(IFERROR(SEARCH("\1",$A53),0))=SIGN(IFERROR(SEARCH("\1",C53),0)),".","!")&amp;
   IF(SIGN(IFERROR(SEARCH("\2",$A53),0))=SIGN(IFERROR(SEARCH("\2",C53),0)),".","!")&amp;
   IF(SIGN(IFERROR(SEARCH("\3",$A53),0))=SIGN(IFERROR(SEARCH("\3",C53),0)),".","!")</f>
        <v>...</v>
      </c>
      <c r="F53" s="3">
        <f>LEN(A53)</f>
        <v>7</v>
      </c>
    </row>
    <row r="54" spans="1:6" x14ac:dyDescent="0.25">
      <c r="A54" s="3" t="s">
        <v>1963</v>
      </c>
      <c r="B54" s="3" t="s">
        <v>1964</v>
      </c>
      <c r="C54" s="2" t="s">
        <v>2125</v>
      </c>
      <c r="D54" s="3" t="str">
        <f>IF(SIGN(IFERROR(SEARCH("\1",$A54),0))=SIGN(IFERROR(SEARCH("\1",B54),0)),".","!")&amp;
   IF(SIGN(IFERROR(SEARCH("\2",$A54),0))=SIGN(IFERROR(SEARCH("\2",B54),0)),".","!")&amp;
   IF(SIGN(IFERROR(SEARCH("\3",$A54),0))=SIGN(IFERROR(SEARCH("\3",B54),0)),".","!")</f>
        <v>...</v>
      </c>
      <c r="E54" s="3" t="str">
        <f>IF(SIGN(IFERROR(SEARCH("\1",$A54),0))=SIGN(IFERROR(SEARCH("\1",C54),0)),".","!")&amp;
   IF(SIGN(IFERROR(SEARCH("\2",$A54),0))=SIGN(IFERROR(SEARCH("\2",C54),0)),".","!")&amp;
   IF(SIGN(IFERROR(SEARCH("\3",$A54),0))=SIGN(IFERROR(SEARCH("\3",C54),0)),".","!")</f>
        <v>...</v>
      </c>
      <c r="F54" s="3">
        <f>LEN(A54)</f>
        <v>14</v>
      </c>
    </row>
    <row r="55" spans="1:6" x14ac:dyDescent="0.25">
      <c r="A55" s="3" t="s">
        <v>311</v>
      </c>
      <c r="B55" s="3" t="s">
        <v>312</v>
      </c>
      <c r="C55" s="2" t="s">
        <v>2126</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16</v>
      </c>
    </row>
    <row r="56" spans="1:6" ht="30" x14ac:dyDescent="0.25">
      <c r="A56" s="3" t="s">
        <v>1610</v>
      </c>
      <c r="B56" s="3" t="s">
        <v>1622</v>
      </c>
      <c r="C56" s="2" t="s">
        <v>2127</v>
      </c>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67</v>
      </c>
    </row>
    <row r="57" spans="1:6" x14ac:dyDescent="0.25">
      <c r="A57" s="3" t="s">
        <v>221</v>
      </c>
      <c r="B57" s="3" t="s">
        <v>313</v>
      </c>
      <c r="C57" s="2" t="s">
        <v>313</v>
      </c>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7</v>
      </c>
    </row>
    <row r="58" spans="1:6" x14ac:dyDescent="0.25">
      <c r="A58" s="3" t="s">
        <v>290</v>
      </c>
      <c r="B58" s="3" t="s">
        <v>314</v>
      </c>
      <c r="C58" s="2" t="s">
        <v>2128</v>
      </c>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14</v>
      </c>
    </row>
    <row r="59" spans="1:6" x14ac:dyDescent="0.25">
      <c r="A59" s="3" t="s">
        <v>201</v>
      </c>
      <c r="B59" s="3" t="s">
        <v>315</v>
      </c>
      <c r="C59" s="2" t="s">
        <v>2129</v>
      </c>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4</v>
      </c>
    </row>
    <row r="60" spans="1:6" x14ac:dyDescent="0.25">
      <c r="A60" s="3" t="s">
        <v>1526</v>
      </c>
      <c r="B60" s="3" t="s">
        <v>1527</v>
      </c>
      <c r="C60" s="2" t="s">
        <v>2130</v>
      </c>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12</v>
      </c>
    </row>
    <row r="61" spans="1:6" x14ac:dyDescent="0.25">
      <c r="A61" s="3" t="s">
        <v>466</v>
      </c>
      <c r="B61" s="3" t="s">
        <v>484</v>
      </c>
      <c r="C61" s="2" t="s">
        <v>2096</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470</v>
      </c>
      <c r="B62" s="3" t="s">
        <v>485</v>
      </c>
      <c r="C62" s="2" t="s">
        <v>2131</v>
      </c>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31</v>
      </c>
    </row>
    <row r="63" spans="1:6" x14ac:dyDescent="0.25">
      <c r="A63" s="3" t="s">
        <v>1227</v>
      </c>
      <c r="B63" s="3" t="s">
        <v>1228</v>
      </c>
      <c r="C63" s="2" t="s">
        <v>2132</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14</v>
      </c>
    </row>
    <row r="64" spans="1:6" x14ac:dyDescent="0.25">
      <c r="A64" s="3" t="s">
        <v>137</v>
      </c>
      <c r="B64" s="3" t="s">
        <v>442</v>
      </c>
      <c r="C64" s="2" t="s">
        <v>2133</v>
      </c>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15</v>
      </c>
    </row>
    <row r="65" spans="1:6" x14ac:dyDescent="0.25">
      <c r="A65" s="3" t="s">
        <v>929</v>
      </c>
      <c r="B65" s="3" t="s">
        <v>930</v>
      </c>
      <c r="C65" s="2" t="s">
        <v>2134</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36</v>
      </c>
    </row>
    <row r="66" spans="1:6" x14ac:dyDescent="0.25">
      <c r="A66" s="3" t="s">
        <v>456</v>
      </c>
      <c r="B66" s="3" t="s">
        <v>1172</v>
      </c>
      <c r="C66" s="2" t="s">
        <v>2135</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10</v>
      </c>
    </row>
    <row r="67" spans="1:6" x14ac:dyDescent="0.25">
      <c r="A67" s="3" t="s">
        <v>1243</v>
      </c>
      <c r="B67" s="3" t="s">
        <v>1244</v>
      </c>
      <c r="C67" s="2" t="s">
        <v>2136</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21</v>
      </c>
    </row>
    <row r="68" spans="1:6" x14ac:dyDescent="0.25">
      <c r="A68" s="3" t="s">
        <v>1214</v>
      </c>
      <c r="B68" s="3" t="s">
        <v>1215</v>
      </c>
      <c r="C68" s="2" t="s">
        <v>2137</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26</v>
      </c>
    </row>
    <row r="69" spans="1:6" x14ac:dyDescent="0.25">
      <c r="A69" s="3" t="s">
        <v>1719</v>
      </c>
      <c r="B69" s="3" t="s">
        <v>1720</v>
      </c>
      <c r="C69" s="2" t="s">
        <v>2138</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28</v>
      </c>
    </row>
    <row r="70" spans="1:6" x14ac:dyDescent="0.25">
      <c r="A70" s="3" t="s">
        <v>1721</v>
      </c>
      <c r="B70" s="3" t="s">
        <v>1722</v>
      </c>
      <c r="C70" s="2" t="s">
        <v>2139</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32</v>
      </c>
    </row>
    <row r="71" spans="1:6" x14ac:dyDescent="0.25">
      <c r="A71" s="3" t="s">
        <v>2817</v>
      </c>
      <c r="B71" s="3" t="s">
        <v>2818</v>
      </c>
      <c r="C71" s="15" t="s">
        <v>2852</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3">
        <f>LEN(A71)</f>
        <v>20</v>
      </c>
    </row>
    <row r="72" spans="1:6" x14ac:dyDescent="0.25">
      <c r="A72" s="3" t="s">
        <v>1649</v>
      </c>
      <c r="B72" s="3" t="s">
        <v>1650</v>
      </c>
      <c r="C72" s="2" t="s">
        <v>2140</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17</v>
      </c>
    </row>
    <row r="73" spans="1:6" x14ac:dyDescent="0.25">
      <c r="A73" s="3" t="s">
        <v>1998</v>
      </c>
      <c r="B73" s="3" t="s">
        <v>1999</v>
      </c>
      <c r="C73" s="2" t="s">
        <v>2141</v>
      </c>
      <c r="D73" s="3" t="str">
        <f>IF(SIGN(IFERROR(SEARCH("\1",$A73),0))=SIGN(IFERROR(SEARCH("\1",B73),0)),".","!")&amp;
   IF(SIGN(IFERROR(SEARCH("\2",$A73),0))=SIGN(IFERROR(SEARCH("\2",B73),0)),".","!")&amp;
   IF(SIGN(IFERROR(SEARCH("\3",$A73),0))=SIGN(IFERROR(SEARCH("\3",B73),0)),".","!")</f>
        <v>...</v>
      </c>
      <c r="E73" s="3" t="str">
        <f>IF(SIGN(IFERROR(SEARCH("\1",$A73),0))=SIGN(IFERROR(SEARCH("\1",C73),0)),".","!")&amp;
   IF(SIGN(IFERROR(SEARCH("\2",$A73),0))=SIGN(IFERROR(SEARCH("\2",C73),0)),".","!")&amp;
   IF(SIGN(IFERROR(SEARCH("\3",$A73),0))=SIGN(IFERROR(SEARCH("\3",C73),0)),".","!")</f>
        <v>...</v>
      </c>
      <c r="F73" s="3">
        <f>LEN(A73)</f>
        <v>6</v>
      </c>
    </row>
    <row r="74" spans="1:6" x14ac:dyDescent="0.25">
      <c r="A74" s="3" t="s">
        <v>1030</v>
      </c>
      <c r="B74" s="3" t="s">
        <v>1034</v>
      </c>
      <c r="C74" s="2" t="s">
        <v>2142</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18</v>
      </c>
    </row>
    <row r="75" spans="1:6" x14ac:dyDescent="0.25">
      <c r="A75" s="3" t="s">
        <v>709</v>
      </c>
      <c r="B75" s="3" t="s">
        <v>712</v>
      </c>
      <c r="C75" s="2" t="s">
        <v>2143</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22</v>
      </c>
    </row>
    <row r="76" spans="1:6" x14ac:dyDescent="0.25">
      <c r="A76" s="3" t="s">
        <v>1029</v>
      </c>
      <c r="B76" s="3" t="s">
        <v>1033</v>
      </c>
      <c r="C76" s="2" t="s">
        <v>2144</v>
      </c>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24</v>
      </c>
    </row>
    <row r="77" spans="1:6" x14ac:dyDescent="0.25">
      <c r="A77" s="3" t="s">
        <v>708</v>
      </c>
      <c r="B77" s="3" t="s">
        <v>711</v>
      </c>
      <c r="C77" s="2" t="s">
        <v>2145</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36</v>
      </c>
    </row>
    <row r="78" spans="1:6" x14ac:dyDescent="0.25">
      <c r="A78" s="3" t="s">
        <v>1031</v>
      </c>
      <c r="B78" s="3" t="s">
        <v>1035</v>
      </c>
      <c r="C78" s="2" t="s">
        <v>2146</v>
      </c>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22</v>
      </c>
    </row>
    <row r="79" spans="1:6" x14ac:dyDescent="0.25">
      <c r="A79" s="3" t="s">
        <v>710</v>
      </c>
      <c r="B79" s="3" t="s">
        <v>713</v>
      </c>
      <c r="C79" s="2" t="s">
        <v>2147</v>
      </c>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26</v>
      </c>
    </row>
    <row r="80" spans="1:6" x14ac:dyDescent="0.25">
      <c r="A80" s="3" t="s">
        <v>44</v>
      </c>
      <c r="B80" s="3" t="s">
        <v>45</v>
      </c>
      <c r="C80" s="2" t="s">
        <v>2148</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8</v>
      </c>
    </row>
    <row r="81" spans="1:6" x14ac:dyDescent="0.25">
      <c r="A81" s="3" t="s">
        <v>291</v>
      </c>
      <c r="B81" s="3" t="s">
        <v>419</v>
      </c>
      <c r="C81" s="2" t="s">
        <v>2149</v>
      </c>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16</v>
      </c>
    </row>
    <row r="82" spans="1:6" x14ac:dyDescent="0.25">
      <c r="A82" s="3" t="s">
        <v>301</v>
      </c>
      <c r="B82" s="3" t="s">
        <v>420</v>
      </c>
      <c r="C82" s="2" t="s">
        <v>2150</v>
      </c>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15</v>
      </c>
    </row>
    <row r="83" spans="1:6" x14ac:dyDescent="0.25">
      <c r="A83" s="3" t="s">
        <v>1241</v>
      </c>
      <c r="B83" s="3" t="s">
        <v>1242</v>
      </c>
      <c r="C83" s="2" t="s">
        <v>2151</v>
      </c>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36</v>
      </c>
    </row>
    <row r="84" spans="1:6" x14ac:dyDescent="0.25">
      <c r="A84" s="3" t="s">
        <v>229</v>
      </c>
      <c r="B84" s="3" t="s">
        <v>316</v>
      </c>
      <c r="C84" s="2" t="s">
        <v>2152</v>
      </c>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22</v>
      </c>
    </row>
    <row r="85" spans="1:6" x14ac:dyDescent="0.25">
      <c r="A85" s="3" t="s">
        <v>262</v>
      </c>
      <c r="B85" s="3" t="s">
        <v>317</v>
      </c>
      <c r="C85" s="2" t="s">
        <v>2153</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18</v>
      </c>
    </row>
    <row r="86" spans="1:6" x14ac:dyDescent="0.25">
      <c r="A86" s="3" t="s">
        <v>1606</v>
      </c>
      <c r="B86" s="3" t="s">
        <v>1616</v>
      </c>
      <c r="C86" s="2" t="s">
        <v>2154</v>
      </c>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24</v>
      </c>
    </row>
    <row r="87" spans="1:6" x14ac:dyDescent="0.25">
      <c r="A87" s="3" t="s">
        <v>232</v>
      </c>
      <c r="B87" s="3" t="s">
        <v>318</v>
      </c>
      <c r="C87" s="2" t="s">
        <v>2155</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25</v>
      </c>
    </row>
    <row r="88" spans="1:6" x14ac:dyDescent="0.25">
      <c r="A88" s="3" t="s">
        <v>241</v>
      </c>
      <c r="B88" s="3" t="s">
        <v>319</v>
      </c>
      <c r="C88" s="2" t="s">
        <v>2156</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7</v>
      </c>
    </row>
    <row r="89" spans="1:6" x14ac:dyDescent="0.25">
      <c r="A89" s="3" t="s">
        <v>1068</v>
      </c>
      <c r="B89" s="3" t="s">
        <v>1069</v>
      </c>
      <c r="C89" s="2" t="s">
        <v>2157</v>
      </c>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20</v>
      </c>
    </row>
    <row r="90" spans="1:6" x14ac:dyDescent="0.25">
      <c r="A90" s="3" t="s">
        <v>715</v>
      </c>
      <c r="B90" s="3" t="s">
        <v>716</v>
      </c>
      <c r="C90" s="2" t="s">
        <v>2158</v>
      </c>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15</v>
      </c>
    </row>
    <row r="91" spans="1:6" x14ac:dyDescent="0.25">
      <c r="A91" s="3" t="s">
        <v>1245</v>
      </c>
      <c r="B91" s="3" t="s">
        <v>1246</v>
      </c>
      <c r="C91" s="2" t="s">
        <v>2159</v>
      </c>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13</v>
      </c>
    </row>
    <row r="92" spans="1:6" x14ac:dyDescent="0.25">
      <c r="A92" s="3" t="s">
        <v>231</v>
      </c>
      <c r="B92" s="3" t="s">
        <v>320</v>
      </c>
      <c r="C92" s="2" t="s">
        <v>2160</v>
      </c>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48</v>
      </c>
    </row>
    <row r="93" spans="1:6" x14ac:dyDescent="0.25">
      <c r="A93" s="3" t="s">
        <v>224</v>
      </c>
      <c r="B93" s="3" t="s">
        <v>68</v>
      </c>
      <c r="C93" s="2" t="s">
        <v>2156</v>
      </c>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8</v>
      </c>
    </row>
    <row r="94" spans="1:6" x14ac:dyDescent="0.25">
      <c r="A94" s="3" t="s">
        <v>1423</v>
      </c>
      <c r="B94" s="3" t="s">
        <v>1423</v>
      </c>
      <c r="C94" s="2" t="s">
        <v>1423</v>
      </c>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5</v>
      </c>
    </row>
    <row r="95" spans="1:6" x14ac:dyDescent="0.25">
      <c r="A95" s="3" t="s">
        <v>46</v>
      </c>
      <c r="B95" s="3" t="s">
        <v>1089</v>
      </c>
      <c r="C95" s="2" t="s">
        <v>2161</v>
      </c>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26</v>
      </c>
    </row>
    <row r="96" spans="1:6" x14ac:dyDescent="0.25">
      <c r="A96" s="3" t="s">
        <v>198</v>
      </c>
      <c r="B96" s="3" t="s">
        <v>321</v>
      </c>
      <c r="C96" s="2" t="s">
        <v>2162</v>
      </c>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23</v>
      </c>
    </row>
    <row r="97" spans="1:6" x14ac:dyDescent="0.25">
      <c r="A97" s="3" t="s">
        <v>47</v>
      </c>
      <c r="B97" s="3" t="s">
        <v>1173</v>
      </c>
      <c r="C97" s="2" t="s">
        <v>2163</v>
      </c>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27</v>
      </c>
    </row>
    <row r="98" spans="1:6" x14ac:dyDescent="0.25">
      <c r="A98" s="3" t="s">
        <v>150</v>
      </c>
      <c r="B98" s="3" t="s">
        <v>156</v>
      </c>
      <c r="C98" s="2" t="s">
        <v>2164</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9</v>
      </c>
    </row>
    <row r="99" spans="1:6" x14ac:dyDescent="0.25">
      <c r="A99" s="3" t="s">
        <v>135</v>
      </c>
      <c r="B99" s="3" t="s">
        <v>157</v>
      </c>
      <c r="C99" s="2" t="s">
        <v>2165</v>
      </c>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13</v>
      </c>
    </row>
    <row r="100" spans="1:6" x14ac:dyDescent="0.25">
      <c r="A100" s="3" t="s">
        <v>138</v>
      </c>
      <c r="B100" s="3" t="s">
        <v>158</v>
      </c>
      <c r="C100" s="2" t="s">
        <v>2166</v>
      </c>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23</v>
      </c>
    </row>
    <row r="101" spans="1:6" x14ac:dyDescent="0.25">
      <c r="A101" s="3" t="s">
        <v>210</v>
      </c>
      <c r="B101" s="3" t="s">
        <v>421</v>
      </c>
      <c r="C101" s="2" t="s">
        <v>2167</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32</v>
      </c>
    </row>
    <row r="102" spans="1:6" x14ac:dyDescent="0.25">
      <c r="A102" s="3" t="s">
        <v>1671</v>
      </c>
      <c r="B102" s="3" t="s">
        <v>1672</v>
      </c>
      <c r="C102" s="2" t="s">
        <v>2168</v>
      </c>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26</v>
      </c>
    </row>
    <row r="103" spans="1:6" x14ac:dyDescent="0.25">
      <c r="A103" s="3" t="s">
        <v>139</v>
      </c>
      <c r="B103" s="3" t="s">
        <v>443</v>
      </c>
      <c r="C103" s="2" t="s">
        <v>2169</v>
      </c>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32</v>
      </c>
    </row>
    <row r="104" spans="1:6" x14ac:dyDescent="0.25">
      <c r="A104" s="3" t="s">
        <v>1421</v>
      </c>
      <c r="B104" s="3" t="s">
        <v>1422</v>
      </c>
      <c r="C104" s="2" t="s">
        <v>1422</v>
      </c>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3</v>
      </c>
    </row>
    <row r="105" spans="1:6" x14ac:dyDescent="0.25">
      <c r="A105" s="3" t="s">
        <v>48</v>
      </c>
      <c r="B105" s="3" t="s">
        <v>49</v>
      </c>
      <c r="C105" s="2" t="s">
        <v>2170</v>
      </c>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10</v>
      </c>
    </row>
    <row r="106" spans="1:6" x14ac:dyDescent="0.25">
      <c r="A106" s="3" t="s">
        <v>50</v>
      </c>
      <c r="B106" s="3" t="s">
        <v>51</v>
      </c>
      <c r="C106" s="2" t="s">
        <v>2171</v>
      </c>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28</v>
      </c>
    </row>
    <row r="107" spans="1:6" x14ac:dyDescent="0.25">
      <c r="A107" s="3" t="s">
        <v>1876</v>
      </c>
      <c r="B107" s="3" t="s">
        <v>1877</v>
      </c>
      <c r="C107" s="2" t="s">
        <v>2172</v>
      </c>
      <c r="D107" s="3" t="str">
        <f>IF(SIGN(IFERROR(SEARCH("\1",$A107),0))=SIGN(IFERROR(SEARCH("\1",B107),0)),".","!")&amp;
   IF(SIGN(IFERROR(SEARCH("\2",$A107),0))=SIGN(IFERROR(SEARCH("\2",B107),0)),".","!")&amp;
   IF(SIGN(IFERROR(SEARCH("\3",$A107),0))=SIGN(IFERROR(SEARCH("\3",B107),0)),".","!")</f>
        <v>...</v>
      </c>
      <c r="E107" s="3" t="str">
        <f>IF(SIGN(IFERROR(SEARCH("\1",$A107),0))=SIGN(IFERROR(SEARCH("\1",C107),0)),".","!")&amp;
   IF(SIGN(IFERROR(SEARCH("\2",$A107),0))=SIGN(IFERROR(SEARCH("\2",C107),0)),".","!")&amp;
   IF(SIGN(IFERROR(SEARCH("\3",$A107),0))=SIGN(IFERROR(SEARCH("\3",C107),0)),".","!")</f>
        <v>...</v>
      </c>
      <c r="F107" s="3">
        <f>LEN(A107)</f>
        <v>9</v>
      </c>
    </row>
    <row r="108" spans="1:6" x14ac:dyDescent="0.25">
      <c r="A108" s="3" t="s">
        <v>1138</v>
      </c>
      <c r="B108" s="3" t="s">
        <v>1139</v>
      </c>
      <c r="C108" s="2" t="s">
        <v>2173</v>
      </c>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29</v>
      </c>
    </row>
    <row r="109" spans="1:6" x14ac:dyDescent="0.25">
      <c r="A109" s="3" t="s">
        <v>322</v>
      </c>
      <c r="B109" s="3" t="s">
        <v>323</v>
      </c>
      <c r="C109" s="2" t="s">
        <v>2174</v>
      </c>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18</v>
      </c>
    </row>
    <row r="110" spans="1:6" ht="30" x14ac:dyDescent="0.25">
      <c r="A110" s="3" t="s">
        <v>529</v>
      </c>
      <c r="B110" s="3" t="s">
        <v>530</v>
      </c>
      <c r="C110" s="2" t="s">
        <v>2175</v>
      </c>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86</v>
      </c>
    </row>
    <row r="111" spans="1:6" x14ac:dyDescent="0.25">
      <c r="A111" s="3" t="s">
        <v>482</v>
      </c>
      <c r="B111" s="3" t="s">
        <v>486</v>
      </c>
      <c r="C111" s="2" t="s">
        <v>2176</v>
      </c>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17</v>
      </c>
    </row>
    <row r="112" spans="1:6" x14ac:dyDescent="0.25">
      <c r="A112" s="3" t="s">
        <v>465</v>
      </c>
      <c r="B112" s="3" t="s">
        <v>487</v>
      </c>
      <c r="C112" s="2" t="s">
        <v>2177</v>
      </c>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7</v>
      </c>
    </row>
    <row r="113" spans="1:6" x14ac:dyDescent="0.25">
      <c r="A113" s="3" t="s">
        <v>467</v>
      </c>
      <c r="B113" s="3" t="s">
        <v>488</v>
      </c>
      <c r="C113" s="2" t="s">
        <v>2178</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15</v>
      </c>
    </row>
    <row r="114" spans="1:6" x14ac:dyDescent="0.25">
      <c r="A114" s="3" t="s">
        <v>1353</v>
      </c>
      <c r="B114" s="3" t="s">
        <v>1354</v>
      </c>
      <c r="C114" s="2" t="s">
        <v>2179</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18</v>
      </c>
    </row>
    <row r="115" spans="1:6" x14ac:dyDescent="0.25">
      <c r="A115" s="3" t="s">
        <v>237</v>
      </c>
      <c r="B115" s="3" t="s">
        <v>1092</v>
      </c>
      <c r="C115" s="2" t="s">
        <v>2180</v>
      </c>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22</v>
      </c>
    </row>
    <row r="116" spans="1:6" x14ac:dyDescent="0.25">
      <c r="A116" s="3" t="s">
        <v>2067</v>
      </c>
      <c r="B116" s="3" t="s">
        <v>2068</v>
      </c>
      <c r="C116" t="s">
        <v>2555</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9</v>
      </c>
    </row>
    <row r="117" spans="1:6" x14ac:dyDescent="0.25">
      <c r="A117" s="3" t="s">
        <v>472</v>
      </c>
      <c r="B117" s="3" t="s">
        <v>1174</v>
      </c>
      <c r="C117" s="2" t="s">
        <v>2181</v>
      </c>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13</v>
      </c>
    </row>
    <row r="118" spans="1:6" x14ac:dyDescent="0.25">
      <c r="A118" s="3" t="s">
        <v>1646</v>
      </c>
      <c r="B118" s="3" t="s">
        <v>483</v>
      </c>
      <c r="C118" s="2" t="s">
        <v>2182</v>
      </c>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28</v>
      </c>
    </row>
    <row r="119" spans="1:6" x14ac:dyDescent="0.25">
      <c r="A119" s="3" t="s">
        <v>1010</v>
      </c>
      <c r="B119" s="3" t="s">
        <v>1010</v>
      </c>
      <c r="C119" s="2" t="s">
        <v>1010</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1</v>
      </c>
    </row>
    <row r="120" spans="1:6" x14ac:dyDescent="0.25">
      <c r="A120" s="3" t="s">
        <v>2719</v>
      </c>
      <c r="B120" s="3" t="s">
        <v>2720</v>
      </c>
      <c r="C120" s="2" t="s">
        <v>2734</v>
      </c>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31</v>
      </c>
    </row>
    <row r="121" spans="1:6" x14ac:dyDescent="0.25">
      <c r="A121" s="3" t="s">
        <v>1892</v>
      </c>
      <c r="B121" s="3" t="s">
        <v>1893</v>
      </c>
      <c r="C121" s="2" t="s">
        <v>2183</v>
      </c>
      <c r="D121" s="3" t="str">
        <f>IF(SIGN(IFERROR(SEARCH("\1",$A121),0))=SIGN(IFERROR(SEARCH("\1",B121),0)),".","!")&amp;
   IF(SIGN(IFERROR(SEARCH("\2",$A121),0))=SIGN(IFERROR(SEARCH("\2",B121),0)),".","!")&amp;
   IF(SIGN(IFERROR(SEARCH("\3",$A121),0))=SIGN(IFERROR(SEARCH("\3",B121),0)),".","!")</f>
        <v>...</v>
      </c>
      <c r="E121" s="3" t="str">
        <f>IF(SIGN(IFERROR(SEARCH("\1",$A121),0))=SIGN(IFERROR(SEARCH("\1",C121),0)),".","!")&amp;
   IF(SIGN(IFERROR(SEARCH("\2",$A121),0))=SIGN(IFERROR(SEARCH("\2",C121),0)),".","!")&amp;
   IF(SIGN(IFERROR(SEARCH("\3",$A121),0))=SIGN(IFERROR(SEARCH("\3",C121),0)),".","!")</f>
        <v>...</v>
      </c>
      <c r="F121" s="3">
        <f>LEN(A121)</f>
        <v>15</v>
      </c>
    </row>
    <row r="122" spans="1:6" x14ac:dyDescent="0.25">
      <c r="A122" s="3" t="s">
        <v>1150</v>
      </c>
      <c r="B122" s="3" t="s">
        <v>1151</v>
      </c>
      <c r="C122" s="2" t="s">
        <v>2184</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10</v>
      </c>
    </row>
    <row r="123" spans="1:6" x14ac:dyDescent="0.25">
      <c r="A123" s="3" t="s">
        <v>2092</v>
      </c>
      <c r="B123" s="3" t="s">
        <v>2093</v>
      </c>
      <c r="C123" t="s">
        <v>2556</v>
      </c>
      <c r="D123" s="3" t="str">
        <f>IF(SIGN(IFERROR(SEARCH("\1",$A123),0))=SIGN(IFERROR(SEARCH("\1",B123),0)),".","!")&amp;
   IF(SIGN(IFERROR(SEARCH("\2",$A123),0))=SIGN(IFERROR(SEARCH("\2",B123),0)),".","!")&amp;
   IF(SIGN(IFERROR(SEARCH("\3",$A123),0))=SIGN(IFERROR(SEARCH("\3",B123),0)),".","!")</f>
        <v>...</v>
      </c>
      <c r="E123" s="3" t="str">
        <f>IF(SIGN(IFERROR(SEARCH("\1",$A123),0))=SIGN(IFERROR(SEARCH("\1",C123),0)),".","!")&amp;
   IF(SIGN(IFERROR(SEARCH("\2",$A123),0))=SIGN(IFERROR(SEARCH("\2",C123),0)),".","!")&amp;
   IF(SIGN(IFERROR(SEARCH("\3",$A123),0))=SIGN(IFERROR(SEARCH("\3",C123),0)),".","!")</f>
        <v>...</v>
      </c>
      <c r="F123" s="3">
        <f>LEN(A123)</f>
        <v>18</v>
      </c>
    </row>
    <row r="124" spans="1:6" ht="30" x14ac:dyDescent="0.25">
      <c r="A124" s="3" t="s">
        <v>2053</v>
      </c>
      <c r="B124" s="3" t="s">
        <v>2054</v>
      </c>
      <c r="C124" s="2" t="s">
        <v>2185</v>
      </c>
      <c r="D124" s="3" t="str">
        <f>IF(SIGN(IFERROR(SEARCH("\1",$A124),0))=SIGN(IFERROR(SEARCH("\1",B124),0)),".","!")&amp;
   IF(SIGN(IFERROR(SEARCH("\2",$A124),0))=SIGN(IFERROR(SEARCH("\2",B124),0)),".","!")&amp;
   IF(SIGN(IFERROR(SEARCH("\3",$A124),0))=SIGN(IFERROR(SEARCH("\3",B124),0)),".","!")</f>
        <v>...</v>
      </c>
      <c r="E124" s="3" t="str">
        <f>IF(SIGN(IFERROR(SEARCH("\1",$A124),0))=SIGN(IFERROR(SEARCH("\1",C124),0)),".","!")&amp;
   IF(SIGN(IFERROR(SEARCH("\2",$A124),0))=SIGN(IFERROR(SEARCH("\2",C124),0)),".","!")&amp;
   IF(SIGN(IFERROR(SEARCH("\3",$A124),0))=SIGN(IFERROR(SEARCH("\3",C124),0)),".","!")</f>
        <v>...</v>
      </c>
      <c r="F124" s="3">
        <f>LEN(A124)</f>
        <v>41</v>
      </c>
    </row>
    <row r="125" spans="1:6" ht="30" x14ac:dyDescent="0.25">
      <c r="A125" s="3" t="s">
        <v>452</v>
      </c>
      <c r="B125" s="3" t="s">
        <v>324</v>
      </c>
      <c r="C125" s="2" t="s">
        <v>2187</v>
      </c>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70</v>
      </c>
    </row>
    <row r="126" spans="1:6" ht="30" x14ac:dyDescent="0.25">
      <c r="A126" s="3" t="s">
        <v>422</v>
      </c>
      <c r="B126" s="3" t="s">
        <v>325</v>
      </c>
      <c r="C126" s="2" t="s">
        <v>2188</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68</v>
      </c>
    </row>
    <row r="127" spans="1:6" x14ac:dyDescent="0.25">
      <c r="A127" s="3" t="s">
        <v>1212</v>
      </c>
      <c r="B127" s="3" t="s">
        <v>1213</v>
      </c>
      <c r="C127" s="2" t="s">
        <v>2189</v>
      </c>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25</v>
      </c>
    </row>
    <row r="128" spans="1:6" x14ac:dyDescent="0.25">
      <c r="A128" s="3" t="s">
        <v>423</v>
      </c>
      <c r="B128" s="3" t="s">
        <v>424</v>
      </c>
      <c r="C128" s="2" t="s">
        <v>2190</v>
      </c>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63</v>
      </c>
    </row>
    <row r="129" spans="1:6" ht="30" x14ac:dyDescent="0.25">
      <c r="A129" s="3" t="s">
        <v>1103</v>
      </c>
      <c r="B129" s="3" t="s">
        <v>1102</v>
      </c>
      <c r="C129" s="2" t="s">
        <v>2191</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76</v>
      </c>
    </row>
    <row r="130" spans="1:6" ht="30" x14ac:dyDescent="0.25">
      <c r="A130" s="3" t="s">
        <v>1104</v>
      </c>
      <c r="B130" s="3" t="s">
        <v>1101</v>
      </c>
      <c r="C130" s="2" t="s">
        <v>2192</v>
      </c>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69</v>
      </c>
    </row>
    <row r="131" spans="1:6" ht="30" x14ac:dyDescent="0.25">
      <c r="A131" s="3" t="s">
        <v>286</v>
      </c>
      <c r="B131" s="3" t="s">
        <v>326</v>
      </c>
      <c r="C131" s="2" t="s">
        <v>2193</v>
      </c>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61</v>
      </c>
    </row>
    <row r="132" spans="1:6" ht="30" x14ac:dyDescent="0.25">
      <c r="A132" s="3" t="s">
        <v>1884</v>
      </c>
      <c r="B132" s="3" t="s">
        <v>1888</v>
      </c>
      <c r="C132" s="2" t="s">
        <v>2194</v>
      </c>
      <c r="D132" s="3" t="str">
        <f>IF(SIGN(IFERROR(SEARCH("\1",$A132),0))=SIGN(IFERROR(SEARCH("\1",B132),0)),".","!")&amp;
   IF(SIGN(IFERROR(SEARCH("\2",$A132),0))=SIGN(IFERROR(SEARCH("\2",B132),0)),".","!")&amp;
   IF(SIGN(IFERROR(SEARCH("\3",$A132),0))=SIGN(IFERROR(SEARCH("\3",B132),0)),".","!")</f>
        <v>...</v>
      </c>
      <c r="E132" s="3" t="str">
        <f>IF(SIGN(IFERROR(SEARCH("\1",$A132),0))=SIGN(IFERROR(SEARCH("\1",C132),0)),".","!")&amp;
   IF(SIGN(IFERROR(SEARCH("\2",$A132),0))=SIGN(IFERROR(SEARCH("\2",C132),0)),".","!")&amp;
   IF(SIGN(IFERROR(SEARCH("\3",$A132),0))=SIGN(IFERROR(SEARCH("\3",C132),0)),".","!")</f>
        <v>...</v>
      </c>
      <c r="F132" s="3">
        <f>LEN(A132)</f>
        <v>55</v>
      </c>
    </row>
    <row r="133" spans="1:6" ht="45" x14ac:dyDescent="0.25">
      <c r="A133" s="3" t="s">
        <v>1438</v>
      </c>
      <c r="B133" s="3" t="s">
        <v>1437</v>
      </c>
      <c r="C133" s="2" t="s">
        <v>2195</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108</v>
      </c>
    </row>
    <row r="134" spans="1:6" x14ac:dyDescent="0.25">
      <c r="A134" s="3" t="s">
        <v>998</v>
      </c>
      <c r="B134" s="3" t="s">
        <v>999</v>
      </c>
      <c r="C134" s="2" t="s">
        <v>2196</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5</v>
      </c>
    </row>
    <row r="135" spans="1:6" x14ac:dyDescent="0.25">
      <c r="A135" s="3" t="s">
        <v>834</v>
      </c>
      <c r="B135" s="3" t="s">
        <v>996</v>
      </c>
      <c r="C135" s="2" t="s">
        <v>2197</v>
      </c>
      <c r="D135" s="3" t="str">
        <f>IF(SIGN(IFERROR(SEARCH("\1",$A135),0))=SIGN(IFERROR(SEARCH("\1",B135),0)),".","!")&amp;
   IF(SIGN(IFERROR(SEARCH("\2",$A135),0))=SIGN(IFERROR(SEARCH("\2",B135),0)),".","!")&amp;
   IF(SIGN(IFERROR(SEARCH("\3",$A135),0))=SIGN(IFERROR(SEARCH("\3",B135),0)),".","!")</f>
        <v>...</v>
      </c>
      <c r="E135" s="3" t="str">
        <f>IF(SIGN(IFERROR(SEARCH("\1",$A135),0))=SIGN(IFERROR(SEARCH("\1",C135),0)),".","!")&amp;
   IF(SIGN(IFERROR(SEARCH("\2",$A135),0))=SIGN(IFERROR(SEARCH("\2",C135),0)),".","!")&amp;
   IF(SIGN(IFERROR(SEARCH("\3",$A135),0))=SIGN(IFERROR(SEARCH("\3",C135),0)),".","!")</f>
        <v>...</v>
      </c>
      <c r="F135" s="3">
        <f>LEN(A135)</f>
        <v>8</v>
      </c>
    </row>
    <row r="136" spans="1:6" x14ac:dyDescent="0.25">
      <c r="A136" s="3" t="s">
        <v>143</v>
      </c>
      <c r="B136" s="3" t="s">
        <v>159</v>
      </c>
      <c r="C136" s="2" t="s">
        <v>2198</v>
      </c>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15</v>
      </c>
    </row>
    <row r="137" spans="1:6" x14ac:dyDescent="0.25">
      <c r="A137" s="3" t="s">
        <v>1110</v>
      </c>
      <c r="B137" s="3" t="s">
        <v>1111</v>
      </c>
      <c r="C137" s="2" t="s">
        <v>2199</v>
      </c>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32</v>
      </c>
    </row>
    <row r="138" spans="1:6" x14ac:dyDescent="0.25">
      <c r="A138" s="3" t="s">
        <v>1777</v>
      </c>
      <c r="B138" s="3" t="s">
        <v>1778</v>
      </c>
      <c r="C138" s="2" t="s">
        <v>2200</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32</v>
      </c>
    </row>
    <row r="139" spans="1:6" x14ac:dyDescent="0.25">
      <c r="A139" s="3" t="s">
        <v>1060</v>
      </c>
      <c r="B139" s="3" t="s">
        <v>1062</v>
      </c>
      <c r="C139" s="2" t="s">
        <v>1062</v>
      </c>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12</v>
      </c>
    </row>
    <row r="140" spans="1:6" x14ac:dyDescent="0.25">
      <c r="A140" s="3" t="s">
        <v>474</v>
      </c>
      <c r="B140" s="3" t="s">
        <v>1097</v>
      </c>
      <c r="C140" s="2" t="s">
        <v>2201</v>
      </c>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12</v>
      </c>
    </row>
    <row r="141" spans="1:6" x14ac:dyDescent="0.25">
      <c r="A141" s="3" t="s">
        <v>307</v>
      </c>
      <c r="B141" s="3" t="s">
        <v>327</v>
      </c>
      <c r="C141" s="2" t="s">
        <v>327</v>
      </c>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4</v>
      </c>
    </row>
    <row r="142" spans="1:6" x14ac:dyDescent="0.25">
      <c r="A142" s="3" t="s">
        <v>1218</v>
      </c>
      <c r="B142" s="3" t="s">
        <v>1219</v>
      </c>
      <c r="C142" s="2" t="s">
        <v>2202</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31</v>
      </c>
    </row>
    <row r="143" spans="1:6" x14ac:dyDescent="0.25">
      <c r="A143" s="3" t="s">
        <v>539</v>
      </c>
      <c r="B143" s="3" t="s">
        <v>548</v>
      </c>
      <c r="C143" s="2" t="s">
        <v>2203</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12</v>
      </c>
    </row>
    <row r="144" spans="1:6" x14ac:dyDescent="0.25">
      <c r="A144" s="2" t="s">
        <v>2728</v>
      </c>
      <c r="B144" s="2" t="s">
        <v>2729</v>
      </c>
      <c r="C144" s="3" t="s">
        <v>2735</v>
      </c>
    </row>
    <row r="145" spans="1:6" x14ac:dyDescent="0.25">
      <c r="A145" s="3" t="s">
        <v>52</v>
      </c>
      <c r="B145" s="3" t="s">
        <v>425</v>
      </c>
      <c r="C145" s="2" t="s">
        <v>2204</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15</v>
      </c>
    </row>
    <row r="146" spans="1:6" x14ac:dyDescent="0.25">
      <c r="A146" s="3" t="s">
        <v>544</v>
      </c>
      <c r="B146" s="3" t="s">
        <v>552</v>
      </c>
      <c r="C146" s="2" t="s">
        <v>2205</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22</v>
      </c>
    </row>
    <row r="147" spans="1:6" x14ac:dyDescent="0.25">
      <c r="A147" s="3" t="s">
        <v>545</v>
      </c>
      <c r="B147" s="3" t="s">
        <v>553</v>
      </c>
      <c r="C147" s="2" t="s">
        <v>2206</v>
      </c>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23</v>
      </c>
    </row>
    <row r="148" spans="1:6" x14ac:dyDescent="0.25">
      <c r="A148" s="3" t="s">
        <v>1190</v>
      </c>
      <c r="B148" s="3" t="s">
        <v>1196</v>
      </c>
      <c r="C148" s="2" t="s">
        <v>2207</v>
      </c>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39</v>
      </c>
    </row>
    <row r="149" spans="1:6" x14ac:dyDescent="0.25">
      <c r="A149" s="3" t="s">
        <v>1191</v>
      </c>
      <c r="B149" s="3" t="s">
        <v>1197</v>
      </c>
      <c r="C149" s="2" t="s">
        <v>2208</v>
      </c>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40</v>
      </c>
    </row>
    <row r="150" spans="1:6" x14ac:dyDescent="0.25">
      <c r="A150" s="3" t="s">
        <v>1084</v>
      </c>
      <c r="B150" s="3" t="s">
        <v>1085</v>
      </c>
      <c r="C150" s="2" t="s">
        <v>2209</v>
      </c>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41</v>
      </c>
    </row>
    <row r="151" spans="1:6" x14ac:dyDescent="0.25">
      <c r="A151" s="3" t="s">
        <v>1082</v>
      </c>
      <c r="B151" s="3" t="s">
        <v>1083</v>
      </c>
      <c r="C151" s="2" t="s">
        <v>2210</v>
      </c>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43</v>
      </c>
    </row>
    <row r="152" spans="1:6" ht="45" x14ac:dyDescent="0.25">
      <c r="A152" s="3" t="s">
        <v>2741</v>
      </c>
      <c r="B152" s="3" t="s">
        <v>2748</v>
      </c>
      <c r="C152" s="2" t="s">
        <v>2749</v>
      </c>
      <c r="D152" s="3" t="str">
        <f>IF(SIGN(IFERROR(SEARCH("\1",$A152),0))=SIGN(IFERROR(SEARCH("\1",B152),0)),".","!")&amp;
   IF(SIGN(IFERROR(SEARCH("\2",$A152),0))=SIGN(IFERROR(SEARCH("\2",B152),0)),".","!")&amp;
   IF(SIGN(IFERROR(SEARCH("\3",$A152),0))=SIGN(IFERROR(SEARCH("\3",B152),0)),".","!")</f>
        <v>...</v>
      </c>
      <c r="F152" s="3">
        <f>LEN(A152)</f>
        <v>129</v>
      </c>
    </row>
    <row r="153" spans="1:6" x14ac:dyDescent="0.25">
      <c r="A153" s="2" t="s">
        <v>2742</v>
      </c>
      <c r="B153" s="2" t="s">
        <v>2743</v>
      </c>
      <c r="C153" s="3" t="s">
        <v>2744</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33</v>
      </c>
    </row>
    <row r="154" spans="1:6" x14ac:dyDescent="0.25">
      <c r="A154" s="3" t="s">
        <v>578</v>
      </c>
      <c r="B154" s="3" t="s">
        <v>579</v>
      </c>
      <c r="C154" s="2" t="s">
        <v>2211</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26</v>
      </c>
    </row>
    <row r="155" spans="1:6" ht="45" x14ac:dyDescent="0.25">
      <c r="A155" s="3" t="s">
        <v>506</v>
      </c>
      <c r="B155" s="3" t="s">
        <v>507</v>
      </c>
      <c r="C155" s="2" t="s">
        <v>2212</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72</v>
      </c>
    </row>
    <row r="156" spans="1:6" x14ac:dyDescent="0.25">
      <c r="A156" s="3" t="s">
        <v>1327</v>
      </c>
      <c r="B156" s="3" t="s">
        <v>1328</v>
      </c>
      <c r="C156" s="2" t="s">
        <v>2213</v>
      </c>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48</v>
      </c>
    </row>
    <row r="157" spans="1:6" x14ac:dyDescent="0.25">
      <c r="A157" s="3" t="s">
        <v>874</v>
      </c>
      <c r="B157" s="3" t="s">
        <v>875</v>
      </c>
      <c r="C157" s="2" t="s">
        <v>2214</v>
      </c>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13</v>
      </c>
    </row>
    <row r="158" spans="1:6" x14ac:dyDescent="0.25">
      <c r="A158" s="3" t="s">
        <v>180</v>
      </c>
      <c r="B158" s="3" t="s">
        <v>182</v>
      </c>
      <c r="C158" s="2" t="s">
        <v>2215</v>
      </c>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9</v>
      </c>
    </row>
    <row r="159" spans="1:6" x14ac:dyDescent="0.25">
      <c r="A159" s="3" t="s">
        <v>219</v>
      </c>
      <c r="B159" s="3" t="s">
        <v>328</v>
      </c>
      <c r="C159" s="2" t="s">
        <v>2216</v>
      </c>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22</v>
      </c>
    </row>
    <row r="160" spans="1:6" x14ac:dyDescent="0.25">
      <c r="A160" s="3" t="s">
        <v>181</v>
      </c>
      <c r="B160" s="3" t="s">
        <v>183</v>
      </c>
      <c r="C160" s="2" t="s">
        <v>2217</v>
      </c>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8</v>
      </c>
    </row>
    <row r="161" spans="1:6" x14ac:dyDescent="0.25">
      <c r="A161" s="3" t="s">
        <v>1791</v>
      </c>
      <c r="B161" s="3" t="s">
        <v>1794</v>
      </c>
      <c r="C161" s="2" t="s">
        <v>2218</v>
      </c>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18</v>
      </c>
    </row>
    <row r="162" spans="1:6" x14ac:dyDescent="0.25">
      <c r="A162" s="3" t="s">
        <v>1792</v>
      </c>
      <c r="B162" s="3" t="s">
        <v>1795</v>
      </c>
      <c r="C162" s="2" t="s">
        <v>1795</v>
      </c>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35</v>
      </c>
    </row>
    <row r="163" spans="1:6" x14ac:dyDescent="0.25">
      <c r="A163" s="3" t="s">
        <v>1793</v>
      </c>
      <c r="B163" s="3" t="s">
        <v>1796</v>
      </c>
      <c r="C163" s="2" t="s">
        <v>2219</v>
      </c>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16</v>
      </c>
    </row>
    <row r="164" spans="1:6" x14ac:dyDescent="0.25">
      <c r="A164" s="3" t="s">
        <v>1918</v>
      </c>
      <c r="B164" s="3" t="s">
        <v>1919</v>
      </c>
      <c r="C164" s="2" t="s">
        <v>2220</v>
      </c>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35</v>
      </c>
    </row>
    <row r="165" spans="1:6" x14ac:dyDescent="0.25">
      <c r="A165" s="3" t="s">
        <v>329</v>
      </c>
      <c r="B165" s="3" t="s">
        <v>1078</v>
      </c>
      <c r="C165" s="2" t="s">
        <v>2221</v>
      </c>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40</v>
      </c>
    </row>
    <row r="166" spans="1:6" x14ac:dyDescent="0.25">
      <c r="A166" s="3" t="s">
        <v>1937</v>
      </c>
      <c r="B166" s="3" t="s">
        <v>1938</v>
      </c>
      <c r="C166" s="2" t="s">
        <v>2222</v>
      </c>
      <c r="D166" s="3" t="str">
        <f>IF(SIGN(IFERROR(SEARCH("\1",$A166),0))=SIGN(IFERROR(SEARCH("\1",B166),0)),".","!")&amp;
   IF(SIGN(IFERROR(SEARCH("\2",$A166),0))=SIGN(IFERROR(SEARCH("\2",B166),0)),".","!")&amp;
   IF(SIGN(IFERROR(SEARCH("\3",$A166),0))=SIGN(IFERROR(SEARCH("\3",B166),0)),".","!")</f>
        <v>...</v>
      </c>
      <c r="E166" s="3" t="str">
        <f>IF(SIGN(IFERROR(SEARCH("\1",$A166),0))=SIGN(IFERROR(SEARCH("\1",C166),0)),".","!")&amp;
   IF(SIGN(IFERROR(SEARCH("\2",$A166),0))=SIGN(IFERROR(SEARCH("\2",C166),0)),".","!")&amp;
   IF(SIGN(IFERROR(SEARCH("\3",$A166),0))=SIGN(IFERROR(SEARCH("\3",C166),0)),".","!")</f>
        <v>...</v>
      </c>
      <c r="F166" s="3">
        <f>LEN(A166)</f>
        <v>40</v>
      </c>
    </row>
    <row r="167" spans="1:6" x14ac:dyDescent="0.25">
      <c r="A167" s="3" t="s">
        <v>144</v>
      </c>
      <c r="B167" s="3" t="s">
        <v>160</v>
      </c>
      <c r="C167" s="2" t="s">
        <v>2223</v>
      </c>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6</v>
      </c>
    </row>
    <row r="168" spans="1:6" x14ac:dyDescent="0.25">
      <c r="A168" s="3" t="s">
        <v>185</v>
      </c>
      <c r="B168" s="3" t="s">
        <v>184</v>
      </c>
      <c r="C168" s="2" t="s">
        <v>184</v>
      </c>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5</v>
      </c>
    </row>
    <row r="169" spans="1:6" x14ac:dyDescent="0.25">
      <c r="A169" s="3" t="s">
        <v>478</v>
      </c>
      <c r="B169" s="3" t="s">
        <v>489</v>
      </c>
      <c r="C169" s="2" t="s">
        <v>2224</v>
      </c>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6</v>
      </c>
    </row>
    <row r="170" spans="1:6" x14ac:dyDescent="0.25">
      <c r="A170" s="3" t="s">
        <v>145</v>
      </c>
      <c r="B170" s="3" t="s">
        <v>161</v>
      </c>
      <c r="C170" s="2" t="s">
        <v>2225</v>
      </c>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10</v>
      </c>
    </row>
    <row r="171" spans="1:6" ht="30" x14ac:dyDescent="0.25">
      <c r="A171" s="3" t="s">
        <v>1427</v>
      </c>
      <c r="B171" s="3" t="s">
        <v>1430</v>
      </c>
      <c r="C171" s="2" t="s">
        <v>2226</v>
      </c>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34</v>
      </c>
    </row>
    <row r="172" spans="1:6" x14ac:dyDescent="0.25">
      <c r="A172" s="3" t="s">
        <v>186</v>
      </c>
      <c r="B172" s="3" t="s">
        <v>186</v>
      </c>
      <c r="C172" s="2" t="s">
        <v>186</v>
      </c>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5</v>
      </c>
    </row>
    <row r="173" spans="1:6" x14ac:dyDescent="0.25">
      <c r="A173" s="3" t="s">
        <v>965</v>
      </c>
      <c r="B173" s="3" t="s">
        <v>966</v>
      </c>
      <c r="C173" s="2" t="s">
        <v>2227</v>
      </c>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27</v>
      </c>
    </row>
    <row r="174" spans="1:6" x14ac:dyDescent="0.25">
      <c r="A174" s="3" t="s">
        <v>146</v>
      </c>
      <c r="B174" s="3" t="s">
        <v>146</v>
      </c>
      <c r="C174" s="2" t="s">
        <v>146</v>
      </c>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9</v>
      </c>
    </row>
    <row r="175" spans="1:6" ht="75" x14ac:dyDescent="0.25">
      <c r="A175" s="3" t="s">
        <v>460</v>
      </c>
      <c r="B175" s="3" t="s">
        <v>490</v>
      </c>
      <c r="C175" s="2" t="s">
        <v>2228</v>
      </c>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5</v>
      </c>
    </row>
    <row r="176" spans="1:6" x14ac:dyDescent="0.25">
      <c r="A176" s="3" t="s">
        <v>508</v>
      </c>
      <c r="B176" s="3" t="s">
        <v>509</v>
      </c>
      <c r="C176" s="2" t="s">
        <v>2229</v>
      </c>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32</v>
      </c>
    </row>
    <row r="177" spans="1:6" x14ac:dyDescent="0.25">
      <c r="A177" s="3" t="s">
        <v>300</v>
      </c>
      <c r="B177" s="3" t="s">
        <v>426</v>
      </c>
      <c r="C177" s="2" t="s">
        <v>2230</v>
      </c>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13</v>
      </c>
    </row>
    <row r="178" spans="1:6" ht="30" x14ac:dyDescent="0.25">
      <c r="A178" s="3" t="s">
        <v>1259</v>
      </c>
      <c r="B178" s="3" t="s">
        <v>1260</v>
      </c>
      <c r="C178" s="2" t="s">
        <v>2231</v>
      </c>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35</v>
      </c>
    </row>
    <row r="179" spans="1:6" x14ac:dyDescent="0.25">
      <c r="A179" s="3" t="s">
        <v>55</v>
      </c>
      <c r="B179" s="3" t="s">
        <v>430</v>
      </c>
      <c r="C179" s="2" t="s">
        <v>2232</v>
      </c>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17</v>
      </c>
    </row>
    <row r="180" spans="1:6" x14ac:dyDescent="0.25">
      <c r="A180" s="3" t="s">
        <v>56</v>
      </c>
      <c r="B180" s="3" t="s">
        <v>429</v>
      </c>
      <c r="C180" s="2" t="s">
        <v>2150</v>
      </c>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17</v>
      </c>
    </row>
    <row r="181" spans="1:6" x14ac:dyDescent="0.25">
      <c r="A181" s="3" t="s">
        <v>2758</v>
      </c>
      <c r="B181" s="3" t="s">
        <v>2759</v>
      </c>
      <c r="C181" s="15" t="s">
        <v>2853</v>
      </c>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19</v>
      </c>
    </row>
    <row r="182" spans="1:6" x14ac:dyDescent="0.25">
      <c r="A182" s="3" t="s">
        <v>57</v>
      </c>
      <c r="B182" s="3" t="s">
        <v>428</v>
      </c>
      <c r="C182" s="2" t="s">
        <v>303</v>
      </c>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15</v>
      </c>
    </row>
    <row r="183" spans="1:6" x14ac:dyDescent="0.25">
      <c r="A183" s="3" t="s">
        <v>58</v>
      </c>
      <c r="B183" s="3" t="s">
        <v>427</v>
      </c>
      <c r="C183" s="2" t="s">
        <v>2718</v>
      </c>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25</v>
      </c>
    </row>
    <row r="184" spans="1:6" x14ac:dyDescent="0.25">
      <c r="A184" s="3" t="s">
        <v>1065</v>
      </c>
      <c r="B184" s="3" t="s">
        <v>53</v>
      </c>
      <c r="C184" s="2" t="s">
        <v>2233</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19</v>
      </c>
    </row>
    <row r="185" spans="1:6" x14ac:dyDescent="0.25">
      <c r="A185" s="3" t="s">
        <v>1066</v>
      </c>
      <c r="B185" s="3" t="s">
        <v>54</v>
      </c>
      <c r="C185" s="2" t="s">
        <v>2234</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20</v>
      </c>
    </row>
    <row r="186" spans="1:6" x14ac:dyDescent="0.25">
      <c r="A186" s="3" t="s">
        <v>254</v>
      </c>
      <c r="B186" s="3" t="s">
        <v>330</v>
      </c>
      <c r="C186" s="2" t="s">
        <v>2235</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18</v>
      </c>
    </row>
    <row r="187" spans="1:6" x14ac:dyDescent="0.25">
      <c r="A187" s="3" t="s">
        <v>204</v>
      </c>
      <c r="B187" s="3" t="s">
        <v>331</v>
      </c>
      <c r="C187" s="2" t="s">
        <v>2236</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19</v>
      </c>
    </row>
    <row r="188" spans="1:6" ht="30" x14ac:dyDescent="0.25">
      <c r="A188" s="3" t="s">
        <v>451</v>
      </c>
      <c r="B188" s="3" t="s">
        <v>972</v>
      </c>
      <c r="C188" s="2" t="s">
        <v>2237</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62</v>
      </c>
    </row>
    <row r="189" spans="1:6" ht="30" x14ac:dyDescent="0.25">
      <c r="A189" s="3" t="s">
        <v>450</v>
      </c>
      <c r="B189" s="3" t="s">
        <v>973</v>
      </c>
      <c r="C189" s="2" t="s">
        <v>2238</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67</v>
      </c>
    </row>
    <row r="190" spans="1:6" ht="30" x14ac:dyDescent="0.25">
      <c r="A190" s="3" t="s">
        <v>187</v>
      </c>
      <c r="B190" s="3" t="s">
        <v>431</v>
      </c>
      <c r="C190" s="2" t="s">
        <v>2239</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12</v>
      </c>
    </row>
    <row r="191" spans="1:6" x14ac:dyDescent="0.25">
      <c r="A191" s="3" t="s">
        <v>149</v>
      </c>
      <c r="B191" s="3" t="s">
        <v>162</v>
      </c>
      <c r="C191" s="2" t="s">
        <v>2240</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10</v>
      </c>
    </row>
    <row r="192" spans="1:6" x14ac:dyDescent="0.25">
      <c r="A192" s="3" t="s">
        <v>538</v>
      </c>
      <c r="B192" s="3" t="s">
        <v>549</v>
      </c>
      <c r="C192" s="2" t="s">
        <v>2241</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24</v>
      </c>
    </row>
    <row r="193" spans="1:6" x14ac:dyDescent="0.25">
      <c r="A193" s="3" t="s">
        <v>148</v>
      </c>
      <c r="B193" s="3" t="s">
        <v>163</v>
      </c>
      <c r="C193" s="2" t="s">
        <v>2242</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9</v>
      </c>
    </row>
    <row r="194" spans="1:6" x14ac:dyDescent="0.25">
      <c r="A194" s="3" t="s">
        <v>1694</v>
      </c>
      <c r="B194" s="3" t="s">
        <v>1695</v>
      </c>
      <c r="C194" s="2" t="s">
        <v>2243</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27</v>
      </c>
    </row>
    <row r="195" spans="1:6" x14ac:dyDescent="0.25">
      <c r="A195" s="3" t="s">
        <v>1605</v>
      </c>
      <c r="B195" s="3" t="s">
        <v>1615</v>
      </c>
      <c r="C195" s="2" t="s">
        <v>2244</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14</v>
      </c>
    </row>
    <row r="196" spans="1:6" x14ac:dyDescent="0.25">
      <c r="A196" s="3" t="s">
        <v>1717</v>
      </c>
      <c r="B196" s="3" t="s">
        <v>1718</v>
      </c>
      <c r="C196" s="2" t="s">
        <v>2245</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20</v>
      </c>
    </row>
    <row r="197" spans="1:6" x14ac:dyDescent="0.25">
      <c r="A197" s="3" t="s">
        <v>1669</v>
      </c>
      <c r="B197" s="3" t="s">
        <v>1670</v>
      </c>
      <c r="C197" s="2" t="s">
        <v>2246</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21</v>
      </c>
    </row>
    <row r="198" spans="1:6" x14ac:dyDescent="0.25">
      <c r="A198" s="3" t="s">
        <v>1059</v>
      </c>
      <c r="B198" s="3" t="s">
        <v>1061</v>
      </c>
      <c r="C198" s="2" t="s">
        <v>2247</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8</v>
      </c>
    </row>
    <row r="199" spans="1:6" x14ac:dyDescent="0.25">
      <c r="A199" s="3" t="s">
        <v>1325</v>
      </c>
      <c r="B199" s="3" t="s">
        <v>1326</v>
      </c>
      <c r="C199" s="2" t="s">
        <v>2248</v>
      </c>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34</v>
      </c>
    </row>
    <row r="200" spans="1:6" x14ac:dyDescent="0.25">
      <c r="A200" s="3" t="s">
        <v>1332</v>
      </c>
      <c r="B200" s="3" t="s">
        <v>1324</v>
      </c>
      <c r="C200" s="2" t="s">
        <v>2249</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39</v>
      </c>
    </row>
    <row r="201" spans="1:6" x14ac:dyDescent="0.25">
      <c r="A201" s="3" t="s">
        <v>1343</v>
      </c>
      <c r="B201" s="3" t="s">
        <v>1344</v>
      </c>
      <c r="C201" s="2" t="s">
        <v>1344</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5</v>
      </c>
    </row>
    <row r="202" spans="1:6" x14ac:dyDescent="0.25">
      <c r="A202" s="3" t="s">
        <v>274</v>
      </c>
      <c r="B202" s="3" t="s">
        <v>379</v>
      </c>
      <c r="C202" s="2" t="s">
        <v>379</v>
      </c>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27</v>
      </c>
    </row>
    <row r="203" spans="1:6" x14ac:dyDescent="0.25">
      <c r="A203" s="3" t="s">
        <v>1253</v>
      </c>
      <c r="B203" s="3" t="s">
        <v>1254</v>
      </c>
      <c r="C203" s="2" t="s">
        <v>2250</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30</v>
      </c>
    </row>
    <row r="204" spans="1:6" x14ac:dyDescent="0.25">
      <c r="A204" s="3" t="s">
        <v>302</v>
      </c>
      <c r="B204" s="3" t="s">
        <v>302</v>
      </c>
      <c r="C204" s="2" t="s">
        <v>2232</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7</v>
      </c>
    </row>
    <row r="205" spans="1:6" x14ac:dyDescent="0.25">
      <c r="A205" s="3" t="s">
        <v>1732</v>
      </c>
      <c r="B205" s="3" t="s">
        <v>1733</v>
      </c>
      <c r="C205" s="2" t="s">
        <v>2251</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18</v>
      </c>
    </row>
    <row r="206" spans="1:6" x14ac:dyDescent="0.25">
      <c r="A206" s="3" t="s">
        <v>1910</v>
      </c>
      <c r="B206" s="3" t="s">
        <v>1911</v>
      </c>
      <c r="C206" s="2" t="s">
        <v>2252</v>
      </c>
      <c r="D206" s="3" t="str">
        <f>IF(SIGN(IFERROR(SEARCH("\1",$A206),0))=SIGN(IFERROR(SEARCH("\1",B206),0)),".","!")&amp;
   IF(SIGN(IFERROR(SEARCH("\2",$A206),0))=SIGN(IFERROR(SEARCH("\2",B206),0)),".","!")&amp;
   IF(SIGN(IFERROR(SEARCH("\3",$A206),0))=SIGN(IFERROR(SEARCH("\3",B206),0)),".","!")</f>
        <v>...</v>
      </c>
      <c r="E206" s="3" t="str">
        <f>IF(SIGN(IFERROR(SEARCH("\1",$A206),0))=SIGN(IFERROR(SEARCH("\1",C206),0)),".","!")&amp;
   IF(SIGN(IFERROR(SEARCH("\2",$A206),0))=SIGN(IFERROR(SEARCH("\2",C206),0)),".","!")&amp;
   IF(SIGN(IFERROR(SEARCH("\3",$A206),0))=SIGN(IFERROR(SEARCH("\3",C206),0)),".","!")</f>
        <v>...</v>
      </c>
      <c r="F206" s="3">
        <f>LEN(A206)</f>
        <v>30</v>
      </c>
    </row>
    <row r="207" spans="1:6" x14ac:dyDescent="0.25">
      <c r="A207" s="3" t="s">
        <v>59</v>
      </c>
      <c r="B207" s="3" t="s">
        <v>59</v>
      </c>
      <c r="C207" s="2" t="s">
        <v>2253</v>
      </c>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8</v>
      </c>
    </row>
    <row r="208" spans="1:6" x14ac:dyDescent="0.25">
      <c r="A208" s="3" t="s">
        <v>60</v>
      </c>
      <c r="B208" s="3" t="s">
        <v>61</v>
      </c>
      <c r="C208" s="2" t="s">
        <v>2254</v>
      </c>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14</v>
      </c>
    </row>
    <row r="209" spans="1:6" x14ac:dyDescent="0.25">
      <c r="A209" s="3" t="s">
        <v>62</v>
      </c>
      <c r="B209" s="3" t="s">
        <v>63</v>
      </c>
      <c r="C209" s="2" t="s">
        <v>2255</v>
      </c>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15</v>
      </c>
    </row>
    <row r="210" spans="1:6" x14ac:dyDescent="0.25">
      <c r="A210" s="3" t="s">
        <v>257</v>
      </c>
      <c r="B210" s="3" t="s">
        <v>382</v>
      </c>
      <c r="C210" s="2" t="s">
        <v>2256</v>
      </c>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5</v>
      </c>
    </row>
    <row r="211" spans="1:6" x14ac:dyDescent="0.25">
      <c r="A211" s="3" t="s">
        <v>1052</v>
      </c>
      <c r="B211" s="3" t="s">
        <v>1093</v>
      </c>
      <c r="C211" s="2" t="s">
        <v>2257</v>
      </c>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11</v>
      </c>
    </row>
    <row r="212" spans="1:6" ht="30" x14ac:dyDescent="0.25">
      <c r="A212" s="3" t="s">
        <v>64</v>
      </c>
      <c r="B212" s="3" t="s">
        <v>65</v>
      </c>
      <c r="C212" s="2" t="s">
        <v>2258</v>
      </c>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56</v>
      </c>
    </row>
    <row r="213" spans="1:6" ht="30" x14ac:dyDescent="0.25">
      <c r="A213" s="3" t="s">
        <v>66</v>
      </c>
      <c r="B213" s="3" t="s">
        <v>432</v>
      </c>
      <c r="C213" s="2" t="s">
        <v>2259</v>
      </c>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7</v>
      </c>
    </row>
    <row r="214" spans="1:6" x14ac:dyDescent="0.25">
      <c r="A214" s="3" t="s">
        <v>120</v>
      </c>
      <c r="B214" s="3" t="s">
        <v>126</v>
      </c>
      <c r="C214" s="2" t="s">
        <v>2260</v>
      </c>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13</v>
      </c>
    </row>
    <row r="215" spans="1:6" x14ac:dyDescent="0.25">
      <c r="A215" s="3" t="s">
        <v>927</v>
      </c>
      <c r="B215" s="3" t="s">
        <v>928</v>
      </c>
      <c r="C215" s="2" t="s">
        <v>2261</v>
      </c>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26</v>
      </c>
    </row>
    <row r="216" spans="1:6" x14ac:dyDescent="0.25">
      <c r="A216" s="3" t="s">
        <v>294</v>
      </c>
      <c r="B216" s="3" t="s">
        <v>433</v>
      </c>
      <c r="C216" s="2" t="s">
        <v>2262</v>
      </c>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23</v>
      </c>
    </row>
    <row r="217" spans="1:6" ht="45" x14ac:dyDescent="0.25">
      <c r="A217" s="3" t="s">
        <v>1621</v>
      </c>
      <c r="B217" s="3" t="s">
        <v>1620</v>
      </c>
      <c r="C217" s="2" t="s">
        <v>1620</v>
      </c>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144</v>
      </c>
    </row>
    <row r="218" spans="1:6" ht="45" x14ac:dyDescent="0.25">
      <c r="A218" s="3" t="s">
        <v>67</v>
      </c>
      <c r="B218" s="3" t="s">
        <v>68</v>
      </c>
      <c r="C218" s="2" t="s">
        <v>2156</v>
      </c>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10</v>
      </c>
    </row>
    <row r="219" spans="1:6" x14ac:dyDescent="0.25">
      <c r="A219" s="3" t="s">
        <v>299</v>
      </c>
      <c r="B219" s="3" t="s">
        <v>1074</v>
      </c>
      <c r="C219" s="2" t="s">
        <v>2263</v>
      </c>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46</v>
      </c>
    </row>
    <row r="220" spans="1:6" x14ac:dyDescent="0.25">
      <c r="A220" s="3" t="s">
        <v>295</v>
      </c>
      <c r="B220" s="3" t="s">
        <v>1075</v>
      </c>
      <c r="C220" s="2" t="s">
        <v>2264</v>
      </c>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57</v>
      </c>
    </row>
    <row r="221" spans="1:6" ht="30" x14ac:dyDescent="0.25">
      <c r="A221" s="3" t="s">
        <v>297</v>
      </c>
      <c r="B221" s="3" t="s">
        <v>1076</v>
      </c>
      <c r="C221" s="2" t="s">
        <v>2265</v>
      </c>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52</v>
      </c>
    </row>
    <row r="222" spans="1:6" ht="30" x14ac:dyDescent="0.25">
      <c r="A222" s="3" t="s">
        <v>554</v>
      </c>
      <c r="B222" s="3" t="s">
        <v>1077</v>
      </c>
      <c r="C222" s="2" t="s">
        <v>2266</v>
      </c>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63</v>
      </c>
    </row>
    <row r="223" spans="1:6" x14ac:dyDescent="0.25">
      <c r="A223" s="3" t="s">
        <v>1340</v>
      </c>
      <c r="B223" s="3" t="s">
        <v>1359</v>
      </c>
      <c r="C223" s="2" t="s">
        <v>2267</v>
      </c>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22</v>
      </c>
    </row>
    <row r="224" spans="1:6" x14ac:dyDescent="0.25">
      <c r="A224" s="3" t="s">
        <v>1206</v>
      </c>
      <c r="B224" s="3" t="s">
        <v>1207</v>
      </c>
      <c r="C224" s="2" t="s">
        <v>1207</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14</v>
      </c>
    </row>
    <row r="225" spans="1:6" x14ac:dyDescent="0.25">
      <c r="A225" s="3" t="s">
        <v>1906</v>
      </c>
      <c r="B225" s="3" t="s">
        <v>1907</v>
      </c>
      <c r="C225" s="2" t="s">
        <v>2268</v>
      </c>
      <c r="D225" s="3"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39</v>
      </c>
    </row>
    <row r="226" spans="1:6" x14ac:dyDescent="0.25">
      <c r="A226" s="3" t="s">
        <v>268</v>
      </c>
      <c r="B226" s="3" t="s">
        <v>332</v>
      </c>
      <c r="C226" s="2" t="s">
        <v>2269</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13</v>
      </c>
    </row>
    <row r="227" spans="1:6" x14ac:dyDescent="0.25">
      <c r="A227" s="3" t="s">
        <v>546</v>
      </c>
      <c r="B227" s="3" t="s">
        <v>550</v>
      </c>
      <c r="C227" s="2" t="s">
        <v>2270</v>
      </c>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20</v>
      </c>
    </row>
    <row r="228" spans="1:6" x14ac:dyDescent="0.25">
      <c r="A228" s="3" t="s">
        <v>334</v>
      </c>
      <c r="B228" s="3" t="s">
        <v>333</v>
      </c>
      <c r="C228" s="2" t="s">
        <v>2271</v>
      </c>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23</v>
      </c>
    </row>
    <row r="229" spans="1:6" ht="30" x14ac:dyDescent="0.25">
      <c r="A229" s="3" t="s">
        <v>2077</v>
      </c>
      <c r="B229" s="3" t="s">
        <v>2078</v>
      </c>
      <c r="C229" s="3" t="s">
        <v>2703</v>
      </c>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85</v>
      </c>
    </row>
    <row r="230" spans="1:6" x14ac:dyDescent="0.25">
      <c r="A230" s="3" t="s">
        <v>280</v>
      </c>
      <c r="B230" s="3" t="s">
        <v>335</v>
      </c>
      <c r="C230" s="2" t="s">
        <v>2272</v>
      </c>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38</v>
      </c>
    </row>
    <row r="231" spans="1:6" x14ac:dyDescent="0.25">
      <c r="A231" s="3" t="s">
        <v>2834</v>
      </c>
      <c r="B231" s="3" t="s">
        <v>2844</v>
      </c>
      <c r="C231" s="15" t="s">
        <v>2854</v>
      </c>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27</v>
      </c>
    </row>
    <row r="232" spans="1:6" x14ac:dyDescent="0.25">
      <c r="A232" s="3" t="s">
        <v>462</v>
      </c>
      <c r="B232" s="3" t="s">
        <v>491</v>
      </c>
      <c r="C232" s="2" t="s">
        <v>2273</v>
      </c>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34</v>
      </c>
    </row>
    <row r="233" spans="1:6" x14ac:dyDescent="0.25">
      <c r="A233" s="3" t="s">
        <v>461</v>
      </c>
      <c r="B233" s="3" t="s">
        <v>492</v>
      </c>
      <c r="C233" s="2" t="s">
        <v>2274</v>
      </c>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39</v>
      </c>
    </row>
    <row r="234" spans="1:6" x14ac:dyDescent="0.25">
      <c r="A234" s="3" t="s">
        <v>463</v>
      </c>
      <c r="B234" s="3" t="s">
        <v>493</v>
      </c>
      <c r="C234" s="2" t="s">
        <v>2275</v>
      </c>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23</v>
      </c>
    </row>
    <row r="235" spans="1:6" x14ac:dyDescent="0.25">
      <c r="A235" s="3" t="s">
        <v>504</v>
      </c>
      <c r="B235" s="3" t="s">
        <v>505</v>
      </c>
      <c r="C235" s="2" t="s">
        <v>2276</v>
      </c>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29</v>
      </c>
    </row>
    <row r="236" spans="1:6" x14ac:dyDescent="0.25">
      <c r="A236" s="3" t="s">
        <v>464</v>
      </c>
      <c r="B236" s="3" t="s">
        <v>1175</v>
      </c>
      <c r="C236" s="2" t="s">
        <v>2277</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33</v>
      </c>
    </row>
    <row r="237" spans="1:6" ht="30" x14ac:dyDescent="0.25">
      <c r="A237" s="3" t="s">
        <v>560</v>
      </c>
      <c r="B237" s="3" t="s">
        <v>974</v>
      </c>
      <c r="C237" s="2" t="s">
        <v>2278</v>
      </c>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55</v>
      </c>
    </row>
    <row r="238" spans="1:6" x14ac:dyDescent="0.25">
      <c r="A238" s="3" t="s">
        <v>524</v>
      </c>
      <c r="B238" s="3" t="s">
        <v>525</v>
      </c>
      <c r="C238" s="2" t="s">
        <v>2279</v>
      </c>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25</v>
      </c>
    </row>
    <row r="239" spans="1:6" x14ac:dyDescent="0.25">
      <c r="A239" s="3" t="s">
        <v>1556</v>
      </c>
      <c r="B239" s="3" t="s">
        <v>568</v>
      </c>
      <c r="C239" s="2" t="s">
        <v>2280</v>
      </c>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28</v>
      </c>
    </row>
    <row r="240" spans="1:6" x14ac:dyDescent="0.25">
      <c r="A240" s="3" t="s">
        <v>69</v>
      </c>
      <c r="B240" s="3" t="s">
        <v>434</v>
      </c>
      <c r="C240" s="2" t="s">
        <v>2281</v>
      </c>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22</v>
      </c>
    </row>
    <row r="241" spans="1:6" x14ac:dyDescent="0.25">
      <c r="A241" s="3" t="s">
        <v>252</v>
      </c>
      <c r="B241" s="3" t="s">
        <v>336</v>
      </c>
      <c r="C241" s="2" t="s">
        <v>2282</v>
      </c>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29</v>
      </c>
    </row>
    <row r="242" spans="1:6" ht="30" x14ac:dyDescent="0.25">
      <c r="A242" s="3" t="s">
        <v>1916</v>
      </c>
      <c r="B242" s="3" t="s">
        <v>1917</v>
      </c>
      <c r="C242" s="2" t="s">
        <v>2283</v>
      </c>
      <c r="D242" s="3" t="str">
        <f>IF(SIGN(IFERROR(SEARCH("\1",$A242),0))=SIGN(IFERROR(SEARCH("\1",B242),0)),".","!")&amp;
   IF(SIGN(IFERROR(SEARCH("\2",$A242),0))=SIGN(IFERROR(SEARCH("\2",B242),0)),".","!")&amp;
   IF(SIGN(IFERROR(SEARCH("\3",$A242),0))=SIGN(IFERROR(SEARCH("\3",B242),0)),".","!")</f>
        <v>...</v>
      </c>
      <c r="E242" s="3" t="str">
        <f>IF(SIGN(IFERROR(SEARCH("\1",$A242),0))=SIGN(IFERROR(SEARCH("\1",C242),0)),".","!")&amp;
   IF(SIGN(IFERROR(SEARCH("\2",$A242),0))=SIGN(IFERROR(SEARCH("\2",C242),0)),".","!")&amp;
   IF(SIGN(IFERROR(SEARCH("\3",$A242),0))=SIGN(IFERROR(SEARCH("\3",C242),0)),".","!")</f>
        <v>...</v>
      </c>
      <c r="F242" s="3">
        <f>LEN(A242)</f>
        <v>62</v>
      </c>
    </row>
    <row r="243" spans="1:6" ht="30" x14ac:dyDescent="0.25">
      <c r="A243" s="3" t="s">
        <v>1997</v>
      </c>
      <c r="B243" s="3" t="s">
        <v>2000</v>
      </c>
      <c r="C243" s="2" t="s">
        <v>2284</v>
      </c>
      <c r="D243" s="3" t="str">
        <f>IF(SIGN(IFERROR(SEARCH("\1",$A243),0))=SIGN(IFERROR(SEARCH("\1",B243),0)),".","!")&amp;
   IF(SIGN(IFERROR(SEARCH("\2",$A243),0))=SIGN(IFERROR(SEARCH("\2",B243),0)),".","!")&amp;
   IF(SIGN(IFERROR(SEARCH("\3",$A243),0))=SIGN(IFERROR(SEARCH("\3",B243),0)),".","!")</f>
        <v>...</v>
      </c>
      <c r="E243" s="3" t="str">
        <f>IF(SIGN(IFERROR(SEARCH("\1",$A243),0))=SIGN(IFERROR(SEARCH("\1",C243),0)),".","!")&amp;
   IF(SIGN(IFERROR(SEARCH("\2",$A243),0))=SIGN(IFERROR(SEARCH("\2",C243),0)),".","!")&amp;
   IF(SIGN(IFERROR(SEARCH("\3",$A243),0))=SIGN(IFERROR(SEARCH("\3",C243),0)),".","!")</f>
        <v>...</v>
      </c>
      <c r="F243" s="3">
        <f>LEN(A243)</f>
        <v>4</v>
      </c>
    </row>
    <row r="244" spans="1:6" x14ac:dyDescent="0.25">
      <c r="A244" s="3" t="s">
        <v>273</v>
      </c>
      <c r="B244" s="3" t="s">
        <v>383</v>
      </c>
      <c r="C244" s="2" t="s">
        <v>383</v>
      </c>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31</v>
      </c>
    </row>
    <row r="245" spans="1:6" x14ac:dyDescent="0.25">
      <c r="A245" s="3" t="s">
        <v>1780</v>
      </c>
      <c r="B245" s="3" t="s">
        <v>1783</v>
      </c>
      <c r="C245" s="2" t="s">
        <v>2285</v>
      </c>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9</v>
      </c>
    </row>
    <row r="246" spans="1:6" x14ac:dyDescent="0.25">
      <c r="A246" s="3" t="s">
        <v>1981</v>
      </c>
      <c r="B246" s="3" t="s">
        <v>1982</v>
      </c>
      <c r="C246" s="2" t="s">
        <v>2286</v>
      </c>
      <c r="D246" s="3" t="str">
        <f>IF(SIGN(IFERROR(SEARCH("\1",$A246),0))=SIGN(IFERROR(SEARCH("\1",B246),0)),".","!")&amp;
   IF(SIGN(IFERROR(SEARCH("\2",$A246),0))=SIGN(IFERROR(SEARCH("\2",B246),0)),".","!")&amp;
   IF(SIGN(IFERROR(SEARCH("\3",$A246),0))=SIGN(IFERROR(SEARCH("\3",B246),0)),".","!")</f>
        <v>...</v>
      </c>
      <c r="E246" s="3" t="str">
        <f>IF(SIGN(IFERROR(SEARCH("\1",$A246),0))=SIGN(IFERROR(SEARCH("\1",C246),0)),".","!")&amp;
   IF(SIGN(IFERROR(SEARCH("\2",$A246),0))=SIGN(IFERROR(SEARCH("\2",C246),0)),".","!")&amp;
   IF(SIGN(IFERROR(SEARCH("\3",$A246),0))=SIGN(IFERROR(SEARCH("\3",C246),0)),".","!")</f>
        <v>...</v>
      </c>
      <c r="F246" s="3">
        <f>LEN(A246)</f>
        <v>27</v>
      </c>
    </row>
    <row r="247" spans="1:6" x14ac:dyDescent="0.25">
      <c r="A247" s="3" t="s">
        <v>271</v>
      </c>
      <c r="B247" s="3" t="s">
        <v>384</v>
      </c>
      <c r="C247" s="2" t="s">
        <v>2287</v>
      </c>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30</v>
      </c>
    </row>
    <row r="248" spans="1:6" x14ac:dyDescent="0.25">
      <c r="A248" s="3" t="s">
        <v>338</v>
      </c>
      <c r="B248" s="3" t="s">
        <v>337</v>
      </c>
      <c r="C248" s="2" t="s">
        <v>2288</v>
      </c>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23</v>
      </c>
    </row>
    <row r="249" spans="1:6" ht="30" x14ac:dyDescent="0.25">
      <c r="A249" s="3" t="s">
        <v>258</v>
      </c>
      <c r="B249" s="3" t="s">
        <v>339</v>
      </c>
      <c r="C249" s="2" t="s">
        <v>2289</v>
      </c>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50</v>
      </c>
    </row>
    <row r="250" spans="1:6" x14ac:dyDescent="0.25">
      <c r="A250" s="3" t="s">
        <v>1233</v>
      </c>
      <c r="B250" s="3" t="s">
        <v>1234</v>
      </c>
      <c r="C250" s="2" t="s">
        <v>2290</v>
      </c>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28</v>
      </c>
    </row>
    <row r="251" spans="1:6" x14ac:dyDescent="0.25">
      <c r="A251" s="3" t="s">
        <v>1204</v>
      </c>
      <c r="B251" s="3" t="s">
        <v>1205</v>
      </c>
      <c r="C251" s="2" t="s">
        <v>2291</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9</v>
      </c>
    </row>
    <row r="252" spans="1:6" x14ac:dyDescent="0.25">
      <c r="A252" s="3" t="s">
        <v>1025</v>
      </c>
      <c r="B252" s="3" t="s">
        <v>1026</v>
      </c>
      <c r="C252" s="2" t="s">
        <v>2292</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11</v>
      </c>
    </row>
    <row r="253" spans="1:6" x14ac:dyDescent="0.25">
      <c r="A253" s="3" t="s">
        <v>473</v>
      </c>
      <c r="B253" s="3" t="s">
        <v>494</v>
      </c>
      <c r="C253" s="2" t="s">
        <v>2293</v>
      </c>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9</v>
      </c>
    </row>
    <row r="254" spans="1:6" x14ac:dyDescent="0.25">
      <c r="A254" s="3" t="s">
        <v>468</v>
      </c>
      <c r="B254" s="3" t="s">
        <v>1095</v>
      </c>
      <c r="C254" s="2" t="s">
        <v>2294</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24</v>
      </c>
    </row>
    <row r="255" spans="1:6" x14ac:dyDescent="0.25">
      <c r="A255" s="3" t="s">
        <v>270</v>
      </c>
      <c r="B255" s="3" t="s">
        <v>380</v>
      </c>
      <c r="C255" s="2" t="s">
        <v>2295</v>
      </c>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24</v>
      </c>
    </row>
    <row r="256" spans="1:6" x14ac:dyDescent="0.25">
      <c r="A256" s="3" t="s">
        <v>151</v>
      </c>
      <c r="B256" s="3" t="s">
        <v>151</v>
      </c>
      <c r="C256" s="2" t="s">
        <v>151</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4</v>
      </c>
    </row>
    <row r="257" spans="1:6" x14ac:dyDescent="0.25">
      <c r="A257" s="3" t="s">
        <v>192</v>
      </c>
      <c r="B257" s="3" t="s">
        <v>444</v>
      </c>
      <c r="C257" s="2" t="s">
        <v>2296</v>
      </c>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14</v>
      </c>
    </row>
    <row r="258" spans="1:6" x14ac:dyDescent="0.25">
      <c r="A258" s="3" t="s">
        <v>193</v>
      </c>
      <c r="B258" s="3" t="s">
        <v>445</v>
      </c>
      <c r="C258" s="2" t="s">
        <v>2297</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13</v>
      </c>
    </row>
    <row r="259" spans="1:6" x14ac:dyDescent="0.25">
      <c r="A259" s="3" t="s">
        <v>217</v>
      </c>
      <c r="B259" s="3" t="s">
        <v>340</v>
      </c>
      <c r="C259" s="2" t="s">
        <v>2298</v>
      </c>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24</v>
      </c>
    </row>
    <row r="260" spans="1:6" x14ac:dyDescent="0.25">
      <c r="A260" s="3" t="s">
        <v>341</v>
      </c>
      <c r="B260" s="3" t="s">
        <v>341</v>
      </c>
      <c r="C260" s="2" t="s">
        <v>2299</v>
      </c>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9</v>
      </c>
    </row>
    <row r="261" spans="1:6" x14ac:dyDescent="0.25">
      <c r="A261" s="3" t="s">
        <v>342</v>
      </c>
      <c r="B261" s="3" t="s">
        <v>435</v>
      </c>
      <c r="C261" s="2" t="s">
        <v>2300</v>
      </c>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10</v>
      </c>
    </row>
    <row r="262" spans="1:6" ht="30" x14ac:dyDescent="0.25">
      <c r="A262" s="3" t="s">
        <v>70</v>
      </c>
      <c r="B262" s="3" t="s">
        <v>71</v>
      </c>
      <c r="C262" s="2" t="s">
        <v>2301</v>
      </c>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48</v>
      </c>
    </row>
    <row r="263" spans="1:6" ht="30" x14ac:dyDescent="0.25">
      <c r="A263" s="3" t="s">
        <v>527</v>
      </c>
      <c r="B263" s="3" t="s">
        <v>528</v>
      </c>
      <c r="C263" s="2" t="s">
        <v>2302</v>
      </c>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6</v>
      </c>
    </row>
    <row r="264" spans="1:6" x14ac:dyDescent="0.25">
      <c r="A264" s="3" t="s">
        <v>1055</v>
      </c>
      <c r="B264" s="3" t="s">
        <v>1058</v>
      </c>
      <c r="C264" s="2" t="s">
        <v>2303</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10</v>
      </c>
    </row>
    <row r="265" spans="1:6" x14ac:dyDescent="0.25">
      <c r="A265" s="3" t="s">
        <v>1872</v>
      </c>
      <c r="B265" s="3" t="s">
        <v>1873</v>
      </c>
      <c r="C265" s="2" t="s">
        <v>2304</v>
      </c>
      <c r="D265" s="3" t="str">
        <f>IF(SIGN(IFERROR(SEARCH("\1",$A265),0))=SIGN(IFERROR(SEARCH("\1",B265),0)),".","!")&amp;
   IF(SIGN(IFERROR(SEARCH("\2",$A265),0))=SIGN(IFERROR(SEARCH("\2",B265),0)),".","!")&amp;
   IF(SIGN(IFERROR(SEARCH("\3",$A265),0))=SIGN(IFERROR(SEARCH("\3",B265),0)),".","!")</f>
        <v>...</v>
      </c>
      <c r="E265" s="3" t="str">
        <f>IF(SIGN(IFERROR(SEARCH("\1",$A265),0))=SIGN(IFERROR(SEARCH("\1",C265),0)),".","!")&amp;
   IF(SIGN(IFERROR(SEARCH("\2",$A265),0))=SIGN(IFERROR(SEARCH("\2",C265),0)),".","!")&amp;
   IF(SIGN(IFERROR(SEARCH("\3",$A265),0))=SIGN(IFERROR(SEARCH("\3",C265),0)),".","!")</f>
        <v>...</v>
      </c>
      <c r="F265" s="3">
        <f>LEN(A265)</f>
        <v>32</v>
      </c>
    </row>
    <row r="266" spans="1:6" x14ac:dyDescent="0.25">
      <c r="A266" s="3" t="s">
        <v>170</v>
      </c>
      <c r="B266" s="3" t="s">
        <v>174</v>
      </c>
      <c r="C266" s="2" t="s">
        <v>2305</v>
      </c>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7</v>
      </c>
    </row>
    <row r="267" spans="1:6" x14ac:dyDescent="0.25">
      <c r="A267" s="3" t="s">
        <v>223</v>
      </c>
      <c r="B267" s="3" t="s">
        <v>343</v>
      </c>
      <c r="C267" s="2" t="s">
        <v>2306</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5</v>
      </c>
    </row>
    <row r="268" spans="1:6" x14ac:dyDescent="0.25">
      <c r="A268" s="3" t="s">
        <v>569</v>
      </c>
      <c r="B268" s="3" t="s">
        <v>570</v>
      </c>
      <c r="C268" s="2" t="s">
        <v>2307</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43</v>
      </c>
    </row>
    <row r="269" spans="1:6" ht="30" x14ac:dyDescent="0.25">
      <c r="A269" s="3" t="s">
        <v>267</v>
      </c>
      <c r="B269" s="3" t="s">
        <v>975</v>
      </c>
      <c r="C269" s="2" t="s">
        <v>2308</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4</v>
      </c>
    </row>
    <row r="270" spans="1:6" x14ac:dyDescent="0.25">
      <c r="A270" s="3" t="s">
        <v>230</v>
      </c>
      <c r="B270" s="3" t="s">
        <v>976</v>
      </c>
      <c r="C270" s="2" t="s">
        <v>2309</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16</v>
      </c>
    </row>
    <row r="271" spans="1:6" x14ac:dyDescent="0.25">
      <c r="A271" s="3" t="s">
        <v>1136</v>
      </c>
      <c r="B271" s="3" t="s">
        <v>1137</v>
      </c>
      <c r="C271" s="2" t="s">
        <v>2310</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15</v>
      </c>
    </row>
    <row r="272" spans="1:6" x14ac:dyDescent="0.25">
      <c r="A272" s="3" t="s">
        <v>2767</v>
      </c>
      <c r="B272" s="3" t="s">
        <v>2768</v>
      </c>
      <c r="C272" s="15" t="s">
        <v>2855</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30</v>
      </c>
    </row>
    <row r="273" spans="1:6" x14ac:dyDescent="0.25">
      <c r="A273" s="3" t="s">
        <v>1609</v>
      </c>
      <c r="B273" s="3" t="s">
        <v>1619</v>
      </c>
      <c r="C273" s="2" t="s">
        <v>2311</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8</v>
      </c>
    </row>
    <row r="274" spans="1:6" ht="30" x14ac:dyDescent="0.25">
      <c r="A274" s="3" t="s">
        <v>1878</v>
      </c>
      <c r="B274" s="3" t="s">
        <v>1879</v>
      </c>
      <c r="C274" s="2" t="s">
        <v>2312</v>
      </c>
      <c r="D274" s="3" t="str">
        <f>IF(SIGN(IFERROR(SEARCH("\1",$A274),0))=SIGN(IFERROR(SEARCH("\1",B274),0)),".","!")&amp;
   IF(SIGN(IFERROR(SEARCH("\2",$A274),0))=SIGN(IFERROR(SEARCH("\2",B274),0)),".","!")&amp;
   IF(SIGN(IFERROR(SEARCH("\3",$A274),0))=SIGN(IFERROR(SEARCH("\3",B274),0)),".","!")</f>
        <v>...</v>
      </c>
      <c r="E274" s="3" t="str">
        <f>IF(SIGN(IFERROR(SEARCH("\1",$A274),0))=SIGN(IFERROR(SEARCH("\1",C274),0)),".","!")&amp;
   IF(SIGN(IFERROR(SEARCH("\2",$A274),0))=SIGN(IFERROR(SEARCH("\2",C274),0)),".","!")&amp;
   IF(SIGN(IFERROR(SEARCH("\3",$A274),0))=SIGN(IFERROR(SEARCH("\3",C274),0)),".","!")</f>
        <v>...</v>
      </c>
      <c r="F274" s="3">
        <f>LEN(A274)</f>
        <v>42</v>
      </c>
    </row>
    <row r="275" spans="1:6" x14ac:dyDescent="0.25">
      <c r="A275" s="3" t="s">
        <v>1870</v>
      </c>
      <c r="B275" s="3" t="s">
        <v>1871</v>
      </c>
      <c r="C275" s="2" t="s">
        <v>2313</v>
      </c>
      <c r="D275" s="3" t="str">
        <f>IF(SIGN(IFERROR(SEARCH("\1",$A275),0))=SIGN(IFERROR(SEARCH("\1",B275),0)),".","!")&amp;
   IF(SIGN(IFERROR(SEARCH("\2",$A275),0))=SIGN(IFERROR(SEARCH("\2",B275),0)),".","!")&amp;
   IF(SIGN(IFERROR(SEARCH("\3",$A275),0))=SIGN(IFERROR(SEARCH("\3",B275),0)),".","!")</f>
        <v>...</v>
      </c>
      <c r="E275" s="3" t="str">
        <f>IF(SIGN(IFERROR(SEARCH("\1",$A275),0))=SIGN(IFERROR(SEARCH("\1",C275),0)),".","!")&amp;
   IF(SIGN(IFERROR(SEARCH("\2",$A275),0))=SIGN(IFERROR(SEARCH("\2",C275),0)),".","!")&amp;
   IF(SIGN(IFERROR(SEARCH("\3",$A275),0))=SIGN(IFERROR(SEARCH("\3",C275),0)),".","!")</f>
        <v>...</v>
      </c>
      <c r="F275" s="3">
        <f>LEN(A275)</f>
        <v>12</v>
      </c>
    </row>
    <row r="276" spans="1:6" x14ac:dyDescent="0.25">
      <c r="A276" s="3" t="s">
        <v>261</v>
      </c>
      <c r="B276" s="3" t="s">
        <v>344</v>
      </c>
      <c r="C276" s="2" t="s">
        <v>2314</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11</v>
      </c>
    </row>
    <row r="277" spans="1:6" x14ac:dyDescent="0.25">
      <c r="A277" s="3" t="s">
        <v>188</v>
      </c>
      <c r="B277" s="3" t="s">
        <v>188</v>
      </c>
      <c r="C277" s="2" t="s">
        <v>2239</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6</v>
      </c>
    </row>
    <row r="278" spans="1:6" x14ac:dyDescent="0.25">
      <c r="A278" s="3" t="s">
        <v>72</v>
      </c>
      <c r="B278" s="3" t="s">
        <v>72</v>
      </c>
      <c r="C278" s="2" t="s">
        <v>2315</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3</v>
      </c>
    </row>
    <row r="279" spans="1:6" ht="30" x14ac:dyDescent="0.25">
      <c r="A279" s="3" t="s">
        <v>346</v>
      </c>
      <c r="B279" s="3" t="s">
        <v>345</v>
      </c>
      <c r="C279" s="2" t="s">
        <v>2316</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47</v>
      </c>
    </row>
    <row r="280" spans="1:6" ht="45" x14ac:dyDescent="0.25">
      <c r="A280" s="3" t="s">
        <v>1611</v>
      </c>
      <c r="B280" s="3" t="s">
        <v>1623</v>
      </c>
      <c r="C280" s="2" t="s">
        <v>2317</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103</v>
      </c>
    </row>
    <row r="281" spans="1:6" ht="45" x14ac:dyDescent="0.25">
      <c r="A281" s="3" t="s">
        <v>1350</v>
      </c>
      <c r="B281" s="3" t="s">
        <v>1350</v>
      </c>
      <c r="C281" s="2" t="s">
        <v>1350</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6</v>
      </c>
    </row>
    <row r="282" spans="1:6" ht="30" x14ac:dyDescent="0.25">
      <c r="A282" s="3" t="s">
        <v>1072</v>
      </c>
      <c r="B282" s="3" t="s">
        <v>1073</v>
      </c>
      <c r="C282" s="2" t="s">
        <v>2318</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81</v>
      </c>
    </row>
    <row r="283" spans="1:6" ht="30" x14ac:dyDescent="0.25">
      <c r="A283" s="3" t="s">
        <v>1702</v>
      </c>
      <c r="B283" s="3" t="s">
        <v>1702</v>
      </c>
      <c r="C283" s="2" t="s">
        <v>1702</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10</v>
      </c>
    </row>
    <row r="284" spans="1:6" x14ac:dyDescent="0.25">
      <c r="A284" s="3" t="s">
        <v>73</v>
      </c>
      <c r="B284" s="3" t="s">
        <v>73</v>
      </c>
      <c r="C284" s="2" t="s">
        <v>2319</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18</v>
      </c>
    </row>
    <row r="285" spans="1:6" x14ac:dyDescent="0.25">
      <c r="A285" s="3" t="s">
        <v>1914</v>
      </c>
      <c r="B285" s="3" t="s">
        <v>1915</v>
      </c>
      <c r="C285" s="2" t="s">
        <v>2320</v>
      </c>
      <c r="D285" s="3" t="str">
        <f>IF(SIGN(IFERROR(SEARCH("\1",$A285),0))=SIGN(IFERROR(SEARCH("\1",B285),0)),".","!")&amp;
   IF(SIGN(IFERROR(SEARCH("\2",$A285),0))=SIGN(IFERROR(SEARCH("\2",B285),0)),".","!")&amp;
   IF(SIGN(IFERROR(SEARCH("\3",$A285),0))=SIGN(IFERROR(SEARCH("\3",B285),0)),".","!")</f>
        <v>...</v>
      </c>
      <c r="E285" s="3" t="str">
        <f>IF(SIGN(IFERROR(SEARCH("\1",$A285),0))=SIGN(IFERROR(SEARCH("\1",C285),0)),".","!")&amp;
   IF(SIGN(IFERROR(SEARCH("\2",$A285),0))=SIGN(IFERROR(SEARCH("\2",C285),0)),".","!")&amp;
   IF(SIGN(IFERROR(SEARCH("\3",$A285),0))=SIGN(IFERROR(SEARCH("\3",C285),0)),".","!")</f>
        <v>...</v>
      </c>
      <c r="F285" s="3">
        <f>LEN(A285)</f>
        <v>16</v>
      </c>
    </row>
    <row r="286" spans="1:6" x14ac:dyDescent="0.25">
      <c r="A286" s="3" t="s">
        <v>272</v>
      </c>
      <c r="B286" s="3" t="s">
        <v>381</v>
      </c>
      <c r="C286" s="2" t="s">
        <v>381</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30</v>
      </c>
    </row>
    <row r="287" spans="1:6" x14ac:dyDescent="0.25">
      <c r="A287" s="3" t="s">
        <v>1009</v>
      </c>
      <c r="B287" s="3" t="s">
        <v>1009</v>
      </c>
      <c r="C287" s="2" t="s">
        <v>1009</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v>
      </c>
    </row>
    <row r="288" spans="1:6" x14ac:dyDescent="0.25">
      <c r="A288" s="3" t="s">
        <v>1024</v>
      </c>
      <c r="B288" s="3" t="s">
        <v>1027</v>
      </c>
      <c r="C288" s="2" t="s">
        <v>2321</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11</v>
      </c>
    </row>
    <row r="289" spans="1:6" x14ac:dyDescent="0.25">
      <c r="A289" s="3" t="s">
        <v>2043</v>
      </c>
      <c r="B289" s="3" t="s">
        <v>2044</v>
      </c>
      <c r="C289" s="2" t="s">
        <v>2322</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19</v>
      </c>
    </row>
    <row r="290" spans="1:6" x14ac:dyDescent="0.25">
      <c r="A290" s="3" t="s">
        <v>1345</v>
      </c>
      <c r="B290" s="3" t="s">
        <v>1346</v>
      </c>
      <c r="C290" s="2" t="s">
        <v>2323</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18</v>
      </c>
    </row>
    <row r="291" spans="1:6" x14ac:dyDescent="0.25">
      <c r="A291" s="3" t="s">
        <v>1054</v>
      </c>
      <c r="B291" s="3" t="s">
        <v>1057</v>
      </c>
      <c r="C291" s="2" t="s">
        <v>2324</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11</v>
      </c>
    </row>
    <row r="292" spans="1:6" x14ac:dyDescent="0.25">
      <c r="A292" s="3" t="s">
        <v>1682</v>
      </c>
      <c r="B292" s="3" t="s">
        <v>1682</v>
      </c>
      <c r="C292" s="2" t="s">
        <v>1682</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6</v>
      </c>
    </row>
    <row r="293" spans="1:6" x14ac:dyDescent="0.25">
      <c r="A293" s="3" t="s">
        <v>1729</v>
      </c>
      <c r="B293" s="3" t="s">
        <v>1729</v>
      </c>
      <c r="C293" s="2" t="s">
        <v>1729</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12</v>
      </c>
    </row>
    <row r="294" spans="1:6" x14ac:dyDescent="0.25">
      <c r="A294" s="3" t="s">
        <v>1434</v>
      </c>
      <c r="B294" s="3" t="s">
        <v>1431</v>
      </c>
      <c r="C294" s="2" t="s">
        <v>1431</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19</v>
      </c>
    </row>
    <row r="295" spans="1:6" x14ac:dyDescent="0.25">
      <c r="A295" s="3" t="s">
        <v>1435</v>
      </c>
      <c r="B295" s="3" t="s">
        <v>1432</v>
      </c>
      <c r="C295" s="2" t="s">
        <v>1432</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20</v>
      </c>
    </row>
    <row r="296" spans="1:6" x14ac:dyDescent="0.25">
      <c r="A296" s="3" t="s">
        <v>1436</v>
      </c>
      <c r="B296" s="3" t="s">
        <v>1433</v>
      </c>
      <c r="C296" s="2" t="s">
        <v>2325</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18</v>
      </c>
    </row>
    <row r="297" spans="1:6" x14ac:dyDescent="0.25">
      <c r="A297" s="3" t="s">
        <v>1411</v>
      </c>
      <c r="B297" s="3" t="s">
        <v>1411</v>
      </c>
      <c r="C297" s="2" t="s">
        <v>1411</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18</v>
      </c>
    </row>
    <row r="298" spans="1:6" x14ac:dyDescent="0.25">
      <c r="A298" s="3" t="s">
        <v>1412</v>
      </c>
      <c r="B298" s="3" t="s">
        <v>1413</v>
      </c>
      <c r="C298" s="2" t="s">
        <v>1413</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12</v>
      </c>
    </row>
    <row r="299" spans="1:6" x14ac:dyDescent="0.25">
      <c r="A299" s="3" t="s">
        <v>1224</v>
      </c>
      <c r="B299" s="3" t="s">
        <v>1225</v>
      </c>
      <c r="C299" s="2" t="s">
        <v>2326</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16</v>
      </c>
    </row>
    <row r="300" spans="1:6" x14ac:dyDescent="0.25">
      <c r="A300" s="3" t="s">
        <v>1064</v>
      </c>
      <c r="B300" s="3" t="s">
        <v>1063</v>
      </c>
      <c r="C300" s="2" t="s">
        <v>2327</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8</v>
      </c>
    </row>
    <row r="301" spans="1:6" x14ac:dyDescent="0.25">
      <c r="A301" s="3" t="s">
        <v>226</v>
      </c>
      <c r="B301" s="3" t="s">
        <v>347</v>
      </c>
      <c r="C301" s="2" t="s">
        <v>2328</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5</v>
      </c>
    </row>
    <row r="302" spans="1:6" x14ac:dyDescent="0.25">
      <c r="A302" s="3" t="s">
        <v>253</v>
      </c>
      <c r="B302" s="3" t="s">
        <v>348</v>
      </c>
      <c r="C302" s="2" t="s">
        <v>2329</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33</v>
      </c>
    </row>
    <row r="303" spans="1:6" x14ac:dyDescent="0.25">
      <c r="A303" s="3" t="s">
        <v>2828</v>
      </c>
      <c r="B303" s="3" t="s">
        <v>2838</v>
      </c>
      <c r="C303" s="15" t="s">
        <v>2856</v>
      </c>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26</v>
      </c>
    </row>
    <row r="304" spans="1:6" x14ac:dyDescent="0.25">
      <c r="A304" s="3" t="s">
        <v>1023</v>
      </c>
      <c r="B304" s="3" t="s">
        <v>1007</v>
      </c>
      <c r="C304" s="2" t="s">
        <v>2330</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8</v>
      </c>
    </row>
    <row r="305" spans="1:6" x14ac:dyDescent="0.25">
      <c r="A305" s="3" t="s">
        <v>194</v>
      </c>
      <c r="B305" s="3" t="s">
        <v>195</v>
      </c>
      <c r="C305" s="2" t="s">
        <v>2331</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10</v>
      </c>
    </row>
    <row r="306" spans="1:6" x14ac:dyDescent="0.25">
      <c r="A306" s="3" t="s">
        <v>74</v>
      </c>
      <c r="B306" s="3" t="s">
        <v>75</v>
      </c>
      <c r="C306" s="2" t="s">
        <v>2332</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5</v>
      </c>
    </row>
    <row r="307" spans="1:6" x14ac:dyDescent="0.25">
      <c r="A307" s="3" t="s">
        <v>479</v>
      </c>
      <c r="B307" s="3" t="s">
        <v>1096</v>
      </c>
      <c r="C307" s="2" t="s">
        <v>2333</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16</v>
      </c>
    </row>
    <row r="308" spans="1:6" x14ac:dyDescent="0.25">
      <c r="A308" s="3" t="s">
        <v>457</v>
      </c>
      <c r="B308" s="3" t="s">
        <v>495</v>
      </c>
      <c r="C308" s="2" t="s">
        <v>2334</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16</v>
      </c>
    </row>
    <row r="309" spans="1:6" ht="30" x14ac:dyDescent="0.25">
      <c r="A309" s="3" t="s">
        <v>1951</v>
      </c>
      <c r="B309" s="3" t="s">
        <v>1952</v>
      </c>
      <c r="C309" s="2" t="s">
        <v>2335</v>
      </c>
      <c r="D309" s="3" t="str">
        <f>IF(SIGN(IFERROR(SEARCH("\1",$A309),0))=SIGN(IFERROR(SEARCH("\1",B309),0)),".","!")&amp;
   IF(SIGN(IFERROR(SEARCH("\2",$A309),0))=SIGN(IFERROR(SEARCH("\2",B309),0)),".","!")&amp;
   IF(SIGN(IFERROR(SEARCH("\3",$A309),0))=SIGN(IFERROR(SEARCH("\3",B309),0)),".","!")</f>
        <v>...</v>
      </c>
      <c r="E309" s="3" t="str">
        <f>IF(SIGN(IFERROR(SEARCH("\1",$A309),0))=SIGN(IFERROR(SEARCH("\1",C309),0)),".","!")&amp;
   IF(SIGN(IFERROR(SEARCH("\2",$A309),0))=SIGN(IFERROR(SEARCH("\2",C309),0)),".","!")&amp;
   IF(SIGN(IFERROR(SEARCH("\3",$A309),0))=SIGN(IFERROR(SEARCH("\3",C309),0)),".","!")</f>
        <v>...</v>
      </c>
      <c r="F309" s="3">
        <f>LEN(A309)</f>
        <v>81</v>
      </c>
    </row>
    <row r="310" spans="1:6" x14ac:dyDescent="0.25">
      <c r="A310" s="3" t="s">
        <v>1781</v>
      </c>
      <c r="B310" s="3" t="s">
        <v>1784</v>
      </c>
      <c r="C310" s="2" t="s">
        <v>2336</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10</v>
      </c>
    </row>
    <row r="311" spans="1:6" x14ac:dyDescent="0.25">
      <c r="A311" s="3" t="s">
        <v>477</v>
      </c>
      <c r="B311" s="3" t="s">
        <v>496</v>
      </c>
      <c r="C311" s="2" t="s">
        <v>2337</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4</v>
      </c>
    </row>
    <row r="312" spans="1:6" x14ac:dyDescent="0.25">
      <c r="A312" s="3" t="s">
        <v>1022</v>
      </c>
      <c r="B312" s="3" t="s">
        <v>1022</v>
      </c>
      <c r="C312" s="2" t="s">
        <v>1022</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10</v>
      </c>
    </row>
    <row r="313" spans="1:6" x14ac:dyDescent="0.25">
      <c r="A313" s="3" t="s">
        <v>1019</v>
      </c>
      <c r="B313" s="3" t="s">
        <v>1019</v>
      </c>
      <c r="C313" s="2" t="s">
        <v>1019</v>
      </c>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10</v>
      </c>
    </row>
    <row r="314" spans="1:6" x14ac:dyDescent="0.25">
      <c r="A314" s="3" t="s">
        <v>1000</v>
      </c>
      <c r="B314" s="3" t="s">
        <v>1000</v>
      </c>
      <c r="C314" s="2" t="s">
        <v>1000</v>
      </c>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10</v>
      </c>
    </row>
    <row r="315" spans="1:6" x14ac:dyDescent="0.25">
      <c r="A315" s="3" t="s">
        <v>1785</v>
      </c>
      <c r="B315" s="3" t="s">
        <v>1785</v>
      </c>
      <c r="C315" s="2" t="s">
        <v>1785</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5</v>
      </c>
    </row>
    <row r="316" spans="1:6" ht="30" x14ac:dyDescent="0.25">
      <c r="A316" s="3" t="s">
        <v>288</v>
      </c>
      <c r="B316" s="3" t="s">
        <v>1079</v>
      </c>
      <c r="C316" s="2" t="s">
        <v>2338</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81</v>
      </c>
    </row>
    <row r="317" spans="1:6" ht="30" x14ac:dyDescent="0.25">
      <c r="A317" s="3" t="s">
        <v>289</v>
      </c>
      <c r="B317" s="3" t="s">
        <v>349</v>
      </c>
      <c r="C317" s="2" t="s">
        <v>2339</v>
      </c>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66</v>
      </c>
    </row>
    <row r="318" spans="1:6" ht="30" x14ac:dyDescent="0.25">
      <c r="A318" s="3" t="s">
        <v>233</v>
      </c>
      <c r="B318" s="3" t="s">
        <v>350</v>
      </c>
      <c r="C318" s="2" t="s">
        <v>2340</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34</v>
      </c>
    </row>
    <row r="319" spans="1:6" x14ac:dyDescent="0.25">
      <c r="A319" s="3" t="s">
        <v>1235</v>
      </c>
      <c r="B319" s="3" t="s">
        <v>1236</v>
      </c>
      <c r="C319" s="2" t="s">
        <v>2341</v>
      </c>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16</v>
      </c>
    </row>
    <row r="320" spans="1:6" x14ac:dyDescent="0.25">
      <c r="A320" s="3" t="s">
        <v>865</v>
      </c>
      <c r="B320" s="3" t="s">
        <v>1176</v>
      </c>
      <c r="C320" s="2" t="s">
        <v>1176</v>
      </c>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19</v>
      </c>
    </row>
    <row r="321" spans="1:6" ht="30" x14ac:dyDescent="0.25">
      <c r="A321" s="3" t="s">
        <v>522</v>
      </c>
      <c r="B321" s="3" t="s">
        <v>523</v>
      </c>
      <c r="C321" s="2" t="s">
        <v>2342</v>
      </c>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60</v>
      </c>
    </row>
    <row r="322" spans="1:6" x14ac:dyDescent="0.25">
      <c r="A322" s="3" t="s">
        <v>352</v>
      </c>
      <c r="B322" s="3" t="s">
        <v>351</v>
      </c>
      <c r="C322" s="2" t="s">
        <v>2343</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13</v>
      </c>
    </row>
    <row r="323" spans="1:6" x14ac:dyDescent="0.25">
      <c r="A323" s="3" t="s">
        <v>152</v>
      </c>
      <c r="B323" s="3" t="s">
        <v>152</v>
      </c>
      <c r="C323" s="2" t="s">
        <v>152</v>
      </c>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4</v>
      </c>
    </row>
    <row r="324" spans="1:6" x14ac:dyDescent="0.25">
      <c r="A324" s="3" t="s">
        <v>114</v>
      </c>
      <c r="B324" s="3" t="s">
        <v>132</v>
      </c>
      <c r="C324" s="2" t="s">
        <v>2344</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19</v>
      </c>
    </row>
    <row r="325" spans="1:6" x14ac:dyDescent="0.25">
      <c r="A325" s="3" t="s">
        <v>142</v>
      </c>
      <c r="B325" s="3" t="s">
        <v>164</v>
      </c>
      <c r="C325" s="2" t="s">
        <v>2345</v>
      </c>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15</v>
      </c>
    </row>
    <row r="326" spans="1:6" x14ac:dyDescent="0.25">
      <c r="A326" s="3" t="s">
        <v>249</v>
      </c>
      <c r="B326" s="3" t="s">
        <v>1071</v>
      </c>
      <c r="C326" s="2" t="s">
        <v>2346</v>
      </c>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55</v>
      </c>
    </row>
    <row r="327" spans="1:6" ht="30" x14ac:dyDescent="0.25">
      <c r="A327" s="3" t="s">
        <v>203</v>
      </c>
      <c r="B327" s="3" t="s">
        <v>1070</v>
      </c>
      <c r="C327" s="2" t="s">
        <v>2347</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39</v>
      </c>
    </row>
    <row r="328" spans="1:6" ht="30" x14ac:dyDescent="0.25">
      <c r="A328" s="3" t="s">
        <v>251</v>
      </c>
      <c r="B328" s="3" t="s">
        <v>353</v>
      </c>
      <c r="C328" s="2" t="s">
        <v>2348</v>
      </c>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30</v>
      </c>
    </row>
    <row r="329" spans="1:6" x14ac:dyDescent="0.25">
      <c r="A329" s="3" t="s">
        <v>189</v>
      </c>
      <c r="B329" s="3" t="s">
        <v>436</v>
      </c>
      <c r="C329" s="2" t="s">
        <v>2349</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14</v>
      </c>
    </row>
    <row r="330" spans="1:6" x14ac:dyDescent="0.25">
      <c r="A330" s="3" t="s">
        <v>140</v>
      </c>
      <c r="B330" s="3" t="s">
        <v>165</v>
      </c>
      <c r="C330" s="2" t="s">
        <v>2350</v>
      </c>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17</v>
      </c>
    </row>
    <row r="331" spans="1:6" x14ac:dyDescent="0.25">
      <c r="A331" s="3" t="s">
        <v>141</v>
      </c>
      <c r="B331" s="3" t="s">
        <v>977</v>
      </c>
      <c r="C331" s="2" t="s">
        <v>2351</v>
      </c>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13</v>
      </c>
    </row>
    <row r="332" spans="1:6" x14ac:dyDescent="0.25">
      <c r="A332" s="3" t="s">
        <v>1221</v>
      </c>
      <c r="B332" s="3" t="s">
        <v>1220</v>
      </c>
      <c r="C332" s="2" t="s">
        <v>2352</v>
      </c>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5</v>
      </c>
    </row>
    <row r="333" spans="1:6" x14ac:dyDescent="0.25">
      <c r="A333" s="3" t="s">
        <v>2065</v>
      </c>
      <c r="B333" s="3" t="s">
        <v>2066</v>
      </c>
      <c r="C333" s="3" t="s">
        <v>2704</v>
      </c>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21</v>
      </c>
    </row>
    <row r="334" spans="1:6" ht="30" x14ac:dyDescent="0.25">
      <c r="A334" s="3" t="s">
        <v>2845</v>
      </c>
      <c r="B334" s="3" t="s">
        <v>2846</v>
      </c>
      <c r="C334" s="15" t="s">
        <v>2857</v>
      </c>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47</v>
      </c>
    </row>
    <row r="335" spans="1:6" x14ac:dyDescent="0.25">
      <c r="A335" s="3" t="s">
        <v>1222</v>
      </c>
      <c r="B335" s="3" t="s">
        <v>1223</v>
      </c>
      <c r="C335" s="2" t="s">
        <v>2353</v>
      </c>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24</v>
      </c>
    </row>
    <row r="336" spans="1:6" x14ac:dyDescent="0.25">
      <c r="A336" s="3" t="s">
        <v>1419</v>
      </c>
      <c r="B336" s="3" t="s">
        <v>1420</v>
      </c>
      <c r="C336" s="2" t="s">
        <v>2354</v>
      </c>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25</v>
      </c>
    </row>
    <row r="337" spans="1:6" ht="90" x14ac:dyDescent="0.25">
      <c r="A337" s="3" t="s">
        <v>2849</v>
      </c>
      <c r="B337" s="3" t="s">
        <v>2850</v>
      </c>
      <c r="C337" s="15" t="s">
        <v>2858</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278</v>
      </c>
    </row>
    <row r="338" spans="1:6" x14ac:dyDescent="0.25">
      <c r="A338" s="3" t="s">
        <v>1364</v>
      </c>
      <c r="B338" s="3" t="s">
        <v>1363</v>
      </c>
      <c r="C338" s="2" t="s">
        <v>2355</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25</v>
      </c>
    </row>
    <row r="339" spans="1:6" x14ac:dyDescent="0.25">
      <c r="A339" s="3" t="s">
        <v>1037</v>
      </c>
      <c r="B339" s="3" t="s">
        <v>1003</v>
      </c>
      <c r="C339" s="2" t="s">
        <v>2356</v>
      </c>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5</v>
      </c>
    </row>
    <row r="340" spans="1:6" ht="30" x14ac:dyDescent="0.25">
      <c r="A340" s="3" t="s">
        <v>1703</v>
      </c>
      <c r="B340" s="3" t="s">
        <v>1704</v>
      </c>
      <c r="C340" s="2" t="s">
        <v>2357</v>
      </c>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64</v>
      </c>
    </row>
    <row r="341" spans="1:6" x14ac:dyDescent="0.25">
      <c r="A341" s="3" t="s">
        <v>979</v>
      </c>
      <c r="B341" s="3" t="s">
        <v>978</v>
      </c>
      <c r="C341" s="2" t="s">
        <v>2358</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48</v>
      </c>
    </row>
    <row r="342" spans="1:6" x14ac:dyDescent="0.25">
      <c r="A342" s="3" t="s">
        <v>2825</v>
      </c>
      <c r="B342" s="3" t="s">
        <v>2825</v>
      </c>
      <c r="C342" s="3" t="s">
        <v>2825</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6</v>
      </c>
    </row>
    <row r="343" spans="1:6" x14ac:dyDescent="0.25">
      <c r="A343" s="3" t="s">
        <v>116</v>
      </c>
      <c r="B343" s="3" t="s">
        <v>130</v>
      </c>
      <c r="C343" s="2" t="s">
        <v>2359</v>
      </c>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9</v>
      </c>
    </row>
    <row r="344" spans="1:6" x14ac:dyDescent="0.25">
      <c r="A344" s="3" t="s">
        <v>278</v>
      </c>
      <c r="B344" s="3" t="s">
        <v>354</v>
      </c>
      <c r="C344" s="2" t="s">
        <v>2360</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22</v>
      </c>
    </row>
    <row r="345" spans="1:6" x14ac:dyDescent="0.25">
      <c r="A345" s="3" t="s">
        <v>1868</v>
      </c>
      <c r="B345" s="3" t="s">
        <v>1869</v>
      </c>
      <c r="C345" s="2" t="s">
        <v>2361</v>
      </c>
      <c r="D345" s="3" t="str">
        <f>IF(SIGN(IFERROR(SEARCH("\1",$A345),0))=SIGN(IFERROR(SEARCH("\1",B345),0)),".","!")&amp;
   IF(SIGN(IFERROR(SEARCH("\2",$A345),0))=SIGN(IFERROR(SEARCH("\2",B345),0)),".","!")&amp;
   IF(SIGN(IFERROR(SEARCH("\3",$A345),0))=SIGN(IFERROR(SEARCH("\3",B345),0)),".","!")</f>
        <v>...</v>
      </c>
      <c r="E345" s="3" t="str">
        <f>IF(SIGN(IFERROR(SEARCH("\1",$A345),0))=SIGN(IFERROR(SEARCH("\1",C345),0)),".","!")&amp;
   IF(SIGN(IFERROR(SEARCH("\2",$A345),0))=SIGN(IFERROR(SEARCH("\2",C345),0)),".","!")&amp;
   IF(SIGN(IFERROR(SEARCH("\3",$A345),0))=SIGN(IFERROR(SEARCH("\3",C345),0)),".","!")</f>
        <v>...</v>
      </c>
      <c r="F345" s="3">
        <f>LEN(A345)</f>
        <v>31</v>
      </c>
    </row>
    <row r="346" spans="1:6" x14ac:dyDescent="0.25">
      <c r="A346" s="3" t="s">
        <v>1216</v>
      </c>
      <c r="B346" s="3" t="s">
        <v>1217</v>
      </c>
      <c r="C346" s="2" t="s">
        <v>1217</v>
      </c>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7</v>
      </c>
    </row>
    <row r="347" spans="1:6" x14ac:dyDescent="0.25">
      <c r="A347" s="3" t="s">
        <v>566</v>
      </c>
      <c r="B347" s="3" t="s">
        <v>567</v>
      </c>
      <c r="C347" s="2" t="s">
        <v>567</v>
      </c>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11</v>
      </c>
    </row>
    <row r="348" spans="1:6" x14ac:dyDescent="0.25">
      <c r="A348" s="3" t="s">
        <v>1942</v>
      </c>
      <c r="B348" s="3" t="s">
        <v>1943</v>
      </c>
      <c r="C348" s="2" t="s">
        <v>2362</v>
      </c>
      <c r="D348" s="3" t="str">
        <f>IF(SIGN(IFERROR(SEARCH("\1",$A348),0))=SIGN(IFERROR(SEARCH("\1",B348),0)),".","!")&amp;
   IF(SIGN(IFERROR(SEARCH("\2",$A348),0))=SIGN(IFERROR(SEARCH("\2",B348),0)),".","!")&amp;
   IF(SIGN(IFERROR(SEARCH("\3",$A348),0))=SIGN(IFERROR(SEARCH("\3",B348),0)),".","!")</f>
        <v>...</v>
      </c>
      <c r="E348" s="3" t="str">
        <f>IF(SIGN(IFERROR(SEARCH("\1",$A348),0))=SIGN(IFERROR(SEARCH("\1",C348),0)),".","!")&amp;
   IF(SIGN(IFERROR(SEARCH("\2",$A348),0))=SIGN(IFERROR(SEARCH("\2",C348),0)),".","!")&amp;
   IF(SIGN(IFERROR(SEARCH("\3",$A348),0))=SIGN(IFERROR(SEARCH("\3",C348),0)),".","!")</f>
        <v>...</v>
      </c>
      <c r="F348" s="3">
        <f>LEN(A348)</f>
        <v>18</v>
      </c>
    </row>
    <row r="349" spans="1:6" x14ac:dyDescent="0.25">
      <c r="A349" s="3" t="s">
        <v>236</v>
      </c>
      <c r="B349" s="3" t="s">
        <v>355</v>
      </c>
      <c r="C349" s="2" t="s">
        <v>2363</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8</v>
      </c>
    </row>
    <row r="350" spans="1:6" x14ac:dyDescent="0.25">
      <c r="A350" s="3" t="s">
        <v>2732</v>
      </c>
      <c r="B350" s="3" t="s">
        <v>2733</v>
      </c>
      <c r="C350" s="3" t="s">
        <v>2736</v>
      </c>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38</v>
      </c>
    </row>
    <row r="351" spans="1:6" x14ac:dyDescent="0.25">
      <c r="A351" s="3" t="s">
        <v>1603</v>
      </c>
      <c r="B351" s="3" t="s">
        <v>1613</v>
      </c>
      <c r="C351" s="2" t="s">
        <v>2364</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17</v>
      </c>
    </row>
    <row r="352" spans="1:6" x14ac:dyDescent="0.25">
      <c r="A352" s="3" t="s">
        <v>1602</v>
      </c>
      <c r="B352" s="3" t="s">
        <v>1612</v>
      </c>
      <c r="C352" s="2" t="s">
        <v>2365</v>
      </c>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24</v>
      </c>
    </row>
    <row r="353" spans="1:6" x14ac:dyDescent="0.25">
      <c r="A353" s="3" t="s">
        <v>136</v>
      </c>
      <c r="B353" s="3" t="s">
        <v>166</v>
      </c>
      <c r="C353" s="2" t="s">
        <v>2366</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8</v>
      </c>
    </row>
    <row r="354" spans="1:6" x14ac:dyDescent="0.25">
      <c r="A354" s="3" t="s">
        <v>119</v>
      </c>
      <c r="B354" s="3" t="s">
        <v>167</v>
      </c>
      <c r="C354" s="2" t="s">
        <v>2367</v>
      </c>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16</v>
      </c>
    </row>
    <row r="355" spans="1:6" x14ac:dyDescent="0.25">
      <c r="A355" s="3" t="s">
        <v>76</v>
      </c>
      <c r="B355" s="3" t="s">
        <v>437</v>
      </c>
      <c r="C355" s="2" t="s">
        <v>2368</v>
      </c>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23</v>
      </c>
    </row>
    <row r="356" spans="1:6" x14ac:dyDescent="0.25">
      <c r="A356" s="3" t="s">
        <v>277</v>
      </c>
      <c r="B356" s="3" t="s">
        <v>385</v>
      </c>
      <c r="C356" s="2" t="s">
        <v>2369</v>
      </c>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29</v>
      </c>
    </row>
    <row r="357" spans="1:6" x14ac:dyDescent="0.25">
      <c r="A357" s="3" t="s">
        <v>2830</v>
      </c>
      <c r="B357" s="3" t="s">
        <v>2840</v>
      </c>
      <c r="C357" s="15" t="s">
        <v>2859</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4</v>
      </c>
    </row>
    <row r="358" spans="1:6" x14ac:dyDescent="0.25">
      <c r="A358" s="3" t="s">
        <v>2832</v>
      </c>
      <c r="B358" s="3" t="s">
        <v>2842</v>
      </c>
      <c r="C358" s="15" t="s">
        <v>2860</v>
      </c>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9</v>
      </c>
    </row>
    <row r="359" spans="1:6" x14ac:dyDescent="0.25">
      <c r="A359" s="3" t="s">
        <v>173</v>
      </c>
      <c r="B359" s="3" t="s">
        <v>177</v>
      </c>
      <c r="C359" s="2" t="s">
        <v>2370</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10</v>
      </c>
    </row>
    <row r="360" spans="1:6" x14ac:dyDescent="0.25">
      <c r="A360" s="3" t="s">
        <v>265</v>
      </c>
      <c r="B360" s="3" t="s">
        <v>356</v>
      </c>
      <c r="C360" s="2" t="s">
        <v>2371</v>
      </c>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5</v>
      </c>
    </row>
    <row r="361" spans="1:6" x14ac:dyDescent="0.25">
      <c r="A361" s="3" t="s">
        <v>2824</v>
      </c>
      <c r="B361" s="3" t="s">
        <v>2836</v>
      </c>
      <c r="C361" s="15" t="s">
        <v>2861</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15</v>
      </c>
    </row>
    <row r="362" spans="1:6" ht="30" x14ac:dyDescent="0.25">
      <c r="A362" s="3" t="s">
        <v>260</v>
      </c>
      <c r="B362" s="3" t="s">
        <v>980</v>
      </c>
      <c r="C362" s="2" t="s">
        <v>980</v>
      </c>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92</v>
      </c>
    </row>
    <row r="363" spans="1:6" x14ac:dyDescent="0.25">
      <c r="A363" s="3" t="s">
        <v>1193</v>
      </c>
      <c r="B363" s="3" t="s">
        <v>1195</v>
      </c>
      <c r="C363" s="2" t="s">
        <v>2372</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8</v>
      </c>
    </row>
    <row r="364" spans="1:6" x14ac:dyDescent="0.25">
      <c r="A364" s="3" t="s">
        <v>77</v>
      </c>
      <c r="B364" s="3" t="s">
        <v>1080</v>
      </c>
      <c r="C364" s="2" t="s">
        <v>2373</v>
      </c>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17</v>
      </c>
    </row>
    <row r="365" spans="1:6" x14ac:dyDescent="0.25">
      <c r="A365" s="3" t="s">
        <v>358</v>
      </c>
      <c r="B365" s="3" t="s">
        <v>357</v>
      </c>
      <c r="C365" s="2" t="s">
        <v>2374</v>
      </c>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14</v>
      </c>
    </row>
    <row r="366" spans="1:6" x14ac:dyDescent="0.25">
      <c r="A366" s="3" t="s">
        <v>225</v>
      </c>
      <c r="B366" s="3" t="s">
        <v>359</v>
      </c>
      <c r="C366" s="2" t="s">
        <v>2375</v>
      </c>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9</v>
      </c>
    </row>
    <row r="367" spans="1:6" x14ac:dyDescent="0.25">
      <c r="A367" s="3" t="s">
        <v>303</v>
      </c>
      <c r="B367" s="3" t="s">
        <v>360</v>
      </c>
      <c r="C367" s="2" t="s">
        <v>303</v>
      </c>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5</v>
      </c>
    </row>
    <row r="368" spans="1:6" x14ac:dyDescent="0.25">
      <c r="A368" s="3" t="s">
        <v>1140</v>
      </c>
      <c r="B368" s="3" t="s">
        <v>1141</v>
      </c>
      <c r="C368" s="2" t="s">
        <v>2376</v>
      </c>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16</v>
      </c>
    </row>
    <row r="369" spans="1:6" x14ac:dyDescent="0.25">
      <c r="A369" s="3" t="s">
        <v>1608</v>
      </c>
      <c r="B369" s="3" t="s">
        <v>1618</v>
      </c>
      <c r="C369" s="2" t="s">
        <v>2377</v>
      </c>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26</v>
      </c>
    </row>
    <row r="370" spans="1:6" x14ac:dyDescent="0.25">
      <c r="A370" s="3" t="s">
        <v>240</v>
      </c>
      <c r="B370" s="3" t="s">
        <v>361</v>
      </c>
      <c r="C370" s="2" t="s">
        <v>2378</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32</v>
      </c>
    </row>
    <row r="371" spans="1:6" x14ac:dyDescent="0.25">
      <c r="A371" s="3" t="s">
        <v>1975</v>
      </c>
      <c r="B371" s="3" t="s">
        <v>1976</v>
      </c>
      <c r="C371" s="2" t="s">
        <v>2379</v>
      </c>
      <c r="D371" s="3" t="str">
        <f>IF(SIGN(IFERROR(SEARCH("\1",$A371),0))=SIGN(IFERROR(SEARCH("\1",B371),0)),".","!")&amp;
   IF(SIGN(IFERROR(SEARCH("\2",$A371),0))=SIGN(IFERROR(SEARCH("\2",B371),0)),".","!")&amp;
   IF(SIGN(IFERROR(SEARCH("\3",$A371),0))=SIGN(IFERROR(SEARCH("\3",B371),0)),".","!")</f>
        <v>...</v>
      </c>
      <c r="E371" s="3" t="str">
        <f>IF(SIGN(IFERROR(SEARCH("\1",$A371),0))=SIGN(IFERROR(SEARCH("\1",C371),0)),".","!")&amp;
   IF(SIGN(IFERROR(SEARCH("\2",$A371),0))=SIGN(IFERROR(SEARCH("\2",C371),0)),".","!")&amp;
   IF(SIGN(IFERROR(SEARCH("\3",$A371),0))=SIGN(IFERROR(SEARCH("\3",C371),0)),".","!")</f>
        <v>...</v>
      </c>
      <c r="F371" s="3">
        <f>LEN(A371)</f>
        <v>29</v>
      </c>
    </row>
    <row r="372" spans="1:6" x14ac:dyDescent="0.25">
      <c r="A372" s="3" t="s">
        <v>298</v>
      </c>
      <c r="B372" s="3" t="s">
        <v>362</v>
      </c>
      <c r="C372" s="2" t="s">
        <v>2380</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52</v>
      </c>
    </row>
    <row r="373" spans="1:6" x14ac:dyDescent="0.25">
      <c r="A373" s="3" t="s">
        <v>296</v>
      </c>
      <c r="B373" s="3" t="s">
        <v>363</v>
      </c>
      <c r="C373" t="s">
        <v>2557</v>
      </c>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63</v>
      </c>
    </row>
    <row r="374" spans="1:6" x14ac:dyDescent="0.25">
      <c r="A374" s="3" t="s">
        <v>572</v>
      </c>
      <c r="B374" s="3" t="s">
        <v>573</v>
      </c>
      <c r="C374" s="3" t="s">
        <v>2381</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33</v>
      </c>
    </row>
    <row r="375" spans="1:6" x14ac:dyDescent="0.25">
      <c r="A375" s="3" t="s">
        <v>235</v>
      </c>
      <c r="B375" s="3" t="s">
        <v>364</v>
      </c>
      <c r="C375" s="2" t="s">
        <v>2382</v>
      </c>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7</v>
      </c>
    </row>
    <row r="376" spans="1:6" x14ac:dyDescent="0.25">
      <c r="A376" s="3" t="s">
        <v>1730</v>
      </c>
      <c r="B376" s="3" t="s">
        <v>1736</v>
      </c>
      <c r="C376" s="2" t="s">
        <v>2383</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16</v>
      </c>
    </row>
    <row r="377" spans="1:6" x14ac:dyDescent="0.25">
      <c r="A377" s="3" t="s">
        <v>1291</v>
      </c>
      <c r="B377" s="3" t="s">
        <v>1292</v>
      </c>
      <c r="C377" s="2" t="s">
        <v>2384</v>
      </c>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40</v>
      </c>
    </row>
    <row r="378" spans="1:6" ht="30" x14ac:dyDescent="0.25">
      <c r="A378" s="3" t="s">
        <v>1289</v>
      </c>
      <c r="B378" s="3" t="s">
        <v>1290</v>
      </c>
      <c r="C378" s="2" t="s">
        <v>2385</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49</v>
      </c>
    </row>
    <row r="379" spans="1:6" x14ac:dyDescent="0.25">
      <c r="A379" s="3" t="s">
        <v>1600</v>
      </c>
      <c r="B379" s="3" t="s">
        <v>1925</v>
      </c>
      <c r="C379" s="2" t="s">
        <v>2386</v>
      </c>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48</v>
      </c>
    </row>
    <row r="380" spans="1:6" ht="30" x14ac:dyDescent="0.25">
      <c r="A380" s="3" t="s">
        <v>1823</v>
      </c>
      <c r="B380" s="3" t="s">
        <v>1926</v>
      </c>
      <c r="C380" s="2" t="s">
        <v>2387</v>
      </c>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68</v>
      </c>
    </row>
    <row r="381" spans="1:6" x14ac:dyDescent="0.25">
      <c r="A381" s="3" t="s">
        <v>206</v>
      </c>
      <c r="B381" s="3" t="s">
        <v>981</v>
      </c>
      <c r="C381" s="2" t="s">
        <v>981</v>
      </c>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38</v>
      </c>
    </row>
    <row r="382" spans="1:6" x14ac:dyDescent="0.25">
      <c r="A382" s="3" t="s">
        <v>454</v>
      </c>
      <c r="B382" s="3" t="s">
        <v>455</v>
      </c>
      <c r="C382" s="2" t="s">
        <v>2388</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19</v>
      </c>
    </row>
    <row r="383" spans="1:6" x14ac:dyDescent="0.25">
      <c r="A383" s="3" t="s">
        <v>209</v>
      </c>
      <c r="B383" s="3" t="s">
        <v>365</v>
      </c>
      <c r="C383" s="2" t="s">
        <v>2389</v>
      </c>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14</v>
      </c>
    </row>
    <row r="384" spans="1:6" x14ac:dyDescent="0.25">
      <c r="A384" s="3" t="s">
        <v>2763</v>
      </c>
      <c r="B384" s="3" t="s">
        <v>2764</v>
      </c>
      <c r="C384" s="15" t="s">
        <v>2862</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49</v>
      </c>
    </row>
    <row r="385" spans="1:6" ht="30" x14ac:dyDescent="0.25">
      <c r="A385" s="3" t="s">
        <v>2761</v>
      </c>
      <c r="B385" s="3" t="s">
        <v>2762</v>
      </c>
      <c r="C385" s="15" t="s">
        <v>2863</v>
      </c>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74</v>
      </c>
    </row>
    <row r="386" spans="1:6" x14ac:dyDescent="0.25">
      <c r="A386" s="3" t="s">
        <v>2823</v>
      </c>
      <c r="B386" s="3" t="s">
        <v>2835</v>
      </c>
      <c r="C386" t="s">
        <v>2864</v>
      </c>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27</v>
      </c>
    </row>
    <row r="387" spans="1:6" x14ac:dyDescent="0.25">
      <c r="A387" s="3" t="s">
        <v>1017</v>
      </c>
      <c r="B387" s="3" t="s">
        <v>1018</v>
      </c>
      <c r="C387" s="2" t="s">
        <v>2390</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10</v>
      </c>
    </row>
    <row r="388" spans="1:6" ht="30" x14ac:dyDescent="0.25">
      <c r="A388" s="3" t="s">
        <v>282</v>
      </c>
      <c r="B388" s="3" t="s">
        <v>366</v>
      </c>
      <c r="C388" s="2" t="s">
        <v>2391</v>
      </c>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67</v>
      </c>
    </row>
    <row r="389" spans="1:6" ht="30" x14ac:dyDescent="0.25">
      <c r="A389" s="3" t="s">
        <v>287</v>
      </c>
      <c r="B389" s="3" t="s">
        <v>1081</v>
      </c>
      <c r="C389" s="2" t="s">
        <v>2392</v>
      </c>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66</v>
      </c>
    </row>
    <row r="390" spans="1:6" ht="30" x14ac:dyDescent="0.25">
      <c r="A390" s="3" t="s">
        <v>281</v>
      </c>
      <c r="B390" s="3" t="s">
        <v>367</v>
      </c>
      <c r="C390" s="2" t="s">
        <v>2393</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65</v>
      </c>
    </row>
    <row r="391" spans="1:6" ht="30" x14ac:dyDescent="0.25">
      <c r="A391" s="3" t="s">
        <v>279</v>
      </c>
      <c r="B391" s="3" t="s">
        <v>368</v>
      </c>
      <c r="C391" s="2" t="s">
        <v>2394</v>
      </c>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68</v>
      </c>
    </row>
    <row r="392" spans="1:6" ht="30" x14ac:dyDescent="0.25">
      <c r="A392" s="3" t="s">
        <v>1293</v>
      </c>
      <c r="B392" s="3" t="s">
        <v>1294</v>
      </c>
      <c r="C392" s="2" t="s">
        <v>2395</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74</v>
      </c>
    </row>
    <row r="393" spans="1:6" ht="30" x14ac:dyDescent="0.25">
      <c r="A393" s="3" t="s">
        <v>283</v>
      </c>
      <c r="B393" s="3" t="s">
        <v>369</v>
      </c>
      <c r="C393" s="2" t="s">
        <v>2396</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65</v>
      </c>
    </row>
    <row r="394" spans="1:6" x14ac:dyDescent="0.25">
      <c r="A394" s="3" t="s">
        <v>1546</v>
      </c>
      <c r="B394" s="3" t="s">
        <v>1547</v>
      </c>
      <c r="C394" s="2" t="s">
        <v>2397</v>
      </c>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12</v>
      </c>
    </row>
    <row r="395" spans="1:6" x14ac:dyDescent="0.25">
      <c r="A395" s="3" t="s">
        <v>471</v>
      </c>
      <c r="B395" s="3" t="s">
        <v>497</v>
      </c>
      <c r="C395" s="2" t="s">
        <v>2398</v>
      </c>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16</v>
      </c>
    </row>
    <row r="396" spans="1:6" x14ac:dyDescent="0.25">
      <c r="A396" s="3" t="s">
        <v>78</v>
      </c>
      <c r="B396" s="3" t="s">
        <v>1098</v>
      </c>
      <c r="C396" s="2" t="s">
        <v>2399</v>
      </c>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24</v>
      </c>
    </row>
    <row r="397" spans="1:6" x14ac:dyDescent="0.25">
      <c r="A397" s="3" t="s">
        <v>564</v>
      </c>
      <c r="B397" s="3" t="s">
        <v>565</v>
      </c>
      <c r="C397" s="2" t="s">
        <v>565</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4</v>
      </c>
    </row>
    <row r="398" spans="1:6" x14ac:dyDescent="0.25">
      <c r="A398" s="3" t="s">
        <v>520</v>
      </c>
      <c r="B398" s="3" t="s">
        <v>521</v>
      </c>
      <c r="C398" s="2" t="s">
        <v>2400</v>
      </c>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16</v>
      </c>
    </row>
    <row r="399" spans="1:6" ht="30" x14ac:dyDescent="0.25">
      <c r="A399" s="3" t="s">
        <v>1239</v>
      </c>
      <c r="B399" s="3" t="s">
        <v>1240</v>
      </c>
      <c r="C399" s="2" t="s">
        <v>2401</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50</v>
      </c>
    </row>
    <row r="400" spans="1:6" x14ac:dyDescent="0.25">
      <c r="A400" s="3" t="s">
        <v>1786</v>
      </c>
      <c r="B400" s="3" t="s">
        <v>1787</v>
      </c>
      <c r="C400" s="2" t="s">
        <v>2402</v>
      </c>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12</v>
      </c>
    </row>
    <row r="401" spans="1:6" x14ac:dyDescent="0.25">
      <c r="A401" s="3" t="s">
        <v>1351</v>
      </c>
      <c r="B401" s="3" t="s">
        <v>1352</v>
      </c>
      <c r="C401" s="2" t="s">
        <v>2403</v>
      </c>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10</v>
      </c>
    </row>
    <row r="402" spans="1:6" x14ac:dyDescent="0.25">
      <c r="A402" s="3" t="s">
        <v>239</v>
      </c>
      <c r="B402" s="3" t="s">
        <v>372</v>
      </c>
      <c r="C402" s="2" t="s">
        <v>2404</v>
      </c>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12</v>
      </c>
    </row>
    <row r="403" spans="1:6" x14ac:dyDescent="0.25">
      <c r="A403" s="3" t="s">
        <v>238</v>
      </c>
      <c r="B403" s="3" t="s">
        <v>373</v>
      </c>
      <c r="C403" s="2" t="s">
        <v>2405</v>
      </c>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12</v>
      </c>
    </row>
    <row r="404" spans="1:6" x14ac:dyDescent="0.25">
      <c r="A404" s="3" t="s">
        <v>250</v>
      </c>
      <c r="B404" s="3" t="s">
        <v>371</v>
      </c>
      <c r="C404" s="2" t="s">
        <v>2406</v>
      </c>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20</v>
      </c>
    </row>
    <row r="405" spans="1:6" x14ac:dyDescent="0.25">
      <c r="A405" s="3" t="s">
        <v>2826</v>
      </c>
      <c r="B405" s="3" t="s">
        <v>2826</v>
      </c>
      <c r="C405" s="3" t="s">
        <v>2826</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7</v>
      </c>
    </row>
    <row r="406" spans="1:6" x14ac:dyDescent="0.25">
      <c r="A406" s="3" t="s">
        <v>304</v>
      </c>
      <c r="B406" s="3" t="s">
        <v>438</v>
      </c>
      <c r="C406" s="2" t="s">
        <v>2718</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15</v>
      </c>
    </row>
    <row r="407" spans="1:6" x14ac:dyDescent="0.25">
      <c r="A407" s="3" t="s">
        <v>212</v>
      </c>
      <c r="B407" s="3" t="s">
        <v>370</v>
      </c>
      <c r="C407" s="2" t="s">
        <v>370</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7</v>
      </c>
    </row>
    <row r="408" spans="1:6" ht="30" x14ac:dyDescent="0.25">
      <c r="A408" s="3" t="s">
        <v>2726</v>
      </c>
      <c r="B408" s="3" t="s">
        <v>2727</v>
      </c>
      <c r="C408" s="3" t="s">
        <v>2737</v>
      </c>
      <c r="D408" s="3" t="str">
        <f>IF(SIGN(IFERROR(SEARCH("\1",$A408),0))=SIGN(IFERROR(SEARCH("\1",B408),0)),".","!")&amp;
   IF(SIGN(IFERROR(SEARCH("\2",$A408),0))=SIGN(IFERROR(SEARCH("\2",B408),0)),".","!")&amp;
   IF(SIGN(IFERROR(SEARCH("\3",$A408),0))=SIGN(IFERROR(SEARCH("\3",B408),0)),".","!")</f>
        <v>...</v>
      </c>
      <c r="F408" s="3">
        <f>LEN(A408)</f>
        <v>65</v>
      </c>
    </row>
    <row r="409" spans="1:6" x14ac:dyDescent="0.25">
      <c r="A409" s="3" t="s">
        <v>1053</v>
      </c>
      <c r="B409" s="3" t="s">
        <v>1056</v>
      </c>
      <c r="C409" s="2" t="s">
        <v>2407</v>
      </c>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9</v>
      </c>
    </row>
    <row r="410" spans="1:6" x14ac:dyDescent="0.25">
      <c r="A410" s="3" t="s">
        <v>190</v>
      </c>
      <c r="B410" s="3" t="s">
        <v>191</v>
      </c>
      <c r="C410" s="2" t="s">
        <v>2408</v>
      </c>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6</v>
      </c>
    </row>
    <row r="411" spans="1:6" x14ac:dyDescent="0.25">
      <c r="A411" s="3" t="s">
        <v>247</v>
      </c>
      <c r="B411" s="3" t="s">
        <v>386</v>
      </c>
      <c r="C411" s="2" t="s">
        <v>2409</v>
      </c>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9</v>
      </c>
    </row>
    <row r="412" spans="1:6" x14ac:dyDescent="0.25">
      <c r="A412" s="3" t="s">
        <v>246</v>
      </c>
      <c r="B412" s="3" t="s">
        <v>387</v>
      </c>
      <c r="C412" s="2" t="s">
        <v>2410</v>
      </c>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10</v>
      </c>
    </row>
    <row r="413" spans="1:6" x14ac:dyDescent="0.25">
      <c r="A413" s="3" t="s">
        <v>1967</v>
      </c>
      <c r="B413" s="3" t="s">
        <v>1968</v>
      </c>
      <c r="C413" s="2" t="s">
        <v>2411</v>
      </c>
      <c r="D413" s="3" t="str">
        <f>IF(SIGN(IFERROR(SEARCH("\1",$A413),0))=SIGN(IFERROR(SEARCH("\1",B413),0)),".","!")&amp;
   IF(SIGN(IFERROR(SEARCH("\2",$A413),0))=SIGN(IFERROR(SEARCH("\2",B413),0)),".","!")&amp;
   IF(SIGN(IFERROR(SEARCH("\3",$A413),0))=SIGN(IFERROR(SEARCH("\3",B413),0)),".","!")</f>
        <v>...</v>
      </c>
      <c r="E413" s="3" t="str">
        <f>IF(SIGN(IFERROR(SEARCH("\1",$A413),0))=SIGN(IFERROR(SEARCH("\1",C413),0)),".","!")&amp;
   IF(SIGN(IFERROR(SEARCH("\2",$A413),0))=SIGN(IFERROR(SEARCH("\2",C413),0)),".","!")&amp;
   IF(SIGN(IFERROR(SEARCH("\3",$A413),0))=SIGN(IFERROR(SEARCH("\3",C413),0)),".","!")</f>
        <v>...</v>
      </c>
      <c r="F413" s="3">
        <f>LEN(A413)</f>
        <v>7</v>
      </c>
    </row>
    <row r="414" spans="1:6" x14ac:dyDescent="0.25">
      <c r="A414" s="3" t="s">
        <v>388</v>
      </c>
      <c r="B414" s="3" t="s">
        <v>439</v>
      </c>
      <c r="C414" s="2" t="s">
        <v>2412</v>
      </c>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15</v>
      </c>
    </row>
    <row r="415" spans="1:6" x14ac:dyDescent="0.25">
      <c r="A415" s="3" t="s">
        <v>244</v>
      </c>
      <c r="B415" s="3" t="s">
        <v>244</v>
      </c>
      <c r="C415" s="2" t="s">
        <v>2413</v>
      </c>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4</v>
      </c>
    </row>
    <row r="416" spans="1:6" x14ac:dyDescent="0.25">
      <c r="A416" s="3" t="s">
        <v>1977</v>
      </c>
      <c r="B416" s="3" t="s">
        <v>1978</v>
      </c>
      <c r="C416" s="2" t="s">
        <v>2414</v>
      </c>
      <c r="D416" s="3" t="str">
        <f>IF(SIGN(IFERROR(SEARCH("\1",$A416),0))=SIGN(IFERROR(SEARCH("\1",B416),0)),".","!")&amp;
   IF(SIGN(IFERROR(SEARCH("\2",$A416),0))=SIGN(IFERROR(SEARCH("\2",B416),0)),".","!")&amp;
   IF(SIGN(IFERROR(SEARCH("\3",$A416),0))=SIGN(IFERROR(SEARCH("\3",B416),0)),".","!")</f>
        <v>...</v>
      </c>
      <c r="E416" s="3" t="str">
        <f>IF(SIGN(IFERROR(SEARCH("\1",$A416),0))=SIGN(IFERROR(SEARCH("\1",C416),0)),".","!")&amp;
   IF(SIGN(IFERROR(SEARCH("\2",$A416),0))=SIGN(IFERROR(SEARCH("\2",C416),0)),".","!")&amp;
   IF(SIGN(IFERROR(SEARCH("\3",$A416),0))=SIGN(IFERROR(SEARCH("\3",C416),0)),".","!")</f>
        <v>...</v>
      </c>
      <c r="F416" s="3">
        <f>LEN(A416)</f>
        <v>14</v>
      </c>
    </row>
    <row r="417" spans="1:6" x14ac:dyDescent="0.25">
      <c r="A417" s="3" t="s">
        <v>205</v>
      </c>
      <c r="B417" s="3" t="s">
        <v>389</v>
      </c>
      <c r="C417" s="2" t="s">
        <v>2415</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25</v>
      </c>
    </row>
    <row r="418" spans="1:6" x14ac:dyDescent="0.25">
      <c r="A418" s="3" t="s">
        <v>285</v>
      </c>
      <c r="B418" s="3" t="s">
        <v>390</v>
      </c>
      <c r="C418" s="2" t="s">
        <v>2416</v>
      </c>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36</v>
      </c>
    </row>
    <row r="419" spans="1:6" x14ac:dyDescent="0.25">
      <c r="A419" s="3" t="s">
        <v>245</v>
      </c>
      <c r="B419" s="3" t="s">
        <v>391</v>
      </c>
      <c r="C419" s="2" t="s">
        <v>2417</v>
      </c>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3</v>
      </c>
    </row>
    <row r="420" spans="1:6" x14ac:dyDescent="0.25">
      <c r="A420" s="3" t="s">
        <v>1322</v>
      </c>
      <c r="B420" s="3" t="s">
        <v>1323</v>
      </c>
      <c r="C420" s="2" t="s">
        <v>2418</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10</v>
      </c>
    </row>
    <row r="421" spans="1:6" x14ac:dyDescent="0.25">
      <c r="A421" s="3" t="s">
        <v>1320</v>
      </c>
      <c r="B421" s="3" t="s">
        <v>1321</v>
      </c>
      <c r="C421" s="2" t="s">
        <v>2419</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30</v>
      </c>
    </row>
    <row r="422" spans="1:6" x14ac:dyDescent="0.25">
      <c r="A422" s="3" t="s">
        <v>1040</v>
      </c>
      <c r="B422" s="3" t="s">
        <v>1047</v>
      </c>
      <c r="C422" s="2" t="s">
        <v>2420</v>
      </c>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28</v>
      </c>
    </row>
    <row r="423" spans="1:6" ht="30" x14ac:dyDescent="0.25">
      <c r="A423" s="3" t="s">
        <v>1044</v>
      </c>
      <c r="B423" s="3" t="s">
        <v>1050</v>
      </c>
      <c r="C423" s="2" t="s">
        <v>2421</v>
      </c>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39</v>
      </c>
    </row>
    <row r="424" spans="1:6" ht="30" x14ac:dyDescent="0.25">
      <c r="A424" s="3" t="s">
        <v>1043</v>
      </c>
      <c r="B424" s="3" t="s">
        <v>1051</v>
      </c>
      <c r="C424" s="2" t="s">
        <v>2422</v>
      </c>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40</v>
      </c>
    </row>
    <row r="425" spans="1:6" x14ac:dyDescent="0.25">
      <c r="A425" s="3" t="s">
        <v>2827</v>
      </c>
      <c r="B425" s="3" t="s">
        <v>2837</v>
      </c>
      <c r="C425" t="s">
        <v>2865</v>
      </c>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31</v>
      </c>
    </row>
    <row r="426" spans="1:6" x14ac:dyDescent="0.25">
      <c r="A426" s="3" t="s">
        <v>263</v>
      </c>
      <c r="B426" s="3" t="s">
        <v>982</v>
      </c>
      <c r="C426" s="2" t="s">
        <v>2423</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21</v>
      </c>
    </row>
    <row r="427" spans="1:6" ht="105" x14ac:dyDescent="0.25">
      <c r="A427" s="3" t="s">
        <v>1818</v>
      </c>
      <c r="B427" s="3" t="s">
        <v>1819</v>
      </c>
      <c r="C427" s="3" t="s">
        <v>2424</v>
      </c>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300</v>
      </c>
    </row>
    <row r="428" spans="1:6" x14ac:dyDescent="0.25">
      <c r="A428" s="3" t="s">
        <v>79</v>
      </c>
      <c r="B428" s="3" t="s">
        <v>155</v>
      </c>
      <c r="C428" s="2" t="s">
        <v>2425</v>
      </c>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26</v>
      </c>
    </row>
    <row r="429" spans="1:6" x14ac:dyDescent="0.25">
      <c r="A429" s="3" t="s">
        <v>305</v>
      </c>
      <c r="B429" s="3" t="s">
        <v>392</v>
      </c>
      <c r="C429" s="2" t="s">
        <v>2426</v>
      </c>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33</v>
      </c>
    </row>
    <row r="430" spans="1:6" ht="30" x14ac:dyDescent="0.25">
      <c r="A430" s="3" t="s">
        <v>983</v>
      </c>
      <c r="B430" s="3" t="s">
        <v>984</v>
      </c>
      <c r="C430" s="2" t="s">
        <v>2427</v>
      </c>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55</v>
      </c>
    </row>
    <row r="431" spans="1:6" x14ac:dyDescent="0.25">
      <c r="A431" s="3" t="s">
        <v>1169</v>
      </c>
      <c r="B431" s="3" t="s">
        <v>1168</v>
      </c>
      <c r="C431" s="2" t="s">
        <v>2428</v>
      </c>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10</v>
      </c>
    </row>
    <row r="432" spans="1:6" x14ac:dyDescent="0.25">
      <c r="A432" s="3" t="s">
        <v>537</v>
      </c>
      <c r="B432" s="3" t="s">
        <v>551</v>
      </c>
      <c r="C432" s="2" t="s">
        <v>2429</v>
      </c>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29</v>
      </c>
    </row>
    <row r="433" spans="1:6" x14ac:dyDescent="0.25">
      <c r="A433" s="3" t="s">
        <v>453</v>
      </c>
      <c r="B433" s="3" t="s">
        <v>453</v>
      </c>
      <c r="C433" s="2" t="s">
        <v>453</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2</v>
      </c>
    </row>
    <row r="434" spans="1:6" ht="30" x14ac:dyDescent="0.25">
      <c r="A434" s="3" t="s">
        <v>2805</v>
      </c>
      <c r="B434" s="3" t="s">
        <v>2809</v>
      </c>
      <c r="C434" s="15" t="s">
        <v>2866</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52</v>
      </c>
    </row>
    <row r="435" spans="1:6" x14ac:dyDescent="0.25">
      <c r="A435" s="3" t="s">
        <v>2074</v>
      </c>
      <c r="B435" s="3" t="s">
        <v>2075</v>
      </c>
      <c r="C435" s="3" t="s">
        <v>2705</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20</v>
      </c>
    </row>
    <row r="436" spans="1:6" x14ac:dyDescent="0.25">
      <c r="A436" s="3" t="s">
        <v>2072</v>
      </c>
      <c r="B436" s="3" t="s">
        <v>2073</v>
      </c>
      <c r="C436" s="3" t="s">
        <v>2706</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15</v>
      </c>
    </row>
    <row r="437" spans="1:6" x14ac:dyDescent="0.25">
      <c r="A437" s="3" t="s">
        <v>292</v>
      </c>
      <c r="B437" s="3" t="s">
        <v>374</v>
      </c>
      <c r="C437" s="2" t="s">
        <v>2430</v>
      </c>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23</v>
      </c>
    </row>
    <row r="438" spans="1:6" ht="30" x14ac:dyDescent="0.25">
      <c r="A438" s="3" t="s">
        <v>1237</v>
      </c>
      <c r="B438" s="3" t="s">
        <v>1238</v>
      </c>
      <c r="C438" s="2" t="s">
        <v>2431</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59</v>
      </c>
    </row>
    <row r="439" spans="1:6" x14ac:dyDescent="0.25">
      <c r="A439" s="3" t="s">
        <v>1880</v>
      </c>
      <c r="B439" s="3" t="s">
        <v>1881</v>
      </c>
      <c r="C439" s="2" t="s">
        <v>2432</v>
      </c>
      <c r="D439" s="3" t="str">
        <f>IF(SIGN(IFERROR(SEARCH("\1",$A439),0))=SIGN(IFERROR(SEARCH("\1",B439),0)),".","!")&amp;
   IF(SIGN(IFERROR(SEARCH("\2",$A439),0))=SIGN(IFERROR(SEARCH("\2",B439),0)),".","!")&amp;
   IF(SIGN(IFERROR(SEARCH("\3",$A439),0))=SIGN(IFERROR(SEARCH("\3",B439),0)),".","!")</f>
        <v>...</v>
      </c>
      <c r="E439" s="3" t="str">
        <f>IF(SIGN(IFERROR(SEARCH("\1",$A439),0))=SIGN(IFERROR(SEARCH("\1",C439),0)),".","!")&amp;
   IF(SIGN(IFERROR(SEARCH("\2",$A439),0))=SIGN(IFERROR(SEARCH("\2",C439),0)),".","!")&amp;
   IF(SIGN(IFERROR(SEARCH("\3",$A439),0))=SIGN(IFERROR(SEARCH("\3",C439),0)),".","!")</f>
        <v>...</v>
      </c>
      <c r="F439" s="3">
        <f>LEN(A439)</f>
        <v>27</v>
      </c>
    </row>
    <row r="440" spans="1:6" x14ac:dyDescent="0.25">
      <c r="A440" s="3" t="s">
        <v>121</v>
      </c>
      <c r="B440" s="3" t="s">
        <v>125</v>
      </c>
      <c r="C440" s="2" t="s">
        <v>2433</v>
      </c>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6</v>
      </c>
    </row>
    <row r="441" spans="1:6" x14ac:dyDescent="0.25">
      <c r="A441" s="3" t="s">
        <v>1604</v>
      </c>
      <c r="B441" s="3" t="s">
        <v>1614</v>
      </c>
      <c r="C441" s="2" t="s">
        <v>2434</v>
      </c>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13</v>
      </c>
    </row>
    <row r="442" spans="1:6" x14ac:dyDescent="0.25">
      <c r="A442" s="3" t="s">
        <v>1897</v>
      </c>
      <c r="B442" s="3" t="s">
        <v>1898</v>
      </c>
      <c r="C442" s="2" t="s">
        <v>2435</v>
      </c>
      <c r="D442" s="3" t="str">
        <f>IF(SIGN(IFERROR(SEARCH("\1",$A442),0))=SIGN(IFERROR(SEARCH("\1",B442),0)),".","!")&amp;
   IF(SIGN(IFERROR(SEARCH("\2",$A442),0))=SIGN(IFERROR(SEARCH("\2",B442),0)),".","!")&amp;
   IF(SIGN(IFERROR(SEARCH("\3",$A442),0))=SIGN(IFERROR(SEARCH("\3",B442),0)),".","!")</f>
        <v>...</v>
      </c>
      <c r="E442" s="3" t="str">
        <f>IF(SIGN(IFERROR(SEARCH("\1",$A442),0))=SIGN(IFERROR(SEARCH("\1",C442),0)),".","!")&amp;
   IF(SIGN(IFERROR(SEARCH("\2",$A442),0))=SIGN(IFERROR(SEARCH("\2",C442),0)),".","!")&amp;
   IF(SIGN(IFERROR(SEARCH("\3",$A442),0))=SIGN(IFERROR(SEARCH("\3",C442),0)),".","!")</f>
        <v>...</v>
      </c>
      <c r="F442" s="3">
        <f>LEN(A442)</f>
        <v>17</v>
      </c>
    </row>
    <row r="443" spans="1:6" x14ac:dyDescent="0.25">
      <c r="A443" s="3" t="s">
        <v>512</v>
      </c>
      <c r="B443" s="3" t="s">
        <v>513</v>
      </c>
      <c r="C443" s="2" t="s">
        <v>2436</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11</v>
      </c>
    </row>
    <row r="444" spans="1:6" x14ac:dyDescent="0.25">
      <c r="A444" s="3" t="s">
        <v>516</v>
      </c>
      <c r="B444" s="3" t="s">
        <v>517</v>
      </c>
      <c r="C444" s="2" t="s">
        <v>2437</v>
      </c>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10</v>
      </c>
    </row>
    <row r="445" spans="1:6" x14ac:dyDescent="0.25">
      <c r="A445" s="3" t="s">
        <v>514</v>
      </c>
      <c r="B445" s="3" t="s">
        <v>515</v>
      </c>
      <c r="C445" s="2" t="s">
        <v>2438</v>
      </c>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12</v>
      </c>
    </row>
    <row r="446" spans="1:6" x14ac:dyDescent="0.25">
      <c r="A446" s="3" t="s">
        <v>518</v>
      </c>
      <c r="B446" s="3" t="s">
        <v>519</v>
      </c>
      <c r="C446" s="2" t="s">
        <v>2439</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11</v>
      </c>
    </row>
    <row r="447" spans="1:6" x14ac:dyDescent="0.25">
      <c r="A447" s="3" t="s">
        <v>2071</v>
      </c>
      <c r="B447" s="3" t="s">
        <v>2071</v>
      </c>
      <c r="C447" s="3" t="s">
        <v>2071</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5</v>
      </c>
    </row>
    <row r="448" spans="1:6" x14ac:dyDescent="0.25">
      <c r="A448" s="3" t="s">
        <v>1338</v>
      </c>
      <c r="B448" s="3" t="s">
        <v>1339</v>
      </c>
      <c r="C448" s="2" t="s">
        <v>2440</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30</v>
      </c>
    </row>
    <row r="449" spans="1:6" x14ac:dyDescent="0.25">
      <c r="A449" s="3" t="s">
        <v>1355</v>
      </c>
      <c r="B449" s="3" t="s">
        <v>1356</v>
      </c>
      <c r="C449" s="2" t="s">
        <v>2441</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31</v>
      </c>
    </row>
    <row r="450" spans="1:6" ht="30" x14ac:dyDescent="0.25">
      <c r="A450" s="3" t="s">
        <v>1874</v>
      </c>
      <c r="B450" s="3" t="s">
        <v>1875</v>
      </c>
      <c r="C450" s="3" t="s">
        <v>2442</v>
      </c>
      <c r="D450" s="3" t="str">
        <f>IF(SIGN(IFERROR(SEARCH("\1",$A450),0))=SIGN(IFERROR(SEARCH("\1",B450),0)),".","!")&amp;
   IF(SIGN(IFERROR(SEARCH("\2",$A450),0))=SIGN(IFERROR(SEARCH("\2",B450),0)),".","!")&amp;
   IF(SIGN(IFERROR(SEARCH("\3",$A450),0))=SIGN(IFERROR(SEARCH("\3",B450),0)),".","!")</f>
        <v>...</v>
      </c>
      <c r="E450" s="3" t="str">
        <f>IF(SIGN(IFERROR(SEARCH("\1",$A450),0))=SIGN(IFERROR(SEARCH("\1",C450),0)),".","!")&amp;
   IF(SIGN(IFERROR(SEARCH("\2",$A450),0))=SIGN(IFERROR(SEARCH("\2",C450),0)),".","!")&amp;
   IF(SIGN(IFERROR(SEARCH("\3",$A450),0))=SIGN(IFERROR(SEARCH("\3",C450),0)),".","!")</f>
        <v>...</v>
      </c>
      <c r="F450" s="3">
        <f>LEN(A450)</f>
        <v>62</v>
      </c>
    </row>
    <row r="451" spans="1:6" x14ac:dyDescent="0.25">
      <c r="A451" s="3" t="s">
        <v>80</v>
      </c>
      <c r="B451" s="3" t="s">
        <v>80</v>
      </c>
      <c r="C451" s="2" t="s">
        <v>80</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10</v>
      </c>
    </row>
    <row r="452" spans="1:6" x14ac:dyDescent="0.25">
      <c r="A452" s="3" t="s">
        <v>81</v>
      </c>
      <c r="B452" s="3" t="s">
        <v>81</v>
      </c>
      <c r="C452" s="2" t="s">
        <v>81</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10</v>
      </c>
    </row>
    <row r="453" spans="1:6" x14ac:dyDescent="0.25">
      <c r="A453" s="3" t="s">
        <v>242</v>
      </c>
      <c r="B453" s="3" t="s">
        <v>242</v>
      </c>
      <c r="C453" s="2" t="s">
        <v>2443</v>
      </c>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7</v>
      </c>
    </row>
    <row r="454" spans="1:6" x14ac:dyDescent="0.25">
      <c r="A454" s="3" t="s">
        <v>2829</v>
      </c>
      <c r="B454" s="3" t="s">
        <v>2839</v>
      </c>
      <c r="C454" t="s">
        <v>2867</v>
      </c>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12</v>
      </c>
    </row>
    <row r="455" spans="1:6" x14ac:dyDescent="0.25">
      <c r="A455" s="3" t="s">
        <v>243</v>
      </c>
      <c r="B455" s="3" t="s">
        <v>243</v>
      </c>
      <c r="C455" s="2" t="s">
        <v>2444</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6</v>
      </c>
    </row>
    <row r="456" spans="1:6" x14ac:dyDescent="0.25">
      <c r="A456" s="3" t="s">
        <v>2847</v>
      </c>
      <c r="B456" s="3" t="s">
        <v>2848</v>
      </c>
      <c r="C456" t="s">
        <v>2868</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17</v>
      </c>
    </row>
    <row r="457" spans="1:6" x14ac:dyDescent="0.25">
      <c r="A457" s="3" t="s">
        <v>1885</v>
      </c>
      <c r="B457" s="3" t="s">
        <v>1889</v>
      </c>
      <c r="C457" s="2" t="s">
        <v>2445</v>
      </c>
      <c r="D457" s="3" t="str">
        <f>IF(SIGN(IFERROR(SEARCH("\1",$A457),0))=SIGN(IFERROR(SEARCH("\1",B457),0)),".","!")&amp;
   IF(SIGN(IFERROR(SEARCH("\2",$A457),0))=SIGN(IFERROR(SEARCH("\2",B457),0)),".","!")&amp;
   IF(SIGN(IFERROR(SEARCH("\3",$A457),0))=SIGN(IFERROR(SEARCH("\3",B457),0)),".","!")</f>
        <v>...</v>
      </c>
      <c r="E457" s="3" t="str">
        <f>IF(SIGN(IFERROR(SEARCH("\1",$A457),0))=SIGN(IFERROR(SEARCH("\1",C457),0)),".","!")&amp;
   IF(SIGN(IFERROR(SEARCH("\2",$A457),0))=SIGN(IFERROR(SEARCH("\2",C457),0)),".","!")&amp;
   IF(SIGN(IFERROR(SEARCH("\3",$A457),0))=SIGN(IFERROR(SEARCH("\3",C457),0)),".","!")</f>
        <v>...</v>
      </c>
      <c r="F457" s="3">
        <f>LEN(A457)</f>
        <v>8</v>
      </c>
    </row>
    <row r="458" spans="1:6" x14ac:dyDescent="0.25">
      <c r="A458" s="3" t="s">
        <v>2039</v>
      </c>
      <c r="B458" s="3" t="s">
        <v>2040</v>
      </c>
      <c r="C458" s="2" t="s">
        <v>2446</v>
      </c>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19</v>
      </c>
    </row>
    <row r="459" spans="1:6" x14ac:dyDescent="0.25">
      <c r="A459" s="3" t="s">
        <v>1882</v>
      </c>
      <c r="B459" s="3" t="s">
        <v>1886</v>
      </c>
      <c r="C459" s="2" t="s">
        <v>2447</v>
      </c>
      <c r="D459" s="3" t="str">
        <f>IF(SIGN(IFERROR(SEARCH("\1",$A459),0))=SIGN(IFERROR(SEARCH("\1",B459),0)),".","!")&amp;
   IF(SIGN(IFERROR(SEARCH("\2",$A459),0))=SIGN(IFERROR(SEARCH("\2",B459),0)),".","!")&amp;
   IF(SIGN(IFERROR(SEARCH("\3",$A459),0))=SIGN(IFERROR(SEARCH("\3",B459),0)),".","!")</f>
        <v>...</v>
      </c>
      <c r="E459" s="3" t="str">
        <f>IF(SIGN(IFERROR(SEARCH("\1",$A459),0))=SIGN(IFERROR(SEARCH("\1",C459),0)),".","!")&amp;
   IF(SIGN(IFERROR(SEARCH("\2",$A459),0))=SIGN(IFERROR(SEARCH("\2",C459),0)),".","!")&amp;
   IF(SIGN(IFERROR(SEARCH("\3",$A459),0))=SIGN(IFERROR(SEARCH("\3",C459),0)),".","!")</f>
        <v>...</v>
      </c>
      <c r="F459" s="3">
        <f>LEN(A459)</f>
        <v>17</v>
      </c>
    </row>
    <row r="460" spans="1:6" x14ac:dyDescent="0.25">
      <c r="A460" s="3" t="s">
        <v>1883</v>
      </c>
      <c r="B460" s="3" t="s">
        <v>1887</v>
      </c>
      <c r="C460" s="2" t="s">
        <v>2448</v>
      </c>
      <c r="D460" s="3" t="str">
        <f>IF(SIGN(IFERROR(SEARCH("\1",$A460),0))=SIGN(IFERROR(SEARCH("\1",B460),0)),".","!")&amp;
   IF(SIGN(IFERROR(SEARCH("\2",$A460),0))=SIGN(IFERROR(SEARCH("\2",B460),0)),".","!")&amp;
   IF(SIGN(IFERROR(SEARCH("\3",$A460),0))=SIGN(IFERROR(SEARCH("\3",B460),0)),".","!")</f>
        <v>...</v>
      </c>
      <c r="E460" s="3" t="str">
        <f>IF(SIGN(IFERROR(SEARCH("\1",$A460),0))=SIGN(IFERROR(SEARCH("\1",C460),0)),".","!")&amp;
   IF(SIGN(IFERROR(SEARCH("\2",$A460),0))=SIGN(IFERROR(SEARCH("\2",C460),0)),".","!")&amp;
   IF(SIGN(IFERROR(SEARCH("\3",$A460),0))=SIGN(IFERROR(SEARCH("\3",C460),0)),".","!")</f>
        <v>...</v>
      </c>
      <c r="F460" s="3">
        <f>LEN(A460)</f>
        <v>13</v>
      </c>
    </row>
    <row r="461" spans="1:6" x14ac:dyDescent="0.25">
      <c r="A461" s="3" t="s">
        <v>1705</v>
      </c>
      <c r="B461" s="3" t="s">
        <v>1706</v>
      </c>
      <c r="C461" s="2" t="s">
        <v>2449</v>
      </c>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29</v>
      </c>
    </row>
    <row r="462" spans="1:6" x14ac:dyDescent="0.25">
      <c r="A462" s="3" t="s">
        <v>2041</v>
      </c>
      <c r="B462" s="3" t="s">
        <v>2042</v>
      </c>
      <c r="C462" s="2" t="s">
        <v>2042</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7</v>
      </c>
    </row>
    <row r="463" spans="1:6" x14ac:dyDescent="0.25">
      <c r="A463" s="3" t="s">
        <v>967</v>
      </c>
      <c r="B463" s="3" t="s">
        <v>968</v>
      </c>
      <c r="C463" s="2" t="s">
        <v>2450</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33</v>
      </c>
    </row>
    <row r="464" spans="1:6" x14ac:dyDescent="0.25">
      <c r="A464" s="3" t="s">
        <v>1683</v>
      </c>
      <c r="B464" s="3" t="s">
        <v>1684</v>
      </c>
      <c r="C464" s="2" t="s">
        <v>2451</v>
      </c>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36</v>
      </c>
    </row>
    <row r="465" spans="1:6" x14ac:dyDescent="0.25">
      <c r="A465" s="3" t="s">
        <v>218</v>
      </c>
      <c r="B465" s="3" t="s">
        <v>375</v>
      </c>
      <c r="C465" s="2" t="s">
        <v>375</v>
      </c>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6</v>
      </c>
    </row>
    <row r="466" spans="1:6" x14ac:dyDescent="0.25">
      <c r="A466" s="3" t="s">
        <v>1930</v>
      </c>
      <c r="B466" s="3" t="s">
        <v>1930</v>
      </c>
      <c r="C466" s="2" t="s">
        <v>1930</v>
      </c>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17</v>
      </c>
    </row>
    <row r="467" spans="1:6" x14ac:dyDescent="0.25">
      <c r="A467" s="3" t="s">
        <v>1728</v>
      </c>
      <c r="B467" s="3" t="s">
        <v>1731</v>
      </c>
      <c r="C467" s="2" t="s">
        <v>2452</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24</v>
      </c>
    </row>
    <row r="468" spans="1:6" x14ac:dyDescent="0.25">
      <c r="A468" s="3" t="s">
        <v>1008</v>
      </c>
      <c r="B468" s="3" t="s">
        <v>1008</v>
      </c>
      <c r="C468" s="2" t="s">
        <v>1008</v>
      </c>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1</v>
      </c>
    </row>
    <row r="469" spans="1:6" x14ac:dyDescent="0.25">
      <c r="A469" s="3" t="s">
        <v>2069</v>
      </c>
      <c r="B469" s="3" t="s">
        <v>2070</v>
      </c>
      <c r="C469" s="3" t="s">
        <v>2707</v>
      </c>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31</v>
      </c>
    </row>
    <row r="470" spans="1:6" x14ac:dyDescent="0.25">
      <c r="A470" s="3" t="s">
        <v>82</v>
      </c>
      <c r="B470" s="3" t="s">
        <v>440</v>
      </c>
      <c r="C470" s="2" t="s">
        <v>2453</v>
      </c>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11</v>
      </c>
    </row>
    <row r="471" spans="1:6" x14ac:dyDescent="0.25">
      <c r="A471" s="3" t="s">
        <v>469</v>
      </c>
      <c r="B471" s="3" t="s">
        <v>498</v>
      </c>
      <c r="C471" s="2" t="s">
        <v>2454</v>
      </c>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26</v>
      </c>
    </row>
    <row r="472" spans="1:6" x14ac:dyDescent="0.25">
      <c r="A472" s="3" t="s">
        <v>222</v>
      </c>
      <c r="B472" s="3" t="s">
        <v>376</v>
      </c>
      <c r="C472" s="2" t="s">
        <v>2455</v>
      </c>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15</v>
      </c>
    </row>
    <row r="473" spans="1:6" x14ac:dyDescent="0.25">
      <c r="A473" s="3" t="s">
        <v>83</v>
      </c>
      <c r="B473" s="3" t="s">
        <v>1177</v>
      </c>
      <c r="C473" s="2" t="s">
        <v>2456</v>
      </c>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21</v>
      </c>
    </row>
    <row r="474" spans="1:6" ht="45" x14ac:dyDescent="0.25">
      <c r="A474" s="3" t="s">
        <v>220</v>
      </c>
      <c r="B474" s="3" t="s">
        <v>393</v>
      </c>
      <c r="C474" s="2" t="s">
        <v>2457</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91</v>
      </c>
    </row>
    <row r="475" spans="1:6" x14ac:dyDescent="0.25">
      <c r="A475" s="3" t="s">
        <v>227</v>
      </c>
      <c r="B475" s="3" t="s">
        <v>394</v>
      </c>
      <c r="C475" s="2" t="s">
        <v>2458</v>
      </c>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12</v>
      </c>
    </row>
    <row r="476" spans="1:6" x14ac:dyDescent="0.25">
      <c r="A476" s="3" t="s">
        <v>1014</v>
      </c>
      <c r="B476" s="3" t="s">
        <v>1015</v>
      </c>
      <c r="C476" s="2" t="s">
        <v>2459</v>
      </c>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11</v>
      </c>
    </row>
    <row r="477" spans="1:6" x14ac:dyDescent="0.25">
      <c r="A477" s="3" t="s">
        <v>1013</v>
      </c>
      <c r="B477" s="3" t="s">
        <v>1016</v>
      </c>
      <c r="C477" s="2" t="s">
        <v>2460</v>
      </c>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11</v>
      </c>
    </row>
    <row r="478" spans="1:6" x14ac:dyDescent="0.25">
      <c r="A478" s="3" t="s">
        <v>228</v>
      </c>
      <c r="B478" s="3" t="s">
        <v>395</v>
      </c>
      <c r="C478" s="2" t="s">
        <v>2461</v>
      </c>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10</v>
      </c>
    </row>
    <row r="479" spans="1:6" x14ac:dyDescent="0.25">
      <c r="A479" s="3" t="s">
        <v>1816</v>
      </c>
      <c r="B479" s="3" t="s">
        <v>1817</v>
      </c>
      <c r="C479" s="2" t="s">
        <v>2462</v>
      </c>
      <c r="D479" s="3" t="str">
        <f>IF(SIGN(IFERROR(SEARCH("\1",$A479),0))=SIGN(IFERROR(SEARCH("\1",B479),0)),".","!")&amp;
   IF(SIGN(IFERROR(SEARCH("\2",$A479),0))=SIGN(IFERROR(SEARCH("\2",B479),0)),".","!")&amp;
   IF(SIGN(IFERROR(SEARCH("\3",$A479),0))=SIGN(IFERROR(SEARCH("\3",B479),0)),".","!")</f>
        <v>...</v>
      </c>
      <c r="E479" s="3" t="str">
        <f>IF(SIGN(IFERROR(SEARCH("\1",$A479),0))=SIGN(IFERROR(SEARCH("\1",C479),0)),".","!")&amp;
   IF(SIGN(IFERROR(SEARCH("\2",$A479),0))=SIGN(IFERROR(SEARCH("\2",C479),0)),".","!")&amp;
   IF(SIGN(IFERROR(SEARCH("\3",$A479),0))=SIGN(IFERROR(SEARCH("\3",C479),0)),".","!")</f>
        <v>...</v>
      </c>
      <c r="F479" s="3">
        <f>LEN(A479)</f>
        <v>29</v>
      </c>
    </row>
    <row r="480" spans="1:6" x14ac:dyDescent="0.25">
      <c r="A480" s="3" t="s">
        <v>1461</v>
      </c>
      <c r="B480" s="3" t="s">
        <v>1462</v>
      </c>
      <c r="C480" s="2" t="s">
        <v>2463</v>
      </c>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6</v>
      </c>
    </row>
    <row r="481" spans="1:6" x14ac:dyDescent="0.25">
      <c r="A481" s="3" t="s">
        <v>264</v>
      </c>
      <c r="B481" s="3" t="s">
        <v>1094</v>
      </c>
      <c r="C481" s="2" t="s">
        <v>2464</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28</v>
      </c>
    </row>
    <row r="482" spans="1:6" ht="30" x14ac:dyDescent="0.25">
      <c r="A482" s="3" t="s">
        <v>202</v>
      </c>
      <c r="B482" s="3" t="s">
        <v>985</v>
      </c>
      <c r="C482" s="2" t="s">
        <v>2465</v>
      </c>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44</v>
      </c>
    </row>
    <row r="483" spans="1:6" x14ac:dyDescent="0.25">
      <c r="A483" s="3" t="s">
        <v>396</v>
      </c>
      <c r="B483" s="3" t="s">
        <v>441</v>
      </c>
      <c r="C483" s="2" t="s">
        <v>2466</v>
      </c>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26</v>
      </c>
    </row>
    <row r="484" spans="1:6" x14ac:dyDescent="0.25">
      <c r="A484" s="3" t="s">
        <v>1601</v>
      </c>
      <c r="B484" s="3" t="s">
        <v>1601</v>
      </c>
      <c r="C484" s="2" t="s">
        <v>1601</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4</v>
      </c>
    </row>
    <row r="485" spans="1:6" x14ac:dyDescent="0.25">
      <c r="A485" s="3" t="s">
        <v>197</v>
      </c>
      <c r="B485" s="3" t="s">
        <v>397</v>
      </c>
      <c r="C485" s="2" t="s">
        <v>2186</v>
      </c>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9</v>
      </c>
    </row>
    <row r="486" spans="1:6" x14ac:dyDescent="0.25">
      <c r="A486" s="3" t="s">
        <v>1426</v>
      </c>
      <c r="B486" s="3" t="s">
        <v>1429</v>
      </c>
      <c r="C486" s="2" t="s">
        <v>2467</v>
      </c>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21</v>
      </c>
    </row>
    <row r="487" spans="1:6" x14ac:dyDescent="0.25">
      <c r="A487" s="3" t="s">
        <v>1425</v>
      </c>
      <c r="B487" s="3" t="s">
        <v>1428</v>
      </c>
      <c r="C487" s="2" t="s">
        <v>2468</v>
      </c>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21</v>
      </c>
    </row>
    <row r="488" spans="1:6" x14ac:dyDescent="0.25">
      <c r="A488" s="3" t="s">
        <v>480</v>
      </c>
      <c r="B488" s="3" t="s">
        <v>499</v>
      </c>
      <c r="C488" s="2" t="s">
        <v>2469</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10</v>
      </c>
    </row>
    <row r="489" spans="1:6" x14ac:dyDescent="0.25">
      <c r="A489" s="3" t="s">
        <v>2765</v>
      </c>
      <c r="B489" s="3" t="s">
        <v>2766</v>
      </c>
      <c r="C489" t="s">
        <v>2869</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38</v>
      </c>
    </row>
    <row r="490" spans="1:6" x14ac:dyDescent="0.25">
      <c r="A490" s="3" t="s">
        <v>2769</v>
      </c>
      <c r="B490" s="3" t="s">
        <v>2770</v>
      </c>
      <c r="C490" t="s">
        <v>2870</v>
      </c>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23</v>
      </c>
    </row>
    <row r="491" spans="1:6" x14ac:dyDescent="0.25">
      <c r="A491" s="3" t="s">
        <v>1734</v>
      </c>
      <c r="B491" s="3" t="s">
        <v>1735</v>
      </c>
      <c r="C491" s="2" t="s">
        <v>2470</v>
      </c>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39</v>
      </c>
    </row>
    <row r="492" spans="1:6" x14ac:dyDescent="0.25">
      <c r="A492" s="3" t="s">
        <v>84</v>
      </c>
      <c r="B492" s="3" t="s">
        <v>85</v>
      </c>
      <c r="C492" s="2" t="s">
        <v>2471</v>
      </c>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20</v>
      </c>
    </row>
    <row r="493" spans="1:6" x14ac:dyDescent="0.25">
      <c r="A493" s="3" t="s">
        <v>213</v>
      </c>
      <c r="B493" s="3" t="s">
        <v>398</v>
      </c>
      <c r="C493" s="2" t="s">
        <v>2472</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8</v>
      </c>
    </row>
    <row r="494" spans="1:6" x14ac:dyDescent="0.25">
      <c r="A494" s="3" t="s">
        <v>1908</v>
      </c>
      <c r="B494" s="3" t="s">
        <v>1909</v>
      </c>
      <c r="C494" s="2" t="s">
        <v>2473</v>
      </c>
      <c r="D494" s="3" t="str">
        <f>IF(SIGN(IFERROR(SEARCH("\1",$A494),0))=SIGN(IFERROR(SEARCH("\1",B494),0)),".","!")&amp;
   IF(SIGN(IFERROR(SEARCH("\2",$A494),0))=SIGN(IFERROR(SEARCH("\2",B494),0)),".","!")&amp;
   IF(SIGN(IFERROR(SEARCH("\3",$A494),0))=SIGN(IFERROR(SEARCH("\3",B494),0)),".","!")</f>
        <v>...</v>
      </c>
      <c r="E494" s="3" t="str">
        <f>IF(SIGN(IFERROR(SEARCH("\1",$A494),0))=SIGN(IFERROR(SEARCH("\1",C494),0)),".","!")&amp;
   IF(SIGN(IFERROR(SEARCH("\2",$A494),0))=SIGN(IFERROR(SEARCH("\2",C494),0)),".","!")&amp;
   IF(SIGN(IFERROR(SEARCH("\3",$A494),0))=SIGN(IFERROR(SEARCH("\3",C494),0)),".","!")</f>
        <v>...</v>
      </c>
      <c r="F494" s="3">
        <f>LEN(A494)</f>
        <v>47</v>
      </c>
    </row>
    <row r="495" spans="1:6" x14ac:dyDescent="0.25">
      <c r="A495" s="3" t="s">
        <v>1912</v>
      </c>
      <c r="B495" s="3" t="s">
        <v>1913</v>
      </c>
      <c r="C495" s="2" t="s">
        <v>2474</v>
      </c>
      <c r="D495" s="3" t="str">
        <f>IF(SIGN(IFERROR(SEARCH("\1",$A495),0))=SIGN(IFERROR(SEARCH("\1",B495),0)),".","!")&amp;
   IF(SIGN(IFERROR(SEARCH("\2",$A495),0))=SIGN(IFERROR(SEARCH("\2",B495),0)),".","!")&amp;
   IF(SIGN(IFERROR(SEARCH("\3",$A495),0))=SIGN(IFERROR(SEARCH("\3",B495),0)),".","!")</f>
        <v>...</v>
      </c>
      <c r="E495" s="3" t="str">
        <f>IF(SIGN(IFERROR(SEARCH("\1",$A495),0))=SIGN(IFERROR(SEARCH("\1",C495),0)),".","!")&amp;
   IF(SIGN(IFERROR(SEARCH("\2",$A495),0))=SIGN(IFERROR(SEARCH("\2",C495),0)),".","!")&amp;
   IF(SIGN(IFERROR(SEARCH("\3",$A495),0))=SIGN(IFERROR(SEARCH("\3",C495),0)),".","!")</f>
        <v>...</v>
      </c>
      <c r="F495" s="3">
        <f>LEN(A495)</f>
        <v>36</v>
      </c>
    </row>
    <row r="496" spans="1:6" x14ac:dyDescent="0.25">
      <c r="A496" s="3" t="s">
        <v>147</v>
      </c>
      <c r="B496" s="3" t="s">
        <v>168</v>
      </c>
      <c r="C496" s="2" t="s">
        <v>2475</v>
      </c>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12</v>
      </c>
    </row>
    <row r="497" spans="1:6" x14ac:dyDescent="0.25">
      <c r="A497" s="3" t="s">
        <v>1011</v>
      </c>
      <c r="B497" s="3" t="s">
        <v>1012</v>
      </c>
      <c r="C497" s="2" t="s">
        <v>2476</v>
      </c>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12</v>
      </c>
    </row>
    <row r="498" spans="1:6" x14ac:dyDescent="0.25">
      <c r="A498" s="3" t="s">
        <v>1904</v>
      </c>
      <c r="B498" s="3" t="s">
        <v>1905</v>
      </c>
      <c r="C498" s="2" t="s">
        <v>2477</v>
      </c>
      <c r="D498" s="3" t="str">
        <f>IF(SIGN(IFERROR(SEARCH("\1",$A498),0))=SIGN(IFERROR(SEARCH("\1",B498),0)),".","!")&amp;
   IF(SIGN(IFERROR(SEARCH("\2",$A498),0))=SIGN(IFERROR(SEARCH("\2",B498),0)),".","!")&amp;
   IF(SIGN(IFERROR(SEARCH("\3",$A498),0))=SIGN(IFERROR(SEARCH("\3",B498),0)),".","!")</f>
        <v>...</v>
      </c>
      <c r="E498" s="3" t="str">
        <f>IF(SIGN(IFERROR(SEARCH("\1",$A498),0))=SIGN(IFERROR(SEARCH("\1",C498),0)),".","!")&amp;
   IF(SIGN(IFERROR(SEARCH("\2",$A498),0))=SIGN(IFERROR(SEARCH("\2",C498),0)),".","!")&amp;
   IF(SIGN(IFERROR(SEARCH("\3",$A498),0))=SIGN(IFERROR(SEARCH("\3",C498),0)),".","!")</f>
        <v>...</v>
      </c>
      <c r="F498" s="3">
        <f>LEN(A498)</f>
        <v>10</v>
      </c>
    </row>
    <row r="499" spans="1:6" x14ac:dyDescent="0.25">
      <c r="A499" s="3" t="s">
        <v>2760</v>
      </c>
      <c r="B499" s="3" t="s">
        <v>2760</v>
      </c>
      <c r="C499" t="s">
        <v>2871</v>
      </c>
      <c r="F499" s="3">
        <f>LEN(A499)</f>
        <v>9</v>
      </c>
    </row>
    <row r="500" spans="1:6" x14ac:dyDescent="0.25">
      <c r="A500" s="3" t="s">
        <v>561</v>
      </c>
      <c r="B500" s="3" t="s">
        <v>563</v>
      </c>
      <c r="C500" s="2" t="s">
        <v>2478</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38</v>
      </c>
    </row>
    <row r="501" spans="1:6" ht="30" x14ac:dyDescent="0.25">
      <c r="A501" s="3" t="s">
        <v>559</v>
      </c>
      <c r="B501" s="3" t="s">
        <v>562</v>
      </c>
      <c r="C501" s="2" t="s">
        <v>2479</v>
      </c>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58</v>
      </c>
    </row>
    <row r="502" spans="1:6" x14ac:dyDescent="0.25">
      <c r="A502" s="3" t="s">
        <v>86</v>
      </c>
      <c r="B502" s="3" t="s">
        <v>447</v>
      </c>
      <c r="C502" s="2" t="s">
        <v>2480</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8</v>
      </c>
    </row>
    <row r="503" spans="1:6" x14ac:dyDescent="0.25">
      <c r="A503" s="3" t="s">
        <v>446</v>
      </c>
      <c r="B503" s="3" t="s">
        <v>87</v>
      </c>
      <c r="C503" s="2" t="s">
        <v>2481</v>
      </c>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9</v>
      </c>
    </row>
    <row r="504" spans="1:6" x14ac:dyDescent="0.25">
      <c r="A504" s="3" t="s">
        <v>1208</v>
      </c>
      <c r="B504" s="3" t="s">
        <v>1209</v>
      </c>
      <c r="C504" s="2" t="s">
        <v>2482</v>
      </c>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9</v>
      </c>
    </row>
    <row r="505" spans="1:6" x14ac:dyDescent="0.25">
      <c r="A505" s="3" t="s">
        <v>259</v>
      </c>
      <c r="B505" s="3" t="s">
        <v>399</v>
      </c>
      <c r="C505" s="2" t="s">
        <v>2483</v>
      </c>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14</v>
      </c>
    </row>
    <row r="506" spans="1:6" x14ac:dyDescent="0.25">
      <c r="A506" s="3" t="s">
        <v>1348</v>
      </c>
      <c r="B506" s="3" t="s">
        <v>1349</v>
      </c>
      <c r="C506" s="2" t="s">
        <v>2484</v>
      </c>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8</v>
      </c>
    </row>
    <row r="507" spans="1:6" x14ac:dyDescent="0.25">
      <c r="A507" s="3" t="s">
        <v>1752</v>
      </c>
      <c r="B507" s="3" t="s">
        <v>1757</v>
      </c>
      <c r="C507" s="2" t="s">
        <v>2485</v>
      </c>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24</v>
      </c>
    </row>
    <row r="508" spans="1:6" x14ac:dyDescent="0.25">
      <c r="A508" s="3" t="s">
        <v>1979</v>
      </c>
      <c r="B508" s="3" t="s">
        <v>1980</v>
      </c>
      <c r="C508" s="2" t="s">
        <v>2486</v>
      </c>
      <c r="D508" s="3" t="str">
        <f>IF(SIGN(IFERROR(SEARCH("\1",$A508),0))=SIGN(IFERROR(SEARCH("\1",B508),0)),".","!")&amp;
   IF(SIGN(IFERROR(SEARCH("\2",$A508),0))=SIGN(IFERROR(SEARCH("\2",B508),0)),".","!")&amp;
   IF(SIGN(IFERROR(SEARCH("\3",$A508),0))=SIGN(IFERROR(SEARCH("\3",B508),0)),".","!")</f>
        <v>...</v>
      </c>
      <c r="E508" s="3" t="str">
        <f>IF(SIGN(IFERROR(SEARCH("\1",$A508),0))=SIGN(IFERROR(SEARCH("\1",C508),0)),".","!")&amp;
   IF(SIGN(IFERROR(SEARCH("\2",$A508),0))=SIGN(IFERROR(SEARCH("\2",C508),0)),".","!")&amp;
   IF(SIGN(IFERROR(SEARCH("\3",$A508),0))=SIGN(IFERROR(SEARCH("\3",C508),0)),".","!")</f>
        <v>...</v>
      </c>
      <c r="F508" s="3">
        <f>LEN(A508)</f>
        <v>11</v>
      </c>
    </row>
    <row r="509" spans="1:6" x14ac:dyDescent="0.25">
      <c r="A509" s="3" t="s">
        <v>1971</v>
      </c>
      <c r="B509" s="3" t="s">
        <v>1972</v>
      </c>
      <c r="C509" s="2" t="s">
        <v>2487</v>
      </c>
      <c r="D509" s="3" t="str">
        <f>IF(SIGN(IFERROR(SEARCH("\1",$A509),0))=SIGN(IFERROR(SEARCH("\1",B509),0)),".","!")&amp;
   IF(SIGN(IFERROR(SEARCH("\2",$A509),0))=SIGN(IFERROR(SEARCH("\2",B509),0)),".","!")&amp;
   IF(SIGN(IFERROR(SEARCH("\3",$A509),0))=SIGN(IFERROR(SEARCH("\3",B509),0)),".","!")</f>
        <v>...</v>
      </c>
      <c r="E509" s="3" t="str">
        <f>IF(SIGN(IFERROR(SEARCH("\1",$A509),0))=SIGN(IFERROR(SEARCH("\1",C509),0)),".","!")&amp;
   IF(SIGN(IFERROR(SEARCH("\2",$A509),0))=SIGN(IFERROR(SEARCH("\2",C509),0)),".","!")&amp;
   IF(SIGN(IFERROR(SEARCH("\3",$A509),0))=SIGN(IFERROR(SEARCH("\3",C509),0)),".","!")</f>
        <v>...</v>
      </c>
      <c r="F509" s="3">
        <f>LEN(A509)</f>
        <v>21</v>
      </c>
    </row>
    <row r="510" spans="1:6" x14ac:dyDescent="0.25">
      <c r="A510" s="3" t="s">
        <v>256</v>
      </c>
      <c r="B510" s="3" t="s">
        <v>400</v>
      </c>
      <c r="C510" s="2" t="s">
        <v>2488</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9</v>
      </c>
    </row>
    <row r="511" spans="1:6" x14ac:dyDescent="0.25">
      <c r="A511" s="3" t="s">
        <v>255</v>
      </c>
      <c r="B511" s="3" t="s">
        <v>1170</v>
      </c>
      <c r="C511" s="2" t="s">
        <v>2489</v>
      </c>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19</v>
      </c>
    </row>
    <row r="512" spans="1:6" x14ac:dyDescent="0.25">
      <c r="A512" s="3" t="s">
        <v>575</v>
      </c>
      <c r="B512" s="3" t="s">
        <v>576</v>
      </c>
      <c r="C512" s="2" t="s">
        <v>2490</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10</v>
      </c>
    </row>
    <row r="513" spans="1:6" ht="30" x14ac:dyDescent="0.25">
      <c r="A513" s="3" t="s">
        <v>1148</v>
      </c>
      <c r="B513" s="3" t="s">
        <v>1149</v>
      </c>
      <c r="C513" s="2" t="s">
        <v>2491</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38</v>
      </c>
    </row>
    <row r="514" spans="1:6" x14ac:dyDescent="0.25">
      <c r="A514" s="3" t="s">
        <v>2009</v>
      </c>
      <c r="B514" s="3" t="s">
        <v>2010</v>
      </c>
      <c r="C514" s="2" t="s">
        <v>2492</v>
      </c>
      <c r="D514" s="3" t="str">
        <f>IF(SIGN(IFERROR(SEARCH("\1",$A514),0))=SIGN(IFERROR(SEARCH("\1",B514),0)),".","!")&amp;
   IF(SIGN(IFERROR(SEARCH("\2",$A514),0))=SIGN(IFERROR(SEARCH("\2",B514),0)),".","!")&amp;
   IF(SIGN(IFERROR(SEARCH("\3",$A514),0))=SIGN(IFERROR(SEARCH("\3",B514),0)),".","!")</f>
        <v>...</v>
      </c>
      <c r="E514" s="3" t="str">
        <f>IF(SIGN(IFERROR(SEARCH("\1",$A514),0))=SIGN(IFERROR(SEARCH("\1",C514),0)),".","!")&amp;
   IF(SIGN(IFERROR(SEARCH("\2",$A514),0))=SIGN(IFERROR(SEARCH("\2",C514),0)),".","!")&amp;
   IF(SIGN(IFERROR(SEARCH("\3",$A514),0))=SIGN(IFERROR(SEARCH("\3",C514),0)),".","!")</f>
        <v>...</v>
      </c>
      <c r="F514" s="3">
        <f>LEN(A514)</f>
        <v>7</v>
      </c>
    </row>
    <row r="515" spans="1:6" x14ac:dyDescent="0.25">
      <c r="A515" s="3" t="s">
        <v>2011</v>
      </c>
      <c r="B515" s="3" t="s">
        <v>2008</v>
      </c>
      <c r="C515" s="2" t="s">
        <v>2493</v>
      </c>
      <c r="D515" s="3" t="str">
        <f>IF(SIGN(IFERROR(SEARCH("\1",$A515),0))=SIGN(IFERROR(SEARCH("\1",B515),0)),".","!")&amp;
   IF(SIGN(IFERROR(SEARCH("\2",$A515),0))=SIGN(IFERROR(SEARCH("\2",B515),0)),".","!")&amp;
   IF(SIGN(IFERROR(SEARCH("\3",$A515),0))=SIGN(IFERROR(SEARCH("\3",B515),0)),".","!")</f>
        <v>...</v>
      </c>
      <c r="E515" s="3" t="str">
        <f>IF(SIGN(IFERROR(SEARCH("\1",$A515),0))=SIGN(IFERROR(SEARCH("\1",C515),0)),".","!")&amp;
   IF(SIGN(IFERROR(SEARCH("\2",$A515),0))=SIGN(IFERROR(SEARCH("\2",C515),0)),".","!")&amp;
   IF(SIGN(IFERROR(SEARCH("\3",$A515),0))=SIGN(IFERROR(SEARCH("\3",C515),0)),".","!")</f>
        <v>...</v>
      </c>
      <c r="F515" s="3">
        <f>LEN(A515)</f>
        <v>11</v>
      </c>
    </row>
    <row r="516" spans="1:6" x14ac:dyDescent="0.25">
      <c r="A516" s="3" t="s">
        <v>154</v>
      </c>
      <c r="B516" s="3" t="s">
        <v>169</v>
      </c>
      <c r="C516" s="2" t="s">
        <v>2494</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7</v>
      </c>
    </row>
    <row r="517" spans="1:6" x14ac:dyDescent="0.25">
      <c r="A517" s="3" t="s">
        <v>275</v>
      </c>
      <c r="B517" s="3" t="s">
        <v>401</v>
      </c>
      <c r="C517" s="2" t="s">
        <v>2495</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8</v>
      </c>
    </row>
    <row r="518" spans="1:6" x14ac:dyDescent="0.25">
      <c r="A518" s="3" t="s">
        <v>2831</v>
      </c>
      <c r="B518" s="3" t="s">
        <v>2841</v>
      </c>
      <c r="C518" t="s">
        <v>2872</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5</v>
      </c>
    </row>
    <row r="519" spans="1:6" x14ac:dyDescent="0.25">
      <c r="A519" s="3" t="s">
        <v>2833</v>
      </c>
      <c r="B519" s="3" t="s">
        <v>2843</v>
      </c>
      <c r="C519" t="s">
        <v>2873</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5</v>
      </c>
    </row>
    <row r="520" spans="1:6" x14ac:dyDescent="0.25">
      <c r="A520" s="3" t="s">
        <v>308</v>
      </c>
      <c r="B520" s="3" t="s">
        <v>308</v>
      </c>
      <c r="C520" s="2" t="s">
        <v>308</v>
      </c>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8</v>
      </c>
    </row>
    <row r="521" spans="1:6" x14ac:dyDescent="0.25">
      <c r="A521" s="3" t="s">
        <v>216</v>
      </c>
      <c r="B521" s="3" t="s">
        <v>216</v>
      </c>
      <c r="C521" s="2" t="s">
        <v>2496</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5</v>
      </c>
    </row>
    <row r="522" spans="1:6" x14ac:dyDescent="0.25">
      <c r="A522" s="3" t="s">
        <v>88</v>
      </c>
      <c r="B522" s="3" t="s">
        <v>89</v>
      </c>
      <c r="C522" s="2" t="s">
        <v>89</v>
      </c>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10</v>
      </c>
    </row>
    <row r="523" spans="1:6" x14ac:dyDescent="0.25">
      <c r="A523" s="3" t="s">
        <v>211</v>
      </c>
      <c r="B523" s="3" t="s">
        <v>402</v>
      </c>
      <c r="C523" s="2" t="s">
        <v>2497</v>
      </c>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7</v>
      </c>
    </row>
    <row r="524" spans="1:6" x14ac:dyDescent="0.25">
      <c r="A524" s="3" t="s">
        <v>234</v>
      </c>
      <c r="B524" s="3" t="s">
        <v>403</v>
      </c>
      <c r="C524" s="2" t="s">
        <v>2498</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5</v>
      </c>
    </row>
    <row r="525" spans="1:6" x14ac:dyDescent="0.25">
      <c r="A525" s="3" t="s">
        <v>1607</v>
      </c>
      <c r="B525" s="3" t="s">
        <v>1617</v>
      </c>
      <c r="C525" s="2" t="s">
        <v>2498</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13</v>
      </c>
    </row>
    <row r="526" spans="1:6" x14ac:dyDescent="0.25">
      <c r="A526" s="3" t="s">
        <v>1489</v>
      </c>
      <c r="B526" s="3" t="s">
        <v>1545</v>
      </c>
      <c r="C526" s="2" t="s">
        <v>2499</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24</v>
      </c>
    </row>
    <row r="527" spans="1:6" ht="30" x14ac:dyDescent="0.25">
      <c r="A527" s="3" t="s">
        <v>1965</v>
      </c>
      <c r="B527" s="3" t="s">
        <v>1966</v>
      </c>
      <c r="C527" s="2" t="s">
        <v>2500</v>
      </c>
      <c r="D527" s="3" t="str">
        <f>IF(SIGN(IFERROR(SEARCH("\1",$A527),0))=SIGN(IFERROR(SEARCH("\1",B527),0)),".","!")&amp;
   IF(SIGN(IFERROR(SEARCH("\2",$A527),0))=SIGN(IFERROR(SEARCH("\2",B527),0)),".","!")&amp;
   IF(SIGN(IFERROR(SEARCH("\3",$A527),0))=SIGN(IFERROR(SEARCH("\3",B527),0)),".","!")</f>
        <v>...</v>
      </c>
      <c r="E527" s="3" t="str">
        <f>IF(SIGN(IFERROR(SEARCH("\1",$A527),0))=SIGN(IFERROR(SEARCH("\1",C527),0)),".","!")&amp;
   IF(SIGN(IFERROR(SEARCH("\2",$A527),0))=SIGN(IFERROR(SEARCH("\2",C527),0)),".","!")&amp;
   IF(SIGN(IFERROR(SEARCH("\3",$A527),0))=SIGN(IFERROR(SEARCH("\3",C527),0)),".","!")</f>
        <v>...</v>
      </c>
      <c r="F527" s="3">
        <f>LEN(A527)</f>
        <v>45</v>
      </c>
    </row>
    <row r="528" spans="1:6" x14ac:dyDescent="0.25">
      <c r="A528" s="3" t="s">
        <v>293</v>
      </c>
      <c r="B528" s="3" t="s">
        <v>404</v>
      </c>
      <c r="C528" s="2" t="s">
        <v>2501</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21</v>
      </c>
    </row>
    <row r="529" spans="1:6" x14ac:dyDescent="0.25">
      <c r="A529" s="3" t="s">
        <v>90</v>
      </c>
      <c r="B529" s="3" t="s">
        <v>91</v>
      </c>
      <c r="C529" s="2" t="s">
        <v>2502</v>
      </c>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12</v>
      </c>
    </row>
    <row r="530" spans="1:6" x14ac:dyDescent="0.25">
      <c r="A530" s="3" t="s">
        <v>1159</v>
      </c>
      <c r="B530" s="3" t="s">
        <v>1164</v>
      </c>
      <c r="C530" s="2" t="s">
        <v>2503</v>
      </c>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29</v>
      </c>
    </row>
    <row r="531" spans="1:6" x14ac:dyDescent="0.25">
      <c r="A531" s="3" t="s">
        <v>476</v>
      </c>
      <c r="B531" s="3" t="s">
        <v>526</v>
      </c>
      <c r="C531" s="2" t="s">
        <v>526</v>
      </c>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9</v>
      </c>
    </row>
    <row r="532" spans="1:6" x14ac:dyDescent="0.25">
      <c r="A532" s="3" t="s">
        <v>200</v>
      </c>
      <c r="B532" s="3" t="s">
        <v>405</v>
      </c>
      <c r="C532" s="2" t="s">
        <v>2504</v>
      </c>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4</v>
      </c>
    </row>
    <row r="533" spans="1:6" x14ac:dyDescent="0.25">
      <c r="A533" s="3" t="s">
        <v>1105</v>
      </c>
      <c r="B533" s="3" t="s">
        <v>1106</v>
      </c>
      <c r="C533" s="2" t="s">
        <v>2505</v>
      </c>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18</v>
      </c>
    </row>
    <row r="534" spans="1:6" x14ac:dyDescent="0.25">
      <c r="A534" s="3" t="s">
        <v>969</v>
      </c>
      <c r="B534" s="3" t="s">
        <v>970</v>
      </c>
      <c r="C534" s="2" t="s">
        <v>970</v>
      </c>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32</v>
      </c>
    </row>
    <row r="535" spans="1:6" x14ac:dyDescent="0.25">
      <c r="A535" s="3" t="s">
        <v>717</v>
      </c>
      <c r="B535" s="3" t="s">
        <v>718</v>
      </c>
      <c r="C535" s="2" t="s">
        <v>2506</v>
      </c>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8</v>
      </c>
    </row>
    <row r="536" spans="1:6" x14ac:dyDescent="0.25">
      <c r="A536" s="3" t="s">
        <v>721</v>
      </c>
      <c r="B536" s="3" t="s">
        <v>722</v>
      </c>
      <c r="C536" s="2" t="s">
        <v>2507</v>
      </c>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7</v>
      </c>
    </row>
    <row r="537" spans="1:6" x14ac:dyDescent="0.25">
      <c r="A537" s="3" t="s">
        <v>481</v>
      </c>
      <c r="B537" s="3" t="s">
        <v>500</v>
      </c>
      <c r="C537" s="2" t="s">
        <v>2508</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14</v>
      </c>
    </row>
    <row r="538" spans="1:6" x14ac:dyDescent="0.25">
      <c r="A538" s="3" t="s">
        <v>510</v>
      </c>
      <c r="B538" s="3" t="s">
        <v>511</v>
      </c>
      <c r="C538" s="2" t="s">
        <v>2509</v>
      </c>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52</v>
      </c>
    </row>
    <row r="539" spans="1:6" x14ac:dyDescent="0.25">
      <c r="A539" s="3" t="s">
        <v>92</v>
      </c>
      <c r="B539" s="3" t="s">
        <v>574</v>
      </c>
      <c r="C539" s="2" t="s">
        <v>2510</v>
      </c>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24</v>
      </c>
    </row>
    <row r="540" spans="1:6" x14ac:dyDescent="0.25">
      <c r="A540" s="3" t="s">
        <v>1357</v>
      </c>
      <c r="B540" s="3" t="s">
        <v>1358</v>
      </c>
      <c r="C540" s="2" t="s">
        <v>2511</v>
      </c>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22</v>
      </c>
    </row>
    <row r="541" spans="1:6" x14ac:dyDescent="0.25">
      <c r="A541" s="3" t="s">
        <v>172</v>
      </c>
      <c r="B541" s="3" t="s">
        <v>176</v>
      </c>
      <c r="C541" s="2" t="s">
        <v>176</v>
      </c>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5</v>
      </c>
    </row>
    <row r="542" spans="1:6" x14ac:dyDescent="0.25">
      <c r="A542" s="3" t="s">
        <v>448</v>
      </c>
      <c r="B542" s="3" t="s">
        <v>449</v>
      </c>
      <c r="C542" s="2" t="s">
        <v>2512</v>
      </c>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7</v>
      </c>
    </row>
    <row r="543" spans="1:6" x14ac:dyDescent="0.25">
      <c r="A543" s="3" t="s">
        <v>1347</v>
      </c>
      <c r="B543" s="3" t="s">
        <v>449</v>
      </c>
      <c r="C543" s="2" t="s">
        <v>2512</v>
      </c>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12</v>
      </c>
    </row>
    <row r="544" spans="1:6" x14ac:dyDescent="0.25">
      <c r="A544" s="3" t="s">
        <v>1158</v>
      </c>
      <c r="B544" s="3" t="s">
        <v>1163</v>
      </c>
      <c r="C544" s="2" t="s">
        <v>2513</v>
      </c>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29</v>
      </c>
    </row>
    <row r="545" spans="1:6" x14ac:dyDescent="0.25">
      <c r="A545" s="3" t="s">
        <v>1804</v>
      </c>
      <c r="B545" s="3" t="s">
        <v>1803</v>
      </c>
      <c r="C545" s="2" t="s">
        <v>2514</v>
      </c>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21</v>
      </c>
    </row>
    <row r="546" spans="1:6" x14ac:dyDescent="0.25">
      <c r="A546" s="3" t="s">
        <v>723</v>
      </c>
      <c r="B546" s="3" t="s">
        <v>724</v>
      </c>
      <c r="C546" s="2" t="s">
        <v>724</v>
      </c>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3</v>
      </c>
    </row>
    <row r="547" spans="1:6" x14ac:dyDescent="0.25">
      <c r="A547" s="3" t="s">
        <v>0</v>
      </c>
      <c r="B547" s="3" t="s">
        <v>1171</v>
      </c>
      <c r="C547" s="2" t="s">
        <v>2515</v>
      </c>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8</v>
      </c>
    </row>
    <row r="548" spans="1:6" x14ac:dyDescent="0.25">
      <c r="A548" s="3" t="s">
        <v>196</v>
      </c>
      <c r="B548" s="3" t="s">
        <v>406</v>
      </c>
      <c r="C548" s="2" t="s">
        <v>2516</v>
      </c>
      <c r="D548" s="2" t="str">
        <f>IF(SIGN(IFERROR(SEARCH("\1",$A548),0))=SIGN(IFERROR(SEARCH("\1",B548),0)),".","!")&amp;
   IF(SIGN(IFERROR(SEARCH("\2",$A548),0))=SIGN(IFERROR(SEARCH("\2",B548),0)),".","!")&amp;
   IF(SIGN(IFERROR(SEARCH("\3",$A548),0))=SIGN(IFERROR(SEARCH("\3",B548),0)),".","!")</f>
        <v>...</v>
      </c>
      <c r="E548" s="2" t="str">
        <f>IF(SIGN(IFERROR(SEARCH("\1",$A548),0))=SIGN(IFERROR(SEARCH("\1",C548),0)),".","!")&amp;
   IF(SIGN(IFERROR(SEARCH("\2",$A548),0))=SIGN(IFERROR(SEARCH("\2",C548),0)),".","!")&amp;
   IF(SIGN(IFERROR(SEARCH("\3",$A548),0))=SIGN(IFERROR(SEARCH("\3",C548),0)),".","!")</f>
        <v>...</v>
      </c>
      <c r="F548" s="2">
        <f>LEN(A548)</f>
        <v>22</v>
      </c>
    </row>
    <row r="549" spans="1:6" x14ac:dyDescent="0.25">
      <c r="A549" s="3" t="s">
        <v>707</v>
      </c>
      <c r="B549" s="3" t="s">
        <v>714</v>
      </c>
      <c r="C549" s="2" t="s">
        <v>2517</v>
      </c>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19</v>
      </c>
    </row>
    <row r="550" spans="1:6" x14ac:dyDescent="0.25">
      <c r="A550" s="3" t="s">
        <v>1028</v>
      </c>
      <c r="B550" s="3" t="s">
        <v>1032</v>
      </c>
      <c r="C550" s="2" t="s">
        <v>2518</v>
      </c>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13</v>
      </c>
    </row>
    <row r="551" spans="1:6" x14ac:dyDescent="0.25">
      <c r="A551" s="3" t="s">
        <v>93</v>
      </c>
      <c r="B551" s="3" t="s">
        <v>94</v>
      </c>
      <c r="C551" s="2" t="s">
        <v>2519</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9</v>
      </c>
    </row>
    <row r="552" spans="1:6" x14ac:dyDescent="0.25">
      <c r="A552" s="3" t="s">
        <v>1712</v>
      </c>
      <c r="B552" s="3" t="s">
        <v>1713</v>
      </c>
      <c r="C552" s="2" t="s">
        <v>2520</v>
      </c>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10</v>
      </c>
    </row>
    <row r="553" spans="1:6" x14ac:dyDescent="0.25">
      <c r="A553" s="3" t="s">
        <v>1424</v>
      </c>
      <c r="B553" s="3" t="s">
        <v>1424</v>
      </c>
      <c r="C553" s="2" t="s">
        <v>1424</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7</v>
      </c>
    </row>
    <row r="554" spans="1:6" x14ac:dyDescent="0.25">
      <c r="A554" s="3" t="s">
        <v>1463</v>
      </c>
      <c r="B554" s="3" t="s">
        <v>1464</v>
      </c>
      <c r="C554" s="2" t="s">
        <v>1464</v>
      </c>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5</v>
      </c>
    </row>
    <row r="555" spans="1:6" x14ac:dyDescent="0.25">
      <c r="A555" s="3" t="s">
        <v>2807</v>
      </c>
      <c r="B555" s="3" t="s">
        <v>2812</v>
      </c>
      <c r="C555" t="s">
        <v>2874</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40</v>
      </c>
    </row>
    <row r="556" spans="1:6" x14ac:dyDescent="0.25">
      <c r="A556" s="3" t="s">
        <v>2808</v>
      </c>
      <c r="B556" s="3" t="s">
        <v>2811</v>
      </c>
      <c r="C556" t="s">
        <v>2875</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25</v>
      </c>
    </row>
    <row r="557" spans="1:6" x14ac:dyDescent="0.25">
      <c r="A557" s="3" t="s">
        <v>2724</v>
      </c>
      <c r="B557" s="3" t="s">
        <v>2725</v>
      </c>
      <c r="C557" s="3" t="s">
        <v>2738</v>
      </c>
      <c r="D557" s="3" t="str">
        <f>IF(SIGN(IFERROR(SEARCH("\1",$A557),0))=SIGN(IFERROR(SEARCH("\1",B557),0)),".","!")&amp;
   IF(SIGN(IFERROR(SEARCH("\2",$A557),0))=SIGN(IFERROR(SEARCH("\2",B557),0)),".","!")&amp;
   IF(SIGN(IFERROR(SEARCH("\3",$A557),0))=SIGN(IFERROR(SEARCH("\3",B557),0)),".","!")</f>
        <v>...</v>
      </c>
      <c r="F557" s="3">
        <f>LEN(A557)</f>
        <v>22</v>
      </c>
    </row>
    <row r="558" spans="1:6" x14ac:dyDescent="0.25">
      <c r="A558" s="3" t="s">
        <v>171</v>
      </c>
      <c r="B558" s="3" t="s">
        <v>175</v>
      </c>
      <c r="C558" s="2" t="s">
        <v>2521</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6</v>
      </c>
    </row>
    <row r="559" spans="1:6" x14ac:dyDescent="0.25">
      <c r="A559" s="3" t="s">
        <v>95</v>
      </c>
      <c r="B559" s="3" t="s">
        <v>96</v>
      </c>
      <c r="C559" s="2" t="s">
        <v>96</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8</v>
      </c>
    </row>
    <row r="560" spans="1:6" x14ac:dyDescent="0.25">
      <c r="A560" s="3" t="s">
        <v>2090</v>
      </c>
      <c r="B560" s="3" t="s">
        <v>2091</v>
      </c>
      <c r="C560" t="s">
        <v>2523</v>
      </c>
      <c r="D560" s="3" t="str">
        <f>IF(SIGN(IFERROR(SEARCH("\1",$A560),0))=SIGN(IFERROR(SEARCH("\1",B560),0)),".","!")&amp;
   IF(SIGN(IFERROR(SEARCH("\2",$A560),0))=SIGN(IFERROR(SEARCH("\2",B560),0)),".","!")&amp;
   IF(SIGN(IFERROR(SEARCH("\3",$A560),0))=SIGN(IFERROR(SEARCH("\3",B560),0)),".","!")</f>
        <v>...</v>
      </c>
      <c r="E560" s="3" t="str">
        <f>IF(SIGN(IFERROR(SEARCH("\1",$A560),0))=SIGN(IFERROR(SEARCH("\1",C560),0)),".","!")&amp;
   IF(SIGN(IFERROR(SEARCH("\2",$A560),0))=SIGN(IFERROR(SEARCH("\2",C560),0)),".","!")&amp;
   IF(SIGN(IFERROR(SEARCH("\3",$A560),0))=SIGN(IFERROR(SEARCH("\3",C560),0)),".","!")</f>
        <v>...</v>
      </c>
      <c r="F560" s="3">
        <f>LEN(A560)</f>
        <v>21</v>
      </c>
    </row>
    <row r="561" spans="1:6" x14ac:dyDescent="0.25">
      <c r="A561" s="3" t="s">
        <v>408</v>
      </c>
      <c r="B561" s="3" t="s">
        <v>407</v>
      </c>
      <c r="C561" s="2" t="s">
        <v>2522</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17</v>
      </c>
    </row>
    <row r="562" spans="1:6" x14ac:dyDescent="0.25">
      <c r="A562" s="3" t="s">
        <v>1020</v>
      </c>
      <c r="B562" s="3" t="s">
        <v>1020</v>
      </c>
      <c r="C562" s="2" t="s">
        <v>1020</v>
      </c>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9</v>
      </c>
    </row>
    <row r="563" spans="1:6" x14ac:dyDescent="0.25">
      <c r="A563" s="3" t="s">
        <v>1021</v>
      </c>
      <c r="B563" s="3" t="s">
        <v>1021</v>
      </c>
      <c r="C563" s="2" t="s">
        <v>1021</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9</v>
      </c>
    </row>
    <row r="564" spans="1:6" x14ac:dyDescent="0.25">
      <c r="A564" s="3" t="s">
        <v>1001</v>
      </c>
      <c r="B564" s="3" t="s">
        <v>1002</v>
      </c>
      <c r="C564" s="2" t="s">
        <v>1002</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8</v>
      </c>
    </row>
    <row r="565" spans="1:6" x14ac:dyDescent="0.25">
      <c r="A565" s="3" t="s">
        <v>1112</v>
      </c>
      <c r="B565" s="3" t="s">
        <v>1113</v>
      </c>
      <c r="C565" s="2" t="s">
        <v>2524</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18</v>
      </c>
    </row>
    <row r="566" spans="1:6" x14ac:dyDescent="0.25">
      <c r="A566" s="3" t="s">
        <v>1890</v>
      </c>
      <c r="B566" s="3" t="s">
        <v>1891</v>
      </c>
      <c r="C566" s="2" t="s">
        <v>2525</v>
      </c>
      <c r="D566" s="3" t="str">
        <f>IF(SIGN(IFERROR(SEARCH("\1",$A566),0))=SIGN(IFERROR(SEARCH("\1",B566),0)),".","!")&amp;
   IF(SIGN(IFERROR(SEARCH("\2",$A566),0))=SIGN(IFERROR(SEARCH("\2",B566),0)),".","!")&amp;
   IF(SIGN(IFERROR(SEARCH("\3",$A566),0))=SIGN(IFERROR(SEARCH("\3",B566),0)),".","!")</f>
        <v>...</v>
      </c>
      <c r="E566" s="3" t="str">
        <f>IF(SIGN(IFERROR(SEARCH("\1",$A566),0))=SIGN(IFERROR(SEARCH("\1",C566),0)),".","!")&amp;
   IF(SIGN(IFERROR(SEARCH("\2",$A566),0))=SIGN(IFERROR(SEARCH("\2",C566),0)),".","!")&amp;
   IF(SIGN(IFERROR(SEARCH("\3",$A566),0))=SIGN(IFERROR(SEARCH("\3",C566),0)),".","!")</f>
        <v>...</v>
      </c>
      <c r="F566" s="3">
        <f>LEN(A566)</f>
        <v>13</v>
      </c>
    </row>
    <row r="567" spans="1:6" x14ac:dyDescent="0.25">
      <c r="A567" s="3" t="s">
        <v>1251</v>
      </c>
      <c r="B567" s="3" t="s">
        <v>1252</v>
      </c>
      <c r="C567" s="2" t="s">
        <v>2526</v>
      </c>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37</v>
      </c>
    </row>
    <row r="568" spans="1:6" x14ac:dyDescent="0.25">
      <c r="A568" s="3" t="s">
        <v>1005</v>
      </c>
      <c r="B568" s="3" t="s">
        <v>1006</v>
      </c>
      <c r="C568" s="2" t="s">
        <v>2527</v>
      </c>
      <c r="D568" s="2" t="str">
        <f>IF(SIGN(IFERROR(SEARCH("\1",$A568),0))=SIGN(IFERROR(SEARCH("\1",B568),0)),".","!")&amp;
   IF(SIGN(IFERROR(SEARCH("\2",$A568),0))=SIGN(IFERROR(SEARCH("\2",B568),0)),".","!")&amp;
   IF(SIGN(IFERROR(SEARCH("\3",$A568),0))=SIGN(IFERROR(SEARCH("\3",B568),0)),".","!")</f>
        <v>...</v>
      </c>
      <c r="E568" s="2" t="str">
        <f>IF(SIGN(IFERROR(SEARCH("\1",$A568),0))=SIGN(IFERROR(SEARCH("\1",C568),0)),".","!")&amp;
   IF(SIGN(IFERROR(SEARCH("\2",$A568),0))=SIGN(IFERROR(SEARCH("\2",C568),0)),".","!")&amp;
   IF(SIGN(IFERROR(SEARCH("\3",$A568),0))=SIGN(IFERROR(SEARCH("\3",C568),0)),".","!")</f>
        <v>...</v>
      </c>
      <c r="F568" s="2">
        <f>LEN(A568)</f>
        <v>29</v>
      </c>
    </row>
    <row r="569" spans="1:6" x14ac:dyDescent="0.25">
      <c r="A569" s="3" t="s">
        <v>269</v>
      </c>
      <c r="B569" s="3" t="s">
        <v>269</v>
      </c>
      <c r="C569" s="2" t="s">
        <v>2528</v>
      </c>
      <c r="D569" s="2" t="str">
        <f>IF(SIGN(IFERROR(SEARCH("\1",$A569),0))=SIGN(IFERROR(SEARCH("\1",B569),0)),".","!")&amp;
   IF(SIGN(IFERROR(SEARCH("\2",$A569),0))=SIGN(IFERROR(SEARCH("\2",B569),0)),".","!")&amp;
   IF(SIGN(IFERROR(SEARCH("\3",$A569),0))=SIGN(IFERROR(SEARCH("\3",B569),0)),".","!")</f>
        <v>...</v>
      </c>
      <c r="E569" s="2" t="str">
        <f>IF(SIGN(IFERROR(SEARCH("\1",$A569),0))=SIGN(IFERROR(SEARCH("\1",C569),0)),".","!")&amp;
   IF(SIGN(IFERROR(SEARCH("\2",$A569),0))=SIGN(IFERROR(SEARCH("\2",C569),0)),".","!")&amp;
   IF(SIGN(IFERROR(SEARCH("\3",$A569),0))=SIGN(IFERROR(SEARCH("\3",C569),0)),".","!")</f>
        <v>...</v>
      </c>
      <c r="F569" s="2">
        <f>LEN(A569)</f>
        <v>5</v>
      </c>
    </row>
    <row r="570" spans="1:6" x14ac:dyDescent="0.25">
      <c r="A570" s="3" t="s">
        <v>266</v>
      </c>
      <c r="B570" s="3" t="s">
        <v>409</v>
      </c>
      <c r="C570" s="2" t="s">
        <v>2529</v>
      </c>
      <c r="D570" s="2" t="str">
        <f>IF(SIGN(IFERROR(SEARCH("\1",$A570),0))=SIGN(IFERROR(SEARCH("\1",B570),0)),".","!")&amp;
   IF(SIGN(IFERROR(SEARCH("\2",$A570),0))=SIGN(IFERROR(SEARCH("\2",B570),0)),".","!")&amp;
   IF(SIGN(IFERROR(SEARCH("\3",$A570),0))=SIGN(IFERROR(SEARCH("\3",B570),0)),".","!")</f>
        <v>...</v>
      </c>
      <c r="E570" s="2" t="str">
        <f>IF(SIGN(IFERROR(SEARCH("\1",$A570),0))=SIGN(IFERROR(SEARCH("\1",C570),0)),".","!")&amp;
   IF(SIGN(IFERROR(SEARCH("\2",$A570),0))=SIGN(IFERROR(SEARCH("\2",C570),0)),".","!")&amp;
   IF(SIGN(IFERROR(SEARCH("\3",$A570),0))=SIGN(IFERROR(SEARCH("\3",C570),0)),".","!")</f>
        <v>...</v>
      </c>
      <c r="F570" s="2">
        <f>LEN(A570)</f>
        <v>10</v>
      </c>
    </row>
    <row r="571" spans="1:6" x14ac:dyDescent="0.25">
      <c r="A571" s="3" t="s">
        <v>97</v>
      </c>
      <c r="B571" s="3" t="s">
        <v>98</v>
      </c>
      <c r="C571" s="2" t="s">
        <v>2530</v>
      </c>
      <c r="D571" s="2" t="str">
        <f>IF(SIGN(IFERROR(SEARCH("\1",$A571),0))=SIGN(IFERROR(SEARCH("\1",B571),0)),".","!")&amp;
   IF(SIGN(IFERROR(SEARCH("\2",$A571),0))=SIGN(IFERROR(SEARCH("\2",B571),0)),".","!")&amp;
   IF(SIGN(IFERROR(SEARCH("\3",$A571),0))=SIGN(IFERROR(SEARCH("\3",B571),0)),".","!")</f>
        <v>...</v>
      </c>
      <c r="E571" s="2" t="str">
        <f>IF(SIGN(IFERROR(SEARCH("\1",$A571),0))=SIGN(IFERROR(SEARCH("\1",C571),0)),".","!")&amp;
   IF(SIGN(IFERROR(SEARCH("\2",$A571),0))=SIGN(IFERROR(SEARCH("\2",C571),0)),".","!")&amp;
   IF(SIGN(IFERROR(SEARCH("\3",$A571),0))=SIGN(IFERROR(SEARCH("\3",C571),0)),".","!")</f>
        <v>...</v>
      </c>
      <c r="F571" s="2">
        <f>LEN(A571)</f>
        <v>35</v>
      </c>
    </row>
    <row r="572" spans="1:6" x14ac:dyDescent="0.25">
      <c r="A572" s="3" t="s">
        <v>101</v>
      </c>
      <c r="B572" s="3" t="s">
        <v>102</v>
      </c>
      <c r="C572" s="2" t="s">
        <v>2531</v>
      </c>
      <c r="D572" s="2" t="str">
        <f>IF(SIGN(IFERROR(SEARCH("\1",$A572),0))=SIGN(IFERROR(SEARCH("\1",B572),0)),".","!")&amp;
   IF(SIGN(IFERROR(SEARCH("\2",$A572),0))=SIGN(IFERROR(SEARCH("\2",B572),0)),".","!")&amp;
   IF(SIGN(IFERROR(SEARCH("\3",$A572),0))=SIGN(IFERROR(SEARCH("\3",B572),0)),".","!")</f>
        <v>...</v>
      </c>
      <c r="E572" s="2" t="str">
        <f>IF(SIGN(IFERROR(SEARCH("\1",$A572),0))=SIGN(IFERROR(SEARCH("\1",C572),0)),".","!")&amp;
   IF(SIGN(IFERROR(SEARCH("\2",$A572),0))=SIGN(IFERROR(SEARCH("\2",C572),0)),".","!")&amp;
   IF(SIGN(IFERROR(SEARCH("\3",$A572),0))=SIGN(IFERROR(SEARCH("\3",C572),0)),".","!")</f>
        <v>...</v>
      </c>
      <c r="F572" s="2">
        <f>LEN(A572)</f>
        <v>25</v>
      </c>
    </row>
    <row r="573" spans="1:6" x14ac:dyDescent="0.25">
      <c r="A573" s="3" t="s">
        <v>248</v>
      </c>
      <c r="B573" s="3" t="s">
        <v>410</v>
      </c>
      <c r="C573" s="2" t="s">
        <v>2532</v>
      </c>
      <c r="D573" s="2" t="str">
        <f>IF(SIGN(IFERROR(SEARCH("\1",$A573),0))=SIGN(IFERROR(SEARCH("\1",B573),0)),".","!")&amp;
   IF(SIGN(IFERROR(SEARCH("\2",$A573),0))=SIGN(IFERROR(SEARCH("\2",B573),0)),".","!")&amp;
   IF(SIGN(IFERROR(SEARCH("\3",$A573),0))=SIGN(IFERROR(SEARCH("\3",B573),0)),".","!")</f>
        <v>...</v>
      </c>
      <c r="E573" s="2" t="str">
        <f>IF(SIGN(IFERROR(SEARCH("\1",$A573),0))=SIGN(IFERROR(SEARCH("\1",C573),0)),".","!")&amp;
   IF(SIGN(IFERROR(SEARCH("\2",$A573),0))=SIGN(IFERROR(SEARCH("\2",C573),0)),".","!")&amp;
   IF(SIGN(IFERROR(SEARCH("\3",$A573),0))=SIGN(IFERROR(SEARCH("\3",C573),0)),".","!")</f>
        <v>...</v>
      </c>
      <c r="F573" s="2">
        <f>LEN(A573)</f>
        <v>33</v>
      </c>
    </row>
    <row r="574" spans="1:6" x14ac:dyDescent="0.25">
      <c r="A574" s="3" t="s">
        <v>547</v>
      </c>
      <c r="B574" s="3" t="s">
        <v>986</v>
      </c>
      <c r="C574" s="2" t="s">
        <v>2533</v>
      </c>
      <c r="D574" s="2" t="str">
        <f>IF(SIGN(IFERROR(SEARCH("\1",$A574),0))=SIGN(IFERROR(SEARCH("\1",B574),0)),".","!")&amp;
   IF(SIGN(IFERROR(SEARCH("\2",$A574),0))=SIGN(IFERROR(SEARCH("\2",B574),0)),".","!")&amp;
   IF(SIGN(IFERROR(SEARCH("\3",$A574),0))=SIGN(IFERROR(SEARCH("\3",B574),0)),".","!")</f>
        <v>...</v>
      </c>
      <c r="E574" s="2" t="str">
        <f>IF(SIGN(IFERROR(SEARCH("\1",$A574),0))=SIGN(IFERROR(SEARCH("\1",C574),0)),".","!")&amp;
   IF(SIGN(IFERROR(SEARCH("\2",$A574),0))=SIGN(IFERROR(SEARCH("\2",C574),0)),".","!")&amp;
   IF(SIGN(IFERROR(SEARCH("\3",$A574),0))=SIGN(IFERROR(SEARCH("\3",C574),0)),".","!")</f>
        <v>...</v>
      </c>
      <c r="F574" s="2">
        <f>LEN(A574)</f>
        <v>41</v>
      </c>
    </row>
    <row r="575" spans="1:6" x14ac:dyDescent="0.25">
      <c r="A575" s="3" t="s">
        <v>99</v>
      </c>
      <c r="B575" s="3" t="s">
        <v>100</v>
      </c>
      <c r="C575" s="2" t="s">
        <v>2534</v>
      </c>
      <c r="D575" s="2" t="str">
        <f>IF(SIGN(IFERROR(SEARCH("\1",$A575),0))=SIGN(IFERROR(SEARCH("\1",B575),0)),".","!")&amp;
   IF(SIGN(IFERROR(SEARCH("\2",$A575),0))=SIGN(IFERROR(SEARCH("\2",B575),0)),".","!")&amp;
   IF(SIGN(IFERROR(SEARCH("\3",$A575),0))=SIGN(IFERROR(SEARCH("\3",B575),0)),".","!")</f>
        <v>...</v>
      </c>
      <c r="E575" s="2" t="str">
        <f>IF(SIGN(IFERROR(SEARCH("\1",$A575),0))=SIGN(IFERROR(SEARCH("\1",C575),0)),".","!")&amp;
   IF(SIGN(IFERROR(SEARCH("\2",$A575),0))=SIGN(IFERROR(SEARCH("\2",C575),0)),".","!")&amp;
   IF(SIGN(IFERROR(SEARCH("\3",$A575),0))=SIGN(IFERROR(SEARCH("\3",C575),0)),".","!")</f>
        <v>...</v>
      </c>
      <c r="F575" s="2">
        <f>LEN(A575)</f>
        <v>24</v>
      </c>
    </row>
    <row r="576" spans="1:6" x14ac:dyDescent="0.25">
      <c r="A576" s="3" t="s">
        <v>459</v>
      </c>
      <c r="B576" s="3" t="s">
        <v>501</v>
      </c>
      <c r="C576" s="2" t="s">
        <v>2535</v>
      </c>
      <c r="D576" s="2" t="str">
        <f>IF(SIGN(IFERROR(SEARCH("\1",$A576),0))=SIGN(IFERROR(SEARCH("\1",B576),0)),".","!")&amp;
   IF(SIGN(IFERROR(SEARCH("\2",$A576),0))=SIGN(IFERROR(SEARCH("\2",B576),0)),".","!")&amp;
   IF(SIGN(IFERROR(SEARCH("\3",$A576),0))=SIGN(IFERROR(SEARCH("\3",B576),0)),".","!")</f>
        <v>...</v>
      </c>
      <c r="E576" s="2" t="str">
        <f>IF(SIGN(IFERROR(SEARCH("\1",$A576),0))=SIGN(IFERROR(SEARCH("\1",C576),0)),".","!")&amp;
   IF(SIGN(IFERROR(SEARCH("\2",$A576),0))=SIGN(IFERROR(SEARCH("\2",C576),0)),".","!")&amp;
   IF(SIGN(IFERROR(SEARCH("\3",$A576),0))=SIGN(IFERROR(SEARCH("\3",C576),0)),".","!")</f>
        <v>...</v>
      </c>
      <c r="F576" s="2">
        <f>LEN(A576)</f>
        <v>16</v>
      </c>
    </row>
    <row r="577" spans="1:6" x14ac:dyDescent="0.25">
      <c r="A577" s="3" t="s">
        <v>1038</v>
      </c>
      <c r="B577" s="3" t="s">
        <v>1045</v>
      </c>
      <c r="C577" s="2" t="s">
        <v>1045</v>
      </c>
      <c r="D577" s="2" t="str">
        <f>IF(SIGN(IFERROR(SEARCH("\1",$A577),0))=SIGN(IFERROR(SEARCH("\1",B577),0)),".","!")&amp;
   IF(SIGN(IFERROR(SEARCH("\2",$A577),0))=SIGN(IFERROR(SEARCH("\2",B577),0)),".","!")&amp;
   IF(SIGN(IFERROR(SEARCH("\3",$A577),0))=SIGN(IFERROR(SEARCH("\3",B577),0)),".","!")</f>
        <v>...</v>
      </c>
      <c r="E577" s="2" t="str">
        <f>IF(SIGN(IFERROR(SEARCH("\1",$A577),0))=SIGN(IFERROR(SEARCH("\1",C577),0)),".","!")&amp;
   IF(SIGN(IFERROR(SEARCH("\2",$A577),0))=SIGN(IFERROR(SEARCH("\2",C577),0)),".","!")&amp;
   IF(SIGN(IFERROR(SEARCH("\3",$A577),0))=SIGN(IFERROR(SEARCH("\3",C577),0)),".","!")</f>
        <v>...</v>
      </c>
      <c r="F577" s="2">
        <f>LEN(A577)</f>
        <v>38</v>
      </c>
    </row>
    <row r="578" spans="1:6" x14ac:dyDescent="0.25">
      <c r="A578" s="3" t="s">
        <v>1039</v>
      </c>
      <c r="B578" s="3" t="s">
        <v>1046</v>
      </c>
      <c r="C578" s="2" t="s">
        <v>1046</v>
      </c>
      <c r="D578" s="2" t="str">
        <f>IF(SIGN(IFERROR(SEARCH("\1",$A578),0))=SIGN(IFERROR(SEARCH("\1",B578),0)),".","!")&amp;
   IF(SIGN(IFERROR(SEARCH("\2",$A578),0))=SIGN(IFERROR(SEARCH("\2",B578),0)),".","!")&amp;
   IF(SIGN(IFERROR(SEARCH("\3",$A578),0))=SIGN(IFERROR(SEARCH("\3",B578),0)),".","!")</f>
        <v>...</v>
      </c>
      <c r="E578" s="2" t="str">
        <f>IF(SIGN(IFERROR(SEARCH("\1",$A578),0))=SIGN(IFERROR(SEARCH("\1",C578),0)),".","!")&amp;
   IF(SIGN(IFERROR(SEARCH("\2",$A578),0))=SIGN(IFERROR(SEARCH("\2",C578),0)),".","!")&amp;
   IF(SIGN(IFERROR(SEARCH("\3",$A578),0))=SIGN(IFERROR(SEARCH("\3",C578),0)),".","!")</f>
        <v>...</v>
      </c>
      <c r="F578" s="2">
        <f>LEN(A578)</f>
        <v>39</v>
      </c>
    </row>
    <row r="579" spans="1:6" x14ac:dyDescent="0.25">
      <c r="A579" s="3" t="s">
        <v>1041</v>
      </c>
      <c r="B579" s="3" t="s">
        <v>1048</v>
      </c>
      <c r="C579" s="2" t="s">
        <v>1048</v>
      </c>
      <c r="D579" s="2" t="str">
        <f>IF(SIGN(IFERROR(SEARCH("\1",$A579),0))=SIGN(IFERROR(SEARCH("\1",B579),0)),".","!")&amp;
   IF(SIGN(IFERROR(SEARCH("\2",$A579),0))=SIGN(IFERROR(SEARCH("\2",B579),0)),".","!")&amp;
   IF(SIGN(IFERROR(SEARCH("\3",$A579),0))=SIGN(IFERROR(SEARCH("\3",B579),0)),".","!")</f>
        <v>...</v>
      </c>
      <c r="E579" s="2" t="str">
        <f>IF(SIGN(IFERROR(SEARCH("\1",$A579),0))=SIGN(IFERROR(SEARCH("\1",C579),0)),".","!")&amp;
   IF(SIGN(IFERROR(SEARCH("\2",$A579),0))=SIGN(IFERROR(SEARCH("\2",C579),0)),".","!")&amp;
   IF(SIGN(IFERROR(SEARCH("\3",$A579),0))=SIGN(IFERROR(SEARCH("\3",C579),0)),".","!")</f>
        <v>...</v>
      </c>
      <c r="F579" s="2">
        <f>LEN(A579)</f>
        <v>34</v>
      </c>
    </row>
    <row r="580" spans="1:6" x14ac:dyDescent="0.25">
      <c r="A580" s="3" t="s">
        <v>1042</v>
      </c>
      <c r="B580" s="3" t="s">
        <v>1049</v>
      </c>
      <c r="C580" s="2" t="s">
        <v>1049</v>
      </c>
      <c r="D580" s="2" t="str">
        <f>IF(SIGN(IFERROR(SEARCH("\1",$A580),0))=SIGN(IFERROR(SEARCH("\1",B580),0)),".","!")&amp;
   IF(SIGN(IFERROR(SEARCH("\2",$A580),0))=SIGN(IFERROR(SEARCH("\2",B580),0)),".","!")&amp;
   IF(SIGN(IFERROR(SEARCH("\3",$A580),0))=SIGN(IFERROR(SEARCH("\3",B580),0)),".","!")</f>
        <v>...</v>
      </c>
      <c r="E580" s="2" t="str">
        <f>IF(SIGN(IFERROR(SEARCH("\1",$A580),0))=SIGN(IFERROR(SEARCH("\1",C580),0)),".","!")&amp;
   IF(SIGN(IFERROR(SEARCH("\2",$A580),0))=SIGN(IFERROR(SEARCH("\2",C580),0)),".","!")&amp;
   IF(SIGN(IFERROR(SEARCH("\3",$A580),0))=SIGN(IFERROR(SEARCH("\3",C580),0)),".","!")</f>
        <v>...</v>
      </c>
      <c r="F580" s="2">
        <f>LEN(A580)</f>
        <v>35</v>
      </c>
    </row>
    <row r="581" spans="1:6" x14ac:dyDescent="0.25">
      <c r="A581" s="3" t="s">
        <v>1969</v>
      </c>
      <c r="B581" s="3" t="s">
        <v>1970</v>
      </c>
      <c r="C581" s="2" t="s">
        <v>2536</v>
      </c>
      <c r="D581" s="3" t="str">
        <f>IF(SIGN(IFERROR(SEARCH("\1",$A581),0))=SIGN(IFERROR(SEARCH("\1",B581),0)),".","!")&amp;
   IF(SIGN(IFERROR(SEARCH("\2",$A581),0))=SIGN(IFERROR(SEARCH("\2",B581),0)),".","!")&amp;
   IF(SIGN(IFERROR(SEARCH("\3",$A581),0))=SIGN(IFERROR(SEARCH("\3",B581),0)),".","!")</f>
        <v>...</v>
      </c>
      <c r="E581" s="3" t="str">
        <f>IF(SIGN(IFERROR(SEARCH("\1",$A581),0))=SIGN(IFERROR(SEARCH("\1",C581),0)),".","!")&amp;
   IF(SIGN(IFERROR(SEARCH("\2",$A581),0))=SIGN(IFERROR(SEARCH("\2",C581),0)),".","!")&amp;
   IF(SIGN(IFERROR(SEARCH("\3",$A581),0))=SIGN(IFERROR(SEARCH("\3",C581),0)),".","!")</f>
        <v>...</v>
      </c>
      <c r="F581" s="3">
        <f>LEN(A581)</f>
        <v>9</v>
      </c>
    </row>
    <row r="582" spans="1:6" x14ac:dyDescent="0.25">
      <c r="A582" s="3" t="s">
        <v>1318</v>
      </c>
      <c r="B582" s="3" t="s">
        <v>1319</v>
      </c>
      <c r="C582" s="2" t="s">
        <v>2537</v>
      </c>
      <c r="D582" s="2" t="str">
        <f>IF(SIGN(IFERROR(SEARCH("\1",$A582),0))=SIGN(IFERROR(SEARCH("\1",B582),0)),".","!")&amp;
   IF(SIGN(IFERROR(SEARCH("\2",$A582),0))=SIGN(IFERROR(SEARCH("\2",B582),0)),".","!")&amp;
   IF(SIGN(IFERROR(SEARCH("\3",$A582),0))=SIGN(IFERROR(SEARCH("\3",B582),0)),".","!")</f>
        <v>...</v>
      </c>
      <c r="E582" s="2" t="str">
        <f>IF(SIGN(IFERROR(SEARCH("\1",$A582),0))=SIGN(IFERROR(SEARCH("\1",C582),0)),".","!")&amp;
   IF(SIGN(IFERROR(SEARCH("\2",$A582),0))=SIGN(IFERROR(SEARCH("\2",C582),0)),".","!")&amp;
   IF(SIGN(IFERROR(SEARCH("\3",$A582),0))=SIGN(IFERROR(SEARCH("\3",C582),0)),".","!")</f>
        <v>...</v>
      </c>
      <c r="F582" s="2">
        <f>LEN(A582)</f>
        <v>13</v>
      </c>
    </row>
    <row r="583" spans="1:6" x14ac:dyDescent="0.25">
      <c r="A583" s="3" t="s">
        <v>207</v>
      </c>
      <c r="B583" s="3" t="s">
        <v>411</v>
      </c>
      <c r="C583" s="2" t="s">
        <v>2538</v>
      </c>
      <c r="D583" s="2" t="str">
        <f>IF(SIGN(IFERROR(SEARCH("\1",$A583),0))=SIGN(IFERROR(SEARCH("\1",B583),0)),".","!")&amp;
   IF(SIGN(IFERROR(SEARCH("\2",$A583),0))=SIGN(IFERROR(SEARCH("\2",B583),0)),".","!")&amp;
   IF(SIGN(IFERROR(SEARCH("\3",$A583),0))=SIGN(IFERROR(SEARCH("\3",B583),0)),".","!")</f>
        <v>...</v>
      </c>
      <c r="E583" s="2" t="str">
        <f>IF(SIGN(IFERROR(SEARCH("\1",$A583),0))=SIGN(IFERROR(SEARCH("\1",C583),0)),".","!")&amp;
   IF(SIGN(IFERROR(SEARCH("\2",$A583),0))=SIGN(IFERROR(SEARCH("\2",C583),0)),".","!")&amp;
   IF(SIGN(IFERROR(SEARCH("\3",$A583),0))=SIGN(IFERROR(SEARCH("\3",C583),0)),".","!")</f>
        <v>...</v>
      </c>
      <c r="F583" s="2">
        <f>LEN(A583)</f>
        <v>23</v>
      </c>
    </row>
    <row r="584" spans="1:6" x14ac:dyDescent="0.25">
      <c r="A584" s="3" t="s">
        <v>2037</v>
      </c>
      <c r="B584" s="3" t="s">
        <v>2038</v>
      </c>
      <c r="C584" s="2" t="s">
        <v>2539</v>
      </c>
      <c r="D584" s="2" t="str">
        <f>IF(SIGN(IFERROR(SEARCH("\1",$A584),0))=SIGN(IFERROR(SEARCH("\1",B584),0)),".","!")&amp;
   IF(SIGN(IFERROR(SEARCH("\2",$A584),0))=SIGN(IFERROR(SEARCH("\2",B584),0)),".","!")&amp;
   IF(SIGN(IFERROR(SEARCH("\3",$A584),0))=SIGN(IFERROR(SEARCH("\3",B584),0)),".","!")</f>
        <v>...</v>
      </c>
      <c r="E584" s="2" t="str">
        <f>IF(SIGN(IFERROR(SEARCH("\1",$A584),0))=SIGN(IFERROR(SEARCH("\1",C584),0)),".","!")&amp;
   IF(SIGN(IFERROR(SEARCH("\2",$A584),0))=SIGN(IFERROR(SEARCH("\2",C584),0)),".","!")&amp;
   IF(SIGN(IFERROR(SEARCH("\3",$A584),0))=SIGN(IFERROR(SEARCH("\3",C584),0)),".","!")</f>
        <v>...</v>
      </c>
      <c r="F584" s="2">
        <f>LEN(A584)</f>
        <v>31</v>
      </c>
    </row>
    <row r="585" spans="1:6" x14ac:dyDescent="0.25">
      <c r="A585" s="3" t="s">
        <v>103</v>
      </c>
      <c r="B585" s="3" t="s">
        <v>104</v>
      </c>
      <c r="C585" s="2" t="s">
        <v>104</v>
      </c>
      <c r="D585" s="2" t="str">
        <f>IF(SIGN(IFERROR(SEARCH("\1",$A585),0))=SIGN(IFERROR(SEARCH("\1",B585),0)),".","!")&amp;
   IF(SIGN(IFERROR(SEARCH("\2",$A585),0))=SIGN(IFERROR(SEARCH("\2",B585),0)),".","!")&amp;
   IF(SIGN(IFERROR(SEARCH("\3",$A585),0))=SIGN(IFERROR(SEARCH("\3",B585),0)),".","!")</f>
        <v>...</v>
      </c>
      <c r="E585" s="2" t="str">
        <f>IF(SIGN(IFERROR(SEARCH("\1",$A585),0))=SIGN(IFERROR(SEARCH("\1",C585),0)),".","!")&amp;
   IF(SIGN(IFERROR(SEARCH("\2",$A585),0))=SIGN(IFERROR(SEARCH("\2",C585),0)),".","!")&amp;
   IF(SIGN(IFERROR(SEARCH("\3",$A585),0))=SIGN(IFERROR(SEARCH("\3",C585),0)),".","!")</f>
        <v>...</v>
      </c>
      <c r="F585" s="2">
        <f>LEN(A585)</f>
        <v>7</v>
      </c>
    </row>
    <row r="586" spans="1:6" x14ac:dyDescent="0.25">
      <c r="A586" s="3" t="s">
        <v>105</v>
      </c>
      <c r="B586" s="3" t="s">
        <v>106</v>
      </c>
      <c r="C586" s="2" t="s">
        <v>2540</v>
      </c>
      <c r="D586" s="2" t="str">
        <f>IF(SIGN(IFERROR(SEARCH("\1",$A586),0))=SIGN(IFERROR(SEARCH("\1",B586),0)),".","!")&amp;
   IF(SIGN(IFERROR(SEARCH("\2",$A586),0))=SIGN(IFERROR(SEARCH("\2",B586),0)),".","!")&amp;
   IF(SIGN(IFERROR(SEARCH("\3",$A586),0))=SIGN(IFERROR(SEARCH("\3",B586),0)),".","!")</f>
        <v>...</v>
      </c>
      <c r="E586" s="2" t="str">
        <f>IF(SIGN(IFERROR(SEARCH("\1",$A586),0))=SIGN(IFERROR(SEARCH("\1",C586),0)),".","!")&amp;
   IF(SIGN(IFERROR(SEARCH("\2",$A586),0))=SIGN(IFERROR(SEARCH("\2",C586),0)),".","!")&amp;
   IF(SIGN(IFERROR(SEARCH("\3",$A586),0))=SIGN(IFERROR(SEARCH("\3",C586),0)),".","!")</f>
        <v>...</v>
      </c>
      <c r="F586" s="2">
        <f>LEN(A586)</f>
        <v>8</v>
      </c>
    </row>
    <row r="587" spans="1:6" x14ac:dyDescent="0.25">
      <c r="A587" s="3" t="s">
        <v>199</v>
      </c>
      <c r="B587" s="3" t="s">
        <v>412</v>
      </c>
      <c r="C587" s="2" t="s">
        <v>2541</v>
      </c>
      <c r="D587" s="2" t="str">
        <f>IF(SIGN(IFERROR(SEARCH("\1",$A587),0))=SIGN(IFERROR(SEARCH("\1",B587),0)),".","!")&amp;
   IF(SIGN(IFERROR(SEARCH("\2",$A587),0))=SIGN(IFERROR(SEARCH("\2",B587),0)),".","!")&amp;
   IF(SIGN(IFERROR(SEARCH("\3",$A587),0))=SIGN(IFERROR(SEARCH("\3",B587),0)),".","!")</f>
        <v>...</v>
      </c>
      <c r="E587" s="2" t="str">
        <f>IF(SIGN(IFERROR(SEARCH("\1",$A587),0))=SIGN(IFERROR(SEARCH("\1",C587),0)),".","!")&amp;
   IF(SIGN(IFERROR(SEARCH("\2",$A587),0))=SIGN(IFERROR(SEARCH("\2",C587),0)),".","!")&amp;
   IF(SIGN(IFERROR(SEARCH("\3",$A587),0))=SIGN(IFERROR(SEARCH("\3",C587),0)),".","!")</f>
        <v>...</v>
      </c>
      <c r="F587" s="2">
        <f>LEN(A587)</f>
        <v>26</v>
      </c>
    </row>
    <row r="588" spans="1:6" ht="30" x14ac:dyDescent="0.25">
      <c r="A588" s="3" t="s">
        <v>1983</v>
      </c>
      <c r="B588" s="3" t="s">
        <v>1984</v>
      </c>
      <c r="C588" s="2" t="s">
        <v>2542</v>
      </c>
      <c r="D588" s="3" t="str">
        <f>IF(SIGN(IFERROR(SEARCH("\1",$A588),0))=SIGN(IFERROR(SEARCH("\1",B588),0)),".","!")&amp;
   IF(SIGN(IFERROR(SEARCH("\2",$A588),0))=SIGN(IFERROR(SEARCH("\2",B588),0)),".","!")&amp;
   IF(SIGN(IFERROR(SEARCH("\3",$A588),0))=SIGN(IFERROR(SEARCH("\3",B588),0)),".","!")</f>
        <v>...</v>
      </c>
      <c r="E588" s="3" t="str">
        <f>IF(SIGN(IFERROR(SEARCH("\1",$A588),0))=SIGN(IFERROR(SEARCH("\1",C588),0)),".","!")&amp;
   IF(SIGN(IFERROR(SEARCH("\2",$A588),0))=SIGN(IFERROR(SEARCH("\2",C588),0)),".","!")&amp;
   IF(SIGN(IFERROR(SEARCH("\3",$A588),0))=SIGN(IFERROR(SEARCH("\3",C588),0)),".","!")</f>
        <v>...</v>
      </c>
      <c r="F588" s="3">
        <f>LEN(A588)</f>
        <v>92</v>
      </c>
    </row>
    <row r="589" spans="1:6" ht="45" x14ac:dyDescent="0.25">
      <c r="A589" s="3" t="s">
        <v>2806</v>
      </c>
      <c r="B589" s="3" t="s">
        <v>2810</v>
      </c>
      <c r="C589" s="15" t="s">
        <v>2876</v>
      </c>
      <c r="D589" s="2" t="str">
        <f>IF(SIGN(IFERROR(SEARCH("\1",$A589),0))=SIGN(IFERROR(SEARCH("\1",B589),0)),".","!")&amp;
   IF(SIGN(IFERROR(SEARCH("\2",$A589),0))=SIGN(IFERROR(SEARCH("\2",B589),0)),".","!")&amp;
   IF(SIGN(IFERROR(SEARCH("\3",$A589),0))=SIGN(IFERROR(SEARCH("\3",B589),0)),".","!")</f>
        <v>...</v>
      </c>
      <c r="E589" s="2" t="str">
        <f>IF(SIGN(IFERROR(SEARCH("\1",$A589),0))=SIGN(IFERROR(SEARCH("\1",C589),0)),".","!")&amp;
   IF(SIGN(IFERROR(SEARCH("\2",$A589),0))=SIGN(IFERROR(SEARCH("\2",C589),0)),".","!")&amp;
   IF(SIGN(IFERROR(SEARCH("\3",$A589),0))=SIGN(IFERROR(SEARCH("\3",C589),0)),".","!")</f>
        <v>...</v>
      </c>
      <c r="F589" s="2">
        <f>LEN(A589)</f>
        <v>73</v>
      </c>
    </row>
    <row r="590" spans="1:6" x14ac:dyDescent="0.25">
      <c r="A590" s="3" t="s">
        <v>719</v>
      </c>
      <c r="B590" s="3" t="s">
        <v>720</v>
      </c>
      <c r="C590" s="2" t="s">
        <v>2543</v>
      </c>
      <c r="D590" s="2" t="str">
        <f>IF(SIGN(IFERROR(SEARCH("\1",$A590),0))=SIGN(IFERROR(SEARCH("\1",B590),0)),".","!")&amp;
   IF(SIGN(IFERROR(SEARCH("\2",$A590),0))=SIGN(IFERROR(SEARCH("\2",B590),0)),".","!")&amp;
   IF(SIGN(IFERROR(SEARCH("\3",$A590),0))=SIGN(IFERROR(SEARCH("\3",B590),0)),".","!")</f>
        <v>...</v>
      </c>
      <c r="E590" s="2" t="str">
        <f>IF(SIGN(IFERROR(SEARCH("\1",$A590),0))=SIGN(IFERROR(SEARCH("\1",C590),0)),".","!")&amp;
   IF(SIGN(IFERROR(SEARCH("\2",$A590),0))=SIGN(IFERROR(SEARCH("\2",C590),0)),".","!")&amp;
   IF(SIGN(IFERROR(SEARCH("\3",$A590),0))=SIGN(IFERROR(SEARCH("\3",C590),0)),".","!")</f>
        <v>...</v>
      </c>
      <c r="F590" s="2">
        <f>LEN(A590)</f>
        <v>4</v>
      </c>
    </row>
    <row r="591" spans="1:6" x14ac:dyDescent="0.25">
      <c r="A591" s="3" t="s">
        <v>414</v>
      </c>
      <c r="B591" s="3" t="s">
        <v>413</v>
      </c>
      <c r="C591" s="2" t="s">
        <v>2544</v>
      </c>
      <c r="D591" s="2" t="str">
        <f>IF(SIGN(IFERROR(SEARCH("\1",$A591),0))=SIGN(IFERROR(SEARCH("\1",B591),0)),".","!")&amp;
   IF(SIGN(IFERROR(SEARCH("\2",$A591),0))=SIGN(IFERROR(SEARCH("\2",B591),0)),".","!")&amp;
   IF(SIGN(IFERROR(SEARCH("\3",$A591),0))=SIGN(IFERROR(SEARCH("\3",B591),0)),".","!")</f>
        <v>...</v>
      </c>
      <c r="E591" s="2" t="str">
        <f>IF(SIGN(IFERROR(SEARCH("\1",$A591),0))=SIGN(IFERROR(SEARCH("\1",C591),0)),".","!")&amp;
   IF(SIGN(IFERROR(SEARCH("\2",$A591),0))=SIGN(IFERROR(SEARCH("\2",C591),0)),".","!")&amp;
   IF(SIGN(IFERROR(SEARCH("\3",$A591),0))=SIGN(IFERROR(SEARCH("\3",C591),0)),".","!")</f>
        <v>...</v>
      </c>
      <c r="F591" s="2">
        <f>LEN(A591)</f>
        <v>13</v>
      </c>
    </row>
    <row r="592" spans="1:6" ht="30" x14ac:dyDescent="0.25">
      <c r="A592" s="3" t="s">
        <v>208</v>
      </c>
      <c r="B592" s="3" t="s">
        <v>415</v>
      </c>
      <c r="C592" s="2" t="s">
        <v>2545</v>
      </c>
      <c r="D592" s="2" t="str">
        <f>IF(SIGN(IFERROR(SEARCH("\1",$A592),0))=SIGN(IFERROR(SEARCH("\1",B592),0)),".","!")&amp;
   IF(SIGN(IFERROR(SEARCH("\2",$A592),0))=SIGN(IFERROR(SEARCH("\2",B592),0)),".","!")&amp;
   IF(SIGN(IFERROR(SEARCH("\3",$A592),0))=SIGN(IFERROR(SEARCH("\3",B592),0)),".","!")</f>
        <v>...</v>
      </c>
      <c r="E592" s="2" t="str">
        <f>IF(SIGN(IFERROR(SEARCH("\1",$A592),0))=SIGN(IFERROR(SEARCH("\1",C592),0)),".","!")&amp;
   IF(SIGN(IFERROR(SEARCH("\2",$A592),0))=SIGN(IFERROR(SEARCH("\2",C592),0)),".","!")&amp;
   IF(SIGN(IFERROR(SEARCH("\3",$A592),0))=SIGN(IFERROR(SEARCH("\3",C592),0)),".","!")</f>
        <v>...</v>
      </c>
      <c r="F592" s="2">
        <f>LEN(A592)</f>
        <v>33</v>
      </c>
    </row>
    <row r="593" spans="1:6" x14ac:dyDescent="0.25">
      <c r="A593" s="3" t="s">
        <v>153</v>
      </c>
      <c r="B593" s="3" t="s">
        <v>153</v>
      </c>
      <c r="C593" s="2" t="s">
        <v>153</v>
      </c>
      <c r="D593" s="2" t="str">
        <f>IF(SIGN(IFERROR(SEARCH("\1",$A593),0))=SIGN(IFERROR(SEARCH("\1",B593),0)),".","!")&amp;
   IF(SIGN(IFERROR(SEARCH("\2",$A593),0))=SIGN(IFERROR(SEARCH("\2",B593),0)),".","!")&amp;
   IF(SIGN(IFERROR(SEARCH("\3",$A593),0))=SIGN(IFERROR(SEARCH("\3",B593),0)),".","!")</f>
        <v>...</v>
      </c>
      <c r="E593" s="2" t="str">
        <f>IF(SIGN(IFERROR(SEARCH("\1",$A593),0))=SIGN(IFERROR(SEARCH("\1",C593),0)),".","!")&amp;
   IF(SIGN(IFERROR(SEARCH("\2",$A593),0))=SIGN(IFERROR(SEARCH("\2",C593),0)),".","!")&amp;
   IF(SIGN(IFERROR(SEARCH("\3",$A593),0))=SIGN(IFERROR(SEARCH("\3",C593),0)),".","!")</f>
        <v>...</v>
      </c>
      <c r="F593" s="2">
        <f>LEN(A593)</f>
        <v>3</v>
      </c>
    </row>
    <row r="594" spans="1:6" x14ac:dyDescent="0.25">
      <c r="A594" s="3" t="s">
        <v>1341</v>
      </c>
      <c r="B594" s="3" t="s">
        <v>1342</v>
      </c>
      <c r="C594" s="2" t="s">
        <v>2546</v>
      </c>
      <c r="D594" s="2" t="str">
        <f>IF(SIGN(IFERROR(SEARCH("\1",$A594),0))=SIGN(IFERROR(SEARCH("\1",B594),0)),".","!")&amp;
   IF(SIGN(IFERROR(SEARCH("\2",$A594),0))=SIGN(IFERROR(SEARCH("\2",B594),0)),".","!")&amp;
   IF(SIGN(IFERROR(SEARCH("\3",$A594),0))=SIGN(IFERROR(SEARCH("\3",B594),0)),".","!")</f>
        <v>...</v>
      </c>
      <c r="E594" s="2" t="str">
        <f>IF(SIGN(IFERROR(SEARCH("\1",$A594),0))=SIGN(IFERROR(SEARCH("\1",C594),0)),".","!")&amp;
   IF(SIGN(IFERROR(SEARCH("\2",$A594),0))=SIGN(IFERROR(SEARCH("\2",C594),0)),".","!")&amp;
   IF(SIGN(IFERROR(SEARCH("\3",$A594),0))=SIGN(IFERROR(SEARCH("\3",C594),0)),".","!")</f>
        <v>...</v>
      </c>
      <c r="F594" s="2">
        <f>LEN(A594)</f>
        <v>4</v>
      </c>
    </row>
    <row r="595" spans="1:6" x14ac:dyDescent="0.25">
      <c r="A595" s="3" t="s">
        <v>214</v>
      </c>
      <c r="B595" s="3" t="s">
        <v>536</v>
      </c>
      <c r="C595" s="2" t="s">
        <v>2547</v>
      </c>
      <c r="D595" s="2" t="str">
        <f>IF(SIGN(IFERROR(SEARCH("\1",$A595),0))=SIGN(IFERROR(SEARCH("\1",B595),0)),".","!")&amp;
   IF(SIGN(IFERROR(SEARCH("\2",$A595),0))=SIGN(IFERROR(SEARCH("\2",B595),0)),".","!")&amp;
   IF(SIGN(IFERROR(SEARCH("\3",$A595),0))=SIGN(IFERROR(SEARCH("\3",B595),0)),".","!")</f>
        <v>...</v>
      </c>
      <c r="E595" s="2" t="str">
        <f>IF(SIGN(IFERROR(SEARCH("\1",$A595),0))=SIGN(IFERROR(SEARCH("\1",C595),0)),".","!")&amp;
   IF(SIGN(IFERROR(SEARCH("\2",$A595),0))=SIGN(IFERROR(SEARCH("\2",C595),0)),".","!")&amp;
   IF(SIGN(IFERROR(SEARCH("\3",$A595),0))=SIGN(IFERROR(SEARCH("\3",C595),0)),".","!")</f>
        <v>...</v>
      </c>
      <c r="F595" s="2">
        <f>LEN(A595)</f>
        <v>18</v>
      </c>
    </row>
    <row r="596" spans="1:6" x14ac:dyDescent="0.25">
      <c r="A596" s="3" t="s">
        <v>2771</v>
      </c>
      <c r="B596" s="3" t="s">
        <v>2772</v>
      </c>
      <c r="C596" t="s">
        <v>2877</v>
      </c>
      <c r="D596" s="2" t="str">
        <f>IF(SIGN(IFERROR(SEARCH("\1",$A596),0))=SIGN(IFERROR(SEARCH("\1",B596),0)),".","!")&amp;
   IF(SIGN(IFERROR(SEARCH("\2",$A596),0))=SIGN(IFERROR(SEARCH("\2",B596),0)),".","!")&amp;
   IF(SIGN(IFERROR(SEARCH("\3",$A596),0))=SIGN(IFERROR(SEARCH("\3",B596),0)),".","!")</f>
        <v>...</v>
      </c>
      <c r="E596" s="2" t="str">
        <f>IF(SIGN(IFERROR(SEARCH("\1",$A596),0))=SIGN(IFERROR(SEARCH("\1",C596),0)),".","!")&amp;
   IF(SIGN(IFERROR(SEARCH("\2",$A596),0))=SIGN(IFERROR(SEARCH("\2",C596),0)),".","!")&amp;
   IF(SIGN(IFERROR(SEARCH("\3",$A596),0))=SIGN(IFERROR(SEARCH("\3",C596),0)),".","!")</f>
        <v>...</v>
      </c>
      <c r="F596" s="2">
        <f>LEN(A596)</f>
        <v>15</v>
      </c>
    </row>
    <row r="597" spans="1:6" x14ac:dyDescent="0.25">
      <c r="A597" s="3" t="s">
        <v>306</v>
      </c>
      <c r="B597" s="3" t="s">
        <v>416</v>
      </c>
      <c r="C597" s="2" t="s">
        <v>2548</v>
      </c>
      <c r="D597" s="2" t="str">
        <f>IF(SIGN(IFERROR(SEARCH("\1",$A597),0))=SIGN(IFERROR(SEARCH("\1",B597),0)),".","!")&amp;
   IF(SIGN(IFERROR(SEARCH("\2",$A597),0))=SIGN(IFERROR(SEARCH("\2",B597),0)),".","!")&amp;
   IF(SIGN(IFERROR(SEARCH("\3",$A597),0))=SIGN(IFERROR(SEARCH("\3",B597),0)),".","!")</f>
        <v>...</v>
      </c>
      <c r="E597" s="2" t="str">
        <f>IF(SIGN(IFERROR(SEARCH("\1",$A597),0))=SIGN(IFERROR(SEARCH("\1",C597),0)),".","!")&amp;
   IF(SIGN(IFERROR(SEARCH("\2",$A597),0))=SIGN(IFERROR(SEARCH("\2",C597),0)),".","!")&amp;
   IF(SIGN(IFERROR(SEARCH("\3",$A597),0))=SIGN(IFERROR(SEARCH("\3",C597),0)),".","!")</f>
        <v>...</v>
      </c>
      <c r="F597" s="2">
        <f>LEN(A597)</f>
        <v>24</v>
      </c>
    </row>
    <row r="598" spans="1:6" x14ac:dyDescent="0.25">
      <c r="A598" s="3" t="s">
        <v>1250</v>
      </c>
      <c r="B598" s="3" t="s">
        <v>1255</v>
      </c>
      <c r="C598" s="2" t="s">
        <v>1255</v>
      </c>
      <c r="D598" s="2" t="str">
        <f>IF(SIGN(IFERROR(SEARCH("\1",$A598),0))=SIGN(IFERROR(SEARCH("\1",B598),0)),".","!")&amp;
   IF(SIGN(IFERROR(SEARCH("\2",$A598),0))=SIGN(IFERROR(SEARCH("\2",B598),0)),".","!")&amp;
   IF(SIGN(IFERROR(SEARCH("\3",$A598),0))=SIGN(IFERROR(SEARCH("\3",B598),0)),".","!")</f>
        <v>...</v>
      </c>
      <c r="E598" s="2" t="str">
        <f>IF(SIGN(IFERROR(SEARCH("\1",$A598),0))=SIGN(IFERROR(SEARCH("\1",C598),0)),".","!")&amp;
   IF(SIGN(IFERROR(SEARCH("\2",$A598),0))=SIGN(IFERROR(SEARCH("\2",C598),0)),".","!")&amp;
   IF(SIGN(IFERROR(SEARCH("\3",$A598),0))=SIGN(IFERROR(SEARCH("\3",C598),0)),".","!")</f>
        <v>...</v>
      </c>
      <c r="F598" s="2">
        <f>LEN(A598)</f>
        <v>10</v>
      </c>
    </row>
    <row r="599" spans="1:6" x14ac:dyDescent="0.25">
      <c r="A599" s="3" t="s">
        <v>107</v>
      </c>
      <c r="B599" s="3" t="s">
        <v>107</v>
      </c>
      <c r="C599" s="2" t="s">
        <v>107</v>
      </c>
      <c r="D599" s="2" t="str">
        <f>IF(SIGN(IFERROR(SEARCH("\1",$A599),0))=SIGN(IFERROR(SEARCH("\1",B599),0)),".","!")&amp;
   IF(SIGN(IFERROR(SEARCH("\2",$A599),0))=SIGN(IFERROR(SEARCH("\2",B599),0)),".","!")&amp;
   IF(SIGN(IFERROR(SEARCH("\3",$A599),0))=SIGN(IFERROR(SEARCH("\3",B599),0)),".","!")</f>
        <v>...</v>
      </c>
      <c r="E599" s="2" t="str">
        <f>IF(SIGN(IFERROR(SEARCH("\1",$A599),0))=SIGN(IFERROR(SEARCH("\1",C599),0)),".","!")&amp;
   IF(SIGN(IFERROR(SEARCH("\2",$A599),0))=SIGN(IFERROR(SEARCH("\2",C599),0)),".","!")&amp;
   IF(SIGN(IFERROR(SEARCH("\3",$A599),0))=SIGN(IFERROR(SEARCH("\3",C599),0)),".","!")</f>
        <v>...</v>
      </c>
      <c r="F599" s="2">
        <f>LEN(A599)</f>
        <v>4</v>
      </c>
    </row>
    <row r="600" spans="1:6" x14ac:dyDescent="0.25">
      <c r="A600" s="3" t="s">
        <v>543</v>
      </c>
      <c r="B600" s="3" t="s">
        <v>543</v>
      </c>
      <c r="C600" s="2" t="s">
        <v>543</v>
      </c>
      <c r="D600" s="2" t="str">
        <f>IF(SIGN(IFERROR(SEARCH("\1",$A600),0))=SIGN(IFERROR(SEARCH("\1",B600),0)),".","!")&amp;
   IF(SIGN(IFERROR(SEARCH("\2",$A600),0))=SIGN(IFERROR(SEARCH("\2",B600),0)),".","!")&amp;
   IF(SIGN(IFERROR(SEARCH("\3",$A600),0))=SIGN(IFERROR(SEARCH("\3",B600),0)),".","!")</f>
        <v>...</v>
      </c>
      <c r="E600" s="2" t="str">
        <f>IF(SIGN(IFERROR(SEARCH("\1",$A600),0))=SIGN(IFERROR(SEARCH("\1",C600),0)),".","!")&amp;
   IF(SIGN(IFERROR(SEARCH("\2",$A600),0))=SIGN(IFERROR(SEARCH("\2",C600),0)),".","!")&amp;
   IF(SIGN(IFERROR(SEARCH("\3",$A600),0))=SIGN(IFERROR(SEARCH("\3",C600),0)),".","!")</f>
        <v>...</v>
      </c>
      <c r="F600" s="2">
        <f>LEN(A600)</f>
        <v>10</v>
      </c>
    </row>
    <row r="601" spans="1:6" x14ac:dyDescent="0.25">
      <c r="A601" s="3" t="s">
        <v>542</v>
      </c>
      <c r="B601" s="3" t="s">
        <v>542</v>
      </c>
      <c r="C601" s="2" t="s">
        <v>542</v>
      </c>
      <c r="D601" s="2" t="str">
        <f>IF(SIGN(IFERROR(SEARCH("\1",$A601),0))=SIGN(IFERROR(SEARCH("\1",B601),0)),".","!")&amp;
   IF(SIGN(IFERROR(SEARCH("\2",$A601),0))=SIGN(IFERROR(SEARCH("\2",B601),0)),".","!")&amp;
   IF(SIGN(IFERROR(SEARCH("\3",$A601),0))=SIGN(IFERROR(SEARCH("\3",B601),0)),".","!")</f>
        <v>...</v>
      </c>
      <c r="E601" s="2" t="str">
        <f>IF(SIGN(IFERROR(SEARCH("\1",$A601),0))=SIGN(IFERROR(SEARCH("\1",C601),0)),".","!")&amp;
   IF(SIGN(IFERROR(SEARCH("\2",$A601),0))=SIGN(IFERROR(SEARCH("\2",C601),0)),".","!")&amp;
   IF(SIGN(IFERROR(SEARCH("\3",$A601),0))=SIGN(IFERROR(SEARCH("\3",C601),0)),".","!")</f>
        <v>...</v>
      </c>
      <c r="F601" s="2">
        <f>LEN(A601)</f>
        <v>10</v>
      </c>
    </row>
    <row r="602" spans="1:6" x14ac:dyDescent="0.25">
      <c r="A602" s="3" t="s">
        <v>541</v>
      </c>
      <c r="B602" s="3" t="s">
        <v>541</v>
      </c>
      <c r="C602" s="2" t="s">
        <v>541</v>
      </c>
      <c r="D602" s="2" t="str">
        <f>IF(SIGN(IFERROR(SEARCH("\1",$A602),0))=SIGN(IFERROR(SEARCH("\1",B602),0)),".","!")&amp;
   IF(SIGN(IFERROR(SEARCH("\2",$A602),0))=SIGN(IFERROR(SEARCH("\2",B602),0)),".","!")&amp;
   IF(SIGN(IFERROR(SEARCH("\3",$A602),0))=SIGN(IFERROR(SEARCH("\3",B602),0)),".","!")</f>
        <v>...</v>
      </c>
      <c r="E602" s="2" t="str">
        <f>IF(SIGN(IFERROR(SEARCH("\1",$A602),0))=SIGN(IFERROR(SEARCH("\1",C602),0)),".","!")&amp;
   IF(SIGN(IFERROR(SEARCH("\2",$A602),0))=SIGN(IFERROR(SEARCH("\2",C602),0)),".","!")&amp;
   IF(SIGN(IFERROR(SEARCH("\3",$A602),0))=SIGN(IFERROR(SEARCH("\3",C602),0)),".","!")</f>
        <v>...</v>
      </c>
      <c r="F602" s="2">
        <f>LEN(A602)</f>
        <v>10</v>
      </c>
    </row>
    <row r="603" spans="1:6" x14ac:dyDescent="0.25">
      <c r="A603" s="3" t="s">
        <v>540</v>
      </c>
      <c r="B603" s="3" t="s">
        <v>540</v>
      </c>
      <c r="C603" s="2" t="s">
        <v>2549</v>
      </c>
      <c r="D603" s="2" t="str">
        <f>IF(SIGN(IFERROR(SEARCH("\1",$A603),0))=SIGN(IFERROR(SEARCH("\1",B603),0)),".","!")&amp;
   IF(SIGN(IFERROR(SEARCH("\2",$A603),0))=SIGN(IFERROR(SEARCH("\2",B603),0)),".","!")&amp;
   IF(SIGN(IFERROR(SEARCH("\3",$A603),0))=SIGN(IFERROR(SEARCH("\3",B603),0)),".","!")</f>
        <v>...</v>
      </c>
      <c r="E603" s="2" t="str">
        <f>IF(SIGN(IFERROR(SEARCH("\1",$A603),0))=SIGN(IFERROR(SEARCH("\1",C603),0)),".","!")&amp;
   IF(SIGN(IFERROR(SEARCH("\2",$A603),0))=SIGN(IFERROR(SEARCH("\2",C603),0)),".","!")&amp;
   IF(SIGN(IFERROR(SEARCH("\3",$A603),0))=SIGN(IFERROR(SEARCH("\3",C603),0)),".","!")</f>
        <v>...</v>
      </c>
      <c r="F603" s="2">
        <f>LEN(A603)</f>
        <v>10</v>
      </c>
    </row>
    <row r="604" spans="1:6" x14ac:dyDescent="0.25">
      <c r="A604" s="3" t="s">
        <v>475</v>
      </c>
      <c r="B604" s="3" t="s">
        <v>502</v>
      </c>
      <c r="C604" s="2" t="s">
        <v>502</v>
      </c>
      <c r="D604" s="2" t="str">
        <f>IF(SIGN(IFERROR(SEARCH("\1",$A604),0))=SIGN(IFERROR(SEARCH("\1",B604),0)),".","!")&amp;
   IF(SIGN(IFERROR(SEARCH("\2",$A604),0))=SIGN(IFERROR(SEARCH("\2",B604),0)),".","!")&amp;
   IF(SIGN(IFERROR(SEARCH("\3",$A604),0))=SIGN(IFERROR(SEARCH("\3",B604),0)),".","!")</f>
        <v>...</v>
      </c>
      <c r="E604" s="2" t="str">
        <f>IF(SIGN(IFERROR(SEARCH("\1",$A604),0))=SIGN(IFERROR(SEARCH("\1",C604),0)),".","!")&amp;
   IF(SIGN(IFERROR(SEARCH("\2",$A604),0))=SIGN(IFERROR(SEARCH("\2",C604),0)),".","!")&amp;
   IF(SIGN(IFERROR(SEARCH("\3",$A604),0))=SIGN(IFERROR(SEARCH("\3",C604),0)),".","!")</f>
        <v>...</v>
      </c>
      <c r="F604" s="2">
        <f>LEN(A604)</f>
        <v>20</v>
      </c>
    </row>
    <row r="605" spans="1:6" x14ac:dyDescent="0.25">
      <c r="A605" s="3" t="s">
        <v>1210</v>
      </c>
      <c r="B605" s="3" t="s">
        <v>1211</v>
      </c>
      <c r="C605" s="2" t="s">
        <v>2550</v>
      </c>
      <c r="D605" s="2" t="str">
        <f>IF(SIGN(IFERROR(SEARCH("\1",$A605),0))=SIGN(IFERROR(SEARCH("\1",B605),0)),".","!")&amp;
   IF(SIGN(IFERROR(SEARCH("\2",$A605),0))=SIGN(IFERROR(SEARCH("\2",B605),0)),".","!")&amp;
   IF(SIGN(IFERROR(SEARCH("\3",$A605),0))=SIGN(IFERROR(SEARCH("\3",B605),0)),".","!")</f>
        <v>...</v>
      </c>
      <c r="E605" s="2" t="str">
        <f>IF(SIGN(IFERROR(SEARCH("\1",$A605),0))=SIGN(IFERROR(SEARCH("\1",C605),0)),".","!")&amp;
   IF(SIGN(IFERROR(SEARCH("\2",$A605),0))=SIGN(IFERROR(SEARCH("\2",C605),0)),".","!")&amp;
   IF(SIGN(IFERROR(SEARCH("\3",$A605),0))=SIGN(IFERROR(SEARCH("\3",C605),0)),".","!")</f>
        <v>...</v>
      </c>
      <c r="F605" s="2">
        <f>LEN(A605)</f>
        <v>15</v>
      </c>
    </row>
    <row r="606" spans="1:6" x14ac:dyDescent="0.25">
      <c r="A606" s="3" t="s">
        <v>1899</v>
      </c>
      <c r="B606" s="3" t="s">
        <v>1900</v>
      </c>
      <c r="C606" s="2" t="s">
        <v>2551</v>
      </c>
      <c r="D606" s="2" t="str">
        <f>IF(SIGN(IFERROR(SEARCH("\1",$A606),0))=SIGN(IFERROR(SEARCH("\1",B606),0)),".","!")&amp;
   IF(SIGN(IFERROR(SEARCH("\2",$A606),0))=SIGN(IFERROR(SEARCH("\2",B606),0)),".","!")&amp;
   IF(SIGN(IFERROR(SEARCH("\3",$A606),0))=SIGN(IFERROR(SEARCH("\3",B606),0)),".","!")</f>
        <v>...</v>
      </c>
      <c r="E606" s="2" t="str">
        <f>IF(SIGN(IFERROR(SEARCH("\1",$A606),0))=SIGN(IFERROR(SEARCH("\1",C606),0)),".","!")&amp;
   IF(SIGN(IFERROR(SEARCH("\2",$A606),0))=SIGN(IFERROR(SEARCH("\2",C606),0)),".","!")&amp;
   IF(SIGN(IFERROR(SEARCH("\3",$A606),0))=SIGN(IFERROR(SEARCH("\3",C606),0)),".","!")</f>
        <v>...</v>
      </c>
      <c r="F606" s="2">
        <f>LEN(A606)</f>
        <v>31</v>
      </c>
    </row>
    <row r="607" spans="1:6" x14ac:dyDescent="0.25">
      <c r="A607" s="3" t="s">
        <v>1779</v>
      </c>
      <c r="B607" s="3" t="s">
        <v>1782</v>
      </c>
      <c r="C607" s="2" t="s">
        <v>2552</v>
      </c>
      <c r="D607" s="2" t="str">
        <f>IF(SIGN(IFERROR(SEARCH("\1",$A607),0))=SIGN(IFERROR(SEARCH("\1",B607),0)),".","!")&amp;
   IF(SIGN(IFERROR(SEARCH("\2",$A607),0))=SIGN(IFERROR(SEARCH("\2",B607),0)),".","!")&amp;
   IF(SIGN(IFERROR(SEARCH("\3",$A607),0))=SIGN(IFERROR(SEARCH("\3",B607),0)),".","!")</f>
        <v>...</v>
      </c>
      <c r="E607" s="2" t="str">
        <f>IF(SIGN(IFERROR(SEARCH("\1",$A607),0))=SIGN(IFERROR(SEARCH("\1",C607),0)),".","!")&amp;
   IF(SIGN(IFERROR(SEARCH("\2",$A607),0))=SIGN(IFERROR(SEARCH("\2",C607),0)),".","!")&amp;
   IF(SIGN(IFERROR(SEARCH("\3",$A607),0))=SIGN(IFERROR(SEARCH("\3",C607),0)),".","!")</f>
        <v>...</v>
      </c>
      <c r="F607" s="2">
        <f>LEN(A607)</f>
        <v>8</v>
      </c>
    </row>
    <row r="608" spans="1:6" x14ac:dyDescent="0.25">
      <c r="A608" s="3" t="s">
        <v>458</v>
      </c>
      <c r="B608" s="3" t="s">
        <v>503</v>
      </c>
      <c r="C608" s="2" t="s">
        <v>503</v>
      </c>
      <c r="D608" s="2" t="str">
        <f>IF(SIGN(IFERROR(SEARCH("\1",$A608),0))=SIGN(IFERROR(SEARCH("\1",B608),0)),".","!")&amp;
   IF(SIGN(IFERROR(SEARCH("\2",$A608),0))=SIGN(IFERROR(SEARCH("\2",B608),0)),".","!")&amp;
   IF(SIGN(IFERROR(SEARCH("\3",$A608),0))=SIGN(IFERROR(SEARCH("\3",B608),0)),".","!")</f>
        <v>...</v>
      </c>
      <c r="E608" s="2" t="str">
        <f>IF(SIGN(IFERROR(SEARCH("\1",$A608),0))=SIGN(IFERROR(SEARCH("\1",C608),0)),".","!")&amp;
   IF(SIGN(IFERROR(SEARCH("\2",$A608),0))=SIGN(IFERROR(SEARCH("\2",C608),0)),".","!")&amp;
   IF(SIGN(IFERROR(SEARCH("\3",$A608),0))=SIGN(IFERROR(SEARCH("\3",C608),0)),".","!")</f>
        <v>...</v>
      </c>
      <c r="F608" s="2">
        <f>LEN(A608)</f>
        <v>12</v>
      </c>
    </row>
    <row r="609" spans="1:6" x14ac:dyDescent="0.25">
      <c r="A609" s="3" t="s">
        <v>1086</v>
      </c>
      <c r="B609" s="3" t="s">
        <v>1087</v>
      </c>
      <c r="C609" s="2" t="s">
        <v>1087</v>
      </c>
      <c r="D609" s="2" t="str">
        <f>IF(SIGN(IFERROR(SEARCH("\1",$A609),0))=SIGN(IFERROR(SEARCH("\1",B609),0)),".","!")&amp;
   IF(SIGN(IFERROR(SEARCH("\2",$A609),0))=SIGN(IFERROR(SEARCH("\2",B609),0)),".","!")&amp;
   IF(SIGN(IFERROR(SEARCH("\3",$A609),0))=SIGN(IFERROR(SEARCH("\3",B609),0)),".","!")</f>
        <v>...</v>
      </c>
      <c r="E609" s="2" t="str">
        <f>IF(SIGN(IFERROR(SEARCH("\1",$A609),0))=SIGN(IFERROR(SEARCH("\1",C609),0)),".","!")&amp;
   IF(SIGN(IFERROR(SEARCH("\2",$A609),0))=SIGN(IFERROR(SEARCH("\2",C609),0)),".","!")&amp;
   IF(SIGN(IFERROR(SEARCH("\3",$A609),0))=SIGN(IFERROR(SEARCH("\3",C609),0)),".","!")</f>
        <v>...</v>
      </c>
      <c r="F609" s="2">
        <f>LEN(A609)</f>
        <v>52</v>
      </c>
    </row>
  </sheetData>
  <autoFilter ref="A1:F609" xr:uid="{00000000-0009-0000-0000-000002000000}">
    <sortState xmlns:xlrd2="http://schemas.microsoft.com/office/spreadsheetml/2017/richdata2" ref="A2:F609">
      <sortCondition ref="A1:A609"/>
    </sortState>
  </autoFilter>
  <conditionalFormatting sqref="C599:C1048576 C1:C22 C24:C34 C36:C70 C72:C180 C182:C230 C232:C271 C273:C302 C304:C333 C335:C336 C338:C356 C359:C360 C362:C383 C387:C424 C426:C433 C435:C453 C455 C457:C488 C491:C498 C500:C517 C520:C554 C557:C588 C590:C595">
    <cfRule type="duplicateValues" dxfId="3" priority="3"/>
  </conditionalFormatting>
  <conditionalFormatting sqref="B583:B592 B1:B483 B485:B581 B594:B596 B599 B601:B1048576">
    <cfRule type="duplicateValues" dxfId="2" priority="2"/>
  </conditionalFormatting>
  <conditionalFormatting sqref="C23">
    <cfRule type="duplicateValues" dxfId="1" priority="1"/>
  </conditionalFormatting>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77"/>
  <sheetViews>
    <sheetView workbookViewId="0">
      <pane ySplit="1" topLeftCell="A101" activePane="bottomLeft" state="frozen"/>
      <selection pane="bottomLeft" activeCell="A2" sqref="A2:F177"/>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33" t="s">
        <v>123</v>
      </c>
      <c r="B1" s="20" t="s">
        <v>108</v>
      </c>
      <c r="C1" s="20" t="str">
        <f>Main!F1</f>
        <v>English</v>
      </c>
      <c r="D1" s="20" t="str">
        <f>Main!G1</f>
        <v>Français</v>
      </c>
      <c r="E1" s="21" t="str">
        <f>"Parameter check  "&amp; C1</f>
        <v>Parameter check  English</v>
      </c>
      <c r="F1" s="21" t="str">
        <f>"Parameter check  "&amp; D1</f>
        <v>Parameter check  Français</v>
      </c>
    </row>
    <row r="2" spans="1:6" ht="51" x14ac:dyDescent="0.25">
      <c r="A2" s="13" t="s">
        <v>1927</v>
      </c>
      <c r="B2" s="14" t="s">
        <v>1928</v>
      </c>
      <c r="C2" s="14" t="s">
        <v>1929</v>
      </c>
      <c r="D2" s="14" t="s">
        <v>2654</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1107</v>
      </c>
      <c r="B3" s="14" t="s">
        <v>1108</v>
      </c>
      <c r="C3" s="14" t="s">
        <v>1109</v>
      </c>
      <c r="D3" s="14" t="s">
        <v>1109</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629</v>
      </c>
      <c r="B4" s="14" t="s">
        <v>628</v>
      </c>
      <c r="C4" s="14" t="s">
        <v>654</v>
      </c>
      <c r="D4" s="14" t="s">
        <v>2558</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51" x14ac:dyDescent="0.25">
      <c r="A5" s="13" t="s">
        <v>1375</v>
      </c>
      <c r="B5" s="14" t="s">
        <v>1295</v>
      </c>
      <c r="C5" s="14" t="s">
        <v>1296</v>
      </c>
      <c r="D5" s="14" t="s">
        <v>2559</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627</v>
      </c>
      <c r="B6" s="14" t="s">
        <v>626</v>
      </c>
      <c r="C6" s="14" t="s">
        <v>655</v>
      </c>
      <c r="D6" s="14" t="s">
        <v>2681</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63.75" x14ac:dyDescent="0.25">
      <c r="A7" s="13" t="s">
        <v>624</v>
      </c>
      <c r="B7" s="14" t="s">
        <v>623</v>
      </c>
      <c r="C7" s="14" t="s">
        <v>656</v>
      </c>
      <c r="D7" s="14" t="s">
        <v>2560</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689</v>
      </c>
      <c r="B8" s="14" t="s">
        <v>688</v>
      </c>
      <c r="C8" s="14" t="s">
        <v>1418</v>
      </c>
      <c r="D8" s="14" t="s">
        <v>1418</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ht="76.5" x14ac:dyDescent="0.25">
      <c r="A9" s="13" t="s">
        <v>2079</v>
      </c>
      <c r="B9" s="14" t="s">
        <v>2086</v>
      </c>
      <c r="C9" s="14" t="s">
        <v>2087</v>
      </c>
      <c r="D9" s="14" t="s">
        <v>2708</v>
      </c>
      <c r="E9" s="12" t="str">
        <f>IF(SIGN(IFERROR(SEARCH("\1",$B9),0))=SIGN(IFERROR(SEARCH("\1",C9),0)),".","!")&amp;
   IF(SIGN(IFERROR(SEARCH("\2",$B9),0))=SIGN(IFERROR(SEARCH("\2",C9),0)),".","!")&amp;
   IF(SIGN(IFERROR(SEARCH("\3",$B9),0))=SIGN(IFERROR(SEARCH("\3",C9),0)),".","!")</f>
        <v>...</v>
      </c>
      <c r="F9" s="12" t="str">
        <f>IF(SIGN(IFERROR(SEARCH("\1",$B9),0))=SIGN(IFERROR(SEARCH("\1",D9),0)),".","!")&amp;
   IF(SIGN(IFERROR(SEARCH("\2",$B9),0))=SIGN(IFERROR(SEARCH("\2",D9),0)),".","!")&amp;
   IF(SIGN(IFERROR(SEARCH("\3",$B9),0))=SIGN(IFERROR(SEARCH("\3",D9),0)),".","!")</f>
        <v>...</v>
      </c>
    </row>
    <row r="10" spans="1:6" ht="76.5" x14ac:dyDescent="0.25">
      <c r="A10" s="13" t="s">
        <v>2080</v>
      </c>
      <c r="B10" s="14" t="s">
        <v>2085</v>
      </c>
      <c r="C10" s="14" t="s">
        <v>2081</v>
      </c>
      <c r="D10" s="14" t="s">
        <v>2709</v>
      </c>
      <c r="E10" s="12" t="str">
        <f>IF(SIGN(IFERROR(SEARCH("\1",$B10),0))=SIGN(IFERROR(SEARCH("\1",C10),0)),".","!")&amp;
   IF(SIGN(IFERROR(SEARCH("\2",$B10),0))=SIGN(IFERROR(SEARCH("\2",C10),0)),".","!")&amp;
   IF(SIGN(IFERROR(SEARCH("\3",$B10),0))=SIGN(IFERROR(SEARCH("\3",C10),0)),".","!")</f>
        <v>...</v>
      </c>
      <c r="F10" s="12" t="str">
        <f>IF(SIGN(IFERROR(SEARCH("\1",$B10),0))=SIGN(IFERROR(SEARCH("\1",D10),0)),".","!")&amp;
   IF(SIGN(IFERROR(SEARCH("\2",$B10),0))=SIGN(IFERROR(SEARCH("\2",D10),0)),".","!")&amp;
   IF(SIGN(IFERROR(SEARCH("\3",$B10),0))=SIGN(IFERROR(SEARCH("\3",D10),0)),".","!")</f>
        <v>...</v>
      </c>
    </row>
    <row r="11" spans="1:6" ht="38.25" x14ac:dyDescent="0.25">
      <c r="A11" s="13" t="s">
        <v>637</v>
      </c>
      <c r="B11" s="14" t="s">
        <v>636</v>
      </c>
      <c r="C11" s="14" t="s">
        <v>657</v>
      </c>
      <c r="D11" s="14" t="s">
        <v>657</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1624</v>
      </c>
      <c r="B12" s="14" t="s">
        <v>1635</v>
      </c>
      <c r="C12" s="14" t="s">
        <v>1636</v>
      </c>
      <c r="D12" s="14" t="s">
        <v>1636</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ht="38.25" x14ac:dyDescent="0.25">
      <c r="A13" s="13" t="s">
        <v>635</v>
      </c>
      <c r="B13" s="14" t="s">
        <v>634</v>
      </c>
      <c r="C13" s="14" t="s">
        <v>658</v>
      </c>
      <c r="D13" s="14" t="s">
        <v>658</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622</v>
      </c>
      <c r="B14" s="14" t="s">
        <v>625</v>
      </c>
      <c r="C14" s="14" t="s">
        <v>659</v>
      </c>
      <c r="D14" s="14" t="s">
        <v>659</v>
      </c>
      <c r="E14" s="30" t="str">
        <f>IF(SIGN(IFERROR(SEARCH("\1",$B14),0))=SIGN(IFERROR(SEARCH("\1",C14),0)),".","!")&amp;
   IF(SIGN(IFERROR(SEARCH("\2",$B14),0))=SIGN(IFERROR(SEARCH("\2",C14),0)),".","!")&amp;
   IF(SIGN(IFERROR(SEARCH("\3",$B14),0))=SIGN(IFERROR(SEARCH("\3",C14),0)),".","!")</f>
        <v>...</v>
      </c>
      <c r="F14" s="30" t="str">
        <f>IF(SIGN(IFERROR(SEARCH("\1",$B14),0))=SIGN(IFERROR(SEARCH("\1",D14),0)),".","!")&amp;
   IF(SIGN(IFERROR(SEARCH("\2",$B14),0))=SIGN(IFERROR(SEARCH("\2",D14),0)),".","!")&amp;
   IF(SIGN(IFERROR(SEARCH("\3",$B14),0))=SIGN(IFERROR(SEARCH("\3",D14),0)),".","!")</f>
        <v>...</v>
      </c>
    </row>
    <row r="15" spans="1:6" x14ac:dyDescent="0.25">
      <c r="A15" s="13" t="s">
        <v>1862</v>
      </c>
      <c r="B15" s="14" t="s">
        <v>1863</v>
      </c>
      <c r="C15" s="14" t="s">
        <v>1864</v>
      </c>
      <c r="D15" s="14" t="s">
        <v>1864</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38.25" x14ac:dyDescent="0.25">
      <c r="A16" s="13" t="s">
        <v>1859</v>
      </c>
      <c r="B16" s="14" t="s">
        <v>1860</v>
      </c>
      <c r="C16" s="14" t="s">
        <v>1861</v>
      </c>
      <c r="D16" s="14" t="s">
        <v>1861</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1959</v>
      </c>
      <c r="B17" s="14" t="s">
        <v>1960</v>
      </c>
      <c r="C17" s="14" t="s">
        <v>1961</v>
      </c>
      <c r="D17" s="14" t="s">
        <v>2655</v>
      </c>
      <c r="E17" s="12" t="str">
        <f>IF(SIGN(IFERROR(SEARCH("\1",$B17),0))=SIGN(IFERROR(SEARCH("\1",C17),0)),".","!")&amp;
   IF(SIGN(IFERROR(SEARCH("\2",$B17),0))=SIGN(IFERROR(SEARCH("\2",C17),0)),".","!")&amp;
   IF(SIGN(IFERROR(SEARCH("\3",$B17),0))=SIGN(IFERROR(SEARCH("\3",C17),0)),".","!")</f>
        <v>...</v>
      </c>
      <c r="F17" s="12" t="str">
        <f>IF(SIGN(IFERROR(SEARCH("\1",$B17),0))=SIGN(IFERROR(SEARCH("\1",D17),0)),".","!")&amp;
   IF(SIGN(IFERROR(SEARCH("\2",$B17),0))=SIGN(IFERROR(SEARCH("\2",D17),0)),".","!")&amp;
   IF(SIGN(IFERROR(SEARCH("\3",$B17),0))=SIGN(IFERROR(SEARCH("\3",D17),0)),".","!")</f>
        <v>...</v>
      </c>
    </row>
    <row r="18" spans="1:6" ht="25.5" x14ac:dyDescent="0.25">
      <c r="A18" s="13" t="s">
        <v>1407</v>
      </c>
      <c r="B18" s="14" t="s">
        <v>1406</v>
      </c>
      <c r="C18" s="14" t="s">
        <v>1417</v>
      </c>
      <c r="D18" s="14" t="s">
        <v>1417</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697</v>
      </c>
      <c r="B19" s="14" t="s">
        <v>698</v>
      </c>
      <c r="C19" s="14" t="s">
        <v>699</v>
      </c>
      <c r="D19" s="14" t="s">
        <v>2656</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1994</v>
      </c>
      <c r="B20" s="14" t="s">
        <v>1995</v>
      </c>
      <c r="C20" s="14" t="s">
        <v>1996</v>
      </c>
      <c r="D20" s="14" t="s">
        <v>1996</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2034</v>
      </c>
      <c r="B21" s="14" t="s">
        <v>2035</v>
      </c>
      <c r="C21" s="14" t="s">
        <v>2036</v>
      </c>
      <c r="D21" s="14" t="s">
        <v>2561</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ht="25.5" x14ac:dyDescent="0.25">
      <c r="A22" s="13" t="s">
        <v>687</v>
      </c>
      <c r="B22" s="14" t="s">
        <v>692</v>
      </c>
      <c r="C22" s="14" t="s">
        <v>693</v>
      </c>
      <c r="D22" s="14" t="s">
        <v>2657</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1894</v>
      </c>
      <c r="B23" s="14" t="s">
        <v>1895</v>
      </c>
      <c r="C23" s="14" t="s">
        <v>1896</v>
      </c>
      <c r="D23" s="14" t="s">
        <v>2562</v>
      </c>
      <c r="E23" s="12" t="str">
        <f>IF(SIGN(IFERROR(SEARCH("\1",$B23),0))=SIGN(IFERROR(SEARCH("\1",C23),0)),".","!")&amp;
   IF(SIGN(IFERROR(SEARCH("\2",$B23),0))=SIGN(IFERROR(SEARCH("\2",C23),0)),".","!")&amp;
   IF(SIGN(IFERROR(SEARCH("\3",$B23),0))=SIGN(IFERROR(SEARCH("\3",C23),0)),".","!")</f>
        <v>...</v>
      </c>
      <c r="F23" s="12" t="str">
        <f>IF(SIGN(IFERROR(SEARCH("\1",$B23),0))=SIGN(IFERROR(SEARCH("\1",D23),0)),".","!")&amp;
   IF(SIGN(IFERROR(SEARCH("\2",$B23),0))=SIGN(IFERROR(SEARCH("\2",D23),0)),".","!")&amp;
   IF(SIGN(IFERROR(SEARCH("\3",$B23),0))=SIGN(IFERROR(SEARCH("\3",D23),0)),".","!")</f>
        <v>...</v>
      </c>
    </row>
    <row r="24" spans="1:6" ht="25.5" x14ac:dyDescent="0.25">
      <c r="A24" s="13" t="s">
        <v>1297</v>
      </c>
      <c r="B24" s="14" t="s">
        <v>1298</v>
      </c>
      <c r="C24" s="14" t="s">
        <v>1299</v>
      </c>
      <c r="D24" s="14" t="s">
        <v>2563</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1395</v>
      </c>
      <c r="B25" s="14" t="s">
        <v>1396</v>
      </c>
      <c r="C25" s="14" t="s">
        <v>1397</v>
      </c>
      <c r="D25" s="14" t="s">
        <v>2564</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25.5" x14ac:dyDescent="0.25">
      <c r="A26" s="13" t="s">
        <v>1398</v>
      </c>
      <c r="B26" s="14" t="s">
        <v>1399</v>
      </c>
      <c r="C26" s="14" t="s">
        <v>1400</v>
      </c>
      <c r="D26" s="14" t="s">
        <v>2565</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25.5" x14ac:dyDescent="0.25">
      <c r="A27" s="13" t="s">
        <v>1198</v>
      </c>
      <c r="B27" s="14" t="s">
        <v>1199</v>
      </c>
      <c r="C27" s="14" t="s">
        <v>1200</v>
      </c>
      <c r="D27" s="14" t="s">
        <v>2566</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25.5" x14ac:dyDescent="0.25">
      <c r="A28" s="13" t="s">
        <v>633</v>
      </c>
      <c r="B28" s="14" t="s">
        <v>632</v>
      </c>
      <c r="C28" s="14" t="s">
        <v>660</v>
      </c>
      <c r="D28" s="14" t="s">
        <v>2658</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38.25" x14ac:dyDescent="0.25">
      <c r="A29" s="13" t="s">
        <v>1386</v>
      </c>
      <c r="B29" s="14" t="s">
        <v>1387</v>
      </c>
      <c r="C29" s="14" t="s">
        <v>1388</v>
      </c>
      <c r="D29" s="14" t="s">
        <v>2567</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1271</v>
      </c>
      <c r="B30" s="14" t="s">
        <v>1272</v>
      </c>
      <c r="C30" s="14" t="s">
        <v>1286</v>
      </c>
      <c r="D30" s="14" t="s">
        <v>1286</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x14ac:dyDescent="0.25">
      <c r="A31" s="13" t="s">
        <v>621</v>
      </c>
      <c r="B31" s="14" t="s">
        <v>661</v>
      </c>
      <c r="C31" s="14" t="s">
        <v>662</v>
      </c>
      <c r="D31" s="14" t="s">
        <v>662</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1944</v>
      </c>
      <c r="B32" s="14" t="s">
        <v>1945</v>
      </c>
      <c r="C32" s="14" t="s">
        <v>1946</v>
      </c>
      <c r="D32" s="14" t="s">
        <v>1946</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76.5" x14ac:dyDescent="0.25">
      <c r="A33" s="13" t="s">
        <v>1414</v>
      </c>
      <c r="B33" s="14" t="s">
        <v>1415</v>
      </c>
      <c r="C33" s="14" t="s">
        <v>1416</v>
      </c>
      <c r="D33" s="14" t="s">
        <v>1416</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51" x14ac:dyDescent="0.25">
      <c r="A34" s="13" t="s">
        <v>630</v>
      </c>
      <c r="B34" s="14" t="s">
        <v>1373</v>
      </c>
      <c r="C34" s="14" t="s">
        <v>1374</v>
      </c>
      <c r="D34" s="14" t="s">
        <v>1374</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1270</v>
      </c>
      <c r="B35" s="14" t="s">
        <v>1266</v>
      </c>
      <c r="C35" s="14" t="s">
        <v>1265</v>
      </c>
      <c r="D35" s="14" t="s">
        <v>1265</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63.75" x14ac:dyDescent="0.25">
      <c r="A36" s="13" t="s">
        <v>1371</v>
      </c>
      <c r="B36" s="14" t="s">
        <v>611</v>
      </c>
      <c r="C36" s="14" t="s">
        <v>671</v>
      </c>
      <c r="D36" s="14" t="s">
        <v>671</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51" x14ac:dyDescent="0.25">
      <c r="A37" s="13" t="s">
        <v>1372</v>
      </c>
      <c r="B37" s="14" t="s">
        <v>612</v>
      </c>
      <c r="C37" s="14" t="s">
        <v>670</v>
      </c>
      <c r="D37" s="14" t="s">
        <v>670</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38.25" x14ac:dyDescent="0.25">
      <c r="A38" s="13" t="s">
        <v>1261</v>
      </c>
      <c r="B38" s="14" t="s">
        <v>1262</v>
      </c>
      <c r="C38" s="14" t="s">
        <v>1263</v>
      </c>
      <c r="D38" s="14" t="s">
        <v>2659</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38.25" x14ac:dyDescent="0.25">
      <c r="A39" s="13" t="s">
        <v>1145</v>
      </c>
      <c r="B39" s="14" t="s">
        <v>1146</v>
      </c>
      <c r="C39" s="14" t="s">
        <v>1147</v>
      </c>
      <c r="D39" s="14" t="s">
        <v>2678</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25.5" x14ac:dyDescent="0.25">
      <c r="A40" s="13" t="s">
        <v>1302</v>
      </c>
      <c r="B40" s="14" t="s">
        <v>1300</v>
      </c>
      <c r="C40" s="14" t="s">
        <v>1301</v>
      </c>
      <c r="D40" s="14" t="s">
        <v>2660</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38.25" x14ac:dyDescent="0.25">
      <c r="A41" s="13" t="s">
        <v>610</v>
      </c>
      <c r="B41" s="14" t="s">
        <v>609</v>
      </c>
      <c r="C41" s="14" t="s">
        <v>1901</v>
      </c>
      <c r="D41" s="14" t="s">
        <v>2568</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38.25" x14ac:dyDescent="0.25">
      <c r="A42" s="13" t="s">
        <v>1934</v>
      </c>
      <c r="B42" s="14" t="s">
        <v>1935</v>
      </c>
      <c r="C42" s="14" t="s">
        <v>1936</v>
      </c>
      <c r="D42" s="14" t="s">
        <v>2569</v>
      </c>
      <c r="F42" s="12" t="str">
        <f>IF(SIGN(IFERROR(SEARCH("\1",$B42),0))=SIGN(IFERROR(SEARCH("\1",D42),0)),".","!")&amp;
   IF(SIGN(IFERROR(SEARCH("\2",$B42),0))=SIGN(IFERROR(SEARCH("\2",D42),0)),".","!")&amp;
   IF(SIGN(IFERROR(SEARCH("\3",$B42),0))=SIGN(IFERROR(SEARCH("\3",D42),0)),".","!")</f>
        <v>...</v>
      </c>
    </row>
    <row r="43" spans="1:6" ht="25.5" x14ac:dyDescent="0.25">
      <c r="A43" s="13" t="s">
        <v>1401</v>
      </c>
      <c r="B43" s="14" t="s">
        <v>1402</v>
      </c>
      <c r="C43" s="14" t="s">
        <v>1403</v>
      </c>
      <c r="D43" s="14" t="s">
        <v>1403</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25.5" x14ac:dyDescent="0.25">
      <c r="A44" s="13" t="s">
        <v>1267</v>
      </c>
      <c r="B44" s="14" t="s">
        <v>1797</v>
      </c>
      <c r="C44" s="14" t="s">
        <v>1798</v>
      </c>
      <c r="D44" s="14" t="s">
        <v>2682</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ht="63.75" x14ac:dyDescent="0.25">
      <c r="A45" s="13" t="s">
        <v>1268</v>
      </c>
      <c r="B45" s="14" t="s">
        <v>1275</v>
      </c>
      <c r="C45" s="14" t="s">
        <v>1269</v>
      </c>
      <c r="D45" s="14" t="s">
        <v>2661</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63.75" x14ac:dyDescent="0.25">
      <c r="A46" s="13" t="s">
        <v>1273</v>
      </c>
      <c r="B46" s="14" t="s">
        <v>1336</v>
      </c>
      <c r="C46" s="14" t="s">
        <v>1337</v>
      </c>
      <c r="D46" s="14" t="s">
        <v>1337</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1181</v>
      </c>
      <c r="B47" s="14" t="s">
        <v>1182</v>
      </c>
      <c r="C47" s="14" t="s">
        <v>1183</v>
      </c>
      <c r="D47" s="14" t="s">
        <v>2662</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1389</v>
      </c>
      <c r="B48" s="14" t="s">
        <v>1390</v>
      </c>
      <c r="C48" s="14" t="s">
        <v>1391</v>
      </c>
      <c r="D48" s="14" t="s">
        <v>2663</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38.25" x14ac:dyDescent="0.25">
      <c r="A49" s="13" t="s">
        <v>1383</v>
      </c>
      <c r="B49" s="14" t="s">
        <v>1384</v>
      </c>
      <c r="C49" s="14" t="s">
        <v>1385</v>
      </c>
      <c r="D49" s="14" t="s">
        <v>2664</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63.75" x14ac:dyDescent="0.25">
      <c r="A50" s="13" t="s">
        <v>2800</v>
      </c>
      <c r="B50" s="14" t="s">
        <v>2791</v>
      </c>
      <c r="C50" s="14" t="s">
        <v>2790</v>
      </c>
      <c r="D50" s="14" t="s">
        <v>2881</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25.5" x14ac:dyDescent="0.25">
      <c r="A51" s="13" t="s">
        <v>1125</v>
      </c>
      <c r="B51" s="14" t="s">
        <v>1126</v>
      </c>
      <c r="C51" s="14" t="s">
        <v>1127</v>
      </c>
      <c r="D51" s="14" t="s">
        <v>2680</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76.5" x14ac:dyDescent="0.25">
      <c r="A52" s="13" t="s">
        <v>1274</v>
      </c>
      <c r="B52" s="14" t="s">
        <v>1799</v>
      </c>
      <c r="C52" s="14" t="s">
        <v>1800</v>
      </c>
      <c r="D52" s="14" t="s">
        <v>1800</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1380</v>
      </c>
      <c r="B53" s="14" t="s">
        <v>1381</v>
      </c>
      <c r="C53" s="14" t="s">
        <v>1382</v>
      </c>
      <c r="D53" s="14" t="s">
        <v>1382</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5">
      <c r="A54" s="13" t="s">
        <v>691</v>
      </c>
      <c r="B54" s="14" t="s">
        <v>690</v>
      </c>
      <c r="C54" s="14" t="s">
        <v>694</v>
      </c>
      <c r="D54" s="14" t="s">
        <v>2665</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38.25" x14ac:dyDescent="0.25">
      <c r="A55" s="13" t="s">
        <v>1832</v>
      </c>
      <c r="B55" s="14" t="s">
        <v>1840</v>
      </c>
      <c r="C55" s="14" t="s">
        <v>1827</v>
      </c>
      <c r="D55" s="14" t="s">
        <v>1827</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x14ac:dyDescent="0.25">
      <c r="A56" s="13" t="s">
        <v>1836</v>
      </c>
      <c r="B56" s="14" t="s">
        <v>1844</v>
      </c>
      <c r="C56" s="14" t="s">
        <v>1837</v>
      </c>
      <c r="D56" s="14" t="s">
        <v>2666</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1831</v>
      </c>
      <c r="B57" s="14" t="s">
        <v>1839</v>
      </c>
      <c r="C57" s="14" t="s">
        <v>1826</v>
      </c>
      <c r="D57" s="14" t="s">
        <v>1826</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5">
      <c r="A58" s="13" t="s">
        <v>1835</v>
      </c>
      <c r="B58" s="14" t="s">
        <v>1843</v>
      </c>
      <c r="C58" s="14" t="s">
        <v>1830</v>
      </c>
      <c r="D58" s="14" t="s">
        <v>1830</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25.5" x14ac:dyDescent="0.25">
      <c r="A59" s="13" t="s">
        <v>1833</v>
      </c>
      <c r="B59" s="14" t="s">
        <v>1841</v>
      </c>
      <c r="C59" s="14" t="s">
        <v>1828</v>
      </c>
      <c r="D59" s="14" t="s">
        <v>1828</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38.25" x14ac:dyDescent="0.25">
      <c r="A60" s="13" t="s">
        <v>1834</v>
      </c>
      <c r="B60" s="14" t="s">
        <v>1842</v>
      </c>
      <c r="C60" s="14" t="s">
        <v>1829</v>
      </c>
      <c r="D60" s="14" t="s">
        <v>1829</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25.5" x14ac:dyDescent="0.25">
      <c r="A61" s="13" t="s">
        <v>1824</v>
      </c>
      <c r="B61" s="14" t="s">
        <v>1838</v>
      </c>
      <c r="C61" s="14" t="s">
        <v>1825</v>
      </c>
      <c r="D61" s="14" t="s">
        <v>2679</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51" x14ac:dyDescent="0.25">
      <c r="A62" s="13" t="s">
        <v>631</v>
      </c>
      <c r="B62" s="14" t="s">
        <v>663</v>
      </c>
      <c r="C62" s="14" t="s">
        <v>664</v>
      </c>
      <c r="D62" s="14" t="s">
        <v>664</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25.5" x14ac:dyDescent="0.25">
      <c r="A63" s="13" t="s">
        <v>1392</v>
      </c>
      <c r="B63" s="14" t="s">
        <v>1393</v>
      </c>
      <c r="C63" s="14" t="s">
        <v>1394</v>
      </c>
      <c r="D63" s="14" t="s">
        <v>2667</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25.5" x14ac:dyDescent="0.25">
      <c r="A64" s="13" t="s">
        <v>1369</v>
      </c>
      <c r="B64" s="14" t="s">
        <v>1365</v>
      </c>
      <c r="C64" s="14" t="s">
        <v>1366</v>
      </c>
      <c r="D64" s="14" t="s">
        <v>2570</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25.5" x14ac:dyDescent="0.25">
      <c r="A65" s="13" t="s">
        <v>1370</v>
      </c>
      <c r="B65" s="14" t="s">
        <v>1367</v>
      </c>
      <c r="C65" s="14" t="s">
        <v>1368</v>
      </c>
      <c r="D65" s="14" t="s">
        <v>2571</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51" x14ac:dyDescent="0.25">
      <c r="A66" s="13" t="s">
        <v>705</v>
      </c>
      <c r="B66" s="14" t="s">
        <v>2003</v>
      </c>
      <c r="C66" s="14" t="s">
        <v>2004</v>
      </c>
      <c r="D66" s="14" t="s">
        <v>2668</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25.5" x14ac:dyDescent="0.25">
      <c r="A67" s="13" t="s">
        <v>595</v>
      </c>
      <c r="B67" s="14" t="s">
        <v>377</v>
      </c>
      <c r="C67" s="14" t="s">
        <v>378</v>
      </c>
      <c r="D67" s="14" t="s">
        <v>2572</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51" x14ac:dyDescent="0.25">
      <c r="A68" s="13" t="s">
        <v>1865</v>
      </c>
      <c r="B68" s="14" t="s">
        <v>1866</v>
      </c>
      <c r="C68" s="14" t="s">
        <v>1867</v>
      </c>
      <c r="D68" s="14" t="s">
        <v>2683</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25.5" x14ac:dyDescent="0.25">
      <c r="A69" s="13" t="s">
        <v>1142</v>
      </c>
      <c r="B69" s="14" t="s">
        <v>1143</v>
      </c>
      <c r="C69" s="14" t="s">
        <v>1144</v>
      </c>
      <c r="D69" s="14" t="s">
        <v>2669</v>
      </c>
      <c r="E69" s="30" t="str">
        <f>IF(SIGN(IFERROR(SEARCH("\1",$B69),0))=SIGN(IFERROR(SEARCH("\1",C69),0)),".","!")&amp;
   IF(SIGN(IFERROR(SEARCH("\2",$B69),0))=SIGN(IFERROR(SEARCH("\2",C69),0)),".","!")&amp;
   IF(SIGN(IFERROR(SEARCH("\3",$B69),0))=SIGN(IFERROR(SEARCH("\3",C69),0)),".","!")</f>
        <v>...</v>
      </c>
      <c r="F69" s="30" t="str">
        <f>IF(SIGN(IFERROR(SEARCH("\1",$B69),0))=SIGN(IFERROR(SEARCH("\1",D69),0)),".","!")&amp;
   IF(SIGN(IFERROR(SEARCH("\2",$B69),0))=SIGN(IFERROR(SEARCH("\2",D69),0)),".","!")&amp;
   IF(SIGN(IFERROR(SEARCH("\3",$B69),0))=SIGN(IFERROR(SEARCH("\3",D69),0)),".","!")</f>
        <v>...</v>
      </c>
    </row>
    <row r="70" spans="1:6" ht="89.25" x14ac:dyDescent="0.25">
      <c r="A70" s="13" t="s">
        <v>2082</v>
      </c>
      <c r="B70" s="14" t="s">
        <v>2084</v>
      </c>
      <c r="C70" s="14" t="s">
        <v>2083</v>
      </c>
      <c r="D70" s="14" t="s">
        <v>2710</v>
      </c>
      <c r="E70" s="12" t="str">
        <f>IF(SIGN(IFERROR(SEARCH("\1",$B70),0))=SIGN(IFERROR(SEARCH("\1",C70),0)),".","!")&amp;
   IF(SIGN(IFERROR(SEARCH("\2",$B70),0))=SIGN(IFERROR(SEARCH("\2",C70),0)),".","!")&amp;
   IF(SIGN(IFERROR(SEARCH("\3",$B70),0))=SIGN(IFERROR(SEARCH("\3",C70),0)),".","!")</f>
        <v>...</v>
      </c>
      <c r="F70" s="12" t="str">
        <f>IF(SIGN(IFERROR(SEARCH("\1",$B70),0))=SIGN(IFERROR(SEARCH("\1",D70),0)),".","!")&amp;
   IF(SIGN(IFERROR(SEARCH("\2",$B70),0))=SIGN(IFERROR(SEARCH("\2",D70),0)),".","!")&amp;
   IF(SIGN(IFERROR(SEARCH("\3",$B70),0))=SIGN(IFERROR(SEARCH("\3",D70),0)),".","!")</f>
        <v>...</v>
      </c>
    </row>
    <row r="71" spans="1:6" ht="38.25" x14ac:dyDescent="0.25">
      <c r="A71" s="13" t="s">
        <v>1627</v>
      </c>
      <c r="B71" s="14" t="s">
        <v>1647</v>
      </c>
      <c r="C71" s="14" t="s">
        <v>1648</v>
      </c>
      <c r="D71" s="14" t="s">
        <v>2670</v>
      </c>
      <c r="E71" s="30" t="str">
        <f>IF(SIGN(IFERROR(SEARCH("\1",$B71),0))=SIGN(IFERROR(SEARCH("\1",C71),0)),".","!")&amp;
   IF(SIGN(IFERROR(SEARCH("\2",$B71),0))=SIGN(IFERROR(SEARCH("\2",C71),0)),".","!")&amp;
   IF(SIGN(IFERROR(SEARCH("\3",$B71),0))=SIGN(IFERROR(SEARCH("\3",C71),0)),".","!")</f>
        <v>...</v>
      </c>
      <c r="F71" s="12" t="str">
        <f>IF(SIGN(IFERROR(SEARCH("\1",$B71),0))=SIGN(IFERROR(SEARCH("\1",D71),0)),".","!")&amp;
   IF(SIGN(IFERROR(SEARCH("\2",$B71),0))=SIGN(IFERROR(SEARCH("\2",D71),0)),".","!")&amp;
   IF(SIGN(IFERROR(SEARCH("\3",$B71),0))=SIGN(IFERROR(SEARCH("\3",D71),0)),".","!")</f>
        <v>...</v>
      </c>
    </row>
    <row r="72" spans="1:6" ht="25.5" x14ac:dyDescent="0.25">
      <c r="A72" s="13" t="s">
        <v>647</v>
      </c>
      <c r="B72" s="14" t="s">
        <v>646</v>
      </c>
      <c r="C72" s="14" t="s">
        <v>680</v>
      </c>
      <c r="D72" s="14" t="s">
        <v>2573</v>
      </c>
      <c r="E72" s="30" t="str">
        <f>IF(SIGN(IFERROR(SEARCH("\1",$B72),0))=SIGN(IFERROR(SEARCH("\1",C72),0)),".","!")&amp;
   IF(SIGN(IFERROR(SEARCH("\2",$B72),0))=SIGN(IFERROR(SEARCH("\2",C72),0)),".","!")&amp;
   IF(SIGN(IFERROR(SEARCH("\3",$B72),0))=SIGN(IFERROR(SEARCH("\3",C72),0)),".","!")</f>
        <v>...</v>
      </c>
      <c r="F72" s="30" t="str">
        <f>IF(SIGN(IFERROR(SEARCH("\1",$B72),0))=SIGN(IFERROR(SEARCH("\1",D72),0)),".","!")&amp;
   IF(SIGN(IFERROR(SEARCH("\2",$B72),0))=SIGN(IFERROR(SEARCH("\2",D72),0)),".","!")&amp;
   IF(SIGN(IFERROR(SEARCH("\3",$B72),0))=SIGN(IFERROR(SEARCH("\3",D72),0)),".","!")</f>
        <v>...</v>
      </c>
    </row>
    <row r="73" spans="1:6" ht="76.5" x14ac:dyDescent="0.25">
      <c r="A73" s="13" t="s">
        <v>2785</v>
      </c>
      <c r="B73" s="14" t="s">
        <v>2784</v>
      </c>
      <c r="C73" s="14" t="s">
        <v>2801</v>
      </c>
      <c r="D73" s="14" t="s">
        <v>2882</v>
      </c>
      <c r="E73" s="30" t="s">
        <v>2052</v>
      </c>
      <c r="F73" s="30" t="str">
        <f>IF(SIGN(IFERROR(SEARCH("\1",$B73),0))=SIGN(IFERROR(SEARCH("\1",D73),0)),".","!")&amp;
   IF(SIGN(IFERROR(SEARCH("\2",$B73),0))=SIGN(IFERROR(SEARCH("\2",D73),0)),".","!")&amp;
   IF(SIGN(IFERROR(SEARCH("\3",$B73),0))=SIGN(IFERROR(SEARCH("\3",D73),0)),".","!")</f>
        <v>...</v>
      </c>
    </row>
    <row r="74" spans="1:6" ht="76.5" x14ac:dyDescent="0.25">
      <c r="A74" s="13" t="s">
        <v>2783</v>
      </c>
      <c r="B74" s="14" t="s">
        <v>2779</v>
      </c>
      <c r="C74" s="14" t="s">
        <v>2780</v>
      </c>
      <c r="D74" s="14" t="s">
        <v>2883</v>
      </c>
      <c r="E74" s="30" t="s">
        <v>2052</v>
      </c>
      <c r="F74" s="30" t="str">
        <f>IF(SIGN(IFERROR(SEARCH("\1",$B74),0))=SIGN(IFERROR(SEARCH("\1",D74),0)),".","!")&amp;
   IF(SIGN(IFERROR(SEARCH("\2",$B74),0))=SIGN(IFERROR(SEARCH("\2",D74),0)),".","!")&amp;
   IF(SIGN(IFERROR(SEARCH("\3",$B74),0))=SIGN(IFERROR(SEARCH("\3",D74),0)),".","!")</f>
        <v>...</v>
      </c>
    </row>
    <row r="75" spans="1:6" ht="89.25" x14ac:dyDescent="0.25">
      <c r="A75" s="13" t="s">
        <v>2786</v>
      </c>
      <c r="B75" s="14" t="s">
        <v>2787</v>
      </c>
      <c r="C75" s="14" t="s">
        <v>2802</v>
      </c>
      <c r="D75" s="14" t="s">
        <v>2884</v>
      </c>
      <c r="E75" s="30" t="s">
        <v>2052</v>
      </c>
      <c r="F75" s="30" t="str">
        <f>IF(SIGN(IFERROR(SEARCH("\1",$B75),0))=SIGN(IFERROR(SEARCH("\1",D75),0)),".","!")&amp;
   IF(SIGN(IFERROR(SEARCH("\2",$B75),0))=SIGN(IFERROR(SEARCH("\2",D75),0)),".","!")&amp;
   IF(SIGN(IFERROR(SEARCH("\3",$B75),0))=SIGN(IFERROR(SEARCH("\3",D75),0)),".","!")</f>
        <v>...</v>
      </c>
    </row>
    <row r="76" spans="1:6" ht="102" x14ac:dyDescent="0.25">
      <c r="A76" s="13" t="s">
        <v>2773</v>
      </c>
      <c r="B76" s="14" t="s">
        <v>2775</v>
      </c>
      <c r="C76" s="14" t="s">
        <v>2776</v>
      </c>
      <c r="D76" s="14" t="s">
        <v>2885</v>
      </c>
      <c r="E76" s="30" t="s">
        <v>2052</v>
      </c>
      <c r="F76" s="30" t="str">
        <f>IF(SIGN(IFERROR(SEARCH("\1",$B76),0))=SIGN(IFERROR(SEARCH("\1",D76),0)),".","!")&amp;
   IF(SIGN(IFERROR(SEARCH("\2",$B76),0))=SIGN(IFERROR(SEARCH("\2",D76),0)),".","!")&amp;
   IF(SIGN(IFERROR(SEARCH("\3",$B76),0))=SIGN(IFERROR(SEARCH("\3",D76),0)),".","!")</f>
        <v>...</v>
      </c>
    </row>
    <row r="77" spans="1:6" ht="38.25" x14ac:dyDescent="0.25">
      <c r="A77" s="13" t="s">
        <v>1788</v>
      </c>
      <c r="B77" s="14" t="s">
        <v>1789</v>
      </c>
      <c r="C77" s="14" t="s">
        <v>1790</v>
      </c>
      <c r="D77" s="14" t="s">
        <v>2574</v>
      </c>
      <c r="E77" s="12" t="str">
        <f>IF(SIGN(IFERROR(SEARCH("\1",$B77),0))=SIGN(IFERROR(SEARCH("\1",C77),0)),".","!")&amp;
   IF(SIGN(IFERROR(SEARCH("\2",$B77),0))=SIGN(IFERROR(SEARCH("\2",C77),0)),".","!")&amp;
   IF(SIGN(IFERROR(SEARCH("\3",$B77),0))=SIGN(IFERROR(SEARCH("\3",C77),0)),".","!")</f>
        <v>...</v>
      </c>
      <c r="F77" s="12" t="str">
        <f>IF(SIGN(IFERROR(SEARCH("\1",$B77),0))=SIGN(IFERROR(SEARCH("\1",D77),0)),".","!")&amp;
   IF(SIGN(IFERROR(SEARCH("\2",$B77),0))=SIGN(IFERROR(SEARCH("\2",D77),0)),".","!")&amp;
   IF(SIGN(IFERROR(SEARCH("\3",$B77),0))=SIGN(IFERROR(SEARCH("\3",D77),0)),".","!")</f>
        <v>...</v>
      </c>
    </row>
    <row r="78" spans="1:6" ht="25.5" x14ac:dyDescent="0.25">
      <c r="A78" s="13" t="s">
        <v>1165</v>
      </c>
      <c r="B78" s="14" t="s">
        <v>1166</v>
      </c>
      <c r="C78" s="14" t="s">
        <v>1167</v>
      </c>
      <c r="D78" s="14" t="s">
        <v>2684</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51" x14ac:dyDescent="0.25">
      <c r="A79" s="13" t="s">
        <v>1768</v>
      </c>
      <c r="B79" s="14" t="s">
        <v>1765</v>
      </c>
      <c r="C79" s="14" t="s">
        <v>1766</v>
      </c>
      <c r="D79" s="14" t="s">
        <v>2575</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76.5" x14ac:dyDescent="0.25">
      <c r="A80" s="13" t="s">
        <v>2781</v>
      </c>
      <c r="B80" s="14" t="s">
        <v>2782</v>
      </c>
      <c r="C80" s="14" t="s">
        <v>2788</v>
      </c>
      <c r="D80" s="14" t="s">
        <v>2886</v>
      </c>
      <c r="E80" s="30" t="s">
        <v>2052</v>
      </c>
      <c r="F80" s="30" t="str">
        <f>IF(SIGN(IFERROR(SEARCH("\1",$B80),0))=SIGN(IFERROR(SEARCH("\1",D80),0)),".","!")&amp;
   IF(SIGN(IFERROR(SEARCH("\2",$B80),0))=SIGN(IFERROR(SEARCH("\2",D80),0)),".","!")&amp;
   IF(SIGN(IFERROR(SEARCH("\3",$B80),0))=SIGN(IFERROR(SEARCH("\3",D80),0)),".","!")</f>
        <v>...</v>
      </c>
    </row>
    <row r="81" spans="1:6" ht="25.5" x14ac:dyDescent="0.25">
      <c r="A81" s="13" t="s">
        <v>1767</v>
      </c>
      <c r="B81" s="14" t="s">
        <v>1769</v>
      </c>
      <c r="C81" s="14" t="s">
        <v>1770</v>
      </c>
      <c r="D81" s="14" t="s">
        <v>2576</v>
      </c>
      <c r="E81" s="30" t="str">
        <f>IF(SIGN(IFERROR(SEARCH("\1",$B81),0))=SIGN(IFERROR(SEARCH("\1",C81),0)),".","!")&amp;
   IF(SIGN(IFERROR(SEARCH("\2",$B81),0))=SIGN(IFERROR(SEARCH("\2",C81),0)),".","!")&amp;
   IF(SIGN(IFERROR(SEARCH("\3",$B81),0))=SIGN(IFERROR(SEARCH("\3",C81),0)),".","!")</f>
        <v>...</v>
      </c>
      <c r="F81" s="12" t="str">
        <f>IF(SIGN(IFERROR(SEARCH("\1",$B81),0))=SIGN(IFERROR(SEARCH("\1",D81),0)),".","!")&amp;
   IF(SIGN(IFERROR(SEARCH("\2",$B81),0))=SIGN(IFERROR(SEARCH("\2",D81),0)),".","!")&amp;
   IF(SIGN(IFERROR(SEARCH("\3",$B81),0))=SIGN(IFERROR(SEARCH("\3",D81),0)),".","!")</f>
        <v>...</v>
      </c>
    </row>
    <row r="82" spans="1:6" ht="165.75" x14ac:dyDescent="0.25">
      <c r="A82" s="13" t="s">
        <v>653</v>
      </c>
      <c r="B82" s="14" t="s">
        <v>1287</v>
      </c>
      <c r="C82" s="14" t="s">
        <v>1288</v>
      </c>
      <c r="D82" s="14" t="s">
        <v>2685</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ht="25.5" x14ac:dyDescent="0.25">
      <c r="A83" s="13" t="s">
        <v>1573</v>
      </c>
      <c r="B83" s="14" t="s">
        <v>1571</v>
      </c>
      <c r="C83" s="14" t="s">
        <v>1572</v>
      </c>
      <c r="D83" s="14" t="s">
        <v>2577</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38.25" x14ac:dyDescent="0.25">
      <c r="A84" s="13" t="s">
        <v>597</v>
      </c>
      <c r="B84" s="14" t="s">
        <v>557</v>
      </c>
      <c r="C84" s="14" t="s">
        <v>558</v>
      </c>
      <c r="D84" s="14" t="s">
        <v>2578</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25.5" x14ac:dyDescent="0.25">
      <c r="A85" s="13" t="s">
        <v>643</v>
      </c>
      <c r="B85" s="14" t="s">
        <v>642</v>
      </c>
      <c r="C85" s="14" t="s">
        <v>665</v>
      </c>
      <c r="D85" s="14" t="s">
        <v>2579</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38.25" x14ac:dyDescent="0.25">
      <c r="A86" s="13" t="s">
        <v>596</v>
      </c>
      <c r="B86" s="14" t="s">
        <v>555</v>
      </c>
      <c r="C86" s="14" t="s">
        <v>556</v>
      </c>
      <c r="D86" s="14" t="s">
        <v>2580</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25.5" x14ac:dyDescent="0.25">
      <c r="A87" s="13" t="s">
        <v>649</v>
      </c>
      <c r="B87" s="14" t="s">
        <v>650</v>
      </c>
      <c r="C87" s="14" t="s">
        <v>681</v>
      </c>
      <c r="D87" s="14" t="s">
        <v>681</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25.5" x14ac:dyDescent="0.25">
      <c r="A88" s="13" t="s">
        <v>652</v>
      </c>
      <c r="B88" s="14" t="s">
        <v>651</v>
      </c>
      <c r="C88" s="14" t="s">
        <v>683</v>
      </c>
      <c r="D88" s="14" t="s">
        <v>2581</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x14ac:dyDescent="0.25">
      <c r="A89" s="13" t="s">
        <v>1249</v>
      </c>
      <c r="B89" s="14" t="s">
        <v>1247</v>
      </c>
      <c r="C89" s="14" t="s">
        <v>1248</v>
      </c>
      <c r="D89" s="14" t="s">
        <v>2582</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51" x14ac:dyDescent="0.25">
      <c r="A90" s="13" t="s">
        <v>1774</v>
      </c>
      <c r="B90" s="14" t="s">
        <v>1775</v>
      </c>
      <c r="C90" s="14" t="s">
        <v>1776</v>
      </c>
      <c r="D90" s="14" t="s">
        <v>2583</v>
      </c>
      <c r="E90" s="12" t="str">
        <f>IF(SIGN(IFERROR(SEARCH("\1",$B90),0))=SIGN(IFERROR(SEARCH("\1",C90),0)),".","!")&amp;
   IF(SIGN(IFERROR(SEARCH("\2",$B90),0))=SIGN(IFERROR(SEARCH("\2",C90),0)),".","!")&amp;
   IF(SIGN(IFERROR(SEARCH("\3",$B90),0))=SIGN(IFERROR(SEARCH("\3",C90),0)),".","!")</f>
        <v>...</v>
      </c>
      <c r="F90" s="12" t="str">
        <f>IF(SIGN(IFERROR(SEARCH("\1",$B90),0))=SIGN(IFERROR(SEARCH("\1",D90),0)),".","!")&amp;
   IF(SIGN(IFERROR(SEARCH("\2",$B90),0))=SIGN(IFERROR(SEARCH("\2",D90),0)),".","!")&amp;
   IF(SIGN(IFERROR(SEARCH("\3",$B90),0))=SIGN(IFERROR(SEARCH("\3",D90),0)),".","!")</f>
        <v>...</v>
      </c>
    </row>
    <row r="91" spans="1:6" ht="25.5" x14ac:dyDescent="0.25">
      <c r="A91" s="13" t="s">
        <v>594</v>
      </c>
      <c r="B91" s="14" t="s">
        <v>179</v>
      </c>
      <c r="C91" s="14" t="s">
        <v>178</v>
      </c>
      <c r="D91" s="14" t="s">
        <v>2584</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x14ac:dyDescent="0.25">
      <c r="A92" s="13" t="s">
        <v>645</v>
      </c>
      <c r="B92" s="14" t="s">
        <v>644</v>
      </c>
      <c r="C92" s="14" t="s">
        <v>679</v>
      </c>
      <c r="D92" s="14" t="s">
        <v>2585</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63.75" x14ac:dyDescent="0.25">
      <c r="A93" s="13" t="s">
        <v>648</v>
      </c>
      <c r="B93" s="14" t="s">
        <v>1404</v>
      </c>
      <c r="C93" s="14" t="s">
        <v>1405</v>
      </c>
      <c r="D93" s="14" t="s">
        <v>2686</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51" x14ac:dyDescent="0.25">
      <c r="A94" s="13" t="s">
        <v>600</v>
      </c>
      <c r="B94" s="14" t="s">
        <v>580</v>
      </c>
      <c r="C94" s="14" t="s">
        <v>581</v>
      </c>
      <c r="D94" s="14" t="s">
        <v>2671</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51" x14ac:dyDescent="0.25">
      <c r="A95" s="13" t="s">
        <v>1848</v>
      </c>
      <c r="B95" s="14" t="s">
        <v>1849</v>
      </c>
      <c r="C95" s="14" t="s">
        <v>1850</v>
      </c>
      <c r="D95" s="14" t="s">
        <v>2672</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1281</v>
      </c>
      <c r="B96" s="14" t="s">
        <v>1282</v>
      </c>
      <c r="C96" s="14" t="s">
        <v>1285</v>
      </c>
      <c r="D96" s="14" t="s">
        <v>1285</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38.25" x14ac:dyDescent="0.25">
      <c r="A97" s="13" t="s">
        <v>1594</v>
      </c>
      <c r="B97" s="14" t="s">
        <v>1595</v>
      </c>
      <c r="C97" s="14" t="s">
        <v>1596</v>
      </c>
      <c r="D97" s="14" t="s">
        <v>1596</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38.25" x14ac:dyDescent="0.25">
      <c r="A98" s="13" t="s">
        <v>1820</v>
      </c>
      <c r="B98" s="14" t="s">
        <v>1821</v>
      </c>
      <c r="C98" s="14" t="s">
        <v>1822</v>
      </c>
      <c r="D98" s="14" t="s">
        <v>1822</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25.5" x14ac:dyDescent="0.25">
      <c r="A99" s="13" t="s">
        <v>1280</v>
      </c>
      <c r="B99" s="14" t="s">
        <v>1283</v>
      </c>
      <c r="C99" s="14" t="s">
        <v>1284</v>
      </c>
      <c r="D99" s="14" t="s">
        <v>1284</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76.5" x14ac:dyDescent="0.25">
      <c r="A100" s="13" t="s">
        <v>2789</v>
      </c>
      <c r="B100" s="14" t="s">
        <v>2793</v>
      </c>
      <c r="C100" s="14" t="s">
        <v>2795</v>
      </c>
      <c r="D100" s="14" t="s">
        <v>2887</v>
      </c>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89.25" x14ac:dyDescent="0.25">
      <c r="A101" s="13" t="s">
        <v>2792</v>
      </c>
      <c r="B101" s="14" t="s">
        <v>2794</v>
      </c>
      <c r="C101" s="14" t="s">
        <v>2796</v>
      </c>
      <c r="D101" s="14" t="s">
        <v>2888</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89.25" x14ac:dyDescent="0.25">
      <c r="A102" s="13" t="s">
        <v>2018</v>
      </c>
      <c r="B102" s="14" t="s">
        <v>2019</v>
      </c>
      <c r="C102" s="14" t="s">
        <v>2020</v>
      </c>
      <c r="D102" s="14" t="s">
        <v>2020</v>
      </c>
      <c r="E102" s="12" t="str">
        <f>IF(SIGN(IFERROR(SEARCH("\1",$B102),0))=SIGN(IFERROR(SEARCH("\1",C102),0)),".","!")&amp;
   IF(SIGN(IFERROR(SEARCH("\2",$B102),0))=SIGN(IFERROR(SEARCH("\2",C102),0)),".","!")&amp;
   IF(SIGN(IFERROR(SEARCH("\3",$B102),0))=SIGN(IFERROR(SEARCH("\3",C102),0)),".","!")</f>
        <v>...</v>
      </c>
      <c r="F102" s="12" t="str">
        <f>IF(SIGN(IFERROR(SEARCH("\1",$B102),0))=SIGN(IFERROR(SEARCH("\1",D102),0)),".","!")&amp;
   IF(SIGN(IFERROR(SEARCH("\2",$B102),0))=SIGN(IFERROR(SEARCH("\2",D102),0)),".","!")&amp;
   IF(SIGN(IFERROR(SEARCH("\3",$B102),0))=SIGN(IFERROR(SEARCH("\3",D102),0)),".","!")</f>
        <v>...</v>
      </c>
    </row>
    <row r="103" spans="1:6" ht="102" x14ac:dyDescent="0.25">
      <c r="A103" s="13" t="s">
        <v>1811</v>
      </c>
      <c r="B103" s="14" t="s">
        <v>1812</v>
      </c>
      <c r="C103" s="14" t="s">
        <v>1813</v>
      </c>
      <c r="D103" s="14" t="s">
        <v>1813</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127.5" x14ac:dyDescent="0.25">
      <c r="A104" s="13" t="s">
        <v>2774</v>
      </c>
      <c r="B104" s="14" t="s">
        <v>2777</v>
      </c>
      <c r="C104" s="14" t="s">
        <v>2778</v>
      </c>
      <c r="D104" s="14" t="s">
        <v>2889</v>
      </c>
      <c r="E104" s="30" t="s">
        <v>2052</v>
      </c>
      <c r="F104" s="30" t="str">
        <f>IF(SIGN(IFERROR(SEARCH("\1",$B104),0))=SIGN(IFERROR(SEARCH("\1",D104),0)),".","!")&amp;
   IF(SIGN(IFERROR(SEARCH("\2",$B104),0))=SIGN(IFERROR(SEARCH("\2",D104),0)),".","!")&amp;
   IF(SIGN(IFERROR(SEARCH("\3",$B104),0))=SIGN(IFERROR(SEARCH("\3",D104),0)),".","!")</f>
        <v>...</v>
      </c>
    </row>
    <row r="105" spans="1:6" ht="38.25" x14ac:dyDescent="0.25">
      <c r="A105" s="13" t="s">
        <v>1128</v>
      </c>
      <c r="B105" s="14" t="s">
        <v>1129</v>
      </c>
      <c r="C105" s="14" t="s">
        <v>1130</v>
      </c>
      <c r="D105" s="14" t="s">
        <v>2687</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row>
    <row r="106" spans="1:6" ht="38.25" x14ac:dyDescent="0.25">
      <c r="A106" s="13" t="s">
        <v>897</v>
      </c>
      <c r="B106" s="14" t="s">
        <v>987</v>
      </c>
      <c r="C106" s="14" t="s">
        <v>988</v>
      </c>
      <c r="D106" s="14" t="s">
        <v>988</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38.25" x14ac:dyDescent="0.25">
      <c r="A107" s="13" t="s">
        <v>887</v>
      </c>
      <c r="B107" s="14" t="s">
        <v>888</v>
      </c>
      <c r="C107" s="14" t="s">
        <v>890</v>
      </c>
      <c r="D107" s="14" t="s">
        <v>2586</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38.25" x14ac:dyDescent="0.25">
      <c r="A108" s="13" t="s">
        <v>886</v>
      </c>
      <c r="B108" s="14" t="s">
        <v>885</v>
      </c>
      <c r="C108" s="14" t="s">
        <v>889</v>
      </c>
      <c r="D108" s="14" t="s">
        <v>2587</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38.25" x14ac:dyDescent="0.25">
      <c r="A109" s="13" t="s">
        <v>895</v>
      </c>
      <c r="B109" s="14" t="s">
        <v>896</v>
      </c>
      <c r="C109" s="14" t="s">
        <v>894</v>
      </c>
      <c r="D109" s="14" t="s">
        <v>894</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63.75" x14ac:dyDescent="0.25">
      <c r="A110" s="13" t="s">
        <v>846</v>
      </c>
      <c r="B110" s="14" t="s">
        <v>841</v>
      </c>
      <c r="C110" s="14" t="s">
        <v>845</v>
      </c>
      <c r="D110" s="14" t="s">
        <v>845</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63.75" x14ac:dyDescent="0.25">
      <c r="A111" s="13" t="s">
        <v>898</v>
      </c>
      <c r="B111" s="14" t="s">
        <v>1316</v>
      </c>
      <c r="C111" s="14" t="s">
        <v>1317</v>
      </c>
      <c r="D111" s="14" t="s">
        <v>2673</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140.25" x14ac:dyDescent="0.25">
      <c r="A112" s="13" t="s">
        <v>2050</v>
      </c>
      <c r="B112" s="14" t="s">
        <v>2048</v>
      </c>
      <c r="C112" s="14" t="s">
        <v>2049</v>
      </c>
      <c r="D112" s="14" t="s">
        <v>2049</v>
      </c>
      <c r="E112" s="30" t="str">
        <f>IF(SIGN(IFERROR(SEARCH("\1",$B112),0))=SIGN(IFERROR(SEARCH("\1",C112),0)),".","!")&amp;
   IF(SIGN(IFERROR(SEARCH("\2",$B112),0))=SIGN(IFERROR(SEARCH("\2",C112),0)),".","!")&amp;
   IF(SIGN(IFERROR(SEARCH("\3",$B112),0))=SIGN(IFERROR(SEARCH("\3",C112),0)),".","!")</f>
        <v>...</v>
      </c>
      <c r="F112" s="30" t="str">
        <f>IF(SIGN(IFERROR(SEARCH("\1",$B112),0))=SIGN(IFERROR(SEARCH("\1",D112),0)),".","!")&amp;
   IF(SIGN(IFERROR(SEARCH("\2",$B112),0))=SIGN(IFERROR(SEARCH("\2",D112),0)),".","!")&amp;
   IF(SIGN(IFERROR(SEARCH("\3",$B112),0))=SIGN(IFERROR(SEARCH("\3",D112),0)),".","!")</f>
        <v>...</v>
      </c>
    </row>
    <row r="113" spans="1:6" ht="25.5" x14ac:dyDescent="0.25">
      <c r="A113" s="13" t="s">
        <v>2051</v>
      </c>
      <c r="B113" s="14" t="s">
        <v>2746</v>
      </c>
      <c r="C113" s="14" t="s">
        <v>2747</v>
      </c>
      <c r="D113" s="14" t="s">
        <v>2747</v>
      </c>
      <c r="E113" s="30" t="s">
        <v>2052</v>
      </c>
      <c r="F113" s="30" t="str">
        <f>IF(SIGN(IFERROR(SEARCH("\1",$B113),0))=SIGN(IFERROR(SEARCH("\1",D113),0)),".","!")&amp;
   IF(SIGN(IFERROR(SEARCH("\2",$B113),0))=SIGN(IFERROR(SEARCH("\2",D113),0)),".","!")&amp;
   IF(SIGN(IFERROR(SEARCH("\3",$B113),0))=SIGN(IFERROR(SEARCH("\3",D113),0)),".","!")</f>
        <v>...</v>
      </c>
    </row>
    <row r="114" spans="1:6" ht="38.25" x14ac:dyDescent="0.25">
      <c r="A114" s="13" t="s">
        <v>1709</v>
      </c>
      <c r="B114" s="14" t="s">
        <v>1710</v>
      </c>
      <c r="C114" s="14" t="s">
        <v>1711</v>
      </c>
      <c r="D114" s="14" t="s">
        <v>1711</v>
      </c>
      <c r="E114" s="12" t="str">
        <f>IF(SIGN(IFERROR(SEARCH("\1",$B114),0))=SIGN(IFERROR(SEARCH("\1",C114),0)),".","!")&amp;
   IF(SIGN(IFERROR(SEARCH("\2",$B114),0))=SIGN(IFERROR(SEARCH("\2",C114),0)),".","!")&amp;
   IF(SIGN(IFERROR(SEARCH("\3",$B114),0))=SIGN(IFERROR(SEARCH("\3",C114),0)),".","!")</f>
        <v>...</v>
      </c>
      <c r="F114" s="12" t="str">
        <f>IF(SIGN(IFERROR(SEARCH("\1",$B114),0))=SIGN(IFERROR(SEARCH("\1",D114),0)),".","!")&amp;
   IF(SIGN(IFERROR(SEARCH("\2",$B114),0))=SIGN(IFERROR(SEARCH("\2",D114),0)),".","!")&amp;
   IF(SIGN(IFERROR(SEARCH("\3",$B114),0))=SIGN(IFERROR(SEARCH("\3",D114),0)),".","!")</f>
        <v>...</v>
      </c>
    </row>
    <row r="115" spans="1:6" ht="25.5" x14ac:dyDescent="0.25">
      <c r="A115" s="13" t="s">
        <v>831</v>
      </c>
      <c r="B115" s="14" t="s">
        <v>830</v>
      </c>
      <c r="C115" s="14" t="s">
        <v>842</v>
      </c>
      <c r="D115" s="14" t="s">
        <v>2588</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25.5" x14ac:dyDescent="0.25">
      <c r="A116" s="13" t="s">
        <v>1117</v>
      </c>
      <c r="B116" s="14" t="s">
        <v>1118</v>
      </c>
      <c r="C116" s="14" t="s">
        <v>1119</v>
      </c>
      <c r="D116" s="14" t="s">
        <v>2589</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ht="102" x14ac:dyDescent="0.25">
      <c r="A117" s="13" t="s">
        <v>2797</v>
      </c>
      <c r="B117" s="14" t="s">
        <v>2798</v>
      </c>
      <c r="C117" s="14" t="s">
        <v>2799</v>
      </c>
      <c r="D117" s="14" t="s">
        <v>2890</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row>
    <row r="118" spans="1:6" ht="140.25" x14ac:dyDescent="0.25">
      <c r="A118" s="13" t="s">
        <v>2045</v>
      </c>
      <c r="B118" s="14" t="s">
        <v>2046</v>
      </c>
      <c r="C118" s="14" t="s">
        <v>2047</v>
      </c>
      <c r="D118" s="14" t="s">
        <v>2047</v>
      </c>
      <c r="E118" s="12" t="str">
        <f>IF(SIGN(IFERROR(SEARCH("\1",$B118),0))=SIGN(IFERROR(SEARCH("\1",C118),0)),".","!")&amp;
   IF(SIGN(IFERROR(SEARCH("\2",$B118),0))=SIGN(IFERROR(SEARCH("\2",C118),0)),".","!")&amp;
   IF(SIGN(IFERROR(SEARCH("\3",$B118),0))=SIGN(IFERROR(SEARCH("\3",C118),0)),".","!")</f>
        <v>...</v>
      </c>
      <c r="F118" s="12" t="str">
        <f>IF(SIGN(IFERROR(SEARCH("\1",$B118),0))=SIGN(IFERROR(SEARCH("\1",D118),0)),".","!")&amp;
   IF(SIGN(IFERROR(SEARCH("\2",$B118),0))=SIGN(IFERROR(SEARCH("\2",D118),0)),".","!")&amp;
   IF(SIGN(IFERROR(SEARCH("\3",$B118),0))=SIGN(IFERROR(SEARCH("\3",D118),0)),".","!")</f>
        <v>...</v>
      </c>
    </row>
    <row r="119" spans="1:6" ht="25.5" x14ac:dyDescent="0.25">
      <c r="A119" s="13" t="s">
        <v>641</v>
      </c>
      <c r="B119" s="14" t="s">
        <v>640</v>
      </c>
      <c r="C119" s="14" t="s">
        <v>666</v>
      </c>
      <c r="D119" s="14" t="s">
        <v>666</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63.75" x14ac:dyDescent="0.25">
      <c r="A120" s="13" t="s">
        <v>593</v>
      </c>
      <c r="B120" s="14" t="s">
        <v>110</v>
      </c>
      <c r="C120" s="14" t="s">
        <v>1920</v>
      </c>
      <c r="D120" s="14" t="s">
        <v>1920</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38.25" x14ac:dyDescent="0.25">
      <c r="A121" s="13" t="s">
        <v>1202</v>
      </c>
      <c r="B121" s="14" t="s">
        <v>1410</v>
      </c>
      <c r="C121" s="14" t="s">
        <v>1203</v>
      </c>
      <c r="D121" s="14" t="s">
        <v>1203</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89.25" x14ac:dyDescent="0.25">
      <c r="A122" s="13" t="s">
        <v>1921</v>
      </c>
      <c r="B122" s="14" t="s">
        <v>1923</v>
      </c>
      <c r="C122" s="14" t="s">
        <v>1924</v>
      </c>
      <c r="D122" s="14" t="s">
        <v>1924</v>
      </c>
      <c r="E122" s="30" t="str">
        <f>IF(SIGN(IFERROR(SEARCH("\1",$B122),0))=SIGN(IFERROR(SEARCH("\1",C122),0)),".","!")&amp;
   IF(SIGN(IFERROR(SEARCH("\2",$B122),0))=SIGN(IFERROR(SEARCH("\2",C122),0)),".","!")&amp;
   IF(SIGN(IFERROR(SEARCH("\3",$B122),0))=SIGN(IFERROR(SEARCH("\3",C122),0)),".","!")</f>
        <v>...</v>
      </c>
      <c r="F122" s="12" t="str">
        <f>IF(SIGN(IFERROR(SEARCH("\1",$B122),0))=SIGN(IFERROR(SEARCH("\1",D122),0)),".","!")&amp;
   IF(SIGN(IFERROR(SEARCH("\2",$B122),0))=SIGN(IFERROR(SEARCH("\2",D122),0)),".","!")&amp;
   IF(SIGN(IFERROR(SEARCH("\3",$B122),0))=SIGN(IFERROR(SEARCH("\3",D122),0)),".","!")</f>
        <v>...</v>
      </c>
    </row>
    <row r="123" spans="1:6" ht="25.5" x14ac:dyDescent="0.25">
      <c r="A123" s="13" t="s">
        <v>1931</v>
      </c>
      <c r="B123" s="14" t="s">
        <v>1932</v>
      </c>
      <c r="C123" s="14" t="s">
        <v>1933</v>
      </c>
      <c r="D123" s="14" t="s">
        <v>1933</v>
      </c>
      <c r="E123" s="12" t="str">
        <f>IF(SIGN(IFERROR(SEARCH("\1",$B123),0))=SIGN(IFERROR(SEARCH("\1",C123),0)),".","!")&amp;
   IF(SIGN(IFERROR(SEARCH("\2",$B123),0))=SIGN(IFERROR(SEARCH("\2",C123),0)),".","!")&amp;
   IF(SIGN(IFERROR(SEARCH("\3",$B123),0))=SIGN(IFERROR(SEARCH("\3",C123),0)),".","!")</f>
        <v>...</v>
      </c>
      <c r="F123" s="12" t="str">
        <f>IF(SIGN(IFERROR(SEARCH("\1",$B123),0))=SIGN(IFERROR(SEARCH("\1",D123),0)),".","!")&amp;
   IF(SIGN(IFERROR(SEARCH("\2",$B123),0))=SIGN(IFERROR(SEARCH("\2",D123),0)),".","!")&amp;
   IF(SIGN(IFERROR(SEARCH("\3",$B123),0))=SIGN(IFERROR(SEARCH("\3",D123),0)),".","!")</f>
        <v>...</v>
      </c>
    </row>
    <row r="124" spans="1:6" ht="102" x14ac:dyDescent="0.25">
      <c r="A124" s="13" t="s">
        <v>867</v>
      </c>
      <c r="B124" s="14" t="s">
        <v>866</v>
      </c>
      <c r="C124" s="14" t="s">
        <v>1922</v>
      </c>
      <c r="D124" s="14" t="s">
        <v>2590</v>
      </c>
      <c r="E124" s="30" t="str">
        <f>IF(SIGN(IFERROR(SEARCH("\1",$B124),0))=SIGN(IFERROR(SEARCH("\1",C124),0)),".","!")&amp;
   IF(SIGN(IFERROR(SEARCH("\2",$B124),0))=SIGN(IFERROR(SEARCH("\2",C124),0)),".","!")&amp;
   IF(SIGN(IFERROR(SEARCH("\3",$B124),0))=SIGN(IFERROR(SEARCH("\3",C124),0)),".","!")</f>
        <v>...</v>
      </c>
      <c r="F124" s="30" t="str">
        <f>IF(SIGN(IFERROR(SEARCH("\1",$B124),0))=SIGN(IFERROR(SEARCH("\1",D124),0)),".","!")&amp;
   IF(SIGN(IFERROR(SEARCH("\2",$B124),0))=SIGN(IFERROR(SEARCH("\2",D124),0)),".","!")&amp;
   IF(SIGN(IFERROR(SEARCH("\3",$B124),0))=SIGN(IFERROR(SEARCH("\3",D124),0)),".","!")</f>
        <v>...</v>
      </c>
    </row>
    <row r="125" spans="1:6" ht="25.5" x14ac:dyDescent="0.25">
      <c r="A125" s="13" t="s">
        <v>832</v>
      </c>
      <c r="B125" s="14" t="s">
        <v>844</v>
      </c>
      <c r="C125" s="14" t="s">
        <v>843</v>
      </c>
      <c r="D125" s="14" t="s">
        <v>2591</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25.5" x14ac:dyDescent="0.25">
      <c r="A126" s="13" t="s">
        <v>869</v>
      </c>
      <c r="B126" s="14" t="s">
        <v>868</v>
      </c>
      <c r="C126" s="14" t="s">
        <v>870</v>
      </c>
      <c r="D126" s="14" t="s">
        <v>2592</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x14ac:dyDescent="0.25">
      <c r="A127" s="13" t="s">
        <v>1716</v>
      </c>
      <c r="B127" s="14" t="s">
        <v>1714</v>
      </c>
      <c r="C127" s="14" t="s">
        <v>1715</v>
      </c>
      <c r="D127" s="14" t="s">
        <v>1715</v>
      </c>
      <c r="E127" s="12" t="str">
        <f>IF(SIGN(IFERROR(SEARCH("\1",$B127),0))=SIGN(IFERROR(SEARCH("\1",C127),0)),".","!")&amp;
   IF(SIGN(IFERROR(SEARCH("\2",$B127),0))=SIGN(IFERROR(SEARCH("\2",C127),0)),".","!")&amp;
   IF(SIGN(IFERROR(SEARCH("\3",$B127),0))=SIGN(IFERROR(SEARCH("\3",C127),0)),".","!")</f>
        <v>...</v>
      </c>
      <c r="F127" s="12" t="str">
        <f>IF(SIGN(IFERROR(SEARCH("\1",$B127),0))=SIGN(IFERROR(SEARCH("\1",D127),0)),".","!")&amp;
   IF(SIGN(IFERROR(SEARCH("\2",$B127),0))=SIGN(IFERROR(SEARCH("\2",D127),0)),".","!")&amp;
   IF(SIGN(IFERROR(SEARCH("\3",$B127),0))=SIGN(IFERROR(SEARCH("\3",D127),0)),".","!")</f>
        <v>...</v>
      </c>
    </row>
    <row r="128" spans="1:6" ht="63.75" x14ac:dyDescent="0.25">
      <c r="A128" s="13" t="s">
        <v>2024</v>
      </c>
      <c r="B128" s="14" t="s">
        <v>2030</v>
      </c>
      <c r="C128" s="14" t="s">
        <v>2033</v>
      </c>
      <c r="D128" s="14" t="s">
        <v>2033</v>
      </c>
      <c r="E128" s="12" t="str">
        <f>IF(SIGN(IFERROR(SEARCH("\1",$B128),0))=SIGN(IFERROR(SEARCH("\1",C128),0)),".","!")&amp;
   IF(SIGN(IFERROR(SEARCH("\2",$B128),0))=SIGN(IFERROR(SEARCH("\2",C128),0)),".","!")&amp;
   IF(SIGN(IFERROR(SEARCH("\3",$B128),0))=SIGN(IFERROR(SEARCH("\3",C128),0)),".","!")</f>
        <v>...</v>
      </c>
      <c r="F128" s="12" t="str">
        <f>IF(SIGN(IFERROR(SEARCH("\1",$B128),0))=SIGN(IFERROR(SEARCH("\1",D128),0)),".","!")&amp;
   IF(SIGN(IFERROR(SEARCH("\2",$B128),0))=SIGN(IFERROR(SEARCH("\2",D128),0)),".","!")&amp;
   IF(SIGN(IFERROR(SEARCH("\3",$B128),0))=SIGN(IFERROR(SEARCH("\3",D128),0)),".","!")</f>
        <v>...</v>
      </c>
    </row>
    <row r="129" spans="1:6" ht="89.25" x14ac:dyDescent="0.25">
      <c r="A129" s="13" t="s">
        <v>2025</v>
      </c>
      <c r="B129" s="14" t="s">
        <v>2031</v>
      </c>
      <c r="C129" s="14" t="s">
        <v>2032</v>
      </c>
      <c r="D129" s="14" t="s">
        <v>2032</v>
      </c>
      <c r="E129" s="12" t="str">
        <f>IF(SIGN(IFERROR(SEARCH("\1",$B129),0))=SIGN(IFERROR(SEARCH("\1",C129),0)),".","!")&amp;
   IF(SIGN(IFERROR(SEARCH("\2",$B129),0))=SIGN(IFERROR(SEARCH("\2",C129),0)),".","!")&amp;
   IF(SIGN(IFERROR(SEARCH("\3",$B129),0))=SIGN(IFERROR(SEARCH("\3",C129),0)),".","!")</f>
        <v>...</v>
      </c>
      <c r="F129" s="12" t="str">
        <f>IF(SIGN(IFERROR(SEARCH("\1",$B129),0))=SIGN(IFERROR(SEARCH("\1",D129),0)),".","!")&amp;
   IF(SIGN(IFERROR(SEARCH("\2",$B129),0))=SIGN(IFERROR(SEARCH("\2",D129),0)),".","!")&amp;
   IF(SIGN(IFERROR(SEARCH("\3",$B129),0))=SIGN(IFERROR(SEARCH("\3",D129),0)),".","!")</f>
        <v>...</v>
      </c>
    </row>
    <row r="130" spans="1:6" ht="25.5" x14ac:dyDescent="0.25">
      <c r="A130" s="13" t="s">
        <v>639</v>
      </c>
      <c r="B130" s="14" t="s">
        <v>638</v>
      </c>
      <c r="C130" s="14" t="s">
        <v>667</v>
      </c>
      <c r="D130" s="14" t="s">
        <v>2688</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ht="25.5" x14ac:dyDescent="0.25">
      <c r="A131" s="13" t="s">
        <v>1114</v>
      </c>
      <c r="B131" s="14" t="s">
        <v>1115</v>
      </c>
      <c r="C131" s="14" t="s">
        <v>1116</v>
      </c>
      <c r="D131" s="14" t="s">
        <v>2593</v>
      </c>
      <c r="E131" s="30" t="str">
        <f>IF(SIGN(IFERROR(SEARCH("\1",$B131),0))=SIGN(IFERROR(SEARCH("\1",C131),0)),".","!")&amp;
   IF(SIGN(IFERROR(SEARCH("\2",$B131),0))=SIGN(IFERROR(SEARCH("\2",C131),0)),".","!")&amp;
   IF(SIGN(IFERROR(SEARCH("\3",$B131),0))=SIGN(IFERROR(SEARCH("\3",C131),0)),".","!")</f>
        <v>...</v>
      </c>
      <c r="F131" s="30" t="str">
        <f>IF(SIGN(IFERROR(SEARCH("\1",$B131),0))=SIGN(IFERROR(SEARCH("\1",D131),0)),".","!")&amp;
   IF(SIGN(IFERROR(SEARCH("\2",$B131),0))=SIGN(IFERROR(SEARCH("\2",D131),0)),".","!")&amp;
   IF(SIGN(IFERROR(SEARCH("\3",$B131),0))=SIGN(IFERROR(SEARCH("\3",D131),0)),".","!")</f>
        <v>...</v>
      </c>
    </row>
    <row r="132" spans="1:6" ht="38.25" x14ac:dyDescent="0.25">
      <c r="A132" s="13" t="s">
        <v>1256</v>
      </c>
      <c r="B132" s="14" t="s">
        <v>1257</v>
      </c>
      <c r="C132" s="14" t="s">
        <v>1258</v>
      </c>
      <c r="D132" s="14" t="s">
        <v>1258</v>
      </c>
      <c r="E132" s="30" t="str">
        <f>IF(SIGN(IFERROR(SEARCH("\1",$B132),0))=SIGN(IFERROR(SEARCH("\1",C132),0)),".","!")&amp;
   IF(SIGN(IFERROR(SEARCH("\2",$B132),0))=SIGN(IFERROR(SEARCH("\2",C132),0)),".","!")&amp;
   IF(SIGN(IFERROR(SEARCH("\3",$B132),0))=SIGN(IFERROR(SEARCH("\3",C132),0)),".","!")</f>
        <v>...</v>
      </c>
      <c r="F132" s="30" t="str">
        <f>IF(SIGN(IFERROR(SEARCH("\1",$B132),0))=SIGN(IFERROR(SEARCH("\1",D132),0)),".","!")&amp;
   IF(SIGN(IFERROR(SEARCH("\2",$B132),0))=SIGN(IFERROR(SEARCH("\2",D132),0)),".","!")&amp;
   IF(SIGN(IFERROR(SEARCH("\3",$B132),0))=SIGN(IFERROR(SEARCH("\3",D132),0)),".","!")</f>
        <v>...</v>
      </c>
    </row>
    <row r="133" spans="1:6" ht="76.5" x14ac:dyDescent="0.25">
      <c r="A133" s="13" t="s">
        <v>1805</v>
      </c>
      <c r="B133" s="14" t="s">
        <v>1807</v>
      </c>
      <c r="C133" s="14" t="s">
        <v>1808</v>
      </c>
      <c r="D133" s="14" t="s">
        <v>1808</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38.25" x14ac:dyDescent="0.25">
      <c r="A134" s="13" t="s">
        <v>862</v>
      </c>
      <c r="B134" s="14" t="s">
        <v>860</v>
      </c>
      <c r="C134" s="14" t="s">
        <v>861</v>
      </c>
      <c r="D134" s="14" t="s">
        <v>861</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76.5" x14ac:dyDescent="0.25">
      <c r="A135" s="13" t="s">
        <v>960</v>
      </c>
      <c r="B135" s="14" t="s">
        <v>582</v>
      </c>
      <c r="C135" s="14" t="s">
        <v>583</v>
      </c>
      <c r="D135" s="14" t="s">
        <v>583</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89.25" x14ac:dyDescent="0.25">
      <c r="A136" s="13" t="s">
        <v>1379</v>
      </c>
      <c r="B136" s="14" t="s">
        <v>1276</v>
      </c>
      <c r="C136" s="14" t="s">
        <v>682</v>
      </c>
      <c r="D136" s="14" t="s">
        <v>682</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76.5" x14ac:dyDescent="0.25">
      <c r="A137" s="13" t="s">
        <v>603</v>
      </c>
      <c r="B137" s="14" t="s">
        <v>604</v>
      </c>
      <c r="C137" s="14" t="s">
        <v>668</v>
      </c>
      <c r="D137" s="14" t="s">
        <v>668</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38.25" x14ac:dyDescent="0.25">
      <c r="A138" s="13" t="s">
        <v>1360</v>
      </c>
      <c r="B138" s="14" t="s">
        <v>1361</v>
      </c>
      <c r="C138" s="14" t="s">
        <v>1362</v>
      </c>
      <c r="D138" s="14" t="s">
        <v>1362</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ht="38.25" x14ac:dyDescent="0.25">
      <c r="A139" s="13" t="s">
        <v>613</v>
      </c>
      <c r="B139" s="14" t="s">
        <v>1201</v>
      </c>
      <c r="C139" s="14" t="s">
        <v>1264</v>
      </c>
      <c r="D139" s="14" t="s">
        <v>1264</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ht="25.5" x14ac:dyDescent="0.25">
      <c r="A140" s="13" t="s">
        <v>1004</v>
      </c>
      <c r="B140" s="14" t="s">
        <v>1801</v>
      </c>
      <c r="C140" s="14" t="s">
        <v>1802</v>
      </c>
      <c r="D140" s="14" t="s">
        <v>1802</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38.25" x14ac:dyDescent="0.25">
      <c r="A141" s="13" t="s">
        <v>1588</v>
      </c>
      <c r="B141" s="14" t="s">
        <v>1589</v>
      </c>
      <c r="C141" s="14" t="s">
        <v>1590</v>
      </c>
      <c r="D141" s="14" t="s">
        <v>1590</v>
      </c>
      <c r="E141" s="12" t="str">
        <f>IF(SIGN(IFERROR(SEARCH("\1",$B141),0))=SIGN(IFERROR(SEARCH("\1",C141),0)),".","!")&amp;
   IF(SIGN(IFERROR(SEARCH("\2",$B141),0))=SIGN(IFERROR(SEARCH("\2",C141),0)),".","!")&amp;
   IF(SIGN(IFERROR(SEARCH("\3",$B141),0))=SIGN(IFERROR(SEARCH("\3",C141),0)),".","!")</f>
        <v>...</v>
      </c>
      <c r="F141" s="12" t="str">
        <f>IF(SIGN(IFERROR(SEARCH("\1",$B141),0))=SIGN(IFERROR(SEARCH("\1",D141),0)),".","!")&amp;
   IF(SIGN(IFERROR(SEARCH("\2",$B141),0))=SIGN(IFERROR(SEARCH("\2",D141),0)),".","!")&amp;
   IF(SIGN(IFERROR(SEARCH("\3",$B141),0))=SIGN(IFERROR(SEARCH("\3",D141),0)),".","!")</f>
        <v>...</v>
      </c>
    </row>
    <row r="142" spans="1:6" ht="38.25" x14ac:dyDescent="0.25">
      <c r="A142" s="13" t="s">
        <v>1591</v>
      </c>
      <c r="B142" s="14" t="s">
        <v>1592</v>
      </c>
      <c r="C142" s="14" t="s">
        <v>1593</v>
      </c>
      <c r="D142" s="14" t="s">
        <v>1593</v>
      </c>
      <c r="E142" s="12" t="str">
        <f>IF(SIGN(IFERROR(SEARCH("\1",$B142),0))=SIGN(IFERROR(SEARCH("\1",C142),0)),".","!")&amp;
   IF(SIGN(IFERROR(SEARCH("\2",$B142),0))=SIGN(IFERROR(SEARCH("\2",C142),0)),".","!")&amp;
   IF(SIGN(IFERROR(SEARCH("\3",$B142),0))=SIGN(IFERROR(SEARCH("\3",C142),0)),".","!")</f>
        <v>...</v>
      </c>
      <c r="F142" s="12" t="str">
        <f>IF(SIGN(IFERROR(SEARCH("\1",$B142),0))=SIGN(IFERROR(SEARCH("\1",D142),0)),".","!")&amp;
   IF(SIGN(IFERROR(SEARCH("\2",$B142),0))=SIGN(IFERROR(SEARCH("\2",D142),0)),".","!")&amp;
   IF(SIGN(IFERROR(SEARCH("\3",$B142),0))=SIGN(IFERROR(SEARCH("\3",D142),0)),".","!")</f>
        <v>...</v>
      </c>
    </row>
    <row r="143" spans="1:6" ht="25.5" x14ac:dyDescent="0.25">
      <c r="A143" s="13" t="s">
        <v>601</v>
      </c>
      <c r="B143" s="14" t="s">
        <v>584</v>
      </c>
      <c r="C143" s="14" t="s">
        <v>669</v>
      </c>
      <c r="D143" s="14" t="s">
        <v>2594</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38.25" x14ac:dyDescent="0.25">
      <c r="A144" s="13" t="s">
        <v>1677</v>
      </c>
      <c r="B144" s="14" t="s">
        <v>1679</v>
      </c>
      <c r="C144" s="14" t="s">
        <v>1680</v>
      </c>
      <c r="D144" s="14" t="s">
        <v>1680</v>
      </c>
      <c r="E144" s="12" t="str">
        <f>IF(SIGN(IFERROR(SEARCH("\1",$B144),0))=SIGN(IFERROR(SEARCH("\1",C144),0)),".","!")&amp;
   IF(SIGN(IFERROR(SEARCH("\2",$B144),0))=SIGN(IFERROR(SEARCH("\2",C144),0)),".","!")&amp;
   IF(SIGN(IFERROR(SEARCH("\3",$B144),0))=SIGN(IFERROR(SEARCH("\3",C144),0)),".","!")</f>
        <v>...</v>
      </c>
      <c r="F144" s="12" t="str">
        <f>IF(SIGN(IFERROR(SEARCH("\1",$B144),0))=SIGN(IFERROR(SEARCH("\1",D144),0)),".","!")&amp;
   IF(SIGN(IFERROR(SEARCH("\2",$B144),0))=SIGN(IFERROR(SEARCH("\2",D144),0)),".","!")&amp;
   IF(SIGN(IFERROR(SEARCH("\3",$B144),0))=SIGN(IFERROR(SEARCH("\3",D144),0)),".","!")</f>
        <v>...</v>
      </c>
    </row>
    <row r="145" spans="1:6" ht="38.25" x14ac:dyDescent="0.25">
      <c r="A145" s="13" t="s">
        <v>1685</v>
      </c>
      <c r="B145" s="14" t="s">
        <v>1686</v>
      </c>
      <c r="C145" s="14" t="s">
        <v>1687</v>
      </c>
      <c r="D145" s="14" t="s">
        <v>1687</v>
      </c>
      <c r="E145" s="30" t="str">
        <f>IF(SIGN(IFERROR(SEARCH("\1",$B145),0))=SIGN(IFERROR(SEARCH("\1",C145),0)),".","!")&amp;
   IF(SIGN(IFERROR(SEARCH("\2",$B145),0))=SIGN(IFERROR(SEARCH("\2",C145),0)),".","!")&amp;
   IF(SIGN(IFERROR(SEARCH("\3",$B145),0))=SIGN(IFERROR(SEARCH("\3",C145),0)),".","!")</f>
        <v>...</v>
      </c>
      <c r="F145" s="12" t="str">
        <f>IF(SIGN(IFERROR(SEARCH("\1",$B145),0))=SIGN(IFERROR(SEARCH("\1",D145),0)),".","!")&amp;
   IF(SIGN(IFERROR(SEARCH("\2",$B145),0))=SIGN(IFERROR(SEARCH("\2",D145),0)),".","!")&amp;
   IF(SIGN(IFERROR(SEARCH("\3",$B145),0))=SIGN(IFERROR(SEARCH("\3",D145),0)),".","!")</f>
        <v>...</v>
      </c>
    </row>
    <row r="146" spans="1:6" ht="25.5" x14ac:dyDescent="0.25">
      <c r="A146" s="34" t="s">
        <v>1989</v>
      </c>
      <c r="B146" s="2" t="s">
        <v>1987</v>
      </c>
      <c r="C146" s="2" t="s">
        <v>1985</v>
      </c>
      <c r="D146" s="14" t="s">
        <v>1985</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30" x14ac:dyDescent="0.25">
      <c r="A147" s="34" t="s">
        <v>1990</v>
      </c>
      <c r="B147" s="2" t="s">
        <v>1988</v>
      </c>
      <c r="C147" s="2" t="s">
        <v>1986</v>
      </c>
      <c r="D147" s="14" t="s">
        <v>1986</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102" x14ac:dyDescent="0.25">
      <c r="A148" s="13" t="s">
        <v>1654</v>
      </c>
      <c r="B148" s="14" t="s">
        <v>1655</v>
      </c>
      <c r="C148" s="14" t="s">
        <v>1656</v>
      </c>
      <c r="D148" s="14" t="s">
        <v>2689</v>
      </c>
      <c r="E148" s="12" t="str">
        <f>IF(SIGN(IFERROR(SEARCH("\1",$B148),0))=SIGN(IFERROR(SEARCH("\1",C148),0)),".","!")&amp;
   IF(SIGN(IFERROR(SEARCH("\2",$B148),0))=SIGN(IFERROR(SEARCH("\2",C148),0)),".","!")&amp;
   IF(SIGN(IFERROR(SEARCH("\3",$B148),0))=SIGN(IFERROR(SEARCH("\3",C148),0)),".","!")</f>
        <v>...</v>
      </c>
      <c r="F148" s="12" t="str">
        <f>IF(SIGN(IFERROR(SEARCH("\1",$B148),0))=SIGN(IFERROR(SEARCH("\1",D148),0)),".","!")&amp;
   IF(SIGN(IFERROR(SEARCH("\2",$B148),0))=SIGN(IFERROR(SEARCH("\2",D148),0)),".","!")&amp;
   IF(SIGN(IFERROR(SEARCH("\3",$B148),0))=SIGN(IFERROR(SEARCH("\3",D148),0)),".","!")</f>
        <v>...</v>
      </c>
    </row>
    <row r="149" spans="1:6" ht="25.5" x14ac:dyDescent="0.25">
      <c r="A149" s="13" t="s">
        <v>1585</v>
      </c>
      <c r="B149" s="14" t="s">
        <v>1586</v>
      </c>
      <c r="C149" s="14" t="s">
        <v>1587</v>
      </c>
      <c r="D149" s="14" t="s">
        <v>2595</v>
      </c>
      <c r="E149" s="12" t="str">
        <f>IF(SIGN(IFERROR(SEARCH("\1",$B149),0))=SIGN(IFERROR(SEARCH("\1",C149),0)),".","!")&amp;
   IF(SIGN(IFERROR(SEARCH("\2",$B149),0))=SIGN(IFERROR(SEARCH("\2",C149),0)),".","!")&amp;
   IF(SIGN(IFERROR(SEARCH("\3",$B149),0))=SIGN(IFERROR(SEARCH("\3",C149),0)),".","!")</f>
        <v>...</v>
      </c>
      <c r="F149" s="12" t="str">
        <f>IF(SIGN(IFERROR(SEARCH("\1",$B149),0))=SIGN(IFERROR(SEARCH("\1",D149),0)),".","!")&amp;
   IF(SIGN(IFERROR(SEARCH("\2",$B149),0))=SIGN(IFERROR(SEARCH("\2",D149),0)),".","!")&amp;
   IF(SIGN(IFERROR(SEARCH("\3",$B149),0))=SIGN(IFERROR(SEARCH("\3",D149),0)),".","!")</f>
        <v>...</v>
      </c>
    </row>
    <row r="150" spans="1:6" ht="25.5" x14ac:dyDescent="0.25">
      <c r="A150" s="13" t="s">
        <v>615</v>
      </c>
      <c r="B150" s="14" t="s">
        <v>989</v>
      </c>
      <c r="C150" s="14" t="s">
        <v>990</v>
      </c>
      <c r="D150" s="14" t="s">
        <v>990</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63.75" x14ac:dyDescent="0.25">
      <c r="A151" s="13" t="s">
        <v>1991</v>
      </c>
      <c r="B151" s="14" t="s">
        <v>1992</v>
      </c>
      <c r="C151" s="14" t="s">
        <v>1993</v>
      </c>
      <c r="D151" s="14" t="s">
        <v>1993</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ht="38.25" x14ac:dyDescent="0.25">
      <c r="A152" s="13" t="s">
        <v>1762</v>
      </c>
      <c r="B152" s="14" t="s">
        <v>1763</v>
      </c>
      <c r="C152" s="14" t="s">
        <v>1764</v>
      </c>
      <c r="D152" s="14" t="s">
        <v>1764</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25.5" x14ac:dyDescent="0.25">
      <c r="A153" s="13" t="s">
        <v>618</v>
      </c>
      <c r="B153" s="14" t="s">
        <v>1099</v>
      </c>
      <c r="C153" s="14" t="s">
        <v>1100</v>
      </c>
      <c r="D153" s="14" t="s">
        <v>1100</v>
      </c>
      <c r="E153" s="30" t="str">
        <f>IF(SIGN(IFERROR(SEARCH("\1",$B153),0))=SIGN(IFERROR(SEARCH("\1",C153),0)),".","!")&amp;
   IF(SIGN(IFERROR(SEARCH("\2",$B153),0))=SIGN(IFERROR(SEARCH("\2",C153),0)),".","!")&amp;
   IF(SIGN(IFERROR(SEARCH("\3",$B153),0))=SIGN(IFERROR(SEARCH("\3",C153),0)),".","!")</f>
        <v>...</v>
      </c>
      <c r="F153" s="30" t="str">
        <f>IF(SIGN(IFERROR(SEARCH("\1",$B153),0))=SIGN(IFERROR(SEARCH("\1",D153),0)),".","!")&amp;
   IF(SIGN(IFERROR(SEARCH("\2",$B153),0))=SIGN(IFERROR(SEARCH("\2",D153),0)),".","!")&amp;
   IF(SIGN(IFERROR(SEARCH("\3",$B153),0))=SIGN(IFERROR(SEARCH("\3",D153),0)),".","!")</f>
        <v>...</v>
      </c>
    </row>
    <row r="154" spans="1:6" ht="38.25" x14ac:dyDescent="0.25">
      <c r="A154" s="13" t="s">
        <v>1376</v>
      </c>
      <c r="B154" s="14" t="s">
        <v>1377</v>
      </c>
      <c r="C154" s="14" t="s">
        <v>1378</v>
      </c>
      <c r="D154" s="14" t="s">
        <v>1378</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25.5" x14ac:dyDescent="0.25">
      <c r="A155" s="13" t="s">
        <v>1697</v>
      </c>
      <c r="B155" s="14" t="s">
        <v>1696</v>
      </c>
      <c r="C155" s="14" t="s">
        <v>1698</v>
      </c>
      <c r="D155" s="14" t="s">
        <v>1698</v>
      </c>
      <c r="E155" s="30" t="str">
        <f>IF(SIGN(IFERROR(SEARCH("\1",$B155),0))=SIGN(IFERROR(SEARCH("\1",C155),0)),".","!")&amp;
   IF(SIGN(IFERROR(SEARCH("\2",$B155),0))=SIGN(IFERROR(SEARCH("\2",C155),0)),".","!")&amp;
   IF(SIGN(IFERROR(SEARCH("\3",$B155),0))=SIGN(IFERROR(SEARCH("\3",C155),0)),".","!")</f>
        <v>...</v>
      </c>
      <c r="F155" s="12" t="str">
        <f>IF(SIGN(IFERROR(SEARCH("\1",$B155),0))=SIGN(IFERROR(SEARCH("\1",D155),0)),".","!")&amp;
   IF(SIGN(IFERROR(SEARCH("\2",$B155),0))=SIGN(IFERROR(SEARCH("\2",D155),0)),".","!")&amp;
   IF(SIGN(IFERROR(SEARCH("\3",$B155),0))=SIGN(IFERROR(SEARCH("\3",D155),0)),".","!")</f>
        <v>...</v>
      </c>
    </row>
    <row r="156" spans="1:6" ht="76.5" x14ac:dyDescent="0.25">
      <c r="A156" s="13" t="s">
        <v>607</v>
      </c>
      <c r="B156" s="14" t="s">
        <v>606</v>
      </c>
      <c r="C156" s="14" t="s">
        <v>991</v>
      </c>
      <c r="D156" s="14" t="s">
        <v>991</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row r="157" spans="1:6" ht="63.75" x14ac:dyDescent="0.25">
      <c r="A157" s="13" t="s">
        <v>605</v>
      </c>
      <c r="B157" s="14" t="s">
        <v>672</v>
      </c>
      <c r="C157" s="14" t="s">
        <v>673</v>
      </c>
      <c r="D157" s="14" t="s">
        <v>673</v>
      </c>
      <c r="E157" s="30" t="str">
        <f>IF(SIGN(IFERROR(SEARCH("\1",$B157),0))=SIGN(IFERROR(SEARCH("\1",C157),0)),".","!")&amp;
   IF(SIGN(IFERROR(SEARCH("\2",$B157),0))=SIGN(IFERROR(SEARCH("\2",C157),0)),".","!")&amp;
   IF(SIGN(IFERROR(SEARCH("\3",$B157),0))=SIGN(IFERROR(SEARCH("\3",C157),0)),".","!")</f>
        <v>...</v>
      </c>
      <c r="F157" s="30" t="str">
        <f>IF(SIGN(IFERROR(SEARCH("\1",$B157),0))=SIGN(IFERROR(SEARCH("\1",D157),0)),".","!")&amp;
   IF(SIGN(IFERROR(SEARCH("\2",$B157),0))=SIGN(IFERROR(SEARCH("\2",D157),0)),".","!")&amp;
   IF(SIGN(IFERROR(SEARCH("\3",$B157),0))=SIGN(IFERROR(SEARCH("\3",D157),0)),".","!")</f>
        <v>...</v>
      </c>
    </row>
    <row r="158" spans="1:6" x14ac:dyDescent="0.25">
      <c r="A158" s="13" t="s">
        <v>620</v>
      </c>
      <c r="B158" s="14" t="s">
        <v>619</v>
      </c>
      <c r="C158" s="14" t="s">
        <v>674</v>
      </c>
      <c r="D158" s="14" t="s">
        <v>2596</v>
      </c>
      <c r="E158" s="30" t="str">
        <f>IF(SIGN(IFERROR(SEARCH("\1",$B158),0))=SIGN(IFERROR(SEARCH("\1",C158),0)),".","!")&amp;
   IF(SIGN(IFERROR(SEARCH("\2",$B158),0))=SIGN(IFERROR(SEARCH("\2",C158),0)),".","!")&amp;
   IF(SIGN(IFERROR(SEARCH("\3",$B158),0))=SIGN(IFERROR(SEARCH("\3",C158),0)),".","!")</f>
        <v>...</v>
      </c>
      <c r="F158" s="30" t="str">
        <f>IF(SIGN(IFERROR(SEARCH("\1",$B158),0))=SIGN(IFERROR(SEARCH("\1",D158),0)),".","!")&amp;
   IF(SIGN(IFERROR(SEARCH("\2",$B158),0))=SIGN(IFERROR(SEARCH("\2",D158),0)),".","!")&amp;
   IF(SIGN(IFERROR(SEARCH("\3",$B158),0))=SIGN(IFERROR(SEARCH("\3",D158),0)),".","!")</f>
        <v>...</v>
      </c>
    </row>
    <row r="159" spans="1:6" ht="25.5" x14ac:dyDescent="0.25">
      <c r="A159" s="13" t="s">
        <v>1277</v>
      </c>
      <c r="B159" s="14" t="s">
        <v>1278</v>
      </c>
      <c r="C159" s="14" t="s">
        <v>1279</v>
      </c>
      <c r="D159" s="14" t="s">
        <v>2597</v>
      </c>
      <c r="E159" s="30" t="str">
        <f>IF(SIGN(IFERROR(SEARCH("\1",$B159),0))=SIGN(IFERROR(SEARCH("\1",C159),0)),".","!")&amp;
   IF(SIGN(IFERROR(SEARCH("\2",$B159),0))=SIGN(IFERROR(SEARCH("\2",C159),0)),".","!")&amp;
   IF(SIGN(IFERROR(SEARCH("\3",$B159),0))=SIGN(IFERROR(SEARCH("\3",C159),0)),".","!")</f>
        <v>...</v>
      </c>
      <c r="F159" s="30" t="str">
        <f>IF(SIGN(IFERROR(SEARCH("\1",$B159),0))=SIGN(IFERROR(SEARCH("\1",D159),0)),".","!")&amp;
   IF(SIGN(IFERROR(SEARCH("\2",$B159),0))=SIGN(IFERROR(SEARCH("\2",D159),0)),".","!")&amp;
   IF(SIGN(IFERROR(SEARCH("\3",$B159),0))=SIGN(IFERROR(SEARCH("\3",D159),0)),".","!")</f>
        <v>...</v>
      </c>
    </row>
    <row r="160" spans="1:6" x14ac:dyDescent="0.25">
      <c r="A160" s="13" t="s">
        <v>617</v>
      </c>
      <c r="B160" s="14" t="s">
        <v>616</v>
      </c>
      <c r="C160" s="14" t="s">
        <v>675</v>
      </c>
      <c r="D160" s="14" t="s">
        <v>2598</v>
      </c>
      <c r="E160" s="30" t="str">
        <f>IF(SIGN(IFERROR(SEARCH("\1",$B160),0))=SIGN(IFERROR(SEARCH("\1",C160),0)),".","!")&amp;
   IF(SIGN(IFERROR(SEARCH("\2",$B160),0))=SIGN(IFERROR(SEARCH("\2",C160),0)),".","!")&amp;
   IF(SIGN(IFERROR(SEARCH("\3",$B160),0))=SIGN(IFERROR(SEARCH("\3",C160),0)),".","!")</f>
        <v>...</v>
      </c>
      <c r="F160" s="30" t="str">
        <f>IF(SIGN(IFERROR(SEARCH("\1",$B160),0))=SIGN(IFERROR(SEARCH("\1",D160),0)),".","!")&amp;
   IF(SIGN(IFERROR(SEARCH("\2",$B160),0))=SIGN(IFERROR(SEARCH("\2",D160),0)),".","!")&amp;
   IF(SIGN(IFERROR(SEARCH("\3",$B160),0))=SIGN(IFERROR(SEARCH("\3",D160),0)),".","!")</f>
        <v>...</v>
      </c>
    </row>
    <row r="161" spans="1:6" ht="15" x14ac:dyDescent="0.25">
      <c r="A161" s="13" t="s">
        <v>2021</v>
      </c>
      <c r="B161" s="2" t="s">
        <v>1569</v>
      </c>
      <c r="C161" s="2" t="s">
        <v>1570</v>
      </c>
      <c r="D161" s="14" t="s">
        <v>2599</v>
      </c>
      <c r="E161" s="30" t="str">
        <f>IF(SIGN(IFERROR(SEARCH("\1",$B161),0))=SIGN(IFERROR(SEARCH("\1",C161),0)),".","!")&amp;
   IF(SIGN(IFERROR(SEARCH("\2",$B161),0))=SIGN(IFERROR(SEARCH("\2",C161),0)),".","!")&amp;
   IF(SIGN(IFERROR(SEARCH("\3",$B161),0))=SIGN(IFERROR(SEARCH("\3",C161),0)),".","!")</f>
        <v>...</v>
      </c>
      <c r="F161" s="30" t="str">
        <f>IF(SIGN(IFERROR(SEARCH("\1",$B161),0))=SIGN(IFERROR(SEARCH("\1",D161),0)),".","!")&amp;
   IF(SIGN(IFERROR(SEARCH("\2",$B161),0))=SIGN(IFERROR(SEARCH("\2",D161),0)),".","!")&amp;
   IF(SIGN(IFERROR(SEARCH("\3",$B161),0))=SIGN(IFERROR(SEARCH("\3",D161),0)),".","!")</f>
        <v>...</v>
      </c>
    </row>
    <row r="162" spans="1:6" ht="38.25" x14ac:dyDescent="0.25">
      <c r="A162" s="13" t="s">
        <v>2819</v>
      </c>
      <c r="B162" s="14" t="s">
        <v>2820</v>
      </c>
      <c r="C162" s="14" t="s">
        <v>2891</v>
      </c>
      <c r="D162" s="14" t="s">
        <v>2892</v>
      </c>
      <c r="E162" s="30" t="s">
        <v>2052</v>
      </c>
      <c r="F162" s="30" t="str">
        <f>IF(SIGN(IFERROR(SEARCH("\1",$B162),0))=SIGN(IFERROR(SEARCH("\1",D162),0)),".","!")&amp;
   IF(SIGN(IFERROR(SEARCH("\2",$B162),0))=SIGN(IFERROR(SEARCH("\2",D162),0)),".","!")&amp;
   IF(SIGN(IFERROR(SEARCH("\3",$B162),0))=SIGN(IFERROR(SEARCH("\3",D162),0)),".","!")</f>
        <v>...</v>
      </c>
    </row>
    <row r="163" spans="1:6" x14ac:dyDescent="0.25">
      <c r="A163" s="13" t="s">
        <v>1303</v>
      </c>
      <c r="B163" s="14" t="s">
        <v>1304</v>
      </c>
      <c r="C163" s="14" t="s">
        <v>1305</v>
      </c>
      <c r="D163" s="14" t="s">
        <v>1305</v>
      </c>
      <c r="E163" s="30" t="str">
        <f>IF(SIGN(IFERROR(SEARCH("\1",$B163),0))=SIGN(IFERROR(SEARCH("\1",C163),0)),".","!")&amp;
   IF(SIGN(IFERROR(SEARCH("\2",$B163),0))=SIGN(IFERROR(SEARCH("\2",C163),0)),".","!")&amp;
   IF(SIGN(IFERROR(SEARCH("\3",$B163),0))=SIGN(IFERROR(SEARCH("\3",C163),0)),".","!")</f>
        <v>...</v>
      </c>
      <c r="F163" s="30" t="str">
        <f>IF(SIGN(IFERROR(SEARCH("\1",$B163),0))=SIGN(IFERROR(SEARCH("\1",D163),0)),".","!")&amp;
   IF(SIGN(IFERROR(SEARCH("\2",$B163),0))=SIGN(IFERROR(SEARCH("\2",D163),0)),".","!")&amp;
   IF(SIGN(IFERROR(SEARCH("\3",$B163),0))=SIGN(IFERROR(SEARCH("\3",D163),0)),".","!")</f>
        <v>...</v>
      </c>
    </row>
    <row r="164" spans="1:6" ht="89.25" x14ac:dyDescent="0.25">
      <c r="A164" s="13" t="s">
        <v>1743</v>
      </c>
      <c r="B164" s="14" t="s">
        <v>1744</v>
      </c>
      <c r="C164" s="14" t="s">
        <v>1745</v>
      </c>
      <c r="D164" s="14" t="s">
        <v>1745</v>
      </c>
      <c r="E164" s="12" t="str">
        <f>IF(SIGN(IFERROR(SEARCH("\1",$B164),0))=SIGN(IFERROR(SEARCH("\1",C164),0)),".","!")&amp;
   IF(SIGN(IFERROR(SEARCH("\2",$B164),0))=SIGN(IFERROR(SEARCH("\2",C164),0)),".","!")&amp;
   IF(SIGN(IFERROR(SEARCH("\3",$B164),0))=SIGN(IFERROR(SEARCH("\3",C164),0)),".","!")</f>
        <v>...</v>
      </c>
      <c r="F164" s="12" t="str">
        <f>IF(SIGN(IFERROR(SEARCH("\1",$B164),0))=SIGN(IFERROR(SEARCH("\1",D164),0)),".","!")&amp;
   IF(SIGN(IFERROR(SEARCH("\2",$B164),0))=SIGN(IFERROR(SEARCH("\2",D164),0)),".","!")&amp;
   IF(SIGN(IFERROR(SEARCH("\3",$B164),0))=SIGN(IFERROR(SEARCH("\3",D164),0)),".","!")</f>
        <v>...</v>
      </c>
    </row>
    <row r="165" spans="1:6" ht="63.75" x14ac:dyDescent="0.25">
      <c r="A165" s="13" t="s">
        <v>608</v>
      </c>
      <c r="B165" s="14" t="s">
        <v>1902</v>
      </c>
      <c r="C165" s="14" t="s">
        <v>1903</v>
      </c>
      <c r="D165" s="14" t="s">
        <v>1903</v>
      </c>
      <c r="E165" s="30" t="str">
        <f>IF(SIGN(IFERROR(SEARCH("\1",$B165),0))=SIGN(IFERROR(SEARCH("\1",C165),0)),".","!")&amp;
   IF(SIGN(IFERROR(SEARCH("\2",$B165),0))=SIGN(IFERROR(SEARCH("\2",C165),0)),".","!")&amp;
   IF(SIGN(IFERROR(SEARCH("\3",$B165),0))=SIGN(IFERROR(SEARCH("\3",C165),0)),".","!")</f>
        <v>...</v>
      </c>
      <c r="F165" s="30" t="str">
        <f>IF(SIGN(IFERROR(SEARCH("\1",$B165),0))=SIGN(IFERROR(SEARCH("\1",D165),0)),".","!")&amp;
   IF(SIGN(IFERROR(SEARCH("\2",$B165),0))=SIGN(IFERROR(SEARCH("\2",D165),0)),".","!")&amp;
   IF(SIGN(IFERROR(SEARCH("\3",$B165),0))=SIGN(IFERROR(SEARCH("\3",D165),0)),".","!")</f>
        <v>...</v>
      </c>
    </row>
    <row r="166" spans="1:6" ht="25.5" x14ac:dyDescent="0.25">
      <c r="A166" s="13" t="s">
        <v>599</v>
      </c>
      <c r="B166" s="14" t="s">
        <v>598</v>
      </c>
      <c r="C166" s="14" t="s">
        <v>676</v>
      </c>
      <c r="D166" s="14" t="s">
        <v>676</v>
      </c>
      <c r="E166" s="30" t="str">
        <f>IF(SIGN(IFERROR(SEARCH("\1",$B166),0))=SIGN(IFERROR(SEARCH("\1",C166),0)),".","!")&amp;
   IF(SIGN(IFERROR(SEARCH("\2",$B166),0))=SIGN(IFERROR(SEARCH("\2",C166),0)),".","!")&amp;
   IF(SIGN(IFERROR(SEARCH("\3",$B166),0))=SIGN(IFERROR(SEARCH("\3",C166),0)),".","!")</f>
        <v>...</v>
      </c>
      <c r="F166" s="30" t="str">
        <f>IF(SIGN(IFERROR(SEARCH("\1",$B166),0))=SIGN(IFERROR(SEARCH("\1",D166),0)),".","!")&amp;
   IF(SIGN(IFERROR(SEARCH("\2",$B166),0))=SIGN(IFERROR(SEARCH("\2",D166),0)),".","!")&amp;
   IF(SIGN(IFERROR(SEARCH("\3",$B166),0))=SIGN(IFERROR(SEARCH("\3",D166),0)),".","!")</f>
        <v>...</v>
      </c>
    </row>
    <row r="167" spans="1:6" ht="140.25" x14ac:dyDescent="0.25">
      <c r="A167" s="13" t="s">
        <v>961</v>
      </c>
      <c r="B167" s="14" t="s">
        <v>695</v>
      </c>
      <c r="C167" s="14" t="s">
        <v>696</v>
      </c>
      <c r="D167" s="14" t="s">
        <v>696</v>
      </c>
      <c r="E167" s="30" t="str">
        <f>IF(SIGN(IFERROR(SEARCH("\1",$B167),0))=SIGN(IFERROR(SEARCH("\1",C167),0)),".","!")&amp;
   IF(SIGN(IFERROR(SEARCH("\2",$B167),0))=SIGN(IFERROR(SEARCH("\2",C167),0)),".","!")&amp;
   IF(SIGN(IFERROR(SEARCH("\3",$B167),0))=SIGN(IFERROR(SEARCH("\3",C167),0)),".","!")</f>
        <v>...</v>
      </c>
      <c r="F167" s="30" t="str">
        <f>IF(SIGN(IFERROR(SEARCH("\1",$B167),0))=SIGN(IFERROR(SEARCH("\1",D167),0)),".","!")&amp;
   IF(SIGN(IFERROR(SEARCH("\2",$B167),0))=SIGN(IFERROR(SEARCH("\2",D167),0)),".","!")&amp;
   IF(SIGN(IFERROR(SEARCH("\3",$B167),0))=SIGN(IFERROR(SEARCH("\3",D167),0)),".","!")</f>
        <v>...</v>
      </c>
    </row>
    <row r="168" spans="1:6" ht="38.25" x14ac:dyDescent="0.25">
      <c r="A168" s="13" t="s">
        <v>1184</v>
      </c>
      <c r="B168" s="14" t="s">
        <v>1185</v>
      </c>
      <c r="C168" s="14" t="s">
        <v>1186</v>
      </c>
      <c r="D168" s="14" t="s">
        <v>1186</v>
      </c>
      <c r="E168" s="30" t="str">
        <f>IF(SIGN(IFERROR(SEARCH("\1",$B168),0))=SIGN(IFERROR(SEARCH("\1",C168),0)),".","!")&amp;
   IF(SIGN(IFERROR(SEARCH("\2",$B168),0))=SIGN(IFERROR(SEARCH("\2",C168),0)),".","!")&amp;
   IF(SIGN(IFERROR(SEARCH("\3",$B168),0))=SIGN(IFERROR(SEARCH("\3",C168),0)),".","!")</f>
        <v>...</v>
      </c>
      <c r="F168" s="30" t="str">
        <f>IF(SIGN(IFERROR(SEARCH("\1",$B168),0))=SIGN(IFERROR(SEARCH("\1",D168),0)),".","!")&amp;
   IF(SIGN(IFERROR(SEARCH("\2",$B168),0))=SIGN(IFERROR(SEARCH("\2",D168),0)),".","!")&amp;
   IF(SIGN(IFERROR(SEARCH("\3",$B168),0))=SIGN(IFERROR(SEARCH("\3",D168),0)),".","!")</f>
        <v>...</v>
      </c>
    </row>
    <row r="169" spans="1:6" ht="38.25" x14ac:dyDescent="0.25">
      <c r="A169" s="13" t="s">
        <v>1187</v>
      </c>
      <c r="B169" s="14" t="s">
        <v>1188</v>
      </c>
      <c r="C169" s="14" t="s">
        <v>1189</v>
      </c>
      <c r="D169" s="14" t="s">
        <v>1189</v>
      </c>
      <c r="E169" s="30" t="str">
        <f>IF(SIGN(IFERROR(SEARCH("\1",$B169),0))=SIGN(IFERROR(SEARCH("\1",C169),0)),".","!")&amp;
   IF(SIGN(IFERROR(SEARCH("\2",$B169),0))=SIGN(IFERROR(SEARCH("\2",C169),0)),".","!")&amp;
   IF(SIGN(IFERROR(SEARCH("\3",$B169),0))=SIGN(IFERROR(SEARCH("\3",C169),0)),".","!")</f>
        <v>...</v>
      </c>
      <c r="F169" s="30" t="str">
        <f>IF(SIGN(IFERROR(SEARCH("\1",$B169),0))=SIGN(IFERROR(SEARCH("\1",D169),0)),".","!")&amp;
   IF(SIGN(IFERROR(SEARCH("\2",$B169),0))=SIGN(IFERROR(SEARCH("\2",D169),0)),".","!")&amp;
   IF(SIGN(IFERROR(SEARCH("\3",$B169),0))=SIGN(IFERROR(SEARCH("\3",D169),0)),".","!")</f>
        <v>...</v>
      </c>
    </row>
    <row r="170" spans="1:6" ht="38.25" x14ac:dyDescent="0.25">
      <c r="A170" s="13" t="s">
        <v>957</v>
      </c>
      <c r="B170" s="14" t="s">
        <v>958</v>
      </c>
      <c r="C170" s="14" t="s">
        <v>959</v>
      </c>
      <c r="D170" s="14" t="s">
        <v>959</v>
      </c>
      <c r="E170" s="30" t="str">
        <f>IF(SIGN(IFERROR(SEARCH("\1",$B170),0))=SIGN(IFERROR(SEARCH("\1",C170),0)),".","!")&amp;
   IF(SIGN(IFERROR(SEARCH("\2",$B170),0))=SIGN(IFERROR(SEARCH("\2",C170),0)),".","!")&amp;
   IF(SIGN(IFERROR(SEARCH("\3",$B170),0))=SIGN(IFERROR(SEARCH("\3",C170),0)),".","!")</f>
        <v>...</v>
      </c>
      <c r="F170" s="30" t="str">
        <f>IF(SIGN(IFERROR(SEARCH("\1",$B170),0))=SIGN(IFERROR(SEARCH("\1",D170),0)),".","!")&amp;
   IF(SIGN(IFERROR(SEARCH("\2",$B170),0))=SIGN(IFERROR(SEARCH("\2",D170),0)),".","!")&amp;
   IF(SIGN(IFERROR(SEARCH("\3",$B170),0))=SIGN(IFERROR(SEARCH("\3",D170),0)),".","!")</f>
        <v>...</v>
      </c>
    </row>
    <row r="171" spans="1:6" ht="51" x14ac:dyDescent="0.25">
      <c r="A171" s="13" t="s">
        <v>956</v>
      </c>
      <c r="B171" s="14" t="s">
        <v>677</v>
      </c>
      <c r="C171" s="14" t="s">
        <v>992</v>
      </c>
      <c r="D171" s="14" t="s">
        <v>992</v>
      </c>
      <c r="E171" s="30" t="str">
        <f>IF(SIGN(IFERROR(SEARCH("\1",$B171),0))=SIGN(IFERROR(SEARCH("\1",C171),0)),".","!")&amp;
   IF(SIGN(IFERROR(SEARCH("\2",$B171),0))=SIGN(IFERROR(SEARCH("\2",C171),0)),".","!")&amp;
   IF(SIGN(IFERROR(SEARCH("\3",$B171),0))=SIGN(IFERROR(SEARCH("\3",C171),0)),".","!")</f>
        <v>...</v>
      </c>
      <c r="F171" s="30" t="str">
        <f>IF(SIGN(IFERROR(SEARCH("\1",$B171),0))=SIGN(IFERROR(SEARCH("\1",D171),0)),".","!")&amp;
   IF(SIGN(IFERROR(SEARCH("\2",$B171),0))=SIGN(IFERROR(SEARCH("\2",D171),0)),".","!")&amp;
   IF(SIGN(IFERROR(SEARCH("\3",$B171),0))=SIGN(IFERROR(SEARCH("\3",D171),0)),".","!")</f>
        <v>...</v>
      </c>
    </row>
    <row r="172" spans="1:6" ht="25.5" x14ac:dyDescent="0.25">
      <c r="A172" s="13" t="s">
        <v>614</v>
      </c>
      <c r="B172" s="14" t="s">
        <v>993</v>
      </c>
      <c r="C172" s="14" t="s">
        <v>994</v>
      </c>
      <c r="D172" s="14" t="s">
        <v>994</v>
      </c>
      <c r="E172" s="30" t="str">
        <f>IF(SIGN(IFERROR(SEARCH("\1",$B172),0))=SIGN(IFERROR(SEARCH("\1",C172),0)),".","!")&amp;
   IF(SIGN(IFERROR(SEARCH("\2",$B172),0))=SIGN(IFERROR(SEARCH("\2",C172),0)),".","!")&amp;
   IF(SIGN(IFERROR(SEARCH("\3",$B172),0))=SIGN(IFERROR(SEARCH("\3",C172),0)),".","!")</f>
        <v>...</v>
      </c>
      <c r="F172" s="30" t="str">
        <f>IF(SIGN(IFERROR(SEARCH("\1",$B172),0))=SIGN(IFERROR(SEARCH("\1",D172),0)),".","!")&amp;
   IF(SIGN(IFERROR(SEARCH("\2",$B172),0))=SIGN(IFERROR(SEARCH("\2",D172),0)),".","!")&amp;
   IF(SIGN(IFERROR(SEARCH("\3",$B172),0))=SIGN(IFERROR(SEARCH("\3",D172),0)),".","!")</f>
        <v>...</v>
      </c>
    </row>
    <row r="173" spans="1:6" ht="89.25" x14ac:dyDescent="0.25">
      <c r="A173" s="13" t="s">
        <v>1597</v>
      </c>
      <c r="B173" s="14" t="s">
        <v>1599</v>
      </c>
      <c r="C173" s="14" t="s">
        <v>1598</v>
      </c>
      <c r="D173" s="14" t="s">
        <v>1598</v>
      </c>
      <c r="E173" s="30" t="str">
        <f>IF(SIGN(IFERROR(SEARCH("\1",$B173),0))=SIGN(IFERROR(SEARCH("\1",C173),0)),".","!")&amp;
   IF(SIGN(IFERROR(SEARCH("\2",$B173),0))=SIGN(IFERROR(SEARCH("\2",C173),0)),".","!")&amp;
   IF(SIGN(IFERROR(SEARCH("\3",$B173),0))=SIGN(IFERROR(SEARCH("\3",C173),0)),".","!")</f>
        <v>...</v>
      </c>
      <c r="F173" s="30" t="str">
        <f>IF(SIGN(IFERROR(SEARCH("\1",$B173),0))=SIGN(IFERROR(SEARCH("\1",D173),0)),".","!")&amp;
   IF(SIGN(IFERROR(SEARCH("\2",$B173),0))=SIGN(IFERROR(SEARCH("\2",D173),0)),".","!")&amp;
   IF(SIGN(IFERROR(SEARCH("\3",$B173),0))=SIGN(IFERROR(SEARCH("\3",D173),0)),".","!")</f>
        <v>...</v>
      </c>
    </row>
    <row r="174" spans="1:6" ht="51" x14ac:dyDescent="0.25">
      <c r="A174" s="13" t="s">
        <v>1806</v>
      </c>
      <c r="B174" s="14" t="s">
        <v>1809</v>
      </c>
      <c r="C174" s="14" t="s">
        <v>1810</v>
      </c>
      <c r="D174" s="14" t="s">
        <v>1810</v>
      </c>
      <c r="E174" s="30" t="str">
        <f>IF(SIGN(IFERROR(SEARCH("\1",$B174),0))=SIGN(IFERROR(SEARCH("\1",C174),0)),".","!")&amp;
   IF(SIGN(IFERROR(SEARCH("\2",$B174),0))=SIGN(IFERROR(SEARCH("\2",C174),0)),".","!")&amp;
   IF(SIGN(IFERROR(SEARCH("\3",$B174),0))=SIGN(IFERROR(SEARCH("\3",C174),0)),".","!")</f>
        <v>...</v>
      </c>
      <c r="F174" s="30" t="str">
        <f>IF(SIGN(IFERROR(SEARCH("\1",$B174),0))=SIGN(IFERROR(SEARCH("\1",D174),0)),".","!")&amp;
   IF(SIGN(IFERROR(SEARCH("\2",$B174),0))=SIGN(IFERROR(SEARCH("\2",D174),0)),".","!")&amp;
   IF(SIGN(IFERROR(SEARCH("\3",$B174),0))=SIGN(IFERROR(SEARCH("\3",D174),0)),".","!")</f>
        <v>...</v>
      </c>
    </row>
    <row r="175" spans="1:6" ht="51" x14ac:dyDescent="0.25">
      <c r="A175" s="13" t="s">
        <v>1439</v>
      </c>
      <c r="B175" s="14" t="s">
        <v>1440</v>
      </c>
      <c r="C175" s="14" t="s">
        <v>1441</v>
      </c>
      <c r="D175" s="14" t="s">
        <v>1441</v>
      </c>
      <c r="E175" s="30" t="str">
        <f>IF(SIGN(IFERROR(SEARCH("\1",$B175),0))=SIGN(IFERROR(SEARCH("\1",C175),0)),".","!")&amp;
   IF(SIGN(IFERROR(SEARCH("\2",$B175),0))=SIGN(IFERROR(SEARCH("\2",C175),0)),".","!")&amp;
   IF(SIGN(IFERROR(SEARCH("\3",$B175),0))=SIGN(IFERROR(SEARCH("\3",C175),0)),".","!")</f>
        <v>...</v>
      </c>
      <c r="F175" s="30" t="str">
        <f>IF(SIGN(IFERROR(SEARCH("\1",$B175),0))=SIGN(IFERROR(SEARCH("\1",D175),0)),".","!")&amp;
   IF(SIGN(IFERROR(SEARCH("\2",$B175),0))=SIGN(IFERROR(SEARCH("\2",D175),0)),".","!")&amp;
   IF(SIGN(IFERROR(SEARCH("\3",$B175),0))=SIGN(IFERROR(SEARCH("\3",D175),0)),".","!")</f>
        <v>...</v>
      </c>
    </row>
    <row r="176" spans="1:6" ht="25.5" x14ac:dyDescent="0.25">
      <c r="A176" s="13" t="s">
        <v>602</v>
      </c>
      <c r="B176" s="14" t="s">
        <v>585</v>
      </c>
      <c r="C176" s="14" t="s">
        <v>678</v>
      </c>
      <c r="D176" s="14" t="s">
        <v>678</v>
      </c>
      <c r="E176" s="30" t="str">
        <f>IF(SIGN(IFERROR(SEARCH("\1",$B176),0))=SIGN(IFERROR(SEARCH("\1",C176),0)),".","!")&amp;
   IF(SIGN(IFERROR(SEARCH("\2",$B176),0))=SIGN(IFERROR(SEARCH("\2",C176),0)),".","!")&amp;
   IF(SIGN(IFERROR(SEARCH("\3",$B176),0))=SIGN(IFERROR(SEARCH("\3",C176),0)),".","!")</f>
        <v>...</v>
      </c>
      <c r="F176" s="30" t="str">
        <f>IF(SIGN(IFERROR(SEARCH("\1",$B176),0))=SIGN(IFERROR(SEARCH("\1",D176),0)),".","!")&amp;
   IF(SIGN(IFERROR(SEARCH("\2",$B176),0))=SIGN(IFERROR(SEARCH("\2",D176),0)),".","!")&amp;
   IF(SIGN(IFERROR(SEARCH("\3",$B176),0))=SIGN(IFERROR(SEARCH("\3",D176),0)),".","!")</f>
        <v>...</v>
      </c>
    </row>
    <row r="177" spans="1:6" ht="38.25" x14ac:dyDescent="0.25">
      <c r="A177" s="13" t="s">
        <v>2721</v>
      </c>
      <c r="B177" s="14" t="s">
        <v>2723</v>
      </c>
      <c r="C177" s="14" t="s">
        <v>2722</v>
      </c>
      <c r="D177" s="14" t="s">
        <v>2739</v>
      </c>
      <c r="E177" s="30" t="s">
        <v>2052</v>
      </c>
      <c r="F177" s="30" t="str">
        <f>IF(SIGN(IFERROR(SEARCH("\1",$B177),0))=SIGN(IFERROR(SEARCH("\1",D177),0)),".","!")&amp;
   IF(SIGN(IFERROR(SEARCH("\2",$B177),0))=SIGN(IFERROR(SEARCH("\2",D177),0)),".","!")&amp;
   IF(SIGN(IFERROR(SEARCH("\3",$B177),0))=SIGN(IFERROR(SEARCH("\3",D177),0)),".","!")</f>
        <v>...</v>
      </c>
    </row>
  </sheetData>
  <autoFilter ref="A1:F177" xr:uid="{00000000-0009-0000-0000-000003000000}">
    <sortState xmlns:xlrd2="http://schemas.microsoft.com/office/spreadsheetml/2017/richdata2" ref="A2:F177">
      <sortCondition ref="A1:A177"/>
    </sortState>
  </autoFilter>
  <sortState xmlns:xlrd2="http://schemas.microsoft.com/office/spreadsheetml/2017/richdata2" ref="A3:F136">
    <sortCondition ref="A2:A136"/>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9"/>
  <sheetViews>
    <sheetView workbookViewId="0">
      <pane ySplit="1" topLeftCell="A2" activePane="bottomLeft" state="frozen"/>
      <selection pane="bottomLeft" activeCell="A2" sqref="A2:D19"/>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t="str">
        <f>Main!G1</f>
        <v>Français</v>
      </c>
    </row>
    <row r="2" spans="1:4" s="1" customFormat="1" x14ac:dyDescent="0.25">
      <c r="A2" s="28" t="s">
        <v>1448</v>
      </c>
      <c r="B2" s="3" t="s">
        <v>756</v>
      </c>
      <c r="C2" s="3" t="s">
        <v>772</v>
      </c>
      <c r="D2" t="s">
        <v>772</v>
      </c>
    </row>
    <row r="3" spans="1:4" s="1" customFormat="1" x14ac:dyDescent="0.25">
      <c r="A3" s="28" t="s">
        <v>1454</v>
      </c>
      <c r="B3" s="3" t="s">
        <v>762</v>
      </c>
      <c r="C3" s="3" t="s">
        <v>779</v>
      </c>
      <c r="D3" t="s">
        <v>779</v>
      </c>
    </row>
    <row r="4" spans="1:4" s="1" customFormat="1" x14ac:dyDescent="0.25">
      <c r="A4" s="28" t="s">
        <v>1442</v>
      </c>
      <c r="B4" s="3" t="s">
        <v>763</v>
      </c>
      <c r="C4" s="3" t="s">
        <v>767</v>
      </c>
      <c r="D4" t="s">
        <v>2711</v>
      </c>
    </row>
    <row r="5" spans="1:4" s="1" customFormat="1" x14ac:dyDescent="0.25">
      <c r="A5" s="28" t="s">
        <v>1443</v>
      </c>
      <c r="B5" s="3" t="s">
        <v>764</v>
      </c>
      <c r="C5" s="3" t="s">
        <v>768</v>
      </c>
      <c r="D5" t="s">
        <v>2712</v>
      </c>
    </row>
    <row r="6" spans="1:4" s="1" customFormat="1" x14ac:dyDescent="0.25">
      <c r="A6" s="28" t="s">
        <v>1488</v>
      </c>
      <c r="B6" s="3" t="s">
        <v>1489</v>
      </c>
      <c r="C6" s="3" t="s">
        <v>1490</v>
      </c>
      <c r="D6" t="s">
        <v>1490</v>
      </c>
    </row>
    <row r="7" spans="1:4" s="1" customFormat="1" x14ac:dyDescent="0.25">
      <c r="A7" s="28" t="s">
        <v>1456</v>
      </c>
      <c r="B7" s="3" t="s">
        <v>1457</v>
      </c>
      <c r="C7" s="3" t="s">
        <v>1459</v>
      </c>
      <c r="D7" t="s">
        <v>1459</v>
      </c>
    </row>
    <row r="8" spans="1:4" s="1" customFormat="1" x14ac:dyDescent="0.25">
      <c r="A8" s="28" t="s">
        <v>1939</v>
      </c>
      <c r="B8" s="3" t="s">
        <v>1940</v>
      </c>
      <c r="C8" s="3" t="s">
        <v>1941</v>
      </c>
      <c r="D8" t="s">
        <v>1941</v>
      </c>
    </row>
    <row r="9" spans="1:4" s="1" customFormat="1" x14ac:dyDescent="0.25">
      <c r="A9" s="28" t="s">
        <v>1455</v>
      </c>
      <c r="B9" s="3" t="s">
        <v>1458</v>
      </c>
      <c r="C9" s="3" t="s">
        <v>1460</v>
      </c>
      <c r="D9" t="s">
        <v>2713</v>
      </c>
    </row>
    <row r="10" spans="1:4" s="1" customFormat="1" x14ac:dyDescent="0.25">
      <c r="A10" s="28" t="s">
        <v>1453</v>
      </c>
      <c r="B10" s="28" t="s">
        <v>761</v>
      </c>
      <c r="C10" s="28" t="s">
        <v>778</v>
      </c>
      <c r="D10" t="s">
        <v>778</v>
      </c>
    </row>
    <row r="11" spans="1:4" s="1" customFormat="1" x14ac:dyDescent="0.25">
      <c r="A11" s="28" t="s">
        <v>1451</v>
      </c>
      <c r="B11" s="3" t="s">
        <v>759</v>
      </c>
      <c r="C11" s="3" t="s">
        <v>776</v>
      </c>
      <c r="D11" t="s">
        <v>776</v>
      </c>
    </row>
    <row r="12" spans="1:4" s="1" customFormat="1" x14ac:dyDescent="0.25">
      <c r="A12" s="28" t="s">
        <v>1452</v>
      </c>
      <c r="B12" s="3" t="s">
        <v>760</v>
      </c>
      <c r="C12" s="3" t="s">
        <v>777</v>
      </c>
      <c r="D12" t="s">
        <v>777</v>
      </c>
    </row>
    <row r="13" spans="1:4" s="1" customFormat="1" x14ac:dyDescent="0.25">
      <c r="A13" s="28" t="s">
        <v>1446</v>
      </c>
      <c r="B13" s="3" t="s">
        <v>754</v>
      </c>
      <c r="C13" s="3" t="s">
        <v>771</v>
      </c>
      <c r="D13" t="s">
        <v>771</v>
      </c>
    </row>
    <row r="14" spans="1:4" s="1" customFormat="1" x14ac:dyDescent="0.25">
      <c r="A14" s="28" t="s">
        <v>1449</v>
      </c>
      <c r="B14" s="3" t="s">
        <v>757</v>
      </c>
      <c r="C14" s="3" t="s">
        <v>773</v>
      </c>
      <c r="D14" t="s">
        <v>773</v>
      </c>
    </row>
    <row r="15" spans="1:4" s="1" customFormat="1" x14ac:dyDescent="0.25">
      <c r="A15" s="28" t="s">
        <v>2757</v>
      </c>
      <c r="B15" s="28" t="s">
        <v>2755</v>
      </c>
      <c r="C15" s="28" t="s">
        <v>2756</v>
      </c>
      <c r="D15" s="28" t="s">
        <v>2879</v>
      </c>
    </row>
    <row r="16" spans="1:4" s="1" customFormat="1" x14ac:dyDescent="0.25">
      <c r="A16" s="28" t="s">
        <v>1447</v>
      </c>
      <c r="B16" s="3" t="s">
        <v>755</v>
      </c>
      <c r="C16" s="3" t="s">
        <v>774</v>
      </c>
      <c r="D16" t="s">
        <v>774</v>
      </c>
    </row>
    <row r="17" spans="1:4" s="1" customFormat="1" x14ac:dyDescent="0.25">
      <c r="A17" s="28" t="s">
        <v>1450</v>
      </c>
      <c r="B17" s="3" t="s">
        <v>758</v>
      </c>
      <c r="C17" s="3" t="s">
        <v>775</v>
      </c>
      <c r="D17" t="s">
        <v>2714</v>
      </c>
    </row>
    <row r="18" spans="1:4" x14ac:dyDescent="0.25">
      <c r="A18" s="28" t="s">
        <v>1444</v>
      </c>
      <c r="B18" s="3" t="s">
        <v>765</v>
      </c>
      <c r="C18" s="3" t="s">
        <v>769</v>
      </c>
      <c r="D18" t="s">
        <v>769</v>
      </c>
    </row>
    <row r="19" spans="1:4" x14ac:dyDescent="0.25">
      <c r="A19" s="28" t="s">
        <v>1445</v>
      </c>
      <c r="B19" s="3" t="s">
        <v>766</v>
      </c>
      <c r="C19" s="3" t="s">
        <v>770</v>
      </c>
      <c r="D19" t="s">
        <v>2715</v>
      </c>
    </row>
  </sheetData>
  <autoFilter ref="A1:D1" xr:uid="{8D058C3C-0677-4AB3-BEF2-82EF2185A306}">
    <sortState xmlns:xlrd2="http://schemas.microsoft.com/office/spreadsheetml/2017/richdata2" ref="A2:D19">
      <sortCondition ref="A1:A19"/>
    </sortState>
  </autoFilter>
  <sortState xmlns:xlrd2="http://schemas.microsoft.com/office/spreadsheetml/2017/richdata2" ref="A3:D17">
    <sortCondition ref="A2:A17"/>
  </sortState>
  <dataConsolidate/>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t="str">
        <f>Main!G1</f>
        <v>Français</v>
      </c>
    </row>
    <row r="2" spans="1:4" x14ac:dyDescent="0.25">
      <c r="A2" s="4" t="s">
        <v>166</v>
      </c>
      <c r="B2" s="3" t="s">
        <v>119</v>
      </c>
      <c r="C2" s="3" t="s">
        <v>127</v>
      </c>
      <c r="D2" s="2" t="s">
        <v>2600</v>
      </c>
    </row>
    <row r="3" spans="1:4" x14ac:dyDescent="0.25">
      <c r="A3" s="4" t="s">
        <v>587</v>
      </c>
      <c r="B3" s="3" t="s">
        <v>118</v>
      </c>
      <c r="C3" s="3" t="s">
        <v>128</v>
      </c>
      <c r="D3" s="2" t="s">
        <v>2601</v>
      </c>
    </row>
    <row r="4" spans="1:4" x14ac:dyDescent="0.25">
      <c r="A4" s="4" t="s">
        <v>130</v>
      </c>
      <c r="B4" s="3" t="s">
        <v>116</v>
      </c>
      <c r="C4" s="3" t="s">
        <v>130</v>
      </c>
      <c r="D4" s="2" t="s">
        <v>2602</v>
      </c>
    </row>
    <row r="5" spans="1:4" x14ac:dyDescent="0.25">
      <c r="A5" s="4" t="s">
        <v>588</v>
      </c>
      <c r="B5" s="3" t="s">
        <v>117</v>
      </c>
      <c r="C5" s="3" t="s">
        <v>129</v>
      </c>
      <c r="D5" s="2" t="s">
        <v>2603</v>
      </c>
    </row>
    <row r="6" spans="1:4" x14ac:dyDescent="0.25">
      <c r="A6" s="4" t="s">
        <v>589</v>
      </c>
      <c r="B6" s="3" t="s">
        <v>115</v>
      </c>
      <c r="C6" s="3" t="s">
        <v>131</v>
      </c>
      <c r="D6" s="2" t="s">
        <v>131</v>
      </c>
    </row>
    <row r="7" spans="1:4" x14ac:dyDescent="0.25">
      <c r="A7" s="4" t="s">
        <v>592</v>
      </c>
      <c r="B7" s="3" t="s">
        <v>111</v>
      </c>
      <c r="C7" s="3" t="s">
        <v>111</v>
      </c>
      <c r="D7" s="3" t="s">
        <v>111</v>
      </c>
    </row>
    <row r="8" spans="1:4" x14ac:dyDescent="0.25">
      <c r="A8" s="4" t="s">
        <v>124</v>
      </c>
      <c r="B8" s="3" t="s">
        <v>122</v>
      </c>
      <c r="C8" s="3" t="s">
        <v>124</v>
      </c>
      <c r="D8" s="2" t="s">
        <v>2604</v>
      </c>
    </row>
    <row r="9" spans="1:4" x14ac:dyDescent="0.25">
      <c r="A9" s="4" t="s">
        <v>586</v>
      </c>
      <c r="B9" s="3" t="s">
        <v>121</v>
      </c>
      <c r="C9" s="3" t="s">
        <v>125</v>
      </c>
      <c r="D9" s="2" t="s">
        <v>2433</v>
      </c>
    </row>
    <row r="10" spans="1:4" x14ac:dyDescent="0.25">
      <c r="A10" s="4" t="s">
        <v>591</v>
      </c>
      <c r="B10" s="3" t="s">
        <v>113</v>
      </c>
      <c r="C10" s="3" t="s">
        <v>133</v>
      </c>
      <c r="D10" s="2" t="s">
        <v>2605</v>
      </c>
    </row>
    <row r="11" spans="1:4" x14ac:dyDescent="0.25">
      <c r="A11" s="4" t="s">
        <v>590</v>
      </c>
      <c r="B11" s="3" t="s">
        <v>114</v>
      </c>
      <c r="C11" s="3" t="s">
        <v>132</v>
      </c>
      <c r="D11" s="2" t="s">
        <v>2606</v>
      </c>
    </row>
    <row r="12" spans="1:4" x14ac:dyDescent="0.25">
      <c r="A12" s="4" t="s">
        <v>1220</v>
      </c>
      <c r="B12" s="3" t="s">
        <v>1221</v>
      </c>
      <c r="C12" s="3" t="s">
        <v>1220</v>
      </c>
      <c r="D12" s="2" t="s">
        <v>1220</v>
      </c>
    </row>
    <row r="13" spans="1:4" x14ac:dyDescent="0.25">
      <c r="A13" s="4" t="s">
        <v>126</v>
      </c>
      <c r="B13" s="3" t="s">
        <v>120</v>
      </c>
      <c r="C13" s="3" t="s">
        <v>126</v>
      </c>
      <c r="D13" s="2" t="s">
        <v>2260</v>
      </c>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38"/>
  <sheetViews>
    <sheetView workbookViewId="0">
      <pane ySplit="1" topLeftCell="A2" activePane="bottomLeft" state="frozen"/>
      <selection pane="bottomLeft" activeCell="A2" sqref="A2:F138"/>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2" customFormat="1" ht="30" x14ac:dyDescent="0.25">
      <c r="A1" s="23" t="s">
        <v>123</v>
      </c>
      <c r="B1" s="21" t="s">
        <v>108</v>
      </c>
      <c r="C1" s="21" t="str">
        <f>Main!F1</f>
        <v>English</v>
      </c>
      <c r="D1" s="21" t="str">
        <f>Main!G1</f>
        <v>Français</v>
      </c>
      <c r="E1" s="21" t="str">
        <f>"Parameter check  "&amp; C1</f>
        <v>Parameter check  English</v>
      </c>
      <c r="F1" s="21" t="str">
        <f>"Parameter check  "&amp; D1</f>
        <v>Parameter check  Français</v>
      </c>
    </row>
    <row r="2" spans="1:6" s="32" customFormat="1" x14ac:dyDescent="0.25">
      <c r="A2" s="2" t="s">
        <v>2716</v>
      </c>
      <c r="B2" s="2"/>
      <c r="C2" s="2"/>
      <c r="D2" s="2" t="s">
        <v>2717</v>
      </c>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s="5" customFormat="1" x14ac:dyDescent="0.25">
      <c r="A3" s="2" t="s">
        <v>1132</v>
      </c>
      <c r="B3" s="2" t="s">
        <v>1131</v>
      </c>
      <c r="C3" s="2" t="s">
        <v>1132</v>
      </c>
      <c r="D3" s="2" t="s">
        <v>2607</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806</v>
      </c>
      <c r="B4" s="2" t="s">
        <v>808</v>
      </c>
      <c r="C4" s="2" t="s">
        <v>810</v>
      </c>
      <c r="D4" s="2" t="s">
        <v>2608</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807</v>
      </c>
      <c r="B5" s="2" t="s">
        <v>809</v>
      </c>
      <c r="C5" s="2" t="s">
        <v>811</v>
      </c>
      <c r="D5" s="2" t="s">
        <v>2609</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812</v>
      </c>
      <c r="B6" s="2" t="s">
        <v>813</v>
      </c>
      <c r="C6" s="2" t="s">
        <v>814</v>
      </c>
      <c r="D6" s="2" t="s">
        <v>2610</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815</v>
      </c>
      <c r="B7" s="2" t="s">
        <v>816</v>
      </c>
      <c r="C7" s="2" t="s">
        <v>817</v>
      </c>
      <c r="D7" s="2" t="s">
        <v>2611</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818</v>
      </c>
      <c r="B8" s="2" t="s">
        <v>819</v>
      </c>
      <c r="C8" s="2" t="s">
        <v>820</v>
      </c>
      <c r="D8" s="2" t="s">
        <v>2612</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821</v>
      </c>
      <c r="B9" s="2" t="s">
        <v>822</v>
      </c>
      <c r="C9" s="2" t="s">
        <v>823</v>
      </c>
      <c r="D9" s="2" t="s">
        <v>2613</v>
      </c>
      <c r="E9" s="2" t="str">
        <f>IF(SIGN(IFERROR(SEARCH("\1",$B9),0))=SIGN(IFERROR(SEARCH("\1",C9),0)),".","!")&amp;
   IF(SIGN(IFERROR(SEARCH("\2",$B9),0))=SIGN(IFERROR(SEARCH("\2",C9),0)),".","!")&amp;
   IF(SIGN(IFERROR(SEARCH("\3",$B9),0))=SIGN(IFERROR(SEARCH("\3",C9),0)),".","!")</f>
        <v>...</v>
      </c>
      <c r="F9" s="2" t="str">
        <f>IF(SIGN(IFERROR(SEARCH("\1",$B9),0))=SIGN(IFERROR(SEARCH("\1",D9),0)),".","!")&amp;
   IF(SIGN(IFERROR(SEARCH("\2",$B9),0))=SIGN(IFERROR(SEARCH("\2",D9),0)),".","!")&amp;
   IF(SIGN(IFERROR(SEARCH("\3",$B9),0))=SIGN(IFERROR(SEARCH("\3",D9),0)),".","!")</f>
        <v>...</v>
      </c>
    </row>
    <row r="10" spans="1:6" x14ac:dyDescent="0.25">
      <c r="A10" s="1" t="s">
        <v>1724</v>
      </c>
      <c r="B10" s="2" t="s">
        <v>1725</v>
      </c>
      <c r="C10" s="2" t="s">
        <v>1726</v>
      </c>
      <c r="D10" s="2" t="s">
        <v>2614</v>
      </c>
      <c r="E10" s="1" t="str">
        <f>IF(SIGN(IFERROR(SEARCH("\1",$B10),0))=SIGN(IFERROR(SEARCH("\1",C10),0)),".","!")&amp;
   IF(SIGN(IFERROR(SEARCH("\2",$B10),0))=SIGN(IFERROR(SEARCH("\2",C10),0)),".","!")&amp;
   IF(SIGN(IFERROR(SEARCH("\3",$B10),0))=SIGN(IFERROR(SEARCH("\3",C10),0)),".","!")</f>
        <v>...</v>
      </c>
      <c r="F10" s="1" t="str">
        <f>IF(SIGN(IFERROR(SEARCH("\1",$B10),0))=SIGN(IFERROR(SEARCH("\1",D10),0)),".","!")&amp;
   IF(SIGN(IFERROR(SEARCH("\2",$B10),0))=SIGN(IFERROR(SEARCH("\2",D10),0)),".","!")&amp;
   IF(SIGN(IFERROR(SEARCH("\3",$B10),0))=SIGN(IFERROR(SEARCH("\3",D10),0)),".","!")</f>
        <v>...</v>
      </c>
    </row>
    <row r="11" spans="1:6" x14ac:dyDescent="0.25">
      <c r="A11" s="1" t="s">
        <v>1226</v>
      </c>
      <c r="B11" s="2" t="s">
        <v>197</v>
      </c>
      <c r="C11" s="2" t="s">
        <v>397</v>
      </c>
      <c r="D11" s="2" t="s">
        <v>2186</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1229</v>
      </c>
      <c r="B12" s="2" t="s">
        <v>1227</v>
      </c>
      <c r="C12" s="2" t="s">
        <v>1228</v>
      </c>
      <c r="D12" s="2" t="s">
        <v>2615</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962</v>
      </c>
      <c r="B13" s="2" t="s">
        <v>876</v>
      </c>
      <c r="C13" s="2" t="s">
        <v>879</v>
      </c>
      <c r="D13" s="2" t="s">
        <v>2616</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963</v>
      </c>
      <c r="B14" s="2" t="s">
        <v>877</v>
      </c>
      <c r="C14" s="2" t="s">
        <v>880</v>
      </c>
      <c r="D14" s="2" t="s">
        <v>2617</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x14ac:dyDescent="0.25">
      <c r="A15" s="1" t="s">
        <v>964</v>
      </c>
      <c r="B15" s="2" t="s">
        <v>878</v>
      </c>
      <c r="C15" s="2" t="s">
        <v>881</v>
      </c>
      <c r="D15" s="2" t="s">
        <v>2618</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864</v>
      </c>
      <c r="B16" s="2" t="s">
        <v>863</v>
      </c>
      <c r="C16" s="2" t="s">
        <v>995</v>
      </c>
      <c r="D16" s="2" t="s">
        <v>995</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30" x14ac:dyDescent="0.25">
      <c r="A17" s="1" t="s">
        <v>931</v>
      </c>
      <c r="B17" s="2" t="s">
        <v>933</v>
      </c>
      <c r="C17" s="2" t="s">
        <v>934</v>
      </c>
      <c r="D17" s="2" t="s">
        <v>2702</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ht="90" x14ac:dyDescent="0.25">
      <c r="A18" s="1" t="s">
        <v>932</v>
      </c>
      <c r="B18" s="2" t="s">
        <v>935</v>
      </c>
      <c r="C18" s="2" t="s">
        <v>936</v>
      </c>
      <c r="D18" s="2" t="s">
        <v>936</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x14ac:dyDescent="0.25">
      <c r="A19" s="1" t="s">
        <v>685</v>
      </c>
      <c r="B19" s="2" t="s">
        <v>684</v>
      </c>
      <c r="C19" s="2" t="s">
        <v>686</v>
      </c>
      <c r="D19" s="2" t="s">
        <v>686</v>
      </c>
      <c r="E19" s="2" t="str">
        <f>IF(SIGN(IFERROR(SEARCH("\1",$B19),0))=SIGN(IFERROR(SEARCH("\1",C19),0)),".","!")&amp;
   IF(SIGN(IFERROR(SEARCH("\2",$B19),0))=SIGN(IFERROR(SEARCH("\2",C19),0)),".","!")&amp;
   IF(SIGN(IFERROR(SEARCH("\3",$B19),0))=SIGN(IFERROR(SEARCH("\3",C19),0)),".","!")</f>
        <v>...</v>
      </c>
      <c r="F19" s="2" t="str">
        <f>IF(SIGN(IFERROR(SEARCH("\1",$B19),0))=SIGN(IFERROR(SEARCH("\1",D19),0)),".","!")&amp;
   IF(SIGN(IFERROR(SEARCH("\2",$B19),0))=SIGN(IFERROR(SEARCH("\2",D19),0)),".","!")&amp;
   IF(SIGN(IFERROR(SEARCH("\3",$B19),0))=SIGN(IFERROR(SEARCH("\3",D19),0)),".","!")</f>
        <v>...</v>
      </c>
    </row>
    <row r="20" spans="1:6" ht="30" x14ac:dyDescent="0.25">
      <c r="A20" s="1" t="s">
        <v>1690</v>
      </c>
      <c r="B20" s="2" t="s">
        <v>1688</v>
      </c>
      <c r="C20" s="2" t="s">
        <v>1689</v>
      </c>
      <c r="D20" s="2" t="s">
        <v>1689</v>
      </c>
      <c r="E20" s="1" t="str">
        <f>IF(SIGN(IFERROR(SEARCH("\1",$B20),0))=SIGN(IFERROR(SEARCH("\1",C20),0)),".","!")&amp;
   IF(SIGN(IFERROR(SEARCH("\2",$B20),0))=SIGN(IFERROR(SEARCH("\2",C20),0)),".","!")&amp;
   IF(SIGN(IFERROR(SEARCH("\3",$B20),0))=SIGN(IFERROR(SEARCH("\3",C20),0)),".","!")</f>
        <v>...</v>
      </c>
      <c r="F20" s="1" t="str">
        <f>IF(SIGN(IFERROR(SEARCH("\1",$B20),0))=SIGN(IFERROR(SEARCH("\1",D20),0)),".","!")&amp;
   IF(SIGN(IFERROR(SEARCH("\2",$B20),0))=SIGN(IFERROR(SEARCH("\2",D20),0)),".","!")&amp;
   IF(SIGN(IFERROR(SEARCH("\3",$B20),0))=SIGN(IFERROR(SEARCH("\3",D20),0)),".","!")</f>
        <v>...</v>
      </c>
    </row>
    <row r="21" spans="1:6" x14ac:dyDescent="0.25">
      <c r="A21" s="1" t="s">
        <v>730</v>
      </c>
      <c r="B21" s="2" t="s">
        <v>727</v>
      </c>
      <c r="C21" s="2" t="s">
        <v>728</v>
      </c>
      <c r="D21" s="2" t="s">
        <v>728</v>
      </c>
      <c r="E21" s="2" t="str">
        <f>IF(SIGN(IFERROR(SEARCH("\1",$B21),0))=SIGN(IFERROR(SEARCH("\1",C21),0)),".","!")&amp;
   IF(SIGN(IFERROR(SEARCH("\2",$B21),0))=SIGN(IFERROR(SEARCH("\2",C21),0)),".","!")&amp;
   IF(SIGN(IFERROR(SEARCH("\3",$B21),0))=SIGN(IFERROR(SEARCH("\3",C21),0)),".","!")</f>
        <v>...</v>
      </c>
      <c r="F21" s="2" t="str">
        <f>IF(SIGN(IFERROR(SEARCH("\1",$B21),0))=SIGN(IFERROR(SEARCH("\1",D21),0)),".","!")&amp;
   IF(SIGN(IFERROR(SEARCH("\2",$B21),0))=SIGN(IFERROR(SEARCH("\2",D21),0)),".","!")&amp;
   IF(SIGN(IFERROR(SEARCH("\3",$B21),0))=SIGN(IFERROR(SEARCH("\3",D21),0)),".","!")</f>
        <v>...</v>
      </c>
    </row>
    <row r="22" spans="1:6" x14ac:dyDescent="0.25">
      <c r="A22" s="1" t="s">
        <v>1701</v>
      </c>
      <c r="B22" s="2" t="s">
        <v>1699</v>
      </c>
      <c r="C22" s="2" t="s">
        <v>1700</v>
      </c>
      <c r="D22" s="2" t="s">
        <v>1700</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ht="30" x14ac:dyDescent="0.25">
      <c r="A23" s="1" t="s">
        <v>2012</v>
      </c>
      <c r="B23" s="2" t="s">
        <v>2022</v>
      </c>
      <c r="C23" s="2" t="s">
        <v>2023</v>
      </c>
      <c r="D23" s="2" t="s">
        <v>2619</v>
      </c>
      <c r="E23" s="1" t="str">
        <f>IF(SIGN(IFERROR(SEARCH("\1",$B23),0))=SIGN(IFERROR(SEARCH("\1",C23),0)),".","!")&amp;
   IF(SIGN(IFERROR(SEARCH("\2",$B23),0))=SIGN(IFERROR(SEARCH("\2",C23),0)),".","!")&amp;
   IF(SIGN(IFERROR(SEARCH("\3",$B23),0))=SIGN(IFERROR(SEARCH("\3",C23),0)),".","!")</f>
        <v>...</v>
      </c>
      <c r="F23" s="1" t="str">
        <f>IF(SIGN(IFERROR(SEARCH("\1",$B23),0))=SIGN(IFERROR(SEARCH("\1",D23),0)),".","!")&amp;
   IF(SIGN(IFERROR(SEARCH("\2",$B23),0))=SIGN(IFERROR(SEARCH("\2",D23),0)),".","!")&amp;
   IF(SIGN(IFERROR(SEARCH("\3",$B23),0))=SIGN(IFERROR(SEARCH("\3",D23),0)),".","!")</f>
        <v>...</v>
      </c>
    </row>
    <row r="24" spans="1:6" ht="30" x14ac:dyDescent="0.25">
      <c r="A24" s="1" t="s">
        <v>1856</v>
      </c>
      <c r="B24" s="2" t="s">
        <v>1857</v>
      </c>
      <c r="C24" s="2" t="s">
        <v>1858</v>
      </c>
      <c r="D24" s="2" t="s">
        <v>2620</v>
      </c>
      <c r="E24" s="1" t="str">
        <f>IF(SIGN(IFERROR(SEARCH("\1",$B24),0))=SIGN(IFERROR(SEARCH("\1",C24),0)),".","!")&amp;
   IF(SIGN(IFERROR(SEARCH("\2",$B24),0))=SIGN(IFERROR(SEARCH("\2",C24),0)),".","!")&amp;
   IF(SIGN(IFERROR(SEARCH("\3",$B24),0))=SIGN(IFERROR(SEARCH("\3",C24),0)),".","!")</f>
        <v>...</v>
      </c>
      <c r="F24" s="1" t="str">
        <f>IF(SIGN(IFERROR(SEARCH("\1",$B24),0))=SIGN(IFERROR(SEARCH("\1",D24),0)),".","!")&amp;
   IF(SIGN(IFERROR(SEARCH("\2",$B24),0))=SIGN(IFERROR(SEARCH("\2",D24),0)),".","!")&amp;
   IF(SIGN(IFERROR(SEARCH("\3",$B24),0))=SIGN(IFERROR(SEARCH("\3",D24),0)),".","!")</f>
        <v>...</v>
      </c>
    </row>
    <row r="25" spans="1:6" x14ac:dyDescent="0.25">
      <c r="A25" s="1" t="s">
        <v>729</v>
      </c>
      <c r="B25" s="2" t="s">
        <v>725</v>
      </c>
      <c r="C25" s="2" t="s">
        <v>726</v>
      </c>
      <c r="D25" s="2" t="s">
        <v>726</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x14ac:dyDescent="0.25">
      <c r="A26" s="1" t="s">
        <v>847</v>
      </c>
      <c r="B26" s="2" t="s">
        <v>849</v>
      </c>
      <c r="C26" s="2" t="s">
        <v>851</v>
      </c>
      <c r="D26" s="2" t="s">
        <v>2690</v>
      </c>
      <c r="E26" s="2" t="str">
        <f>IF(SIGN(IFERROR(SEARCH("\1",$B26),0))=SIGN(IFERROR(SEARCH("\1",C26),0)),".","!")&amp;
   IF(SIGN(IFERROR(SEARCH("\2",$B26),0))=SIGN(IFERROR(SEARCH("\2",C26),0)),".","!")&amp;
   IF(SIGN(IFERROR(SEARCH("\3",$B26),0))=SIGN(IFERROR(SEARCH("\3",C26),0)),".","!")</f>
        <v>...</v>
      </c>
      <c r="F26" s="2" t="str">
        <f>IF(SIGN(IFERROR(SEARCH("\1",$B26),0))=SIGN(IFERROR(SEARCH("\1",D26),0)),".","!")&amp;
   IF(SIGN(IFERROR(SEARCH("\2",$B26),0))=SIGN(IFERROR(SEARCH("\2",D26),0)),".","!")&amp;
   IF(SIGN(IFERROR(SEARCH("\3",$B26),0))=SIGN(IFERROR(SEARCH("\3",D26),0)),".","!")</f>
        <v>...</v>
      </c>
    </row>
    <row r="27" spans="1:6" x14ac:dyDescent="0.25">
      <c r="A27" s="1" t="s">
        <v>848</v>
      </c>
      <c r="B27" s="2" t="s">
        <v>850</v>
      </c>
      <c r="C27" s="2" t="s">
        <v>850</v>
      </c>
      <c r="D27" s="2" t="s">
        <v>850</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ht="75" x14ac:dyDescent="0.25">
      <c r="A28" s="1" t="s">
        <v>1727</v>
      </c>
      <c r="B28" s="2" t="s">
        <v>1851</v>
      </c>
      <c r="C28" s="2" t="s">
        <v>1852</v>
      </c>
      <c r="D28" s="2" t="s">
        <v>2691</v>
      </c>
      <c r="E28" s="1" t="str">
        <f>IF(SIGN(IFERROR(SEARCH("\1",$B28),0))=SIGN(IFERROR(SEARCH("\1",C28),0)),".","!")&amp;
   IF(SIGN(IFERROR(SEARCH("\2",$B28),0))=SIGN(IFERROR(SEARCH("\2",C28),0)),".","!")&amp;
   IF(SIGN(IFERROR(SEARCH("\3",$B28),0))=SIGN(IFERROR(SEARCH("\3",C28),0)),".","!")</f>
        <v>...</v>
      </c>
      <c r="F28" s="1" t="str">
        <f>IF(SIGN(IFERROR(SEARCH("\1",$B28),0))=SIGN(IFERROR(SEARCH("\1",D28),0)),".","!")&amp;
   IF(SIGN(IFERROR(SEARCH("\2",$B28),0))=SIGN(IFERROR(SEARCH("\2",D28),0)),".","!")&amp;
   IF(SIGN(IFERROR(SEARCH("\3",$B28),0))=SIGN(IFERROR(SEARCH("\3",D28),0)),".","!")</f>
        <v>...</v>
      </c>
    </row>
    <row r="29" spans="1:6" x14ac:dyDescent="0.25">
      <c r="A29" s="1" t="s">
        <v>1230</v>
      </c>
      <c r="B29" s="2" t="s">
        <v>1231</v>
      </c>
      <c r="C29" s="2" t="s">
        <v>1232</v>
      </c>
      <c r="D29" s="2" t="s">
        <v>2621</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955</v>
      </c>
      <c r="B30" s="2" t="s">
        <v>954</v>
      </c>
      <c r="C30" s="2" t="s">
        <v>953</v>
      </c>
      <c r="D30" s="2" t="s">
        <v>2622</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x14ac:dyDescent="0.25">
      <c r="A31" s="1" t="s">
        <v>833</v>
      </c>
      <c r="B31" s="2" t="s">
        <v>834</v>
      </c>
      <c r="C31" s="2" t="s">
        <v>996</v>
      </c>
      <c r="D31" s="2" t="s">
        <v>2197</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x14ac:dyDescent="0.25">
      <c r="A32" s="1" t="s">
        <v>734</v>
      </c>
      <c r="B32" s="2" t="s">
        <v>735</v>
      </c>
      <c r="C32" s="2" t="s">
        <v>736</v>
      </c>
      <c r="D32" s="2" t="s">
        <v>736</v>
      </c>
      <c r="E32" s="2" t="str">
        <f>IF(SIGN(IFERROR(SEARCH("\1",$B32),0))=SIGN(IFERROR(SEARCH("\1",C32),0)),".","!")&amp;
   IF(SIGN(IFERROR(SEARCH("\2",$B32),0))=SIGN(IFERROR(SEARCH("\2",C32),0)),".","!")&amp;
   IF(SIGN(IFERROR(SEARCH("\3",$B32),0))=SIGN(IFERROR(SEARCH("\3",C32),0)),".","!")</f>
        <v>...</v>
      </c>
      <c r="F32" s="2" t="str">
        <f>IF(SIGN(IFERROR(SEARCH("\1",$B32),0))=SIGN(IFERROR(SEARCH("\1",D32),0)),".","!")&amp;
   IF(SIGN(IFERROR(SEARCH("\2",$B32),0))=SIGN(IFERROR(SEARCH("\2",D32),0)),".","!")&amp;
   IF(SIGN(IFERROR(SEARCH("\3",$B32),0))=SIGN(IFERROR(SEARCH("\3",D32),0)),".","!")</f>
        <v>...</v>
      </c>
    </row>
    <row r="33" spans="1:6" ht="30" x14ac:dyDescent="0.25">
      <c r="A33" s="1" t="s">
        <v>1528</v>
      </c>
      <c r="B33" s="2" t="s">
        <v>750</v>
      </c>
      <c r="C33" s="2" t="s">
        <v>751</v>
      </c>
      <c r="D33" s="2" t="s">
        <v>2623</v>
      </c>
      <c r="E33" s="2" t="str">
        <f>IF(SIGN(IFERROR(SEARCH("\1",$B33),0))=SIGN(IFERROR(SEARCH("\1",C33),0)),".","!")&amp;
   IF(SIGN(IFERROR(SEARCH("\2",$B33),0))=SIGN(IFERROR(SEARCH("\2",C33),0)),".","!")&amp;
   IF(SIGN(IFERROR(SEARCH("\3",$B33),0))=SIGN(IFERROR(SEARCH("\3",C33),0)),".","!")</f>
        <v>...</v>
      </c>
      <c r="F33" s="2" t="str">
        <f>IF(SIGN(IFERROR(SEARCH("\1",$B33),0))=SIGN(IFERROR(SEARCH("\1",D33),0)),".","!")&amp;
   IF(SIGN(IFERROR(SEARCH("\2",$B33),0))=SIGN(IFERROR(SEARCH("\2",D33),0)),".","!")&amp;
   IF(SIGN(IFERROR(SEARCH("\3",$B33),0))=SIGN(IFERROR(SEARCH("\3",D33),0)),".","!")</f>
        <v>...</v>
      </c>
    </row>
    <row r="34" spans="1:6" ht="30" x14ac:dyDescent="0.25">
      <c r="A34" s="1" t="s">
        <v>1746</v>
      </c>
      <c r="B34" s="2" t="s">
        <v>1747</v>
      </c>
      <c r="C34" s="2" t="s">
        <v>1750</v>
      </c>
      <c r="D34" s="2" t="s">
        <v>1750</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x14ac:dyDescent="0.25">
      <c r="A35" s="1" t="s">
        <v>2027</v>
      </c>
      <c r="B35" s="2" t="s">
        <v>2028</v>
      </c>
      <c r="C35" s="2" t="s">
        <v>2029</v>
      </c>
      <c r="D35" s="2" t="s">
        <v>2624</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x14ac:dyDescent="0.25">
      <c r="A36" s="1" t="s">
        <v>1660</v>
      </c>
      <c r="B36" s="2" t="s">
        <v>1661</v>
      </c>
      <c r="C36" s="2" t="s">
        <v>1662</v>
      </c>
      <c r="D36" s="2" t="s">
        <v>2625</v>
      </c>
      <c r="E36" s="1" t="str">
        <f>IF(SIGN(IFERROR(SEARCH("\1",$B36),0))=SIGN(IFERROR(SEARCH("\1",C36),0)),".","!")&amp;
   IF(SIGN(IFERROR(SEARCH("\2",$B36),0))=SIGN(IFERROR(SEARCH("\2",C36),0)),".","!")&amp;
   IF(SIGN(IFERROR(SEARCH("\3",$B36),0))=SIGN(IFERROR(SEARCH("\3",C36),0)),".","!")</f>
        <v>...</v>
      </c>
      <c r="F36" s="1" t="str">
        <f>IF(SIGN(IFERROR(SEARCH("\1",$B36),0))=SIGN(IFERROR(SEARCH("\1",D36),0)),".","!")&amp;
   IF(SIGN(IFERROR(SEARCH("\2",$B36),0))=SIGN(IFERROR(SEARCH("\2",D36),0)),".","!")&amp;
   IF(SIGN(IFERROR(SEARCH("\3",$B36),0))=SIGN(IFERROR(SEARCH("\3",D36),0)),".","!")</f>
        <v>...</v>
      </c>
    </row>
    <row r="37" spans="1:6" x14ac:dyDescent="0.25">
      <c r="A37" s="1" t="s">
        <v>1663</v>
      </c>
      <c r="B37" s="2" t="s">
        <v>1664</v>
      </c>
      <c r="C37" s="2" t="s">
        <v>1665</v>
      </c>
      <c r="D37" s="2" t="s">
        <v>2626</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ht="30" x14ac:dyDescent="0.25">
      <c r="A38" s="1" t="s">
        <v>1748</v>
      </c>
      <c r="B38" s="2" t="s">
        <v>1749</v>
      </c>
      <c r="C38" s="2" t="s">
        <v>1751</v>
      </c>
      <c r="D38" s="2" t="s">
        <v>1751</v>
      </c>
      <c r="E38" s="1" t="str">
        <f>IF(SIGN(IFERROR(SEARCH("\1",$B38),0))=SIGN(IFERROR(SEARCH("\1",C38),0)),".","!")&amp;
   IF(SIGN(IFERROR(SEARCH("\2",$B38),0))=SIGN(IFERROR(SEARCH("\2",C38),0)),".","!")&amp;
   IF(SIGN(IFERROR(SEARCH("\3",$B38),0))=SIGN(IFERROR(SEARCH("\3",C38),0)),".","!")</f>
        <v>...</v>
      </c>
      <c r="F38" s="1" t="str">
        <f>IF(SIGN(IFERROR(SEARCH("\1",$B38),0))=SIGN(IFERROR(SEARCH("\1",D38),0)),".","!")&amp;
   IF(SIGN(IFERROR(SEARCH("\2",$B38),0))=SIGN(IFERROR(SEARCH("\2",D38),0)),".","!")&amp;
   IF(SIGN(IFERROR(SEARCH("\3",$B38),0))=SIGN(IFERROR(SEARCH("\3",D38),0)),".","!")</f>
        <v>...</v>
      </c>
    </row>
    <row r="39" spans="1:6" x14ac:dyDescent="0.25">
      <c r="A39" s="1" t="s">
        <v>2026</v>
      </c>
      <c r="B39" s="2" t="s">
        <v>226</v>
      </c>
      <c r="C39" s="2" t="s">
        <v>347</v>
      </c>
      <c r="D39" s="2" t="s">
        <v>2328</v>
      </c>
      <c r="E39" s="1" t="str">
        <f>IF(SIGN(IFERROR(SEARCH("\1",$B39),0))=SIGN(IFERROR(SEARCH("\1",C39),0)),".","!")&amp;
   IF(SIGN(IFERROR(SEARCH("\2",$B39),0))=SIGN(IFERROR(SEARCH("\2",C39),0)),".","!")&amp;
   IF(SIGN(IFERROR(SEARCH("\3",$B39),0))=SIGN(IFERROR(SEARCH("\3",C39),0)),".","!")</f>
        <v>...</v>
      </c>
      <c r="F39" s="1" t="str">
        <f>IF(SIGN(IFERROR(SEARCH("\1",$B39),0))=SIGN(IFERROR(SEARCH("\1",D39),0)),".","!")&amp;
   IF(SIGN(IFERROR(SEARCH("\2",$B39),0))=SIGN(IFERROR(SEARCH("\2",D39),0)),".","!")&amp;
   IF(SIGN(IFERROR(SEARCH("\3",$B39),0))=SIGN(IFERROR(SEARCH("\3",D39),0)),".","!")</f>
        <v>...</v>
      </c>
    </row>
    <row r="40" spans="1:6" ht="30" x14ac:dyDescent="0.25">
      <c r="A40" s="1" t="s">
        <v>702</v>
      </c>
      <c r="B40" s="2" t="s">
        <v>700</v>
      </c>
      <c r="C40" s="2" t="s">
        <v>701</v>
      </c>
      <c r="D40" s="2" t="s">
        <v>2627</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2055</v>
      </c>
      <c r="B41" s="2" t="s">
        <v>2056</v>
      </c>
      <c r="C41" s="2" t="s">
        <v>2057</v>
      </c>
      <c r="D41" s="2" t="s">
        <v>2628</v>
      </c>
      <c r="E41" s="1" t="str">
        <f>IF(SIGN(IFERROR(SEARCH("\1",$B41),0))=SIGN(IFERROR(SEARCH("\1",C41),0)),".","!")&amp;
   IF(SIGN(IFERROR(SEARCH("\2",$B41),0))=SIGN(IFERROR(SEARCH("\2",C41),0)),".","!")&amp;
   IF(SIGN(IFERROR(SEARCH("\3",$B41),0))=SIGN(IFERROR(SEARCH("\3",C41),0)),".","!")</f>
        <v>...</v>
      </c>
      <c r="F41" s="1" t="str">
        <f>IF(SIGN(IFERROR(SEARCH("\1",$B41),0))=SIGN(IFERROR(SEARCH("\1",D41),0)),".","!")&amp;
   IF(SIGN(IFERROR(SEARCH("\2",$B41),0))=SIGN(IFERROR(SEARCH("\2",D41),0)),".","!")&amp;
   IF(SIGN(IFERROR(SEARCH("\3",$B41),0))=SIGN(IFERROR(SEARCH("\3",D41),0)),".","!")</f>
        <v>...</v>
      </c>
    </row>
    <row r="42" spans="1:6" x14ac:dyDescent="0.25">
      <c r="A42" s="1" t="s">
        <v>2058</v>
      </c>
      <c r="B42" s="2" t="s">
        <v>2059</v>
      </c>
      <c r="C42" s="2" t="s">
        <v>2060</v>
      </c>
      <c r="D42" s="2" t="s">
        <v>2629</v>
      </c>
      <c r="E42" s="1" t="str">
        <f>IF(SIGN(IFERROR(SEARCH("\1",$B42),0))=SIGN(IFERROR(SEARCH("\1",C42),0)),".","!")&amp;
   IF(SIGN(IFERROR(SEARCH("\2",$B42),0))=SIGN(IFERROR(SEARCH("\2",C42),0)),".","!")&amp;
   IF(SIGN(IFERROR(SEARCH("\3",$B42),0))=SIGN(IFERROR(SEARCH("\3",C42),0)),".","!")</f>
        <v>...</v>
      </c>
      <c r="F42" s="1" t="str">
        <f>IF(SIGN(IFERROR(SEARCH("\1",$B42),0))=SIGN(IFERROR(SEARCH("\1",D42),0)),".","!")&amp;
   IF(SIGN(IFERROR(SEARCH("\2",$B42),0))=SIGN(IFERROR(SEARCH("\2",D42),0)),".","!")&amp;
   IF(SIGN(IFERROR(SEARCH("\3",$B42),0))=SIGN(IFERROR(SEARCH("\3",D42),0)),".","!")</f>
        <v>...</v>
      </c>
    </row>
    <row r="43" spans="1:6" ht="30" x14ac:dyDescent="0.25">
      <c r="A43" s="1" t="s">
        <v>1691</v>
      </c>
      <c r="B43" s="2" t="s">
        <v>1692</v>
      </c>
      <c r="C43" s="2" t="s">
        <v>1693</v>
      </c>
      <c r="D43" s="2" t="s">
        <v>2630</v>
      </c>
      <c r="E43" s="1" t="str">
        <f>IF(SIGN(IFERROR(SEARCH("\1",$B43),0))=SIGN(IFERROR(SEARCH("\1",C43),0)),".","!")&amp;
   IF(SIGN(IFERROR(SEARCH("\2",$B43),0))=SIGN(IFERROR(SEARCH("\2",C43),0)),".","!")&amp;
   IF(SIGN(IFERROR(SEARCH("\3",$B43),0))=SIGN(IFERROR(SEARCH("\3",C43),0)),".","!")</f>
        <v>...</v>
      </c>
      <c r="F43" s="1" t="str">
        <f>IF(SIGN(IFERROR(SEARCH("\1",$B43),0))=SIGN(IFERROR(SEARCH("\1",D43),0)),".","!")&amp;
   IF(SIGN(IFERROR(SEARCH("\2",$B43),0))=SIGN(IFERROR(SEARCH("\2",D43),0)),".","!")&amp;
   IF(SIGN(IFERROR(SEARCH("\3",$B43),0))=SIGN(IFERROR(SEARCH("\3",D43),0)),".","!")</f>
        <v>...</v>
      </c>
    </row>
    <row r="44" spans="1:6" x14ac:dyDescent="0.25">
      <c r="A44" s="1" t="s">
        <v>1531</v>
      </c>
      <c r="B44" s="2" t="s">
        <v>790</v>
      </c>
      <c r="C44" s="2" t="s">
        <v>796</v>
      </c>
      <c r="D44" s="2" t="s">
        <v>796</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1532</v>
      </c>
      <c r="B45" s="2" t="s">
        <v>785</v>
      </c>
      <c r="C45" s="2" t="s">
        <v>795</v>
      </c>
      <c r="D45" s="2" t="s">
        <v>795</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1533</v>
      </c>
      <c r="B46" s="2" t="s">
        <v>786</v>
      </c>
      <c r="C46" s="2" t="s">
        <v>798</v>
      </c>
      <c r="D46" s="2" t="s">
        <v>798</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1534</v>
      </c>
      <c r="B47" s="2" t="s">
        <v>787</v>
      </c>
      <c r="C47" s="2" t="s">
        <v>799</v>
      </c>
      <c r="D47" s="2" t="s">
        <v>799</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1535</v>
      </c>
      <c r="B48" s="2" t="s">
        <v>788</v>
      </c>
      <c r="C48" s="2" t="s">
        <v>800</v>
      </c>
      <c r="D48" s="2" t="s">
        <v>800</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1536</v>
      </c>
      <c r="B49" s="2" t="s">
        <v>789</v>
      </c>
      <c r="C49" s="2" t="s">
        <v>797</v>
      </c>
      <c r="D49" s="2" t="s">
        <v>797</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1740</v>
      </c>
      <c r="B50" s="2" t="s">
        <v>1741</v>
      </c>
      <c r="C50" s="2" t="s">
        <v>1742</v>
      </c>
      <c r="D50" s="2" t="s">
        <v>1742</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1537</v>
      </c>
      <c r="B51" s="2" t="s">
        <v>352</v>
      </c>
      <c r="C51" s="2" t="s">
        <v>351</v>
      </c>
      <c r="D51" s="2" t="s">
        <v>351</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1538</v>
      </c>
      <c r="B52" s="2" t="s">
        <v>780</v>
      </c>
      <c r="C52" s="2" t="s">
        <v>791</v>
      </c>
      <c r="D52" s="2" t="s">
        <v>791</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x14ac:dyDescent="0.25">
      <c r="A53" s="1" t="s">
        <v>1539</v>
      </c>
      <c r="B53" s="2" t="s">
        <v>781</v>
      </c>
      <c r="C53" s="2" t="s">
        <v>793</v>
      </c>
      <c r="D53" s="2" t="s">
        <v>793</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x14ac:dyDescent="0.25">
      <c r="A54" s="1" t="s">
        <v>1540</v>
      </c>
      <c r="B54" s="2" t="s">
        <v>1738</v>
      </c>
      <c r="C54" s="2" t="s">
        <v>1739</v>
      </c>
      <c r="D54" s="2" t="s">
        <v>1739</v>
      </c>
      <c r="E54" s="2" t="str">
        <f>IF(SIGN(IFERROR(SEARCH("\1",$B54),0))=SIGN(IFERROR(SEARCH("\1",C54),0)),".","!")&amp;
   IF(SIGN(IFERROR(SEARCH("\2",$B54),0))=SIGN(IFERROR(SEARCH("\2",C54),0)),".","!")&amp;
   IF(SIGN(IFERROR(SEARCH("\3",$B54),0))=SIGN(IFERROR(SEARCH("\3",C54),0)),".","!")</f>
        <v>...</v>
      </c>
      <c r="F54" s="2" t="str">
        <f>IF(SIGN(IFERROR(SEARCH("\1",$B54),0))=SIGN(IFERROR(SEARCH("\1",D54),0)),".","!")&amp;
   IF(SIGN(IFERROR(SEARCH("\2",$B54),0))=SIGN(IFERROR(SEARCH("\2",D54),0)),".","!")&amp;
   IF(SIGN(IFERROR(SEARCH("\3",$B54),0))=SIGN(IFERROR(SEARCH("\3",D54),0)),".","!")</f>
        <v>...</v>
      </c>
    </row>
    <row r="55" spans="1:6" x14ac:dyDescent="0.25">
      <c r="A55" s="1" t="s">
        <v>1541</v>
      </c>
      <c r="B55" s="2" t="s">
        <v>1154</v>
      </c>
      <c r="C55" s="2" t="s">
        <v>1737</v>
      </c>
      <c r="D55" s="2" t="s">
        <v>1737</v>
      </c>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1542</v>
      </c>
      <c r="B56" s="2" t="s">
        <v>782</v>
      </c>
      <c r="C56" s="2" t="s">
        <v>782</v>
      </c>
      <c r="D56" s="2" t="s">
        <v>782</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x14ac:dyDescent="0.25">
      <c r="A57" s="1" t="s">
        <v>1543</v>
      </c>
      <c r="B57" s="2" t="s">
        <v>783</v>
      </c>
      <c r="C57" s="2" t="s">
        <v>792</v>
      </c>
      <c r="D57" s="2" t="s">
        <v>792</v>
      </c>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1544</v>
      </c>
      <c r="B58" s="2" t="s">
        <v>784</v>
      </c>
      <c r="C58" s="2" t="s">
        <v>794</v>
      </c>
      <c r="D58" s="2" t="s">
        <v>794</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165" x14ac:dyDescent="0.25">
      <c r="A59" s="1" t="s">
        <v>1723</v>
      </c>
      <c r="B59" s="2" t="s">
        <v>2017</v>
      </c>
      <c r="C59" s="2" t="s">
        <v>2014</v>
      </c>
      <c r="D59" s="2" t="s">
        <v>2014</v>
      </c>
      <c r="E59" s="2" t="str">
        <f>IF(SIGN(IFERROR(SEARCH("\1",$B59),0))=SIGN(IFERROR(SEARCH("\1",C59),0)),".","!")&amp;
   IF(SIGN(IFERROR(SEARCH("\2",$B59),0))=SIGN(IFERROR(SEARCH("\2",C59),0)),".","!")&amp;
   IF(SIGN(IFERROR(SEARCH("\3",$B59),0))=SIGN(IFERROR(SEARCH("\3",C59),0)),".","!")</f>
        <v>...</v>
      </c>
      <c r="F59" s="1" t="str">
        <f>IF(SIGN(IFERROR(SEARCH("\1",$B59),0))=SIGN(IFERROR(SEARCH("\1",D59),0)),".","!")&amp;
   IF(SIGN(IFERROR(SEARCH("\2",$B59),0))=SIGN(IFERROR(SEARCH("\2",D59),0)),".","!")&amp;
   IF(SIGN(IFERROR(SEARCH("\3",$B59),0))=SIGN(IFERROR(SEARCH("\3",D59),0)),".","!")</f>
        <v>...</v>
      </c>
    </row>
    <row r="60" spans="1:6" x14ac:dyDescent="0.25">
      <c r="A60" s="1" t="s">
        <v>1335</v>
      </c>
      <c r="B60" s="2" t="s">
        <v>1333</v>
      </c>
      <c r="C60" s="2" t="s">
        <v>1334</v>
      </c>
      <c r="D60" s="2" t="s">
        <v>1334</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ht="345" x14ac:dyDescent="0.25">
      <c r="A61" s="1" t="s">
        <v>1153</v>
      </c>
      <c r="B61" s="2" t="s">
        <v>1707</v>
      </c>
      <c r="C61" s="2" t="s">
        <v>1708</v>
      </c>
      <c r="D61" s="2" t="s">
        <v>2692</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852</v>
      </c>
      <c r="B62" s="2" t="s">
        <v>853</v>
      </c>
      <c r="C62" s="2" t="s">
        <v>854</v>
      </c>
      <c r="D62" s="2" t="s">
        <v>2631</v>
      </c>
      <c r="E62" s="2" t="str">
        <f>IF(SIGN(IFERROR(SEARCH("\1",$B62),0))=SIGN(IFERROR(SEARCH("\1",C62),0)),".","!")&amp;
   IF(SIGN(IFERROR(SEARCH("\2",$B62),0))=SIGN(IFERROR(SEARCH("\2",C62),0)),".","!")&amp;
   IF(SIGN(IFERROR(SEARCH("\3",$B62),0))=SIGN(IFERROR(SEARCH("\3",C62),0)),".","!")</f>
        <v>...</v>
      </c>
      <c r="F62" s="2" t="str">
        <f>IF(SIGN(IFERROR(SEARCH("\1",$B62),0))=SIGN(IFERROR(SEARCH("\1",D62),0)),".","!")&amp;
   IF(SIGN(IFERROR(SEARCH("\2",$B62),0))=SIGN(IFERROR(SEARCH("\2",D62),0)),".","!")&amp;
   IF(SIGN(IFERROR(SEARCH("\3",$B62),0))=SIGN(IFERROR(SEARCH("\3",D62),0)),".","!")</f>
        <v>...</v>
      </c>
    </row>
    <row r="63" spans="1:6" ht="30" x14ac:dyDescent="0.25">
      <c r="A63" s="1" t="s">
        <v>949</v>
      </c>
      <c r="B63" s="2" t="s">
        <v>947</v>
      </c>
      <c r="C63" s="2" t="s">
        <v>948</v>
      </c>
      <c r="D63" s="2" t="s">
        <v>948</v>
      </c>
      <c r="E63" s="2" t="str">
        <f>IF(SIGN(IFERROR(SEARCH("\1",$B63),0))=SIGN(IFERROR(SEARCH("\1",C63),0)),".","!")&amp;
   IF(SIGN(IFERROR(SEARCH("\2",$B63),0))=SIGN(IFERROR(SEARCH("\2",C63),0)),".","!")&amp;
   IF(SIGN(IFERROR(SEARCH("\3",$B63),0))=SIGN(IFERROR(SEARCH("\3",C63),0)),".","!")</f>
        <v>...</v>
      </c>
      <c r="F63" s="2" t="str">
        <f>IF(SIGN(IFERROR(SEARCH("\1",$B63),0))=SIGN(IFERROR(SEARCH("\1",D63),0)),".","!")&amp;
   IF(SIGN(IFERROR(SEARCH("\2",$B63),0))=SIGN(IFERROR(SEARCH("\2",D63),0)),".","!")&amp;
   IF(SIGN(IFERROR(SEARCH("\3",$B63),0))=SIGN(IFERROR(SEARCH("\3",D63),0)),".","!")</f>
        <v>...</v>
      </c>
    </row>
    <row r="64" spans="1:6" ht="30" x14ac:dyDescent="0.25">
      <c r="A64" s="1" t="s">
        <v>941</v>
      </c>
      <c r="B64" s="2" t="s">
        <v>943</v>
      </c>
      <c r="C64" s="2" t="s">
        <v>942</v>
      </c>
      <c r="D64" s="2" t="s">
        <v>942</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946</v>
      </c>
      <c r="B65" s="2" t="s">
        <v>944</v>
      </c>
      <c r="C65" s="2" t="s">
        <v>945</v>
      </c>
      <c r="D65" s="2" t="s">
        <v>945</v>
      </c>
      <c r="E65" s="2" t="str">
        <f>IF(SIGN(IFERROR(SEARCH("\1",$B65),0))=SIGN(IFERROR(SEARCH("\1",C65),0)),".","!")&amp;
   IF(SIGN(IFERROR(SEARCH("\2",$B65),0))=SIGN(IFERROR(SEARCH("\2",C65),0)),".","!")&amp;
   IF(SIGN(IFERROR(SEARCH("\3",$B65),0))=SIGN(IFERROR(SEARCH("\3",C65),0)),".","!")</f>
        <v>...</v>
      </c>
      <c r="F65" s="2" t="str">
        <f>IF(SIGN(IFERROR(SEARCH("\1",$B65),0))=SIGN(IFERROR(SEARCH("\1",D65),0)),".","!")&amp;
   IF(SIGN(IFERROR(SEARCH("\2",$B65),0))=SIGN(IFERROR(SEARCH("\2",D65),0)),".","!")&amp;
   IF(SIGN(IFERROR(SEARCH("\3",$B65),0))=SIGN(IFERROR(SEARCH("\3",D65),0)),".","!")</f>
        <v>...</v>
      </c>
    </row>
    <row r="66" spans="1:6" x14ac:dyDescent="0.25">
      <c r="A66" s="1" t="s">
        <v>1673</v>
      </c>
      <c r="B66" s="2" t="s">
        <v>1681</v>
      </c>
      <c r="C66" s="2" t="s">
        <v>1678</v>
      </c>
      <c r="D66" s="2" t="s">
        <v>1678</v>
      </c>
      <c r="E66" s="1" t="str">
        <f>IF(SIGN(IFERROR(SEARCH("\1",$B66),0))=SIGN(IFERROR(SEARCH("\1",C66),0)),".","!")&amp;
   IF(SIGN(IFERROR(SEARCH("\2",$B66),0))=SIGN(IFERROR(SEARCH("\2",C66),0)),".","!")&amp;
   IF(SIGN(IFERROR(SEARCH("\3",$B66),0))=SIGN(IFERROR(SEARCH("\3",C66),0)),".","!")</f>
        <v>...</v>
      </c>
      <c r="F66" s="1" t="str">
        <f>IF(SIGN(IFERROR(SEARCH("\1",$B66),0))=SIGN(IFERROR(SEARCH("\1",D66),0)),".","!")&amp;
   IF(SIGN(IFERROR(SEARCH("\2",$B66),0))=SIGN(IFERROR(SEARCH("\2",D66),0)),".","!")&amp;
   IF(SIGN(IFERROR(SEARCH("\3",$B66),0))=SIGN(IFERROR(SEARCH("\3",D66),0)),".","!")</f>
        <v>...</v>
      </c>
    </row>
    <row r="67" spans="1:6" x14ac:dyDescent="0.25">
      <c r="A67" s="1" t="s">
        <v>1657</v>
      </c>
      <c r="B67" s="2" t="s">
        <v>1658</v>
      </c>
      <c r="C67" s="2" t="s">
        <v>1659</v>
      </c>
      <c r="D67" s="2" t="s">
        <v>2632</v>
      </c>
      <c r="E67" s="1" t="str">
        <f>IF(SIGN(IFERROR(SEARCH("\1",$B67),0))=SIGN(IFERROR(SEARCH("\1",C67),0)),".","!")&amp;
   IF(SIGN(IFERROR(SEARCH("\2",$B67),0))=SIGN(IFERROR(SEARCH("\2",C67),0)),".","!")&amp;
   IF(SIGN(IFERROR(SEARCH("\3",$B67),0))=SIGN(IFERROR(SEARCH("\3",C67),0)),".","!")</f>
        <v>...</v>
      </c>
      <c r="F67" s="1" t="str">
        <f>IF(SIGN(IFERROR(SEARCH("\1",$B67),0))=SIGN(IFERROR(SEARCH("\1",D67),0)),".","!")&amp;
   IF(SIGN(IFERROR(SEARCH("\2",$B67),0))=SIGN(IFERROR(SEARCH("\2",D67),0)),".","!")&amp;
   IF(SIGN(IFERROR(SEARCH("\3",$B67),0))=SIGN(IFERROR(SEARCH("\3",D67),0)),".","!")</f>
        <v>...</v>
      </c>
    </row>
    <row r="68" spans="1:6" x14ac:dyDescent="0.25">
      <c r="A68" s="1" t="s">
        <v>731</v>
      </c>
      <c r="B68" s="2" t="s">
        <v>732</v>
      </c>
      <c r="C68" s="2" t="s">
        <v>733</v>
      </c>
      <c r="D68" s="2" t="s">
        <v>733</v>
      </c>
      <c r="E68" s="2" t="str">
        <f>IF(SIGN(IFERROR(SEARCH("\1",$B68),0))=SIGN(IFERROR(SEARCH("\1",C68),0)),".","!")&amp;
   IF(SIGN(IFERROR(SEARCH("\2",$B68),0))=SIGN(IFERROR(SEARCH("\2",C68),0)),".","!")&amp;
   IF(SIGN(IFERROR(SEARCH("\3",$B68),0))=SIGN(IFERROR(SEARCH("\3",C68),0)),".","!")</f>
        <v>...</v>
      </c>
      <c r="F68" s="2" t="str">
        <f>IF(SIGN(IFERROR(SEARCH("\1",$B68),0))=SIGN(IFERROR(SEARCH("\1",D68),0)),".","!")&amp;
   IF(SIGN(IFERROR(SEARCH("\2",$B68),0))=SIGN(IFERROR(SEARCH("\2",D68),0)),".","!")&amp;
   IF(SIGN(IFERROR(SEARCH("\3",$B68),0))=SIGN(IFERROR(SEARCH("\3",D68),0)),".","!")</f>
        <v>...</v>
      </c>
    </row>
    <row r="69" spans="1:6" x14ac:dyDescent="0.25">
      <c r="A69" s="1" t="s">
        <v>2752</v>
      </c>
      <c r="B69" s="2" t="s">
        <v>2753</v>
      </c>
      <c r="C69" s="2" t="s">
        <v>2754</v>
      </c>
      <c r="D69" s="2" t="s">
        <v>2878</v>
      </c>
      <c r="E69" s="1" t="str">
        <f>IF(SIGN(IFERROR(SEARCH("\1",$B69),0))=SIGN(IFERROR(SEARCH("\1",C69),0)),".","!")&amp;
   IF(SIGN(IFERROR(SEARCH("\2",$B69),0))=SIGN(IFERROR(SEARCH("\2",C69),0)),".","!")&amp;
   IF(SIGN(IFERROR(SEARCH("\3",$B69),0))=SIGN(IFERROR(SEARCH("\3",C69),0)),".","!")</f>
        <v>...</v>
      </c>
      <c r="F69" s="2" t="str">
        <f>IF(SIGN(IFERROR(SEARCH("\1",$B69),0))=SIGN(IFERROR(SEARCH("\1",D69),0)),".","!")&amp;
   IF(SIGN(IFERROR(SEARCH("\2",$B69),0))=SIGN(IFERROR(SEARCH("\2",D69),0)),".","!")&amp;
   IF(SIGN(IFERROR(SEARCH("\3",$B69),0))=SIGN(IFERROR(SEARCH("\3",D69),0)),".","!")</f>
        <v>...</v>
      </c>
    </row>
    <row r="70" spans="1:6" x14ac:dyDescent="0.25">
      <c r="A70" s="1" t="s">
        <v>1845</v>
      </c>
      <c r="B70" s="2" t="s">
        <v>1847</v>
      </c>
      <c r="C70" s="2" t="s">
        <v>1846</v>
      </c>
      <c r="D70" s="2" t="s">
        <v>1846</v>
      </c>
      <c r="E70" s="1" t="str">
        <f>IF(SIGN(IFERROR(SEARCH("\1",$B70),0))=SIGN(IFERROR(SEARCH("\1",C70),0)),".","!")&amp;
   IF(SIGN(IFERROR(SEARCH("\2",$B70),0))=SIGN(IFERROR(SEARCH("\2",C70),0)),".","!")&amp;
   IF(SIGN(IFERROR(SEARCH("\3",$B70),0))=SIGN(IFERROR(SEARCH("\3",C70),0)),".","!")</f>
        <v>...</v>
      </c>
      <c r="F70" s="1" t="str">
        <f>IF(SIGN(IFERROR(SEARCH("\1",$B70),0))=SIGN(IFERROR(SEARCH("\1",D70),0)),".","!")&amp;
   IF(SIGN(IFERROR(SEARCH("\2",$B70),0))=SIGN(IFERROR(SEARCH("\2",D70),0)),".","!")&amp;
   IF(SIGN(IFERROR(SEARCH("\3",$B70),0))=SIGN(IFERROR(SEARCH("\3",D70),0)),".","!")</f>
        <v>...</v>
      </c>
    </row>
    <row r="71" spans="1:6" ht="75" x14ac:dyDescent="0.25">
      <c r="A71" s="1" t="s">
        <v>2005</v>
      </c>
      <c r="B71" s="2" t="s">
        <v>2006</v>
      </c>
      <c r="C71" s="2" t="s">
        <v>2007</v>
      </c>
      <c r="D71" s="2" t="s">
        <v>2007</v>
      </c>
      <c r="E71" s="1" t="str">
        <f>IF(SIGN(IFERROR(SEARCH("\1",$B71),0))=SIGN(IFERROR(SEARCH("\1",C71),0)),".","!")&amp;
   IF(SIGN(IFERROR(SEARCH("\2",$B71),0))=SIGN(IFERROR(SEARCH("\2",C71),0)),".","!")&amp;
   IF(SIGN(IFERROR(SEARCH("\3",$B71),0))=SIGN(IFERROR(SEARCH("\3",C71),0)),".","!")</f>
        <v>...</v>
      </c>
      <c r="F71" s="1" t="str">
        <f>IF(SIGN(IFERROR(SEARCH("\1",$B71),0))=SIGN(IFERROR(SEARCH("\1",D71),0)),".","!")&amp;
   IF(SIGN(IFERROR(SEARCH("\2",$B71),0))=SIGN(IFERROR(SEARCH("\2",D71),0)),".","!")&amp;
   IF(SIGN(IFERROR(SEARCH("\3",$B71),0))=SIGN(IFERROR(SEARCH("\3",D71),0)),".","!")</f>
        <v>...</v>
      </c>
    </row>
    <row r="72" spans="1:6" ht="120" x14ac:dyDescent="0.25">
      <c r="A72" s="1" t="s">
        <v>1557</v>
      </c>
      <c r="B72" s="2" t="s">
        <v>1558</v>
      </c>
      <c r="C72" s="2" t="s">
        <v>1559</v>
      </c>
      <c r="D72" s="2" t="s">
        <v>1559</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30" x14ac:dyDescent="0.25">
      <c r="A73" s="1" t="s">
        <v>840</v>
      </c>
      <c r="B73" s="2" t="s">
        <v>838</v>
      </c>
      <c r="C73" s="2" t="s">
        <v>839</v>
      </c>
      <c r="D73" s="2" t="s">
        <v>839</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45" x14ac:dyDescent="0.25">
      <c r="A74" s="1" t="s">
        <v>1773</v>
      </c>
      <c r="B74" s="2" t="s">
        <v>1771</v>
      </c>
      <c r="C74" s="2" t="s">
        <v>1772</v>
      </c>
      <c r="D74" s="2" t="s">
        <v>1772</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x14ac:dyDescent="0.25">
      <c r="A75" s="1" t="s">
        <v>1947</v>
      </c>
      <c r="B75" s="2" t="s">
        <v>114</v>
      </c>
      <c r="C75" s="2" t="s">
        <v>132</v>
      </c>
      <c r="D75" s="2" t="s">
        <v>132</v>
      </c>
      <c r="E75" s="1" t="str">
        <f>IF(SIGN(IFERROR(SEARCH("\1",$B75),0))=SIGN(IFERROR(SEARCH("\1",C75),0)),".","!")&amp;
   IF(SIGN(IFERROR(SEARCH("\2",$B75),0))=SIGN(IFERROR(SEARCH("\2",C75),0)),".","!")&amp;
   IF(SIGN(IFERROR(SEARCH("\3",$B75),0))=SIGN(IFERROR(SEARCH("\3",C75),0)),".","!")</f>
        <v>...</v>
      </c>
      <c r="F75" s="1" t="str">
        <f>IF(SIGN(IFERROR(SEARCH("\1",$B75),0))=SIGN(IFERROR(SEARCH("\1",D75),0)),".","!")&amp;
   IF(SIGN(IFERROR(SEARCH("\2",$B75),0))=SIGN(IFERROR(SEARCH("\2",D75),0)),".","!")&amp;
   IF(SIGN(IFERROR(SEARCH("\3",$B75),0))=SIGN(IFERROR(SEARCH("\3",D75),0)),".","!")</f>
        <v>...</v>
      </c>
    </row>
    <row r="76" spans="1:6" x14ac:dyDescent="0.25">
      <c r="A76" s="1" t="s">
        <v>825</v>
      </c>
      <c r="B76" s="2" t="s">
        <v>824</v>
      </c>
      <c r="C76" s="2" t="s">
        <v>826</v>
      </c>
      <c r="D76" s="2" t="s">
        <v>826</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1329</v>
      </c>
      <c r="B77" s="2" t="s">
        <v>1330</v>
      </c>
      <c r="C77" s="2" t="s">
        <v>1331</v>
      </c>
      <c r="D77" s="2" t="s">
        <v>2694</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ht="30" x14ac:dyDescent="0.25">
      <c r="A78" s="1" t="s">
        <v>1666</v>
      </c>
      <c r="B78" s="2" t="s">
        <v>1667</v>
      </c>
      <c r="C78" s="2" t="s">
        <v>1668</v>
      </c>
      <c r="D78" s="2" t="s">
        <v>2693</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x14ac:dyDescent="0.25">
      <c r="A79" s="1" t="s">
        <v>925</v>
      </c>
      <c r="B79" s="2" t="s">
        <v>924</v>
      </c>
      <c r="C79" s="2" t="s">
        <v>926</v>
      </c>
      <c r="D79" s="2" t="s">
        <v>2633</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45" x14ac:dyDescent="0.25">
      <c r="A80" s="1" t="s">
        <v>801</v>
      </c>
      <c r="B80" s="2" t="s">
        <v>802</v>
      </c>
      <c r="C80" s="2" t="s">
        <v>803</v>
      </c>
      <c r="D80" s="2" t="s">
        <v>803</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ht="30" x14ac:dyDescent="0.25">
      <c r="A81" s="1" t="s">
        <v>1674</v>
      </c>
      <c r="B81" s="2" t="s">
        <v>1675</v>
      </c>
      <c r="C81" s="2" t="s">
        <v>1676</v>
      </c>
      <c r="D81" s="2" t="s">
        <v>1676</v>
      </c>
      <c r="E81" s="1" t="str">
        <f>IF(SIGN(IFERROR(SEARCH("\1",$B81),0))=SIGN(IFERROR(SEARCH("\1",C81),0)),".","!")&amp;
   IF(SIGN(IFERROR(SEARCH("\2",$B81),0))=SIGN(IFERROR(SEARCH("\2",C81),0)),".","!")&amp;
   IF(SIGN(IFERROR(SEARCH("\3",$B81),0))=SIGN(IFERROR(SEARCH("\3",C81),0)),".","!")</f>
        <v>...</v>
      </c>
      <c r="F81" s="1" t="str">
        <f>IF(SIGN(IFERROR(SEARCH("\1",$B81),0))=SIGN(IFERROR(SEARCH("\1",D81),0)),".","!")&amp;
   IF(SIGN(IFERROR(SEARCH("\2",$B81),0))=SIGN(IFERROR(SEARCH("\2",D81),0)),".","!")&amp;
   IF(SIGN(IFERROR(SEARCH("\3",$B81),0))=SIGN(IFERROR(SEARCH("\3",D81),0)),".","!")</f>
        <v>...</v>
      </c>
    </row>
    <row r="82" spans="1:6" x14ac:dyDescent="0.25">
      <c r="A82" s="1" t="s">
        <v>737</v>
      </c>
      <c r="B82" s="2" t="s">
        <v>738</v>
      </c>
      <c r="C82" s="2" t="s">
        <v>739</v>
      </c>
      <c r="D82" s="2" t="s">
        <v>739</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805</v>
      </c>
      <c r="B83" s="2" t="s">
        <v>245</v>
      </c>
      <c r="C83" s="2" t="s">
        <v>391</v>
      </c>
      <c r="D83" s="2" t="s">
        <v>2417</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1122</v>
      </c>
      <c r="B84" s="2" t="s">
        <v>1123</v>
      </c>
      <c r="C84" s="2" t="s">
        <v>1124</v>
      </c>
      <c r="D84" s="2" t="s">
        <v>1124</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x14ac:dyDescent="0.25">
      <c r="A85" s="1" t="s">
        <v>741</v>
      </c>
      <c r="B85" s="2" t="s">
        <v>1309</v>
      </c>
      <c r="C85" s="2" t="s">
        <v>1310</v>
      </c>
      <c r="D85" s="2" t="s">
        <v>2695</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ht="30" x14ac:dyDescent="0.25">
      <c r="A86" s="1" t="s">
        <v>745</v>
      </c>
      <c r="B86" s="2" t="s">
        <v>2814</v>
      </c>
      <c r="C86" s="2" t="s">
        <v>2815</v>
      </c>
      <c r="D86" s="2" t="s">
        <v>2816</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ht="30" x14ac:dyDescent="0.25">
      <c r="A87" s="1" t="s">
        <v>952</v>
      </c>
      <c r="B87" s="2" t="s">
        <v>950</v>
      </c>
      <c r="C87" s="2" t="s">
        <v>951</v>
      </c>
      <c r="D87" s="2" t="s">
        <v>951</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704</v>
      </c>
      <c r="B88" s="2" t="s">
        <v>703</v>
      </c>
      <c r="C88" s="2" t="s">
        <v>706</v>
      </c>
      <c r="D88" s="2" t="s">
        <v>2634</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ht="30" x14ac:dyDescent="0.25">
      <c r="A89" s="1" t="s">
        <v>836</v>
      </c>
      <c r="B89" s="2" t="s">
        <v>835</v>
      </c>
      <c r="C89" s="2" t="s">
        <v>837</v>
      </c>
      <c r="D89" s="2" t="s">
        <v>837</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x14ac:dyDescent="0.25">
      <c r="A90" s="1" t="s">
        <v>873</v>
      </c>
      <c r="B90" s="2" t="s">
        <v>871</v>
      </c>
      <c r="C90" s="2" t="s">
        <v>872</v>
      </c>
      <c r="D90" s="2" t="s">
        <v>2635</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ht="30" x14ac:dyDescent="0.25">
      <c r="A91" s="1" t="s">
        <v>1948</v>
      </c>
      <c r="B91" s="2" t="s">
        <v>1949</v>
      </c>
      <c r="C91" s="2" t="s">
        <v>1950</v>
      </c>
      <c r="D91" s="2" t="s">
        <v>1950</v>
      </c>
      <c r="E91" s="1" t="str">
        <f>IF(SIGN(IFERROR(SEARCH("\1",$B91),0))=SIGN(IFERROR(SEARCH("\1",C91),0)),".","!")&amp;
   IF(SIGN(IFERROR(SEARCH("\2",$B91),0))=SIGN(IFERROR(SEARCH("\2",C91),0)),".","!")&amp;
   IF(SIGN(IFERROR(SEARCH("\3",$B91),0))=SIGN(IFERROR(SEARCH("\3",C91),0)),".","!")</f>
        <v>...</v>
      </c>
      <c r="F91" s="1" t="str">
        <f>IF(SIGN(IFERROR(SEARCH("\1",$B91),0))=SIGN(IFERROR(SEARCH("\1",D91),0)),".","!")&amp;
   IF(SIGN(IFERROR(SEARCH("\2",$B91),0))=SIGN(IFERROR(SEARCH("\2",D91),0)),".","!")&amp;
   IF(SIGN(IFERROR(SEARCH("\3",$B91),0))=SIGN(IFERROR(SEARCH("\3",D91),0)),".","!")</f>
        <v>...</v>
      </c>
    </row>
    <row r="92" spans="1:6" x14ac:dyDescent="0.25">
      <c r="A92" s="1" t="s">
        <v>740</v>
      </c>
      <c r="B92" s="2" t="s">
        <v>1311</v>
      </c>
      <c r="C92" s="2" t="s">
        <v>1312</v>
      </c>
      <c r="D92" s="2" t="s">
        <v>2696</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x14ac:dyDescent="0.25">
      <c r="A93" s="1" t="s">
        <v>1530</v>
      </c>
      <c r="B93" s="2" t="s">
        <v>1408</v>
      </c>
      <c r="C93" s="2" t="s">
        <v>1409</v>
      </c>
      <c r="D93" s="2" t="s">
        <v>2636</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1133</v>
      </c>
      <c r="B94" s="2" t="s">
        <v>1134</v>
      </c>
      <c r="C94" s="2" t="s">
        <v>1135</v>
      </c>
      <c r="D94" s="2" t="s">
        <v>1135</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ht="30" x14ac:dyDescent="0.25">
      <c r="A95" s="1" t="s">
        <v>2013</v>
      </c>
      <c r="B95" s="2" t="s">
        <v>2015</v>
      </c>
      <c r="C95" s="2" t="s">
        <v>2016</v>
      </c>
      <c r="D95" s="2" t="s">
        <v>2016</v>
      </c>
      <c r="E95" s="1" t="str">
        <f>IF(SIGN(IFERROR(SEARCH("\1",$B95),0))=SIGN(IFERROR(SEARCH("\1",C95),0)),".","!")&amp;
   IF(SIGN(IFERROR(SEARCH("\2",$B95),0))=SIGN(IFERROR(SEARCH("\2",C95),0)),".","!")&amp;
   IF(SIGN(IFERROR(SEARCH("\3",$B95),0))=SIGN(IFERROR(SEARCH("\3",C95),0)),".","!")</f>
        <v>...</v>
      </c>
      <c r="F95" s="1" t="str">
        <f>IF(SIGN(IFERROR(SEARCH("\1",$B95),0))=SIGN(IFERROR(SEARCH("\1",D95),0)),".","!")&amp;
   IF(SIGN(IFERROR(SEARCH("\2",$B95),0))=SIGN(IFERROR(SEARCH("\2",D95),0)),".","!")&amp;
   IF(SIGN(IFERROR(SEARCH("\3",$B95),0))=SIGN(IFERROR(SEARCH("\3",D95),0)),".","!")</f>
        <v>...</v>
      </c>
    </row>
    <row r="96" spans="1:6" ht="75" x14ac:dyDescent="0.25">
      <c r="A96" s="1" t="s">
        <v>1962</v>
      </c>
      <c r="B96" s="2" t="s">
        <v>2821</v>
      </c>
      <c r="C96" s="2" t="s">
        <v>2822</v>
      </c>
      <c r="D96" s="2" t="s">
        <v>2822</v>
      </c>
      <c r="E96" s="1" t="str">
        <f>IF(SIGN(IFERROR(SEARCH("\1",$B96),0))=SIGN(IFERROR(SEARCH("\1",C96),0)),".","!")&amp;
   IF(SIGN(IFERROR(SEARCH("\2",$B96),0))=SIGN(IFERROR(SEARCH("\2",C96),0)),".","!")&amp;
   IF(SIGN(IFERROR(SEARCH("\3",$B96),0))=SIGN(IFERROR(SEARCH("\3",C96),0)),".","!")</f>
        <v>...</v>
      </c>
      <c r="F96" s="1" t="str">
        <f>IF(SIGN(IFERROR(SEARCH("\1",$B96),0))=SIGN(IFERROR(SEARCH("\1",D96),0)),".","!")&amp;
   IF(SIGN(IFERROR(SEARCH("\2",$B96),0))=SIGN(IFERROR(SEARCH("\2",D96),0)),".","!")&amp;
   IF(SIGN(IFERROR(SEARCH("\3",$B96),0))=SIGN(IFERROR(SEARCH("\3",D96),0)),".","!")</f>
        <v>...</v>
      </c>
    </row>
    <row r="97" spans="1:6" x14ac:dyDescent="0.25">
      <c r="A97" s="1" t="s">
        <v>1178</v>
      </c>
      <c r="B97" s="2" t="s">
        <v>1179</v>
      </c>
      <c r="C97" s="2" t="s">
        <v>1180</v>
      </c>
      <c r="D97" s="2" t="s">
        <v>2637</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857</v>
      </c>
      <c r="B98" s="2" t="s">
        <v>855</v>
      </c>
      <c r="C98" s="2" t="s">
        <v>856</v>
      </c>
      <c r="D98" s="2" t="s">
        <v>2638</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1306</v>
      </c>
      <c r="B99" s="2" t="s">
        <v>1307</v>
      </c>
      <c r="C99" s="2" t="s">
        <v>1308</v>
      </c>
      <c r="D99" s="2" t="s">
        <v>1308</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ht="30" x14ac:dyDescent="0.25">
      <c r="A100" s="1" t="s">
        <v>827</v>
      </c>
      <c r="B100" s="2" t="s">
        <v>828</v>
      </c>
      <c r="C100" s="2" t="s">
        <v>829</v>
      </c>
      <c r="D100" s="2" t="s">
        <v>829</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744</v>
      </c>
      <c r="B101" s="2" t="s">
        <v>742</v>
      </c>
      <c r="C101" s="2" t="s">
        <v>743</v>
      </c>
      <c r="D101" s="2" t="s">
        <v>743</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x14ac:dyDescent="0.25">
      <c r="A102" s="1" t="s">
        <v>892</v>
      </c>
      <c r="B102" s="2" t="s">
        <v>891</v>
      </c>
      <c r="C102" s="2" t="s">
        <v>893</v>
      </c>
      <c r="D102" s="2" t="s">
        <v>893</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ht="30" x14ac:dyDescent="0.25">
      <c r="A103" s="1" t="s">
        <v>1313</v>
      </c>
      <c r="B103" s="2" t="s">
        <v>1314</v>
      </c>
      <c r="C103" s="2" t="s">
        <v>1315</v>
      </c>
      <c r="D103" s="2" t="s">
        <v>2639</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1574</v>
      </c>
      <c r="B104" s="2" t="s">
        <v>1575</v>
      </c>
      <c r="C104" s="2" t="s">
        <v>1576</v>
      </c>
      <c r="D104" s="2" t="s">
        <v>2640</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1566</v>
      </c>
      <c r="B105" s="2" t="s">
        <v>1567</v>
      </c>
      <c r="C105" s="2" t="s">
        <v>1568</v>
      </c>
      <c r="D105" s="2" t="s">
        <v>1568</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1579</v>
      </c>
      <c r="B106" s="2" t="s">
        <v>1584</v>
      </c>
      <c r="C106" s="2" t="s">
        <v>2751</v>
      </c>
      <c r="D106" s="2" t="s">
        <v>2751</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x14ac:dyDescent="0.25">
      <c r="A107" s="1" t="s">
        <v>1953</v>
      </c>
      <c r="B107" s="2" t="s">
        <v>1955</v>
      </c>
      <c r="C107" s="2" t="s">
        <v>1957</v>
      </c>
      <c r="D107" s="2" t="s">
        <v>2641</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1" t="s">
        <v>1578</v>
      </c>
      <c r="B108" s="2" t="s">
        <v>1582</v>
      </c>
      <c r="C108" s="2" t="s">
        <v>1583</v>
      </c>
      <c r="D108" s="2" t="s">
        <v>1583</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x14ac:dyDescent="0.25">
      <c r="A109" s="1" t="s">
        <v>1563</v>
      </c>
      <c r="B109" s="2" t="s">
        <v>1564</v>
      </c>
      <c r="C109" s="2" t="s">
        <v>1565</v>
      </c>
      <c r="D109" s="2" t="s">
        <v>1565</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1954</v>
      </c>
      <c r="B110" s="2" t="s">
        <v>1956</v>
      </c>
      <c r="C110" s="2" t="s">
        <v>1958</v>
      </c>
      <c r="D110" s="2" t="s">
        <v>2642</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1" t="s">
        <v>1577</v>
      </c>
      <c r="B111" s="2" t="s">
        <v>1580</v>
      </c>
      <c r="C111" s="2" t="s">
        <v>1581</v>
      </c>
      <c r="D111" s="2" t="s">
        <v>2643</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x14ac:dyDescent="0.25">
      <c r="A112" s="1" t="s">
        <v>1560</v>
      </c>
      <c r="B112" s="2" t="s">
        <v>1561</v>
      </c>
      <c r="C112" s="2" t="s">
        <v>1562</v>
      </c>
      <c r="D112" s="2" t="s">
        <v>2644</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x14ac:dyDescent="0.25">
      <c r="A113" s="1" t="s">
        <v>1853</v>
      </c>
      <c r="B113" s="2" t="s">
        <v>1854</v>
      </c>
      <c r="C113" s="2" t="s">
        <v>1855</v>
      </c>
      <c r="D113" s="2" t="s">
        <v>2645</v>
      </c>
      <c r="E113" s="1" t="str">
        <f>IF(SIGN(IFERROR(SEARCH("\1",$B113),0))=SIGN(IFERROR(SEARCH("\1",C113),0)),".","!")&amp;
   IF(SIGN(IFERROR(SEARCH("\2",$B113),0))=SIGN(IFERROR(SEARCH("\2",C113),0)),".","!")&amp;
   IF(SIGN(IFERROR(SEARCH("\3",$B113),0))=SIGN(IFERROR(SEARCH("\3",C113),0)),".","!")</f>
        <v>...</v>
      </c>
      <c r="F113" s="1" t="str">
        <f>IF(SIGN(IFERROR(SEARCH("\1",$B113),0))=SIGN(IFERROR(SEARCH("\1",D113),0)),".","!")&amp;
   IF(SIGN(IFERROR(SEARCH("\2",$B113),0))=SIGN(IFERROR(SEARCH("\2",D113),0)),".","!")&amp;
   IF(SIGN(IFERROR(SEARCH("\3",$B113),0))=SIGN(IFERROR(SEARCH("\3",D113),0)),".","!")</f>
        <v>...</v>
      </c>
    </row>
    <row r="114" spans="1:6" ht="45" x14ac:dyDescent="0.25">
      <c r="A114" s="1" t="s">
        <v>2880</v>
      </c>
      <c r="B114" s="2" t="s">
        <v>858</v>
      </c>
      <c r="C114" s="2" t="s">
        <v>859</v>
      </c>
      <c r="D114" s="2" t="s">
        <v>859</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x14ac:dyDescent="0.25">
      <c r="A115" s="4" t="s">
        <v>134</v>
      </c>
      <c r="B115" s="2" t="s">
        <v>112</v>
      </c>
      <c r="C115" s="2" t="s">
        <v>134</v>
      </c>
      <c r="D115" s="2" t="s">
        <v>2646</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ht="30" x14ac:dyDescent="0.25">
      <c r="A116" s="1" t="s">
        <v>1529</v>
      </c>
      <c r="B116" s="2" t="s">
        <v>752</v>
      </c>
      <c r="C116" s="2" t="s">
        <v>753</v>
      </c>
      <c r="D116" s="2" t="s">
        <v>2647</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x14ac:dyDescent="0.25">
      <c r="A117" s="1" t="s">
        <v>2731</v>
      </c>
      <c r="B117" s="2" t="s">
        <v>2742</v>
      </c>
      <c r="C117" s="2" t="s">
        <v>2743</v>
      </c>
      <c r="D117" s="2" t="s">
        <v>2744</v>
      </c>
      <c r="E117" s="1" t="str">
        <f>IF(SIGN(IFERROR(SEARCH("\1",$B117),0))=SIGN(IFERROR(SEARCH("\1",C117),0)),".","!")&amp;
   IF(SIGN(IFERROR(SEARCH("\2",$B117),0))=SIGN(IFERROR(SEARCH("\2",C117),0)),".","!")&amp;
   IF(SIGN(IFERROR(SEARCH("\3",$B117),0))=SIGN(IFERROR(SEARCH("\3",C117),0)),".","!")</f>
        <v>...</v>
      </c>
      <c r="F117" s="1" t="str">
        <f>IF(SIGN(IFERROR(SEARCH("\1",$B117),0))=SIGN(IFERROR(SEARCH("\1",D117),0)),".","!")&amp;
   IF(SIGN(IFERROR(SEARCH("\2",$B117),0))=SIGN(IFERROR(SEARCH("\2",D117),0)),".","!")&amp;
   IF(SIGN(IFERROR(SEARCH("\3",$B117),0))=SIGN(IFERROR(SEARCH("\3",D117),0)),".","!")</f>
        <v>...</v>
      </c>
    </row>
    <row r="118" spans="1:6" ht="30" x14ac:dyDescent="0.25">
      <c r="A118" s="1" t="s">
        <v>2730</v>
      </c>
      <c r="B118" s="2" t="s">
        <v>2728</v>
      </c>
      <c r="C118" s="2" t="s">
        <v>2729</v>
      </c>
      <c r="D118" s="2" t="s">
        <v>2735</v>
      </c>
      <c r="E118" s="1" t="str">
        <f>IF(SIGN(IFERROR(SEARCH("\1",$B118),0))=SIGN(IFERROR(SEARCH("\1",C118),0)),".","!")&amp;
   IF(SIGN(IFERROR(SEARCH("\2",$B118),0))=SIGN(IFERROR(SEARCH("\2",C118),0)),".","!")&amp;
   IF(SIGN(IFERROR(SEARCH("\3",$B118),0))=SIGN(IFERROR(SEARCH("\3",C118),0)),".","!")</f>
        <v>...</v>
      </c>
      <c r="F118" s="1" t="str">
        <f>IF(SIGN(IFERROR(SEARCH("\1",$B118),0))=SIGN(IFERROR(SEARCH("\1",D118),0)),".","!")&amp;
   IF(SIGN(IFERROR(SEARCH("\2",$B118),0))=SIGN(IFERROR(SEARCH("\2",D118),0)),".","!")&amp;
   IF(SIGN(IFERROR(SEARCH("\3",$B118),0))=SIGN(IFERROR(SEARCH("\3",D118),0)),".","!")</f>
        <v>...</v>
      </c>
    </row>
    <row r="119" spans="1:6" ht="60" x14ac:dyDescent="0.25">
      <c r="A119" s="1" t="s">
        <v>2740</v>
      </c>
      <c r="B119" s="2" t="s">
        <v>2741</v>
      </c>
      <c r="C119" s="2" t="s">
        <v>2745</v>
      </c>
      <c r="D119" s="2" t="s">
        <v>2750</v>
      </c>
      <c r="E119" s="1" t="str">
        <f>IF(SIGN(IFERROR(SEARCH("\1",$B119),0))=SIGN(IFERROR(SEARCH("\1",C119),0)),".","!")&amp;
   IF(SIGN(IFERROR(SEARCH("\2",$B119),0))=SIGN(IFERROR(SEARCH("\2",C119),0)),".","!")&amp;
   IF(SIGN(IFERROR(SEARCH("\3",$B119),0))=SIGN(IFERROR(SEARCH("\3",C119),0)),".","!")</f>
        <v>...</v>
      </c>
      <c r="F119" s="1" t="str">
        <f>IF(SIGN(IFERROR(SEARCH("\1",$B119),0))=SIGN(IFERROR(SEARCH("\1",D119),0)),".","!")&amp;
   IF(SIGN(IFERROR(SEARCH("\2",$B119),0))=SIGN(IFERROR(SEARCH("\2",D119),0)),".","!")&amp;
   IF(SIGN(IFERROR(SEARCH("\3",$B119),0))=SIGN(IFERROR(SEARCH("\3",D119),0)),".","!")</f>
        <v>...</v>
      </c>
    </row>
    <row r="120" spans="1:6" x14ac:dyDescent="0.25">
      <c r="A120" s="1" t="s">
        <v>900</v>
      </c>
      <c r="B120" s="2" t="s">
        <v>899</v>
      </c>
      <c r="C120" s="2" t="s">
        <v>902</v>
      </c>
      <c r="D120" s="2" t="s">
        <v>2648</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45" x14ac:dyDescent="0.25">
      <c r="A121" s="1" t="s">
        <v>1628</v>
      </c>
      <c r="B121" s="2" t="s">
        <v>1637</v>
      </c>
      <c r="C121" s="2" t="s">
        <v>1638</v>
      </c>
      <c r="D121" s="2" t="s">
        <v>2674</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ht="75" x14ac:dyDescent="0.25">
      <c r="A122" s="1" t="s">
        <v>1625</v>
      </c>
      <c r="B122" s="2" t="s">
        <v>1639</v>
      </c>
      <c r="C122" s="2" t="s">
        <v>1640</v>
      </c>
      <c r="D122" s="2" t="s">
        <v>2675</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ht="120" x14ac:dyDescent="0.25">
      <c r="A123" s="1" t="s">
        <v>1626</v>
      </c>
      <c r="B123" s="2" t="s">
        <v>1643</v>
      </c>
      <c r="C123" s="2" t="s">
        <v>1644</v>
      </c>
      <c r="D123" s="2" t="s">
        <v>2676</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30" x14ac:dyDescent="0.25">
      <c r="A124" s="1" t="s">
        <v>940</v>
      </c>
      <c r="B124" s="2" t="s">
        <v>917</v>
      </c>
      <c r="C124" s="2" t="s">
        <v>918</v>
      </c>
      <c r="D124" s="2" t="s">
        <v>918</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ht="90" x14ac:dyDescent="0.25">
      <c r="A125" s="1" t="s">
        <v>1634</v>
      </c>
      <c r="B125" s="2" t="s">
        <v>1630</v>
      </c>
      <c r="C125" s="2" t="s">
        <v>1645</v>
      </c>
      <c r="D125" s="2" t="s">
        <v>1645</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x14ac:dyDescent="0.25">
      <c r="A126" s="1" t="s">
        <v>1633</v>
      </c>
      <c r="B126" s="2" t="s">
        <v>1631</v>
      </c>
      <c r="C126" s="2" t="s">
        <v>1632</v>
      </c>
      <c r="D126" s="2" t="s">
        <v>1632</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ht="30" x14ac:dyDescent="0.25">
      <c r="A127" s="1" t="s">
        <v>913</v>
      </c>
      <c r="B127" s="2" t="s">
        <v>911</v>
      </c>
      <c r="C127" s="2" t="s">
        <v>912</v>
      </c>
      <c r="D127" s="2" t="s">
        <v>912</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ht="60" x14ac:dyDescent="0.25">
      <c r="A128" s="1" t="s">
        <v>920</v>
      </c>
      <c r="B128" s="2" t="s">
        <v>919</v>
      </c>
      <c r="C128" s="2" t="s">
        <v>923</v>
      </c>
      <c r="D128" s="2" t="s">
        <v>923</v>
      </c>
      <c r="E128" s="2" t="str">
        <f>IF(SIGN(IFERROR(SEARCH("\1",$B128),0))=SIGN(IFERROR(SEARCH("\1",C128),0)),".","!")&amp;
   IF(SIGN(IFERROR(SEARCH("\2",$B128),0))=SIGN(IFERROR(SEARCH("\2",C128),0)),".","!")&amp;
   IF(SIGN(IFERROR(SEARCH("\3",$B128),0))=SIGN(IFERROR(SEARCH("\3",C128),0)),".","!")</f>
        <v>...</v>
      </c>
      <c r="F128" s="2" t="str">
        <f>IF(SIGN(IFERROR(SEARCH("\1",$B128),0))=SIGN(IFERROR(SEARCH("\1",D128),0)),".","!")&amp;
   IF(SIGN(IFERROR(SEARCH("\2",$B128),0))=SIGN(IFERROR(SEARCH("\2",D128),0)),".","!")&amp;
   IF(SIGN(IFERROR(SEARCH("\3",$B128),0))=SIGN(IFERROR(SEARCH("\3",D128),0)),".","!")</f>
        <v>...</v>
      </c>
    </row>
    <row r="129" spans="1:6" x14ac:dyDescent="0.25">
      <c r="A129" s="1" t="s">
        <v>901</v>
      </c>
      <c r="B129" s="2" t="s">
        <v>903</v>
      </c>
      <c r="C129" s="2" t="s">
        <v>904</v>
      </c>
      <c r="D129" s="2" t="s">
        <v>2649</v>
      </c>
      <c r="E129" s="2" t="str">
        <f>IF(SIGN(IFERROR(SEARCH("\1",$B129),0))=SIGN(IFERROR(SEARCH("\1",C129),0)),".","!")&amp;
   IF(SIGN(IFERROR(SEARCH("\2",$B129),0))=SIGN(IFERROR(SEARCH("\2",C129),0)),".","!")&amp;
   IF(SIGN(IFERROR(SEARCH("\3",$B129),0))=SIGN(IFERROR(SEARCH("\3",C129),0)),".","!")</f>
        <v>...</v>
      </c>
      <c r="F129" s="2" t="str">
        <f>IF(SIGN(IFERROR(SEARCH("\1",$B129),0))=SIGN(IFERROR(SEARCH("\1",D129),0)),".","!")&amp;
   IF(SIGN(IFERROR(SEARCH("\2",$B129),0))=SIGN(IFERROR(SEARCH("\2",D129),0)),".","!")&amp;
   IF(SIGN(IFERROR(SEARCH("\3",$B129),0))=SIGN(IFERROR(SEARCH("\3",D129),0)),".","!")</f>
        <v>...</v>
      </c>
    </row>
    <row r="130" spans="1:6" x14ac:dyDescent="0.25">
      <c r="A130" s="1" t="s">
        <v>906</v>
      </c>
      <c r="B130" s="2" t="s">
        <v>905</v>
      </c>
      <c r="C130" s="2" t="s">
        <v>907</v>
      </c>
      <c r="D130" s="2" t="s">
        <v>2650</v>
      </c>
      <c r="E130" s="2" t="str">
        <f>IF(SIGN(IFERROR(SEARCH("\1",$B130),0))=SIGN(IFERROR(SEARCH("\1",C130),0)),".","!")&amp;
   IF(SIGN(IFERROR(SEARCH("\2",$B130),0))=SIGN(IFERROR(SEARCH("\2",C130),0)),".","!")&amp;
   IF(SIGN(IFERROR(SEARCH("\3",$B130),0))=SIGN(IFERROR(SEARCH("\3",C130),0)),".","!")</f>
        <v>...</v>
      </c>
      <c r="F130" s="2" t="str">
        <f>IF(SIGN(IFERROR(SEARCH("\1",$B130),0))=SIGN(IFERROR(SEARCH("\1",D130),0)),".","!")&amp;
   IF(SIGN(IFERROR(SEARCH("\2",$B130),0))=SIGN(IFERROR(SEARCH("\2",D130),0)),".","!")&amp;
   IF(SIGN(IFERROR(SEARCH("\3",$B130),0))=SIGN(IFERROR(SEARCH("\3",D130),0)),".","!")</f>
        <v>...</v>
      </c>
    </row>
    <row r="131" spans="1:6" ht="30" x14ac:dyDescent="0.25">
      <c r="A131" s="1" t="s">
        <v>916</v>
      </c>
      <c r="B131" s="2" t="s">
        <v>914</v>
      </c>
      <c r="C131" s="2" t="s">
        <v>915</v>
      </c>
      <c r="D131" s="2" t="s">
        <v>2651</v>
      </c>
      <c r="E131" s="2" t="str">
        <f>IF(SIGN(IFERROR(SEARCH("\1",$B131),0))=SIGN(IFERROR(SEARCH("\1",C131),0)),".","!")&amp;
   IF(SIGN(IFERROR(SEARCH("\2",$B131),0))=SIGN(IFERROR(SEARCH("\2",C131),0)),".","!")&amp;
   IF(SIGN(IFERROR(SEARCH("\3",$B131),0))=SIGN(IFERROR(SEARCH("\3",C131),0)),".","!")</f>
        <v>...</v>
      </c>
      <c r="F131" s="2" t="str">
        <f>IF(SIGN(IFERROR(SEARCH("\1",$B131),0))=SIGN(IFERROR(SEARCH("\1",D131),0)),".","!")&amp;
   IF(SIGN(IFERROR(SEARCH("\2",$B131),0))=SIGN(IFERROR(SEARCH("\2",D131),0)),".","!")&amp;
   IF(SIGN(IFERROR(SEARCH("\3",$B131),0))=SIGN(IFERROR(SEARCH("\3",D131),0)),".","!")</f>
        <v>...</v>
      </c>
    </row>
    <row r="132" spans="1:6" ht="60" x14ac:dyDescent="0.25">
      <c r="A132" s="1" t="s">
        <v>921</v>
      </c>
      <c r="B132" s="2" t="s">
        <v>922</v>
      </c>
      <c r="C132" s="2" t="s">
        <v>997</v>
      </c>
      <c r="D132" s="2" t="s">
        <v>2697</v>
      </c>
      <c r="E132" s="2" t="str">
        <f>IF(SIGN(IFERROR(SEARCH("\1",$B132),0))=SIGN(IFERROR(SEARCH("\1",C132),0)),".","!")&amp;
   IF(SIGN(IFERROR(SEARCH("\2",$B132),0))=SIGN(IFERROR(SEARCH("\2",C132),0)),".","!")&amp;
   IF(SIGN(IFERROR(SEARCH("\3",$B132),0))=SIGN(IFERROR(SEARCH("\3",C132),0)),".","!")</f>
        <v>...</v>
      </c>
      <c r="F132" s="2" t="str">
        <f>IF(SIGN(IFERROR(SEARCH("\1",$B132),0))=SIGN(IFERROR(SEARCH("\1",D132),0)),".","!")&amp;
   IF(SIGN(IFERROR(SEARCH("\2",$B132),0))=SIGN(IFERROR(SEARCH("\2",D132),0)),".","!")&amp;
   IF(SIGN(IFERROR(SEARCH("\3",$B132),0))=SIGN(IFERROR(SEARCH("\3",D132),0)),".","!")</f>
        <v>...</v>
      </c>
    </row>
    <row r="133" spans="1:6" ht="30" x14ac:dyDescent="0.25">
      <c r="A133" s="1" t="s">
        <v>910</v>
      </c>
      <c r="B133" s="2" t="s">
        <v>908</v>
      </c>
      <c r="C133" s="2" t="s">
        <v>909</v>
      </c>
      <c r="D133" s="2" t="s">
        <v>2652</v>
      </c>
      <c r="E133" s="2" t="str">
        <f>IF(SIGN(IFERROR(SEARCH("\1",$B133),0))=SIGN(IFERROR(SEARCH("\1",C133),0)),".","!")&amp;
   IF(SIGN(IFERROR(SEARCH("\2",$B133),0))=SIGN(IFERROR(SEARCH("\2",C133),0)),".","!")&amp;
   IF(SIGN(IFERROR(SEARCH("\3",$B133),0))=SIGN(IFERROR(SEARCH("\3",C133),0)),".","!")</f>
        <v>...</v>
      </c>
      <c r="F133" s="2" t="str">
        <f>IF(SIGN(IFERROR(SEARCH("\1",$B133),0))=SIGN(IFERROR(SEARCH("\1",D133),0)),".","!")&amp;
   IF(SIGN(IFERROR(SEARCH("\2",$B133),0))=SIGN(IFERROR(SEARCH("\2",D133),0)),".","!")&amp;
   IF(SIGN(IFERROR(SEARCH("\3",$B133),0))=SIGN(IFERROR(SEARCH("\3",D133),0)),".","!")</f>
        <v>...</v>
      </c>
    </row>
    <row r="134" spans="1:6" ht="105" x14ac:dyDescent="0.25">
      <c r="A134" s="1" t="s">
        <v>1629</v>
      </c>
      <c r="B134" s="2" t="s">
        <v>1642</v>
      </c>
      <c r="C134" s="2" t="s">
        <v>1641</v>
      </c>
      <c r="D134" s="2" t="s">
        <v>2698</v>
      </c>
      <c r="E134" s="2" t="str">
        <f>IF(SIGN(IFERROR(SEARCH("\1",$B134),0))=SIGN(IFERROR(SEARCH("\1",C134),0)),".","!")&amp;
   IF(SIGN(IFERROR(SEARCH("\2",$B134),0))=SIGN(IFERROR(SEARCH("\2",C134),0)),".","!")&amp;
   IF(SIGN(IFERROR(SEARCH("\3",$B134),0))=SIGN(IFERROR(SEARCH("\3",C134),0)),".","!")</f>
        <v>...</v>
      </c>
      <c r="F134" s="2" t="str">
        <f>IF(SIGN(IFERROR(SEARCH("\1",$B134),0))=SIGN(IFERROR(SEARCH("\1",D134),0)),".","!")&amp;
   IF(SIGN(IFERROR(SEARCH("\2",$B134),0))=SIGN(IFERROR(SEARCH("\2",D134),0)),".","!")&amp;
   IF(SIGN(IFERROR(SEARCH("\3",$B134),0))=SIGN(IFERROR(SEARCH("\3",D134),0)),".","!")</f>
        <v>...</v>
      </c>
    </row>
    <row r="135" spans="1:6" ht="30" x14ac:dyDescent="0.25">
      <c r="A135" s="1" t="s">
        <v>804</v>
      </c>
      <c r="B135" s="2" t="s">
        <v>1120</v>
      </c>
      <c r="C135" s="2" t="s">
        <v>1121</v>
      </c>
      <c r="D135" s="2" t="s">
        <v>2699</v>
      </c>
      <c r="E135" s="2" t="str">
        <f>IF(SIGN(IFERROR(SEARCH("\1",$B135),0))=SIGN(IFERROR(SEARCH("\1",C135),0)),".","!")&amp;
   IF(SIGN(IFERROR(SEARCH("\2",$B135),0))=SIGN(IFERROR(SEARCH("\2",C135),0)),".","!")&amp;
   IF(SIGN(IFERROR(SEARCH("\3",$B135),0))=SIGN(IFERROR(SEARCH("\3",C135),0)),".","!")</f>
        <v>...</v>
      </c>
      <c r="F135" s="2" t="str">
        <f>IF(SIGN(IFERROR(SEARCH("\1",$B135),0))=SIGN(IFERROR(SEARCH("\1",D135),0)),".","!")&amp;
   IF(SIGN(IFERROR(SEARCH("\2",$B135),0))=SIGN(IFERROR(SEARCH("\2",D135),0)),".","!")&amp;
   IF(SIGN(IFERROR(SEARCH("\3",$B135),0))=SIGN(IFERROR(SEARCH("\3",D135),0)),".","!")</f>
        <v>...</v>
      </c>
    </row>
    <row r="136" spans="1:6" ht="45" x14ac:dyDescent="0.25">
      <c r="A136" s="1" t="s">
        <v>882</v>
      </c>
      <c r="B136" s="2" t="s">
        <v>883</v>
      </c>
      <c r="C136" s="2" t="s">
        <v>884</v>
      </c>
      <c r="D136" s="2" t="s">
        <v>2700</v>
      </c>
      <c r="E136" s="2" t="str">
        <f>IF(SIGN(IFERROR(SEARCH("\1",$B136),0))=SIGN(IFERROR(SEARCH("\1",C136),0)),".","!")&amp;
   IF(SIGN(IFERROR(SEARCH("\2",$B136),0))=SIGN(IFERROR(SEARCH("\2",C136),0)),".","!")&amp;
   IF(SIGN(IFERROR(SEARCH("\3",$B136),0))=SIGN(IFERROR(SEARCH("\3",C136),0)),".","!")</f>
        <v>...</v>
      </c>
      <c r="F136" s="2" t="str">
        <f>IF(SIGN(IFERROR(SEARCH("\1",$B136),0))=SIGN(IFERROR(SEARCH("\1",D136),0)),".","!")&amp;
   IF(SIGN(IFERROR(SEARCH("\2",$B136),0))=SIGN(IFERROR(SEARCH("\2",D136),0)),".","!")&amp;
   IF(SIGN(IFERROR(SEARCH("\3",$B136),0))=SIGN(IFERROR(SEARCH("\3",D136),0)),".","!")</f>
        <v>...</v>
      </c>
    </row>
    <row r="137" spans="1:6" x14ac:dyDescent="0.25">
      <c r="A137" s="1" t="s">
        <v>747</v>
      </c>
      <c r="B137" s="2" t="s">
        <v>746</v>
      </c>
      <c r="C137" s="2" t="s">
        <v>748</v>
      </c>
      <c r="D137" s="2" t="s">
        <v>2653</v>
      </c>
      <c r="E137" s="2" t="str">
        <f>IF(SIGN(IFERROR(SEARCH("\1",$B137),0))=SIGN(IFERROR(SEARCH("\1",C137),0)),".","!")&amp;
   IF(SIGN(IFERROR(SEARCH("\2",$B137),0))=SIGN(IFERROR(SEARCH("\2",C137),0)),".","!")&amp;
   IF(SIGN(IFERROR(SEARCH("\3",$B137),0))=SIGN(IFERROR(SEARCH("\3",C137),0)),".","!")</f>
        <v>...</v>
      </c>
      <c r="F137" s="2" t="str">
        <f>IF(SIGN(IFERROR(SEARCH("\1",$B137),0))=SIGN(IFERROR(SEARCH("\1",D137),0)),".","!")&amp;
   IF(SIGN(IFERROR(SEARCH("\2",$B137),0))=SIGN(IFERROR(SEARCH("\2",D137),0)),".","!")&amp;
   IF(SIGN(IFERROR(SEARCH("\3",$B137),0))=SIGN(IFERROR(SEARCH("\3",D137),0)),".","!")</f>
        <v>...</v>
      </c>
    </row>
    <row r="138" spans="1:6" x14ac:dyDescent="0.25">
      <c r="A138" s="1" t="s">
        <v>1651</v>
      </c>
      <c r="B138" s="2" t="s">
        <v>1652</v>
      </c>
      <c r="C138" s="2" t="s">
        <v>1653</v>
      </c>
      <c r="D138" s="2" t="s">
        <v>2677</v>
      </c>
      <c r="E138" s="1" t="str">
        <f>IF(SIGN(IFERROR(SEARCH("\1",$B138),0))=SIGN(IFERROR(SEARCH("\1",C138),0)),".","!")&amp;
   IF(SIGN(IFERROR(SEARCH("\2",$B138),0))=SIGN(IFERROR(SEARCH("\2",C138),0)),".","!")&amp;
   IF(SIGN(IFERROR(SEARCH("\3",$B138),0))=SIGN(IFERROR(SEARCH("\3",C138),0)),".","!")</f>
        <v>...</v>
      </c>
      <c r="F138" s="1" t="str">
        <f>IF(SIGN(IFERROR(SEARCH("\1",$B138),0))=SIGN(IFERROR(SEARCH("\1",D138),0)),".","!")&amp;
   IF(SIGN(IFERROR(SEARCH("\2",$B138),0))=SIGN(IFERROR(SEARCH("\2",D138),0)),".","!")&amp;
   IF(SIGN(IFERROR(SEARCH("\3",$B138),0))=SIGN(IFERROR(SEARCH("\3",D138),0)),".","!")</f>
        <v>...</v>
      </c>
    </row>
  </sheetData>
  <autoFilter ref="A1:F138" xr:uid="{00000000-0009-0000-0000-000006000000}">
    <sortState xmlns:xlrd2="http://schemas.microsoft.com/office/spreadsheetml/2017/richdata2" ref="A2:F138">
      <sortCondition ref="A1:A138"/>
    </sortState>
  </autoFilter>
  <sortState xmlns:xlrd2="http://schemas.microsoft.com/office/spreadsheetml/2017/richdata2" ref="A3:F130">
    <sortCondition ref="A3:A130"/>
  </sortState>
  <conditionalFormatting sqref="D118">
    <cfRule type="duplicateValues" dxfId="0" priority="1"/>
  </conditionalFormatting>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Anleitung-Instructions</vt:lpstr>
      <vt:lpstr>Main</vt:lpstr>
      <vt:lpstr>TextsToTranslate</vt:lpstr>
      <vt:lpstr>Message</vt:lpstr>
      <vt:lpstr>MetaDataGroups</vt:lpstr>
      <vt:lpstr>PanelContent</vt:lpstr>
      <vt:lpstr>Others</vt:lpstr>
      <vt:lpstr>French</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2025-06-23T09:45:04Z</dcterms:modified>
</cp:coreProperties>
</file>