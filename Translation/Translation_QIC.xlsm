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628"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VisualCS\QuickImageComment\Internal\"/>
    </mc:Choice>
  </mc:AlternateContent>
  <xr:revisionPtr revIDLastSave="0" documentId="13_ncr:1_{521509D5-1AD4-44CC-8902-819CA26781A1}" xr6:coauthVersionLast="46" xr6:coauthVersionMax="46"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Message!$A$1:$F$121</definedName>
    <definedName name="_xlnm._FilterDatabase" localSheetId="4" hidden="1">MetaDataGroups!$A$1:$D$1</definedName>
    <definedName name="_xlnm._FilterDatabase" localSheetId="6" hidden="1">Others!$A$1:$F$111</definedName>
    <definedName name="_xlnm._FilterDatabase" localSheetId="5" hidden="1">PanelContent!$A$1:$D$1</definedName>
    <definedName name="_xlnm._FilterDatabase" localSheetId="2" hidden="1">TextsToTranslate!$A$1:$F$480</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E99" i="5" l="1"/>
  <c r="F99" i="5"/>
  <c r="F61" i="2"/>
  <c r="E61" i="2"/>
  <c r="E51" i="2"/>
  <c r="F51" i="2"/>
  <c r="D87" i="1"/>
  <c r="E87" i="1"/>
  <c r="F87" i="1"/>
  <c r="D285" i="1"/>
  <c r="E285" i="1"/>
  <c r="F285" i="1"/>
  <c r="D164" i="1"/>
  <c r="E164" i="1"/>
  <c r="F164" i="1"/>
  <c r="E58" i="2"/>
  <c r="F58" i="2"/>
  <c r="E28" i="2"/>
  <c r="F28" i="2"/>
  <c r="E27" i="2"/>
  <c r="F27" i="2"/>
  <c r="E52" i="2"/>
  <c r="F52" i="2"/>
  <c r="E100" i="5"/>
  <c r="F100" i="5"/>
  <c r="E112" i="2"/>
  <c r="F112" i="2"/>
  <c r="D58" i="1" l="1"/>
  <c r="E58" i="1"/>
  <c r="F58" i="1"/>
  <c r="F398" i="1" l="1"/>
  <c r="E398" i="1"/>
  <c r="D398" i="1"/>
  <c r="F272" i="1"/>
  <c r="E272" i="1"/>
  <c r="D272" i="1"/>
  <c r="F345" i="1"/>
  <c r="E345" i="1"/>
  <c r="D345" i="1"/>
  <c r="F397" i="1"/>
  <c r="E397" i="1"/>
  <c r="D397" i="1"/>
  <c r="F226" i="1"/>
  <c r="E226" i="1"/>
  <c r="D226" i="1"/>
  <c r="E44" i="2" l="1"/>
  <c r="F44" i="2"/>
  <c r="F89" i="2" l="1"/>
  <c r="E89" i="2"/>
  <c r="F111" i="2" l="1"/>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88" i="2"/>
  <c r="E88" i="2"/>
  <c r="F91" i="2"/>
  <c r="E91" i="2"/>
  <c r="F90" i="2"/>
  <c r="E90"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1" i="2"/>
  <c r="E71" i="2"/>
  <c r="F70" i="2"/>
  <c r="E70" i="2"/>
  <c r="F69" i="2"/>
  <c r="E69" i="2"/>
  <c r="F68" i="2"/>
  <c r="E68" i="2"/>
  <c r="F67" i="2"/>
  <c r="E67" i="2"/>
  <c r="F66" i="2"/>
  <c r="E66" i="2"/>
  <c r="F65" i="2"/>
  <c r="E65" i="2"/>
  <c r="F64" i="2"/>
  <c r="E64" i="2"/>
  <c r="F63" i="2"/>
  <c r="E63" i="2"/>
  <c r="F62" i="2"/>
  <c r="E62" i="2"/>
  <c r="F60" i="2"/>
  <c r="E60" i="2"/>
  <c r="F59" i="2"/>
  <c r="E59" i="2"/>
  <c r="F57" i="2"/>
  <c r="E57" i="2"/>
  <c r="F56" i="2"/>
  <c r="E56" i="2"/>
  <c r="F55" i="2"/>
  <c r="E55" i="2"/>
  <c r="F54" i="2"/>
  <c r="E54" i="2"/>
  <c r="F53" i="2"/>
  <c r="E53" i="2"/>
  <c r="F50" i="2"/>
  <c r="E50" i="2"/>
  <c r="F49" i="2"/>
  <c r="E49" i="2"/>
  <c r="F48" i="2"/>
  <c r="E48" i="2"/>
  <c r="F47" i="2"/>
  <c r="E47" i="2"/>
  <c r="F46" i="2"/>
  <c r="E46" i="2"/>
  <c r="F45" i="2"/>
  <c r="E45" i="2"/>
  <c r="F43" i="2"/>
  <c r="E43" i="2"/>
  <c r="F42" i="2"/>
  <c r="E42" i="2"/>
  <c r="F41" i="2"/>
  <c r="E41" i="2"/>
  <c r="F40" i="2"/>
  <c r="E40" i="2"/>
  <c r="F39" i="2"/>
  <c r="E39" i="2"/>
  <c r="F38" i="2"/>
  <c r="E38" i="2"/>
  <c r="F37" i="2"/>
  <c r="E37" i="2"/>
  <c r="F36" i="2"/>
  <c r="E36" i="2"/>
  <c r="F35" i="2"/>
  <c r="E35" i="2"/>
  <c r="F34" i="2"/>
  <c r="E34" i="2"/>
  <c r="F33" i="2"/>
  <c r="E33" i="2"/>
  <c r="F32" i="2"/>
  <c r="E32" i="2"/>
  <c r="F31" i="2"/>
  <c r="E31" i="2"/>
  <c r="F30" i="2"/>
  <c r="E30" i="2"/>
  <c r="F29" i="2"/>
  <c r="E29" i="2"/>
  <c r="F26" i="2"/>
  <c r="E26" i="2"/>
  <c r="F25" i="2"/>
  <c r="E25" i="2"/>
  <c r="F24" i="2"/>
  <c r="E24" i="2"/>
  <c r="F23" i="2"/>
  <c r="E23" i="2"/>
  <c r="F22" i="2"/>
  <c r="E22" i="2"/>
  <c r="F21" i="2"/>
  <c r="E21" i="2"/>
  <c r="F20" i="2"/>
  <c r="E20" i="2"/>
  <c r="F19" i="2"/>
  <c r="E19" i="2"/>
  <c r="F18" i="2"/>
  <c r="E18" i="2"/>
  <c r="F17" i="2"/>
  <c r="E17" i="2"/>
  <c r="F16" i="2"/>
  <c r="E16" i="2"/>
  <c r="F15" i="2"/>
  <c r="E15" i="2"/>
  <c r="F14" i="2"/>
  <c r="E14" i="2"/>
  <c r="F13" i="2"/>
  <c r="E13" i="2"/>
  <c r="F12" i="2"/>
  <c r="E12" i="2"/>
  <c r="F11" i="2"/>
  <c r="E11" i="2"/>
  <c r="F10" i="2"/>
  <c r="E10" i="2"/>
  <c r="F9" i="2"/>
  <c r="E9" i="2"/>
  <c r="F8" i="2"/>
  <c r="E8" i="2"/>
  <c r="F7" i="2"/>
  <c r="E7" i="2"/>
  <c r="F6" i="2"/>
  <c r="E6" i="2"/>
  <c r="F5" i="2"/>
  <c r="E5" i="2"/>
  <c r="F4" i="2"/>
  <c r="E4" i="2"/>
  <c r="F3" i="2"/>
  <c r="E3" i="2"/>
  <c r="E52" i="5" l="1"/>
  <c r="F52" i="5"/>
  <c r="F235" i="1" l="1"/>
  <c r="E235" i="1"/>
  <c r="D235" i="1"/>
  <c r="F46" i="1"/>
  <c r="E46" i="1"/>
  <c r="D46" i="1"/>
  <c r="F182" i="1"/>
  <c r="E182" i="1"/>
  <c r="D182" i="1"/>
  <c r="F230" i="1"/>
  <c r="E230" i="1"/>
  <c r="D230" i="1"/>
  <c r="F306" i="1"/>
  <c r="E306" i="1"/>
  <c r="D306" i="1"/>
  <c r="F419" i="1"/>
  <c r="E419" i="1"/>
  <c r="D419" i="1"/>
  <c r="F361" i="1"/>
  <c r="E361" i="1"/>
  <c r="D361" i="1"/>
  <c r="F71" i="1"/>
  <c r="E71" i="1"/>
  <c r="D71" i="1"/>
  <c r="F163" i="1"/>
  <c r="E163" i="1"/>
  <c r="D163" i="1"/>
  <c r="F362" i="1"/>
  <c r="E362" i="1"/>
  <c r="D362" i="1"/>
  <c r="F291" i="1"/>
  <c r="E291" i="1"/>
  <c r="D291" i="1"/>
  <c r="F292" i="1"/>
  <c r="E292" i="1"/>
  <c r="D292" i="1"/>
  <c r="F390" i="1"/>
  <c r="E390" i="1"/>
  <c r="D390" i="1"/>
  <c r="F314" i="1"/>
  <c r="E314" i="1"/>
  <c r="D314" i="1"/>
  <c r="F9" i="5" l="1"/>
  <c r="E9" i="5"/>
  <c r="F121" i="5" l="1"/>
  <c r="E121" i="5"/>
  <c r="E46" i="5"/>
  <c r="F46" i="5"/>
  <c r="F45" i="5"/>
  <c r="E45" i="5"/>
  <c r="F68" i="5" l="1"/>
  <c r="E68" i="5"/>
  <c r="E96" i="5" l="1"/>
  <c r="F96" i="5"/>
  <c r="E101" i="5" l="1"/>
  <c r="F101" i="5"/>
  <c r="F56" i="5" l="1"/>
  <c r="E56" i="5"/>
  <c r="F111" i="5"/>
  <c r="E111" i="5"/>
  <c r="F325" i="1" l="1"/>
  <c r="E325" i="1"/>
  <c r="D325" i="1"/>
  <c r="F420" i="1"/>
  <c r="E420" i="1"/>
  <c r="D420" i="1"/>
  <c r="F268" i="1"/>
  <c r="E268" i="1"/>
  <c r="D268"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18" i="1"/>
  <c r="F417" i="1"/>
  <c r="F416" i="1"/>
  <c r="F415" i="1"/>
  <c r="F414" i="1"/>
  <c r="F413" i="1"/>
  <c r="F412" i="1"/>
  <c r="F411" i="1"/>
  <c r="F410" i="1"/>
  <c r="F409" i="1"/>
  <c r="F408" i="1"/>
  <c r="F407" i="1"/>
  <c r="F406" i="1"/>
  <c r="F405" i="1"/>
  <c r="F404" i="1"/>
  <c r="F403" i="1"/>
  <c r="F402" i="1"/>
  <c r="F401" i="1"/>
  <c r="F400" i="1"/>
  <c r="F399" i="1"/>
  <c r="F396" i="1"/>
  <c r="F395" i="1"/>
  <c r="F394" i="1"/>
  <c r="F393" i="1"/>
  <c r="F392" i="1"/>
  <c r="F391"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0" i="1"/>
  <c r="F359" i="1"/>
  <c r="F358" i="1"/>
  <c r="F357" i="1"/>
  <c r="F356" i="1"/>
  <c r="F355" i="1"/>
  <c r="F354" i="1"/>
  <c r="F353" i="1"/>
  <c r="F352" i="1"/>
  <c r="F351" i="1"/>
  <c r="F350" i="1"/>
  <c r="F349" i="1"/>
  <c r="F348" i="1"/>
  <c r="F347" i="1"/>
  <c r="F346" i="1"/>
  <c r="F344" i="1"/>
  <c r="F343" i="1"/>
  <c r="F342" i="1"/>
  <c r="F341" i="1"/>
  <c r="F340" i="1"/>
  <c r="F339" i="1"/>
  <c r="F338" i="1"/>
  <c r="F337" i="1"/>
  <c r="F336" i="1"/>
  <c r="F335" i="1"/>
  <c r="F334" i="1"/>
  <c r="F333" i="1"/>
  <c r="F332" i="1"/>
  <c r="F331" i="1"/>
  <c r="F330" i="1"/>
  <c r="F329" i="1"/>
  <c r="F328" i="1"/>
  <c r="F327" i="1"/>
  <c r="F326" i="1"/>
  <c r="F324" i="1"/>
  <c r="F323" i="1"/>
  <c r="F322" i="1"/>
  <c r="F321" i="1"/>
  <c r="F320" i="1"/>
  <c r="F319" i="1"/>
  <c r="F318" i="1"/>
  <c r="F317" i="1"/>
  <c r="F316" i="1"/>
  <c r="F315" i="1"/>
  <c r="F313" i="1"/>
  <c r="F312" i="1"/>
  <c r="F311" i="1"/>
  <c r="F310" i="1"/>
  <c r="F309" i="1"/>
  <c r="F308" i="1"/>
  <c r="F307" i="1"/>
  <c r="F305" i="1"/>
  <c r="F304" i="1"/>
  <c r="F303" i="1"/>
  <c r="F302" i="1"/>
  <c r="F301" i="1"/>
  <c r="F300" i="1"/>
  <c r="F299" i="1"/>
  <c r="F298" i="1"/>
  <c r="F297" i="1"/>
  <c r="F296" i="1"/>
  <c r="F295" i="1"/>
  <c r="F294" i="1"/>
  <c r="F293" i="1"/>
  <c r="F290" i="1"/>
  <c r="F289" i="1"/>
  <c r="F288" i="1"/>
  <c r="F287" i="1"/>
  <c r="F286" i="1"/>
  <c r="F284" i="1"/>
  <c r="F283" i="1"/>
  <c r="F282" i="1"/>
  <c r="F281" i="1"/>
  <c r="F280" i="1"/>
  <c r="F279" i="1"/>
  <c r="F278" i="1"/>
  <c r="F277" i="1"/>
  <c r="F276" i="1"/>
  <c r="F275" i="1"/>
  <c r="F274" i="1"/>
  <c r="F273" i="1"/>
  <c r="F271" i="1"/>
  <c r="F270" i="1"/>
  <c r="F269"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4" i="1"/>
  <c r="F233" i="1"/>
  <c r="F232" i="1"/>
  <c r="F231" i="1"/>
  <c r="F229" i="1"/>
  <c r="F228" i="1"/>
  <c r="F227"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1" i="1"/>
  <c r="F180" i="1"/>
  <c r="F179" i="1"/>
  <c r="F178" i="1"/>
  <c r="F177" i="1"/>
  <c r="F176" i="1"/>
  <c r="F175" i="1"/>
  <c r="F174" i="1"/>
  <c r="F173" i="1"/>
  <c r="F172" i="1"/>
  <c r="F171" i="1"/>
  <c r="F170" i="1"/>
  <c r="F169" i="1"/>
  <c r="F168" i="1"/>
  <c r="F167" i="1"/>
  <c r="F166" i="1"/>
  <c r="F165"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0" i="1"/>
  <c r="F99" i="1"/>
  <c r="F98" i="1"/>
  <c r="F97" i="1"/>
  <c r="F96" i="1"/>
  <c r="F95" i="1"/>
  <c r="F94" i="1"/>
  <c r="F93" i="1"/>
  <c r="F92" i="1"/>
  <c r="F91" i="1"/>
  <c r="F90" i="1"/>
  <c r="F89" i="1"/>
  <c r="F88" i="1"/>
  <c r="F86" i="1"/>
  <c r="F85" i="1"/>
  <c r="F84" i="1"/>
  <c r="F83" i="1"/>
  <c r="F82" i="1"/>
  <c r="F81" i="1"/>
  <c r="F80" i="1"/>
  <c r="F79" i="1"/>
  <c r="F78" i="1"/>
  <c r="F77" i="1"/>
  <c r="F76" i="1"/>
  <c r="F75" i="1"/>
  <c r="F74" i="1"/>
  <c r="F73" i="1"/>
  <c r="F72" i="1"/>
  <c r="F70" i="1"/>
  <c r="F69" i="1"/>
  <c r="F68" i="1"/>
  <c r="F67" i="1"/>
  <c r="F66" i="1"/>
  <c r="F65" i="1"/>
  <c r="F64" i="1"/>
  <c r="F63" i="1"/>
  <c r="F62" i="1"/>
  <c r="F61" i="1"/>
  <c r="F60" i="1"/>
  <c r="F59" i="1"/>
  <c r="F57" i="1"/>
  <c r="F56" i="1"/>
  <c r="F55" i="1"/>
  <c r="F54" i="1"/>
  <c r="F53" i="1"/>
  <c r="F52" i="1"/>
  <c r="F51" i="1"/>
  <c r="F50" i="1"/>
  <c r="F49" i="1"/>
  <c r="F48" i="1"/>
  <c r="F47"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476" i="1" l="1"/>
  <c r="D269" i="1"/>
  <c r="D214" i="1"/>
  <c r="E476" i="1"/>
  <c r="E269" i="1"/>
  <c r="E214" i="1"/>
  <c r="F101" i="1"/>
  <c r="D50" i="1" l="1"/>
  <c r="E50" i="1"/>
  <c r="E7" i="3" l="1"/>
  <c r="E6" i="3"/>
  <c r="E5" i="3"/>
  <c r="E4" i="3"/>
  <c r="E3" i="3"/>
  <c r="C1" i="2"/>
  <c r="E1" i="2" s="1"/>
  <c r="D1" i="2"/>
  <c r="F1" i="2" s="1"/>
  <c r="F2" i="2"/>
  <c r="E2" i="2"/>
  <c r="F123" i="5"/>
  <c r="E123" i="5"/>
  <c r="F122" i="5"/>
  <c r="E122" i="5"/>
  <c r="F120" i="5"/>
  <c r="E120" i="5"/>
  <c r="F119" i="5"/>
  <c r="E119" i="5"/>
  <c r="F118" i="5"/>
  <c r="E118" i="5"/>
  <c r="F117" i="5"/>
  <c r="E117" i="5"/>
  <c r="F116" i="5"/>
  <c r="E116" i="5"/>
  <c r="F115" i="5"/>
  <c r="E115" i="5"/>
  <c r="F114" i="5"/>
  <c r="E114" i="5"/>
  <c r="F113" i="5"/>
  <c r="E113" i="5"/>
  <c r="F112" i="5"/>
  <c r="E112" i="5"/>
  <c r="F110" i="5"/>
  <c r="E110" i="5"/>
  <c r="F109" i="5"/>
  <c r="E109" i="5"/>
  <c r="F108" i="5"/>
  <c r="E108" i="5"/>
  <c r="F107" i="5"/>
  <c r="E107" i="5"/>
  <c r="F106" i="5"/>
  <c r="E106" i="5"/>
  <c r="F105" i="5"/>
  <c r="E105" i="5"/>
  <c r="F104" i="5"/>
  <c r="E104" i="5"/>
  <c r="F103" i="5"/>
  <c r="E103" i="5"/>
  <c r="F102" i="5"/>
  <c r="E102" i="5"/>
  <c r="F98" i="5"/>
  <c r="E98" i="5"/>
  <c r="F95" i="5"/>
  <c r="E95" i="5"/>
  <c r="F94" i="5"/>
  <c r="E94" i="5"/>
  <c r="F93" i="5"/>
  <c r="E93" i="5"/>
  <c r="F92" i="5"/>
  <c r="E92" i="5"/>
  <c r="F91" i="5"/>
  <c r="E91" i="5"/>
  <c r="F90" i="5"/>
  <c r="E90" i="5"/>
  <c r="F89" i="5"/>
  <c r="E89" i="5"/>
  <c r="F88" i="5"/>
  <c r="E88" i="5"/>
  <c r="F87" i="5"/>
  <c r="E87" i="5"/>
  <c r="F86" i="5"/>
  <c r="E86" i="5"/>
  <c r="F85" i="5"/>
  <c r="E85" i="5"/>
  <c r="F84" i="5"/>
  <c r="E84" i="5"/>
  <c r="F83" i="5"/>
  <c r="E83" i="5"/>
  <c r="F82" i="5"/>
  <c r="E82" i="5"/>
  <c r="F81" i="5"/>
  <c r="E81" i="5"/>
  <c r="F80" i="5"/>
  <c r="E80" i="5"/>
  <c r="F79" i="5"/>
  <c r="E79" i="5"/>
  <c r="F78" i="5"/>
  <c r="E78" i="5"/>
  <c r="F77" i="5"/>
  <c r="E77" i="5"/>
  <c r="F76" i="5"/>
  <c r="E76" i="5"/>
  <c r="F75" i="5"/>
  <c r="E75" i="5"/>
  <c r="F74" i="5"/>
  <c r="E74" i="5"/>
  <c r="F73" i="5"/>
  <c r="E73" i="5"/>
  <c r="F72" i="5"/>
  <c r="E72" i="5"/>
  <c r="F71" i="5"/>
  <c r="E71" i="5"/>
  <c r="F70" i="5"/>
  <c r="E70" i="5"/>
  <c r="F69" i="5"/>
  <c r="E69" i="5"/>
  <c r="F67" i="5"/>
  <c r="E67" i="5"/>
  <c r="F66" i="5"/>
  <c r="E66" i="5"/>
  <c r="F65" i="5"/>
  <c r="E65" i="5"/>
  <c r="F64" i="5"/>
  <c r="E64" i="5"/>
  <c r="F63" i="5"/>
  <c r="E63" i="5"/>
  <c r="F62" i="5"/>
  <c r="E62" i="5"/>
  <c r="F61" i="5"/>
  <c r="E61" i="5"/>
  <c r="F60" i="5"/>
  <c r="E60" i="5"/>
  <c r="F59" i="5"/>
  <c r="E59" i="5"/>
  <c r="F58" i="5"/>
  <c r="E58" i="5"/>
  <c r="F57" i="5"/>
  <c r="E57" i="5"/>
  <c r="F55" i="5"/>
  <c r="E55" i="5"/>
  <c r="F54" i="5"/>
  <c r="E54" i="5"/>
  <c r="F53" i="5"/>
  <c r="E53" i="5"/>
  <c r="F51" i="5"/>
  <c r="E51" i="5"/>
  <c r="F50" i="5"/>
  <c r="E50" i="5"/>
  <c r="F49" i="5"/>
  <c r="E49" i="5"/>
  <c r="F48" i="5"/>
  <c r="E48" i="5"/>
  <c r="F47" i="5"/>
  <c r="E47"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489" i="1"/>
  <c r="D489" i="1"/>
  <c r="E488" i="1"/>
  <c r="D488" i="1"/>
  <c r="E487" i="1"/>
  <c r="D487" i="1"/>
  <c r="E486" i="1"/>
  <c r="D486" i="1"/>
  <c r="E485" i="1"/>
  <c r="D485" i="1"/>
  <c r="E484" i="1"/>
  <c r="D484" i="1"/>
  <c r="E483" i="1"/>
  <c r="D483" i="1"/>
  <c r="E482" i="1"/>
  <c r="D482" i="1"/>
  <c r="E481" i="1"/>
  <c r="D481" i="1"/>
  <c r="E480" i="1"/>
  <c r="D480" i="1"/>
  <c r="E479" i="1"/>
  <c r="D479" i="1"/>
  <c r="E478" i="1"/>
  <c r="D478" i="1"/>
  <c r="E477" i="1"/>
  <c r="D477"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2" i="1"/>
  <c r="D462"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8" i="1"/>
  <c r="D438" i="1"/>
  <c r="E437" i="1"/>
  <c r="D437" i="1"/>
  <c r="E436" i="1"/>
  <c r="D436" i="1"/>
  <c r="E435" i="1"/>
  <c r="D435" i="1"/>
  <c r="E434" i="1"/>
  <c r="D434" i="1"/>
  <c r="E433" i="1"/>
  <c r="D433" i="1"/>
  <c r="E432" i="1"/>
  <c r="D432" i="1"/>
  <c r="E431" i="1"/>
  <c r="D431" i="1"/>
  <c r="E430" i="1"/>
  <c r="D430" i="1"/>
  <c r="E429" i="1"/>
  <c r="D429" i="1"/>
  <c r="E428" i="1"/>
  <c r="D428" i="1"/>
  <c r="E427" i="1"/>
  <c r="D427" i="1"/>
  <c r="E426" i="1"/>
  <c r="D426" i="1"/>
  <c r="E425" i="1"/>
  <c r="D425" i="1"/>
  <c r="E424" i="1"/>
  <c r="D424" i="1"/>
  <c r="E423" i="1"/>
  <c r="D423" i="1"/>
  <c r="E422" i="1"/>
  <c r="D422" i="1"/>
  <c r="E421" i="1"/>
  <c r="D421" i="1"/>
  <c r="E418" i="1"/>
  <c r="D418" i="1"/>
  <c r="E417" i="1"/>
  <c r="D417" i="1"/>
  <c r="E416" i="1"/>
  <c r="D416" i="1"/>
  <c r="E415" i="1"/>
  <c r="D415" i="1"/>
  <c r="E414" i="1"/>
  <c r="D414" i="1"/>
  <c r="E413" i="1"/>
  <c r="D413" i="1"/>
  <c r="E412" i="1"/>
  <c r="D412" i="1"/>
  <c r="E411" i="1"/>
  <c r="D411" i="1"/>
  <c r="E410" i="1"/>
  <c r="D410" i="1"/>
  <c r="E409" i="1"/>
  <c r="D409" i="1"/>
  <c r="E408" i="1"/>
  <c r="D408" i="1"/>
  <c r="E407" i="1"/>
  <c r="D407" i="1"/>
  <c r="E406" i="1"/>
  <c r="D406" i="1"/>
  <c r="E405" i="1"/>
  <c r="D405" i="1"/>
  <c r="E404" i="1"/>
  <c r="D404" i="1"/>
  <c r="E403" i="1"/>
  <c r="D403" i="1"/>
  <c r="E402" i="1"/>
  <c r="D402" i="1"/>
  <c r="E401" i="1"/>
  <c r="D401" i="1"/>
  <c r="E400" i="1"/>
  <c r="D400" i="1"/>
  <c r="E399" i="1"/>
  <c r="D399" i="1"/>
  <c r="E396" i="1"/>
  <c r="D396" i="1"/>
  <c r="E395" i="1"/>
  <c r="D395" i="1"/>
  <c r="E394" i="1"/>
  <c r="D394" i="1"/>
  <c r="E393" i="1"/>
  <c r="D393" i="1"/>
  <c r="E392" i="1"/>
  <c r="D392" i="1"/>
  <c r="E391" i="1"/>
  <c r="D391" i="1"/>
  <c r="E389" i="1"/>
  <c r="D389" i="1"/>
  <c r="E388" i="1"/>
  <c r="D388" i="1"/>
  <c r="E387" i="1"/>
  <c r="D387" i="1"/>
  <c r="E386" i="1"/>
  <c r="D386" i="1"/>
  <c r="E385" i="1"/>
  <c r="D385" i="1"/>
  <c r="E384" i="1"/>
  <c r="D384" i="1"/>
  <c r="E383" i="1"/>
  <c r="D383" i="1"/>
  <c r="E382" i="1"/>
  <c r="D382" i="1"/>
  <c r="E381" i="1"/>
  <c r="D381" i="1"/>
  <c r="E380" i="1"/>
  <c r="D380" i="1"/>
  <c r="E379" i="1"/>
  <c r="D379" i="1"/>
  <c r="E378" i="1"/>
  <c r="D378" i="1"/>
  <c r="E377" i="1"/>
  <c r="D377" i="1"/>
  <c r="E376" i="1"/>
  <c r="D376" i="1"/>
  <c r="E375" i="1"/>
  <c r="D375" i="1"/>
  <c r="E374" i="1"/>
  <c r="D374" i="1"/>
  <c r="E373" i="1"/>
  <c r="D373" i="1"/>
  <c r="E372" i="1"/>
  <c r="D372" i="1"/>
  <c r="E371" i="1"/>
  <c r="D371" i="1"/>
  <c r="E370" i="1"/>
  <c r="D370" i="1"/>
  <c r="E369" i="1"/>
  <c r="D369" i="1"/>
  <c r="E368" i="1"/>
  <c r="D368" i="1"/>
  <c r="E367" i="1"/>
  <c r="D367" i="1"/>
  <c r="E366" i="1"/>
  <c r="D366" i="1"/>
  <c r="E365" i="1"/>
  <c r="D365" i="1"/>
  <c r="E364" i="1"/>
  <c r="D364" i="1"/>
  <c r="E363" i="1"/>
  <c r="D363" i="1"/>
  <c r="E360" i="1"/>
  <c r="D360" i="1"/>
  <c r="E359" i="1"/>
  <c r="D359"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4" i="1"/>
  <c r="D344" i="1"/>
  <c r="E343" i="1"/>
  <c r="D343" i="1"/>
  <c r="E342" i="1"/>
  <c r="D342" i="1"/>
  <c r="E341" i="1"/>
  <c r="D341" i="1"/>
  <c r="E340" i="1"/>
  <c r="D340" i="1"/>
  <c r="E339" i="1"/>
  <c r="D339" i="1"/>
  <c r="E338" i="1"/>
  <c r="D338" i="1"/>
  <c r="E337" i="1"/>
  <c r="D337" i="1"/>
  <c r="E336" i="1"/>
  <c r="D336" i="1"/>
  <c r="E335" i="1"/>
  <c r="D335" i="1"/>
  <c r="E334" i="1"/>
  <c r="D334" i="1"/>
  <c r="E333" i="1"/>
  <c r="D333" i="1"/>
  <c r="E332" i="1"/>
  <c r="D332" i="1"/>
  <c r="E331" i="1"/>
  <c r="D331" i="1"/>
  <c r="E330" i="1"/>
  <c r="D330" i="1"/>
  <c r="E329" i="1"/>
  <c r="D329" i="1"/>
  <c r="E328" i="1"/>
  <c r="D328" i="1"/>
  <c r="E327" i="1"/>
  <c r="D327" i="1"/>
  <c r="E326" i="1"/>
  <c r="D326" i="1"/>
  <c r="E324" i="1"/>
  <c r="D324" i="1"/>
  <c r="E323" i="1"/>
  <c r="D323" i="1"/>
  <c r="E322" i="1"/>
  <c r="D322" i="1"/>
  <c r="E321" i="1"/>
  <c r="D321" i="1"/>
  <c r="E320" i="1"/>
  <c r="D320" i="1"/>
  <c r="E319" i="1"/>
  <c r="D319" i="1"/>
  <c r="E318" i="1"/>
  <c r="D318" i="1"/>
  <c r="E317" i="1"/>
  <c r="D317" i="1"/>
  <c r="E316" i="1"/>
  <c r="D316" i="1"/>
  <c r="E315" i="1"/>
  <c r="D315" i="1"/>
  <c r="E313" i="1"/>
  <c r="D313" i="1"/>
  <c r="E312" i="1"/>
  <c r="D312" i="1"/>
  <c r="E311" i="1"/>
  <c r="D311" i="1"/>
  <c r="E310" i="1"/>
  <c r="D310" i="1"/>
  <c r="E309" i="1"/>
  <c r="D309" i="1"/>
  <c r="E308" i="1"/>
  <c r="D308" i="1"/>
  <c r="E307" i="1"/>
  <c r="D307" i="1"/>
  <c r="E305" i="1"/>
  <c r="D305" i="1"/>
  <c r="E304" i="1"/>
  <c r="D304" i="1"/>
  <c r="E303" i="1"/>
  <c r="D303" i="1"/>
  <c r="E302" i="1"/>
  <c r="D302" i="1"/>
  <c r="E301" i="1"/>
  <c r="D301" i="1"/>
  <c r="E300" i="1"/>
  <c r="D300" i="1"/>
  <c r="E299" i="1"/>
  <c r="D299" i="1"/>
  <c r="E298" i="1"/>
  <c r="D298" i="1"/>
  <c r="E297" i="1"/>
  <c r="D297" i="1"/>
  <c r="E296" i="1"/>
  <c r="D296" i="1"/>
  <c r="E295" i="1"/>
  <c r="D295" i="1"/>
  <c r="E294" i="1"/>
  <c r="D294" i="1"/>
  <c r="E293" i="1"/>
  <c r="D293" i="1"/>
  <c r="E290" i="1"/>
  <c r="D290" i="1"/>
  <c r="E289" i="1"/>
  <c r="D289" i="1"/>
  <c r="E288" i="1"/>
  <c r="D288" i="1"/>
  <c r="E287" i="1"/>
  <c r="D287" i="1"/>
  <c r="E286" i="1"/>
  <c r="D286" i="1"/>
  <c r="E284" i="1"/>
  <c r="D284" i="1"/>
  <c r="E283" i="1"/>
  <c r="D283" i="1"/>
  <c r="E282" i="1"/>
  <c r="D282" i="1"/>
  <c r="E281" i="1"/>
  <c r="D281" i="1"/>
  <c r="E280" i="1"/>
  <c r="D280" i="1"/>
  <c r="E279" i="1"/>
  <c r="D279" i="1"/>
  <c r="E278" i="1"/>
  <c r="D278" i="1"/>
  <c r="E277" i="1"/>
  <c r="D277" i="1"/>
  <c r="E276" i="1"/>
  <c r="D276" i="1"/>
  <c r="E275" i="1"/>
  <c r="D275" i="1"/>
  <c r="E274" i="1"/>
  <c r="D274" i="1"/>
  <c r="E273" i="1"/>
  <c r="D273" i="1"/>
  <c r="E271" i="1"/>
  <c r="D271" i="1"/>
  <c r="E270" i="1"/>
  <c r="D270" i="1"/>
  <c r="E267" i="1"/>
  <c r="D267" i="1"/>
  <c r="E266" i="1"/>
  <c r="D266" i="1"/>
  <c r="E265" i="1"/>
  <c r="D265" i="1"/>
  <c r="E264" i="1"/>
  <c r="D264" i="1"/>
  <c r="E263" i="1"/>
  <c r="D263" i="1"/>
  <c r="E262" i="1"/>
  <c r="D262" i="1"/>
  <c r="E261" i="1"/>
  <c r="D261" i="1"/>
  <c r="E260" i="1"/>
  <c r="D260" i="1"/>
  <c r="E259" i="1"/>
  <c r="D259" i="1"/>
  <c r="E258" i="1"/>
  <c r="D258" i="1"/>
  <c r="E257" i="1"/>
  <c r="D257" i="1"/>
  <c r="E256" i="1"/>
  <c r="D256" i="1"/>
  <c r="E255" i="1"/>
  <c r="D255" i="1"/>
  <c r="E254" i="1"/>
  <c r="D254" i="1"/>
  <c r="E253" i="1"/>
  <c r="D253" i="1"/>
  <c r="E252" i="1"/>
  <c r="D252" i="1"/>
  <c r="E251" i="1"/>
  <c r="D251" i="1"/>
  <c r="E250" i="1"/>
  <c r="D250" i="1"/>
  <c r="E249" i="1"/>
  <c r="D249" i="1"/>
  <c r="E248" i="1"/>
  <c r="D248" i="1"/>
  <c r="E247" i="1"/>
  <c r="D247" i="1"/>
  <c r="E246" i="1"/>
  <c r="D246" i="1"/>
  <c r="E245" i="1"/>
  <c r="D245" i="1"/>
  <c r="E244" i="1"/>
  <c r="D244" i="1"/>
  <c r="E243" i="1"/>
  <c r="D243" i="1"/>
  <c r="E242" i="1"/>
  <c r="D242" i="1"/>
  <c r="E241" i="1"/>
  <c r="D241" i="1"/>
  <c r="E240" i="1"/>
  <c r="D240" i="1"/>
  <c r="E239" i="1"/>
  <c r="D239" i="1"/>
  <c r="E238" i="1"/>
  <c r="D238" i="1"/>
  <c r="E237" i="1"/>
  <c r="D237" i="1"/>
  <c r="E236" i="1"/>
  <c r="D236" i="1"/>
  <c r="E234" i="1"/>
  <c r="D234" i="1"/>
  <c r="E233" i="1"/>
  <c r="D233" i="1"/>
  <c r="E232" i="1"/>
  <c r="D232" i="1"/>
  <c r="E231" i="1"/>
  <c r="D231" i="1"/>
  <c r="E229" i="1"/>
  <c r="D229" i="1"/>
  <c r="E228" i="1"/>
  <c r="D228" i="1"/>
  <c r="E227" i="1"/>
  <c r="D227" i="1"/>
  <c r="E225" i="1"/>
  <c r="D225" i="1"/>
  <c r="E224" i="1"/>
  <c r="D224" i="1"/>
  <c r="E223" i="1"/>
  <c r="D223" i="1"/>
  <c r="E222" i="1"/>
  <c r="D222" i="1"/>
  <c r="E221" i="1"/>
  <c r="D221" i="1"/>
  <c r="E220" i="1"/>
  <c r="D220" i="1"/>
  <c r="E219" i="1"/>
  <c r="D219" i="1"/>
  <c r="E218" i="1"/>
  <c r="D218" i="1"/>
  <c r="E217" i="1"/>
  <c r="D217" i="1"/>
  <c r="E216" i="1"/>
  <c r="D216" i="1"/>
  <c r="E215" i="1"/>
  <c r="D215"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1" i="1"/>
  <c r="D191" i="1"/>
  <c r="E190" i="1"/>
  <c r="D190" i="1"/>
  <c r="E189" i="1"/>
  <c r="D189" i="1"/>
  <c r="E188" i="1"/>
  <c r="D188" i="1"/>
  <c r="E187" i="1"/>
  <c r="D187" i="1"/>
  <c r="E186" i="1"/>
  <c r="D186" i="1"/>
  <c r="E185" i="1"/>
  <c r="D185" i="1"/>
  <c r="E184" i="1"/>
  <c r="D184" i="1"/>
  <c r="E183" i="1"/>
  <c r="D183" i="1"/>
  <c r="E181" i="1"/>
  <c r="D181" i="1"/>
  <c r="E180" i="1"/>
  <c r="D180" i="1"/>
  <c r="E179" i="1"/>
  <c r="D179" i="1"/>
  <c r="E178" i="1"/>
  <c r="D178" i="1"/>
  <c r="E177" i="1"/>
  <c r="D177" i="1"/>
  <c r="E176" i="1"/>
  <c r="D176" i="1"/>
  <c r="E175" i="1"/>
  <c r="D175" i="1"/>
  <c r="E174" i="1"/>
  <c r="D174" i="1"/>
  <c r="E173" i="1"/>
  <c r="D173" i="1"/>
  <c r="E172" i="1"/>
  <c r="D172" i="1"/>
  <c r="E171" i="1"/>
  <c r="D171" i="1"/>
  <c r="E170" i="1"/>
  <c r="D170" i="1"/>
  <c r="E169" i="1"/>
  <c r="D169" i="1"/>
  <c r="E168" i="1"/>
  <c r="D168" i="1"/>
  <c r="E167" i="1"/>
  <c r="D167" i="1"/>
  <c r="E166" i="1"/>
  <c r="D166" i="1"/>
  <c r="E165" i="1"/>
  <c r="D165"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9" i="1"/>
  <c r="D109" i="1"/>
  <c r="E108" i="1"/>
  <c r="D108" i="1"/>
  <c r="E107" i="1"/>
  <c r="D107" i="1"/>
  <c r="E106" i="1"/>
  <c r="D106" i="1"/>
  <c r="E105" i="1"/>
  <c r="D105" i="1"/>
  <c r="E104" i="1"/>
  <c r="D104" i="1"/>
  <c r="E103" i="1"/>
  <c r="D103" i="1"/>
  <c r="E102" i="1"/>
  <c r="D102" i="1"/>
  <c r="E100" i="1"/>
  <c r="D100" i="1"/>
  <c r="E99" i="1"/>
  <c r="D99" i="1"/>
  <c r="E98" i="1"/>
  <c r="D98" i="1"/>
  <c r="E97" i="1"/>
  <c r="D97" i="1"/>
  <c r="E96" i="1"/>
  <c r="D96" i="1"/>
  <c r="E95" i="1"/>
  <c r="D95" i="1"/>
  <c r="E94" i="1"/>
  <c r="D94" i="1"/>
  <c r="E93" i="1"/>
  <c r="D93" i="1"/>
  <c r="E92" i="1"/>
  <c r="D92" i="1"/>
  <c r="E91" i="1"/>
  <c r="D91" i="1"/>
  <c r="E90" i="1"/>
  <c r="D90" i="1"/>
  <c r="E89" i="1"/>
  <c r="D89" i="1"/>
  <c r="E88" i="1"/>
  <c r="D88" i="1"/>
  <c r="E86" i="1"/>
  <c r="D86" i="1"/>
  <c r="E85" i="1"/>
  <c r="D85" i="1"/>
  <c r="E84" i="1"/>
  <c r="D84" i="1"/>
  <c r="E83" i="1"/>
  <c r="D83" i="1"/>
  <c r="E82" i="1"/>
  <c r="D82" i="1"/>
  <c r="E81" i="1"/>
  <c r="D81" i="1"/>
  <c r="E80" i="1"/>
  <c r="D80" i="1"/>
  <c r="E79" i="1"/>
  <c r="D79" i="1"/>
  <c r="E78" i="1"/>
  <c r="D78" i="1"/>
  <c r="E77" i="1"/>
  <c r="D77" i="1"/>
  <c r="E76" i="1"/>
  <c r="D76" i="1"/>
  <c r="E75" i="1"/>
  <c r="D75" i="1"/>
  <c r="E74" i="1"/>
  <c r="D74" i="1"/>
  <c r="E73" i="1"/>
  <c r="D73" i="1"/>
  <c r="E72" i="1"/>
  <c r="D72" i="1"/>
  <c r="E70" i="1"/>
  <c r="D70" i="1"/>
  <c r="E69" i="1"/>
  <c r="D69" i="1"/>
  <c r="E68" i="1"/>
  <c r="D68" i="1"/>
  <c r="E67" i="1"/>
  <c r="D67" i="1"/>
  <c r="E66" i="1"/>
  <c r="D66" i="1"/>
  <c r="E65" i="1"/>
  <c r="D65" i="1"/>
  <c r="E64" i="1"/>
  <c r="D64" i="1"/>
  <c r="E63" i="1"/>
  <c r="D63" i="1"/>
  <c r="E62" i="1"/>
  <c r="D62" i="1"/>
  <c r="E61" i="1"/>
  <c r="D61" i="1"/>
  <c r="E60" i="1"/>
  <c r="D60" i="1"/>
  <c r="E59" i="1"/>
  <c r="D59" i="1"/>
  <c r="E57" i="1"/>
  <c r="D57" i="1"/>
  <c r="E56" i="1"/>
  <c r="D56" i="1"/>
  <c r="E55" i="1"/>
  <c r="D55" i="1"/>
  <c r="E54" i="1"/>
  <c r="D54" i="1"/>
  <c r="E53" i="1"/>
  <c r="D53" i="1"/>
  <c r="E52" i="1"/>
  <c r="D52" i="1"/>
  <c r="E51" i="1"/>
  <c r="D51" i="1"/>
  <c r="E49" i="1"/>
  <c r="D49" i="1"/>
  <c r="E48" i="1"/>
  <c r="D48" i="1"/>
  <c r="E47" i="1"/>
  <c r="D47"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01" i="1"/>
  <c r="D101"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02" authorId="0" shapeId="0" xr:uid="{00000000-0006-0000-0200-000001000000}">
      <text>
        <r>
          <rPr>
            <b/>
            <sz val="9"/>
            <color indexed="81"/>
            <rFont val="Tahoma"/>
            <family val="2"/>
          </rPr>
          <t>Abkürzung für Blau</t>
        </r>
      </text>
    </comment>
    <comment ref="B102" authorId="0" shapeId="0" xr:uid="{00000000-0006-0000-0200-000002000000}">
      <text>
        <r>
          <rPr>
            <b/>
            <sz val="9"/>
            <color indexed="81"/>
            <rFont val="Tahoma"/>
            <family val="2"/>
          </rPr>
          <t>Abreviation for Blue</t>
        </r>
      </text>
    </comment>
    <comment ref="A240" authorId="0" shapeId="0" xr:uid="{00000000-0006-0000-0200-000003000000}">
      <text>
        <r>
          <rPr>
            <b/>
            <sz val="9"/>
            <color indexed="81"/>
            <rFont val="Tahoma"/>
            <family val="2"/>
          </rPr>
          <t>Abkürzung für Grün</t>
        </r>
      </text>
    </comment>
    <comment ref="B240" authorId="0" shapeId="0" xr:uid="{00000000-0006-0000-0200-000004000000}">
      <text>
        <r>
          <rPr>
            <b/>
            <sz val="9"/>
            <color indexed="81"/>
            <rFont val="Tahoma"/>
            <family val="2"/>
          </rPr>
          <t>Abreviation for Green</t>
        </r>
      </text>
    </comment>
    <comment ref="A376" authorId="0" shapeId="0" xr:uid="{00000000-0006-0000-0200-000005000000}">
      <text>
        <r>
          <rPr>
            <sz val="9"/>
            <color indexed="81"/>
            <rFont val="Tahoma"/>
            <charset val="1"/>
          </rPr>
          <t>Abkürzung für Rot</t>
        </r>
      </text>
    </comment>
    <comment ref="B376"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<sst xmlns="http://schemas.openxmlformats.org/spreadsheetml/2006/main" count="1849" uniqueCount="1758">
  <si>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</si>
  <si>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</si>
  <si>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</si>
  <si>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</si>
  <si>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</si>
  <si>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</si>
  <si>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</si>
  <si>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</si>
  <si>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</si>
  <si>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</si>
  <si>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</si>
  <si>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</si>
  <si>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</si>
  <si>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</si>
  <si>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</si>
  <si>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</si>
  <si>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</si>
  <si>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</si>
  <si>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</si>
  <si>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</si>
  <si>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</si>
  <si>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</si>
  <si>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</si>
  <si>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</si>
  <si>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</si>
  <si>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</si>
  <si>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</si>
  <si>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</si>
  <si>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</si>
  <si>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</si>
  <si>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</si>
  <si>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</si>
  <si>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</si>
  <si>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</si>
  <si>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</si>
  <si>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</si>
  <si>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</si>
  <si>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</si>
  <si>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</si>
  <si>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</si>
  <si>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</si>
  <si>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</si>
  <si>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</si>
  <si>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</si>
  <si>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</si>
  <si>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</si>
  <si>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</si>
  <si>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</si>
  <si>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</si>
  <si>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</si>
  <si>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</si>
  <si>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</si>
  <si>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</si>
  <si>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</si>
  <si>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</si>
  <si>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</si>
  <si>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</si>
  <si>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</si>
  <si>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</si>
  <si>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</si>
  <si>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</si>
  <si>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</si>
  <si>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</si>
  <si>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</si>
  <si>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</si>
  <si>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</si>
  <si>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</si>
  <si>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</si>
  <si>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</si>
  <si>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</si>
  <si>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</si>
  <si>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</si>
  <si>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</si>
  <si>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</si>
  <si>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</si>
  <si>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</si>
  <si>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</si>
  <si>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</si>
  <si>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</si>
  <si>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</si>
  <si>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</si>
  <si>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</si>
  <si>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</si>
  <si>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</si>
  <si>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</si>
  <si>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</si>
  <si>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</si>
  <si>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</si>
  <si>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</si>
  <si>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</si>
  <si>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</si>
  <si>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</si>
  <si>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</si>
  <si>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Tutorials</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</si>
  <si>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</si>
  <si>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</si>
  <si>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</si>
  <si>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</si>
  <si>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</si>
  <si>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</si>
  <si>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</si>
  <si>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</si>
  <si>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</si>
  <si>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</si>
  <si>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</si>
  <si>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</si>
  <si>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</si>
  <si>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</si>
  <si>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</si>
  <si>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</si>
  <si>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</si>
  <si>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</si>
  <si>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</si>
  <si>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</si>
  <si>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</si>
  <si>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</si>
  <si>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</si>
  <si>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</si>
  <si>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</si>
  <si>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</si>
  <si>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</si>
  <si>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</si>
  <si>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</si>
  <si>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</si>
  <si>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</si>
  <si>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</si>
  <si>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</si>
  <si>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</si>
  <si>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</si>
  <si>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</si>
  <si>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</si>
  <si>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</si>
  <si>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</si>
  <si>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</si>
  <si>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</si>
  <si>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</si>
  <si>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</si>
  <si>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</si>
  <si>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</si>
  <si>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</si>
  <si>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</si>
  <si>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</si>
  <si>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</si>
  <si>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</si>
  <si>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</si>
  <si>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</si>
  <si>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</si>
  <si>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</si>
  <si>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</si>
  <si>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</si>
  <si>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</si>
  <si>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</si>
  <si>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</si>
  <si>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</si>
  <si>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</si>
  <si>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</si>
  <si>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</si>
  <si>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</si>
  <si>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</si>
  <si>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</si>
  <si>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</si>
  <si>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</si>
  <si>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</si>
  <si>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</si>
  <si>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</si>
  <si>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</si>
  <si>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</si>
  <si>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</si>
  <si>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</si>
  <si>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</si>
  <si>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</si>
  <si>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</si>
  <si>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</si>
  <si>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</si>
  <si>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</si>
  <si>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</si>
  <si>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</si>
  <si>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</si>
  <si>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</si>
  <si>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</si>
  <si>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</si>
  <si>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</si>
  <si>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</si>
  <si>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</si>
  <si>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</si>
  <si>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</si>
  <si>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</si>
  <si>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</si>
  <si>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</si>
  <si>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</si>
  <si>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</si>
  <si>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</si>
  <si>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</si>
  <si>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</si>
  <si>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</si>
  <si>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</si>
  <si>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</si>
  <si>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</si>
  <si>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</si>
  <si>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</si>
  <si>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</si>
  <si>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</si>
  <si>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</si>
  <si>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</si>
  <si>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</si>
  <si>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</si>
  <si>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</si>
  <si>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</si>
  <si>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</si>
  <si>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</si>
  <si>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</si>
  <si>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</si>
  <si>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</si>
  <si>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</si>
  <si>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</si>
  <si>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</si>
  <si>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</si>
  <si>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</si>
  <si>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</si>
  <si>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</si>
  <si>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</si>
  <si>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</si>
  <si>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</si>
  <si>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</si>
  <si>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</si>
  <si>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</si>
  <si>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</si>
  <si>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</si>
  <si>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</si>
  <si>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</si>
  <si>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</si>
  <si>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</si>
  <si>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</si>
  <si>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</si>
  <si>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</si>
  <si>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</si>
  <si>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</si>
  <si>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</si>
  <si>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</si>
  <si>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</si>
  <si>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</si>
  <si>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</si>
  <si>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</si>
  <si>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</si>
  <si>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</si>
  <si>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</si>
  <si>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</si>
  <si>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</si>
  <si>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</si>
  <si>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</si>
  <si>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</si>
  <si>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</si>
  <si>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</si>
  <si>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</si>
  <si>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</si>
  <si>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</si>
  <si>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</si>
  <si>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</si>
  <si>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</si>
  <si>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</si>
  <si>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</si>
  <si>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</si>
  <si>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</si>
  <si>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</si>
  <si>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</si>
  <si>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</si>
  <si>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</si>
  <si>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</si>
  <si>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</si>
  <si>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</si>
  <si>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</si>
  <si>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</si>
  <si>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</si>
  <si>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</si>
  <si>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</si>
  <si>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</si>
  <si>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</si>
  <si>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</si>
  <si>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</si>
  <si>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</si>
  <si>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</si>
  <si>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</si>
  <si>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</si>
  <si>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</si>
  <si>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</si>
  <si>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</si>
  <si>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</si>
  <si>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</si>
  <si>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</si>
  <si>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</si>
  <si>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</si>
  <si>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</si>
  <si>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</si>
  <si>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</si>
  <si>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</si>
  <si>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</si>
  <si>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</si>
  <si>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</si>
  <si>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</si>
  <si>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</si>
  <si>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</si>
  <si>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</si>
  <si>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</si>
  <si>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</si>
  <si>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</si>
  <si>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</si>
  <si>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</si>
  <si>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</si>
  <si>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</si>
  <si>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</si>
  <si>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</si>
  <si>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</si>
  <si>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</si>
  <si>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</si>
  <si>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</si>
  <si>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</si>
  <si>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</si>
  <si>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</si>
  <si>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</si>
  <si>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</si>
  <si>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</si>
  <si>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</si>
  <si>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</si>
  <si>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</si>
  <si>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</si>
  <si>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</si>
  <si>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</si>
  <si>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</si>
  <si>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</si>
  <si>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</si>
  <si>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</si>
  <si>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</si>
  <si>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</si>
  <si>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</si>
  <si>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</si>
  <si>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</si>
  <si>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</si>
  <si>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</si>
  <si>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</si>
  <si>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</si>
  <si>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</si>
  <si>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</si>
  <si>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</si>
  <si>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</si>
  <si>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</si>
  <si>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</si>
  <si>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</si>
  <si>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</si>
  <si>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</si>
  <si>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</si>
  <si>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</si>
  <si>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</si>
  <si>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</si>
  <si>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</si>
  <si>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</si>
  <si>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</si>
  <si>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</si>
  <si>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</si>
  <si>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</si>
  <si>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</si>
  <si>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</si>
  <si>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</si>
  <si>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</si>
  <si>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</si>
  <si>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</si>
  <si>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</si>
  <si>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</si>
  <si>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</si>
  <si>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</si>
  <si>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</si>
  <si>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</si>
  <si>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</si>
  <si>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</si>
  <si>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</si>
  <si>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</si>
  <si>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</si>
  <si>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</si>
  <si>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</si>
  <si>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</si>
  <si>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</si>
  <si>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</si>
  <si>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</si>
  <si>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</si>
  <si>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</si>
  <si>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</si>
  <si>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</si>
  <si>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</si>
  <si>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</si>
  <si>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</si>
  <si>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</si>
  <si>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</si>
  <si>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</si>
  <si>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</si>
  <si>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</si>
  <si>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</si>
  <si>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</si>
  <si>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</si>
  <si>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</si>
  <si>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</si>
  <si>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</si>
  <si>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</si>
  <si>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</si>
  <si>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</si>
  <si>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</si>
  <si>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</si>
  <si>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</si>
  <si>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</si>
  <si>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</si>
  <si>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</si>
  <si>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</si>
  <si>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</si>
  <si>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</si>
  <si>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</si>
  <si>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</si>
  <si>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</si>
  <si>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</si>
  <si>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</si>
  <si>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</si>
  <si>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</si>
  <si>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</si>
  <si>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</si>
  <si>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</si>
  <si>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</si>
  <si>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</si>
  <si>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</si>
  <si>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</si>
  <si>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</si>
  <si>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</si>
  <si>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</si>
  <si>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</si>
  <si>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</si>
  <si>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</si>
  <si>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</si>
  <si>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</si>
  <si>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</si>
  <si>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</si>
  <si>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</si>
  <si>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</si>
  <si>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</si>
  <si>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</si>
  <si>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</si>
  <si>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</si>
  <si>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</si>
  <si>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</si>
  <si>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</si>
  <si>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</si>
  <si>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</si>
  <si>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</si>
  <si>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</si>
  <si>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</si>
  <si>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</si>
  <si>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</si>
  <si>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</si>
  <si>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</si>
  <si>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</si>
  <si>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</si>
  <si>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</si>
  <si>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</si>
  <si>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</si>
  <si>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</si>
  <si>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</si>
  <si>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</si>
  <si>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</si>
  <si>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</si>
  <si>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</si>
  <si>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</si>
  <si>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</si>
  <si>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</si>
  <si>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</si>
  <si>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</si>
  <si>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</si>
  <si>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</si>
  <si>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</si>
  <si>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</si>
  <si>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</si>
  <si>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</si>
  <si>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</si>
  <si>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</si>
  <si>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</si>
  <si>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</si>
  <si>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</si>
  <si>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</si>
  <si>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</si>
  <si>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</si>
  <si>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</si>
  <si>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</si>
  <si>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</si>
  <si>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</si>
  <si>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</si>
  <si>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</si>
  <si>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</si>
  <si>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</si>
  <si>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</si>
  <si>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</si>
  <si>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</si>
  <si>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</si>
  <si>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</si>
  <si>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</si>
  <si>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</si>
  <si>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</si>
  <si>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</si>
  <si>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</si>
  <si>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</si>
  <si>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</si>
  <si>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</si>
  <si>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</si>
  <si>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</si>
  <si>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</si>
  <si>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</si>
  <si>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</si>
  <si>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</si>
  <si>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</si>
  <si>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</si>
  <si>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</si>
  <si>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</si>
  <si>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</si>
  <si>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</si>
  <si>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</si>
  <si>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</si>
  <si>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</si>
  <si>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</si>
  <si>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</si>
  <si>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</si>
  <si>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</si>
  <si>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</si>
  <si>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</si>
  <si>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</si>
  <si>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</si>
  <si>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</si>
  <si>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</si>
  <si>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</si>
  <si>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</si>
  <si>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</si>
  <si>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</si>
  <si>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D:\_prg\VisualCS\QuickImageComment</t>
  </si>
  <si>
    <t>- function keys, e.g. F8, F11</t>
  </si>
  <si>
    <t>- key combinations with Ctrl</t>
  </si>
  <si>
    <t>- Tastenkombinationen mit Strg (Ctrl)</t>
  </si>
  <si>
    <t>- Funktionstasten, z.B. F8, F11</t>
  </si>
  <si>
    <t>Output-Paths:</t>
  </si>
  <si>
    <t>D:\_prg\VisualCS\QuickImageComment\bin\Debug</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</si>
  <si>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</si>
  <si>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</si>
  <si>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</si>
  <si>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</si>
  <si>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</si>
  <si>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</si>
  <si>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</si>
  <si>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</si>
  <si>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</si>
  <si>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</si>
  <si>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</si>
  <si>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</si>
  <si>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</si>
  <si>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</si>
  <si>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</si>
  <si>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</si>
  <si>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</si>
  <si>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</si>
  <si>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</si>
  <si>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</si>
  <si>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</si>
  <si>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</si>
  <si>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</si>
  <si>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</si>
  <si>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</si>
  <si>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</si>
  <si>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</si>
  <si>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</si>
  <si>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</si>
  <si>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</si>
  <si>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</si>
  <si>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</si>
  <si>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</si>
  <si>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</si>
  <si>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</si>
  <si>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</si>
  <si>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</si>
  <si>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</si>
  <si>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</si>
  <si>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</si>
  <si>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</si>
  <si>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</si>
  <si>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</si>
  <si>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</si>
  <si>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</si>
  <si>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</si>
  <si>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</si>
  <si>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</si>
  <si>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</si>
  <si>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</si>
  <si>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</si>
  <si>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</si>
  <si>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</si>
  <si>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</si>
  <si>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</si>
  <si>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</si>
  <si>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</si>
  <si>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</si>
  <si>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</si>
  <si>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</si>
  <si>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</si>
  <si>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</si>
  <si>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</si>
  <si>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</si>
  <si>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</si>
  <si>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</si>
  <si>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</si>
  <si>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</si>
  <si>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</si>
  <si>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</si>
  <si>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</si>
  <si>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</si>
  <si>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</si>
  <si>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</si>
  <si>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</si>
  <si>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</si>
  <si>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</si>
  <si>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</si>
  <si>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</si>
  <si>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</si>
  <si>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</si>
  <si>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</si>
  <si>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</si>
  <si>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</si>
  <si>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</si>
  <si>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</si>
  <si>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</si>
  <si>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</si>
  <si>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</si>
  <si>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</si>
  <si>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Programm-Fehler: FullSizeImage nicht verfügbar - Bitte Mail an mail@quickimagecomment.de schicken.</t>
  </si>
  <si>
    <t>E_fullSizeImageNotAvailable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</si>
  <si>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</si>
  <si>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</si>
  <si>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</si>
  <si>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</si>
  <si>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</si>
  <si>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</si>
  <si>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</si>
  <si>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</si>
  <si>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</si>
  <si>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</si>
  <si>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</si>
  <si>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</si>
  <si>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</si>
  <si>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</si>
  <si>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</si>
  <si>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</si>
  <si>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</si>
  <si>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</si>
  <si>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</si>
  <si>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</si>
  <si>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</si>
  <si>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</si>
  <si>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</si>
  <si>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</si>
  <si>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</si>
  <si>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</si>
  <si>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</si>
  <si>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</si>
  <si>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</si>
  <si>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</si>
  <si>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</si>
  <si>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</si>
  <si>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</si>
  <si>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</si>
  <si>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</si>
  <si>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</si>
  <si>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</si>
  <si>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</si>
  <si>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Program error: FullSizeImage not available. Please send a mail to mail@quickimagecomment.de.</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</si>
  <si>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</si>
  <si>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</si>
  <si>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</si>
  <si>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</si>
  <si>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</si>
  <si>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</si>
  <si>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</si>
  <si>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</si>
  <si>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</si>
  <si>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</si>
  <si>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</si>
  <si>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</si>
  <si>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</si>
  <si>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</si>
  <si>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</si>
  <si>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</si>
  <si>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</si>
  <si>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</si>
  <si>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</si>
  <si>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</si>
  <si>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</si>
  <si>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</si>
  <si>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</si>
  <si>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</si>
  <si>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</si>
  <si>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</si>
  <si>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</si>
  <si>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</si>
  <si>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</si>
  <si>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</si>
  <si>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</si>
  <si>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</si>
  <si>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</si>
  <si>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</si>
  <si>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</si>
  <si>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</si>
  <si>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</si>
  <si>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</si>
  <si>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</si>
  <si>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</si>
  <si>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</si>
  <si>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</si>
  <si>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</si>
  <si>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</si>
  <si>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</si>
  <si>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</si>
  <si>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</si>
  <si>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</si>
  <si>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</si>
  <si>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</si>
  <si>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</si>
  <si>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</si>
  <si>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</si>
  <si>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</si>
  <si>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</si>
  <si>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</si>
  <si>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</si>
  <si>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</si>
  <si>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</si>
  <si>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</si>
  <si>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</si>
  <si>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</si>
  <si>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</si>
  <si>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</si>
  <si>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</si>
  <si>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</si>
  <si>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</si>
  <si>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</si>
  <si>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</si>
  <si>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</si>
  <si>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</si>
  <si>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</si>
  <si>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</si>
  <si>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</si>
  <si>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</si>
  <si>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</si>
  <si>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</si>
  <si>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</si>
  <si>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</si>
  <si>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</si>
  <si>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</si>
  <si>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</si>
  <si>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</si>
  <si>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</si>
  <si>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</si>
  <si>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</si>
  <si>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</si>
  <si>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</si>
  <si>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</si>
  <si>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</si>
  <si>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</si>
  <si>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</si>
  <si>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</si>
  <si>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</si>
  <si>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</si>
  <si>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</si>
  <si>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</si>
  <si>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</si>
  <si>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</si>
  <si>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</si>
  <si>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</si>
  <si>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</si>
  <si>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</si>
  <si>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</si>
  <si>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</si>
  <si>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</si>
  <si>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</si>
  <si>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</si>
  <si>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</si>
  <si>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</si>
  <si>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</si>
  <si>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</si>
  <si>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</si>
  <si>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</si>
  <si>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</si>
  <si>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</si>
  <si>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</si>
  <si>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</si>
  <si>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</si>
  <si>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</si>
  <si>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</si>
  <si>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</si>
  <si>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</si>
  <si>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</si>
  <si>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</si>
  <si>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</si>
  <si>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</si>
  <si>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</si>
  <si>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</si>
  <si>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</si>
  <si>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</si>
  <si>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</si>
  <si>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</si>
  <si>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</si>
  <si>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</si>
  <si>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</si>
  <si>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</si>
  <si>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</si>
  <si>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</si>
  <si>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</si>
  <si>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</si>
  <si>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</si>
  <si>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</si>
  <si>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</si>
  <si>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</si>
  <si>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</si>
  <si>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</si>
  <si>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</si>
  <si>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</si>
  <si>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</si>
  <si>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</si>
  <si>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</si>
  <si>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</si>
  <si>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</si>
  <si>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</si>
  <si>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</si>
  <si>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</si>
  <si>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</si>
  <si>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</si>
  <si>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</si>
  <si>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</si>
  <si>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</si>
  <si>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</si>
  <si>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</si>
  <si>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</si>
  <si>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</si>
  <si>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</si>
  <si>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</si>
  <si>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</si>
  <si>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</si>
  <si>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</si>
  <si>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</si>
  <si>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</si>
  <si>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</si>
  <si>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</si>
  <si>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</si>
  <si>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</si>
  <si>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</si>
  <si>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</si>
  <si>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</si>
  <si>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</si>
  <si>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</si>
  <si>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</si>
  <si>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</si>
  <si>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</si>
  <si>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</si>
  <si>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</si>
  <si>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</si>
  <si>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</si>
  <si>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</si>
  <si>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</si>
  <si>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</si>
  <si>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</si>
  <si>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</si>
  <si>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</si>
  <si>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</si>
  <si>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</si>
  <si>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severeErrorSendMailTrace</t>
  </si>
  <si>
    <t>severeErrorSendMailFile</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</si>
  <si>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</si>
  <si>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</si>
  <si>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</si>
  <si>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</si>
  <si>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</si>
  <si>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</si>
  <si>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</si>
  <si>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</si>
  <si>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</si>
  <si>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</si>
  <si>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</si>
  <si>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</si>
  <si>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</si>
  <si>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</si>
  <si>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</si>
  <si>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</si>
  <si>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</si>
  <si>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</si>
  <si>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</si>
  <si>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</si>
  <si>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</si>
  <si>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</si>
  <si>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</si>
  <si>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</si>
  <si>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</si>
  <si>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</si>
  <si>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</si>
  <si>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</si>
  <si>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</si>
  <si>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</si>
  <si>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</si>
  <si>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</si>
  <si>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</si>
  <si>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</si>
  <si>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</si>
  <si>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</si>
  <si>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</si>
  <si>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</si>
  <si>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</si>
  <si>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</si>
  <si>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</si>
  <si>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</si>
  <si>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</si>
  <si>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</si>
  <si>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</si>
  <si>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</si>
  <si>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</si>
  <si>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</si>
  <si>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</si>
  <si>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</si>
  <si>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</si>
  <si>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</si>
  <si>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</si>
  <si>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</si>
  <si>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</si>
  <si>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</si>
  <si>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</si>
  <si>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</si>
  <si>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</si>
  <si>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</si>
  <si>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</si>
  <si>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</si>
  <si>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</si>
  <si>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</si>
  <si>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</si>
  <si>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</si>
  <si>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</si>
  <si>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</si>
  <si>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</si>
  <si>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</si>
  <si>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</si>
  <si>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</si>
  <si>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</si>
  <si>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</si>
  <si>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</si>
  <si>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</si>
  <si>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</si>
  <si>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</si>
  <si>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</si>
  <si>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</si>
  <si>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</si>
  <si>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</si>
  <si>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</si>
  <si>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</si>
  <si>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</si>
  <si>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</si>
  <si>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</si>
  <si>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</si>
  <si>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</si>
  <si>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</si>
  <si>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</si>
  <si>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</si>
  <si>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</si>
  <si>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</si>
  <si>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</si>
  <si>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</si>
  <si>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</si>
  <si>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</si>
  <si>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</si>
  <si>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</si>
  <si>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</si>
  <si>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</si>
  <si>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</si>
  <si>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</si>
  <si>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</si>
  <si>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</si>
  <si>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</si>
  <si>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</si>
  <si>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</si>
  <si>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</si>
  <si>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</si>
  <si>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</si>
  <si>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</si>
  <si>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</si>
  <si>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</si>
  <si>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</si>
  <si>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</si>
  <si>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</si>
  <si>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</si>
  <si>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</si>
  <si>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</si>
  <si>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</si>
  <si>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</si>
  <si>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</si>
  <si>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</si>
  <si>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</si>
  <si>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</si>
  <si>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</si>
  <si>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</si>
  <si>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</si>
  <si>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</si>
  <si>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</si>
  <si>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</si>
  <si>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</si>
  <si>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</si>
  <si>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</si>
  <si>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</si>
  <si>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</si>
  <si>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</si>
  <si>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</si>
  <si>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</si>
  <si>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</si>
  <si>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</si>
  <si>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</si>
  <si>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</si>
  <si>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</si>
  <si>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</si>
  <si>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</si>
  <si>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</si>
  <si>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</si>
  <si>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</si>
  <si>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</si>
  <si>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</si>
  <si>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</si>
  <si>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</si>
  <si>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</si>
  <si>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</si>
  <si>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</si>
  <si>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</si>
  <si>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</si>
  <si>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</si>
  <si>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</si>
  <si>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 nicht gefunden</t>
  </si>
  <si>
    <t>Directory not 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</si>
  <si>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</si>
  <si>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</si>
  <si>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</si>
  <si>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</si>
  <si>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</si>
  <si>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</si>
  <si>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</si>
  <si>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</si>
  <si>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</si>
  <si>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</si>
  <si>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</si>
  <si>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</si>
  <si>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</si>
  <si>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</si>
  <si>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</si>
  <si>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</si>
  <si>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</si>
  <si>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</si>
  <si>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</si>
  <si>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</si>
  <si>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</si>
  <si>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</si>
  <si>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</si>
  <si>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</si>
  <si>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</si>
  <si>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</si>
  <si>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</si>
  <si>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</si>
  <si>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</si>
  <si>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</si>
  <si>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</si>
  <si>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</si>
  <si>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</si>
  <si>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</si>
  <si>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</si>
  <si>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</si>
  <si>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</si>
  <si>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</si>
  <si>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</si>
  <si>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</si>
  <si>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</si>
  <si>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</si>
  <si>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</si>
  <si>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</si>
  <si>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</si>
  <si>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</si>
  <si>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</si>
  <si>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</si>
  <si>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</si>
  <si>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</si>
  <si>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</si>
  <si>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</si>
  <si>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</si>
  <si>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</si>
  <si>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</si>
  <si>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</si>
  <si>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</si>
  <si>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</si>
  <si>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</si>
  <si>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</si>
  <si>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</si>
  <si>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</si>
  <si>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</si>
  <si>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</si>
  <si>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</si>
  <si>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</si>
  <si>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</si>
  <si>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</si>
  <si>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</si>
  <si>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</si>
  <si>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</si>
  <si>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</si>
  <si>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</si>
  <si>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</si>
  <si>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</si>
  <si>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</si>
  <si>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</si>
  <si>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</si>
  <si>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</si>
  <si>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</si>
  <si>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</si>
  <si>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</si>
  <si>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</si>
  <si>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</si>
  <si>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</si>
  <si>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</si>
  <si>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</si>
  <si>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</si>
  <si>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</si>
  <si>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</si>
  <si>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</si>
  <si>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</si>
  <si>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</si>
  <si>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</si>
  <si>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</si>
  <si>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</si>
  <si>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</si>
  <si>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</si>
  <si>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</si>
  <si>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</si>
  <si>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</si>
  <si>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</si>
  <si>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</si>
  <si>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</si>
  <si>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</si>
  <si>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</si>
  <si>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</si>
  <si>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</si>
  <si>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</si>
  <si>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</si>
  <si>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</si>
  <si>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</si>
  <si>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</si>
  <si>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</si>
  <si>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</si>
  <si>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</si>
  <si>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</si>
  <si>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</si>
  <si>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</si>
  <si>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</si>
  <si>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</si>
  <si>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</si>
  <si>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</si>
  <si>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</si>
  <si>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</si>
  <si>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</si>
  <si>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</si>
  <si>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</si>
  <si>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</si>
  <si>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</si>
  <si>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</si>
  <si>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</si>
  <si>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</si>
  <si>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</si>
  <si>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</si>
  <si>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</si>
  <si>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</si>
  <si>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</si>
  <si>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</si>
  <si>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</si>
  <si>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</si>
  <si>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</si>
  <si>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</si>
  <si>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</si>
  <si>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</si>
  <si>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</si>
  <si>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</si>
  <si>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</si>
  <si>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</si>
  <si>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Programm-Verzeichnis</t>
  </si>
  <si>
    <t>Program folder</t>
  </si>
  <si>
    <t>%Appdata%</t>
  </si>
  <si>
    <t>FormSelectUserConfigStorageLabel</t>
  </si>
  <si>
    <t>Lokales Datum/Zeit-Format</t>
  </si>
  <si>
    <t>ISO Datum/Zeit-Format</t>
  </si>
  <si>
    <t>ISO date/time 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</si>
  <si>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</si>
  <si>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</si>
  <si>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</si>
  <si>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</si>
  <si>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</si>
  <si>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</si>
  <si>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</si>
  <si>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</si>
  <si>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</si>
  <si>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</si>
  <si>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</si>
  <si>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</si>
  <si>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</si>
  <si>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</si>
  <si>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</si>
  <si>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</si>
  <si>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</si>
  <si>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</si>
  <si>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</si>
  <si>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</si>
  <si>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</si>
  <si>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</si>
  <si>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</si>
  <si>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</si>
  <si>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</si>
  <si>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</si>
  <si>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</si>
  <si>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</si>
  <si>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</si>
  <si>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</si>
  <si>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</si>
  <si>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</si>
  <si>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</si>
  <si>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</si>
  <si>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</si>
  <si>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</si>
  <si>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</si>
  <si>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</si>
  <si>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</si>
  <si>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</si>
  <si>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</si>
  <si>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</si>
  <si>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</si>
  <si>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</si>
  <si>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</si>
  <si>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</si>
  <si>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</si>
  <si>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</si>
  <si>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</si>
  <si>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</si>
  <si>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</si>
  <si>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</si>
  <si>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</si>
  <si>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</si>
  <si>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</si>
  <si>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</si>
  <si>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</si>
  <si>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</si>
  <si>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</si>
  <si>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</si>
  <si>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</si>
  <si>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</si>
  <si>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</si>
  <si>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</si>
  <si>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</si>
  <si>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</si>
  <si>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</si>
  <si>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</si>
  <si>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</si>
  <si>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</si>
  <si>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</si>
  <si>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</si>
  <si>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</si>
  <si>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</si>
  <si>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</si>
  <si>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</si>
  <si>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</si>
  <si>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</si>
  <si>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</si>
  <si>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</si>
  <si>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</si>
  <si>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</si>
  <si>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</si>
  <si>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</si>
  <si>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</si>
  <si>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</si>
  <si>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</si>
  <si>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</si>
  <si>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</si>
  <si>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</si>
  <si>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</si>
  <si>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</si>
  <si>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</si>
  <si>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</si>
  <si>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</si>
  <si>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</si>
  <si>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</si>
  <si>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</si>
  <si>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</si>
  <si>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</si>
  <si>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</si>
  <si>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</si>
  <si>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</si>
  <si>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</si>
  <si>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</si>
  <si>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</si>
  <si>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</si>
  <si>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</si>
  <si>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</si>
  <si>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</si>
  <si>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</si>
  <si>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</si>
  <si>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</si>
  <si>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</si>
  <si>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</si>
  <si>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</si>
  <si>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</si>
  <si>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</si>
  <si>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</si>
  <si>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</si>
  <si>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</si>
  <si>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</si>
  <si>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</si>
  <si>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</si>
  <si>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</si>
  <si>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</si>
  <si>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</si>
  <si>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</si>
  <si>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</si>
  <si>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</si>
  <si>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</si>
  <si>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</si>
  <si>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</si>
  <si>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</si>
  <si>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</si>
  <si>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</si>
  <si>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</si>
  <si>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</si>
  <si>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</si>
  <si>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</si>
  <si>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</si>
  <si>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</si>
  <si>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</si>
  <si>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</si>
  <si>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</si>
  <si>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</si>
  <si>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</si>
  <si>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</si>
  <si>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</si>
  <si>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</si>
  <si>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</si>
  <si>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</si>
  <si>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</si>
  <si>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</si>
  <si>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</si>
  <si>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</si>
  <si>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</si>
  <si>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</si>
  <si>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</si>
  <si>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</si>
  <si>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</si>
  <si>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</si>
  <si>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</si>
  <si>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</si>
  <si>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</si>
  <si>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</si>
  <si>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</si>
  <si>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</si>
  <si>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</si>
  <si>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</si>
  <si>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</si>
  <si>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</si>
  <si>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</si>
  <si>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</si>
  <si>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</si>
  <si>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</si>
  <si>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</si>
  <si>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</si>
  <si>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</si>
  <si>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</si>
  <si>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</si>
  <si>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</si>
  <si>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</si>
  <si>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</si>
  <si>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</si>
  <si>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</si>
  <si>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</si>
  <si>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</si>
  <si>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</si>
  <si>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</si>
  <si>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</si>
  <si>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</si>
  <si>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</si>
  <si>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</si>
  <si>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</si>
  <si>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</si>
  <si>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</si>
  <si>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</si>
  <si>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</si>
  <si>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</si>
  <si>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</si>
  <si>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</si>
  <si>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</si>
  <si>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</si>
  <si>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</si>
  <si>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</si>
  <si>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</si>
  <si>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</si>
  <si>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</si>
  <si>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</si>
  <si>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</si>
  <si>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</si>
  <si>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</si>
  <si>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</si>
  <si>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</si>
  <si>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</si>
  <si>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</si>
  <si>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</si>
  <si>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</si>
  <si>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</si>
  <si>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</si>
  <si>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</si>
  <si>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</si>
  <si>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</si>
  <si>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</si>
  <si>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</si>
  <si>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</si>
  <si>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</si>
  <si>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</si>
  <si>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</si>
  <si>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</si>
  <si>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</si>
  <si>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</si>
  <si>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</si>
  <si>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</si>
  <si>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</si>
  <si>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</si>
  <si>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</si>
  <si>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</si>
  <si>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</si>
  <si>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</si>
  <si>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</si>
  <si>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</si>
  <si>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</si>
  <si>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</si>
  <si>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</si>
  <si>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</si>
  <si>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</si>
  <si>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</si>
  <si>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</si>
  <si>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</si>
  <si>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</si>
  <si>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</si>
  <si>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</si>
  <si>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</si>
  <si>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</si>
  <si>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</si>
  <si>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</si>
  <si>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</si>
  <si>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</si>
  <si>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</si>
  <si>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</si>
  <si>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</si>
  <si>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</si>
  <si>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</si>
  <si>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</si>
  <si>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</si>
  <si>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</si>
  <si>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</si>
  <si>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</si>
  <si>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</si>
  <si>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</si>
  <si>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</si>
  <si>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</si>
  <si>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</si>
  <si>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</si>
  <si>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</si>
  <si>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</si>
  <si>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</si>
  <si>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</si>
  <si>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</si>
  <si>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</si>
  <si>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</si>
  <si>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</si>
  <si>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</si>
  <si>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</si>
  <si>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</si>
  <si>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</si>
  <si>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</si>
  <si>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</si>
  <si>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</si>
  <si>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</si>
  <si>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Storage location for user settings:\n\n%Appdata%:\nIf several users are created on the computer, each user has his own settings.\nSettings are kept during upgrade on newer program version.\nAlso to be chosen, if program folder is write-protected.\n\nProgram folder:\nRecommended for portable usage on USB-stick: the settings are on USB-stick too, no settings will be stored on other computer.\nWhen upgrading to a newer program version, settings need to be copied manually or program files in currently used folder have to be overwritten.\nProgram folder must not be write-protected.</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</si>
  <si>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werden.\nDas Programm-Verzeichnis darf nicht schreibgeschützt sein.</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</si>
  <si>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</si>
  <si>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</si>
  <si>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</si>
  <si>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</si>
  <si>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</si>
  <si>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</si>
  <si>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</si>
  <si>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</si>
  <si>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</si>
  <si>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</si>
  <si>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</si>
  <si>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</si>
  <si>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</si>
  <si>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</si>
  <si>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</si>
  <si>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</si>
  <si>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</si>
  <si>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</si>
  <si>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</si>
  <si>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</si>
  <si>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</si>
  <si>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</si>
  <si>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</si>
  <si>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</si>
  <si>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</si>
  <si>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</si>
  <si>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</si>
  <si>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</si>
  <si>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</si>
  <si>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</si>
  <si>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</si>
  <si>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</si>
  <si>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</si>
  <si>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</si>
  <si>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</si>
  <si>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</si>
  <si>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</si>
  <si>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</si>
  <si>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</si>
  <si>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</si>
  <si>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</si>
  <si>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</si>
  <si>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</si>
  <si>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</si>
  <si>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</si>
  <si>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</si>
  <si>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</si>
  <si>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</si>
  <si>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</si>
  <si>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</si>
  <si>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</si>
  <si>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</si>
  <si>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</si>
  <si>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</si>
  <si>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</si>
  <si>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</si>
  <si>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</si>
  <si>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</si>
  <si>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</si>
  <si>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</si>
  <si>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</si>
  <si>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</si>
  <si>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</si>
  <si>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</si>
  <si>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</si>
  <si>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</si>
  <si>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</si>
  <si>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</si>
  <si>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</si>
  <si>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</si>
  <si>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</si>
  <si>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</si>
  <si>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</si>
  <si>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</si>
  <si>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</si>
  <si>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</si>
  <si>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</si>
  <si>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</si>
  <si>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</si>
  <si>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</si>
  <si>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</si>
  <si>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</si>
  <si>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</si>
  <si>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</si>
  <si>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</si>
  <si>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</si>
  <si>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</si>
  <si>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</si>
  <si>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</si>
  <si>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</si>
  <si>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</si>
  <si>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</si>
  <si>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</si>
  <si>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</si>
  <si>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Local date/time format#</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</si>
  <si>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</si>
  <si>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</si>
  <si>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</si>
  <si>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</si>
  <si>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</si>
  <si>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</si>
  <si>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</si>
  <si>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</si>
  <si>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</si>
  <si>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</si>
  <si>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</si>
  <si>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</si>
  <si>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</si>
  <si>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</si>
  <si>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</si>
  <si>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</si>
  <si>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</si>
  <si>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</si>
  <si>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</si>
  <si>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</si>
  <si>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</si>
  <si>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</si>
  <si>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</si>
  <si>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</si>
  <si>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</si>
  <si>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</si>
  <si>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</si>
  <si>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</si>
  <si>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</si>
  <si>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</si>
  <si>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</si>
  <si>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</si>
  <si>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</si>
  <si>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</si>
  <si>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</si>
  <si>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</si>
  <si>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</si>
  <si>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</si>
  <si>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</si>
  <si>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</si>
  <si>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</si>
  <si>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</si>
  <si>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</si>
  <si>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</si>
  <si>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</si>
  <si>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</si>
  <si>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</si>
  <si>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</si>
  <si>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</si>
  <si>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</si>
  <si>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</si>
  <si>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</si>
  <si>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</si>
  <si>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</si>
  <si>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</si>
  <si>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</si>
  <si>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</si>
  <si>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</si>
  <si>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</si>
  <si>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</si>
  <si>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</si>
  <si>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</si>
  <si>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</si>
  <si>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</si>
  <si>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</si>
  <si>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</si>
  <si>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</si>
  <si>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</si>
  <si>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</si>
  <si>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</si>
  <si>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</si>
  <si>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</si>
  <si>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</si>
  <si>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</si>
  <si>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</si>
  <si>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</si>
  <si>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</si>
  <si>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</si>
  <si>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</si>
  <si>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</si>
  <si>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</si>
  <si>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</si>
  <si>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</si>
  <si>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</si>
  <si>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</si>
  <si>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</si>
  <si>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</si>
  <si>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</si>
  <si>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</si>
  <si>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</si>
  <si>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</si>
  <si>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</si>
  <si>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</si>
  <si>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</si>
  <si>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</si>
  <si>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</si>
  <si>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</si>
  <si>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</si>
  <si>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</si>
  <si>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</si>
  <si>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</si>
  <si>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</si>
  <si>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</si>
  <si>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</si>
  <si>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</si>
  <si>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</si>
  <si>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</si>
  <si>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</si>
  <si>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</si>
  <si>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</si>
  <si>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</si>
  <si>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</si>
  <si>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</si>
  <si>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</si>
  <si>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</si>
  <si>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</si>
  <si>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</si>
  <si>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</si>
  <si>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</si>
  <si>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</si>
  <si>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</si>
  <si>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</si>
  <si>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severeErrorSendAppCenter</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</si>
  <si>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</si>
  <si>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</si>
  <si>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</si>
  <si>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</si>
  <si>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</si>
  <si>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</si>
  <si>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</si>
  <si>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</si>
  <si>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</si>
  <si>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</si>
  <si>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Schwerwiegender Fehler in der Anwendung:\n\1\n\nDetails zum Fehler in: \n\n\2\n\nBitte diese Datei mit einer kurzen Beschreibung der letzten Aktionen an mail@quickimagecomment.de schicken.\nDas Programm beendet sich.</t>
  </si>
  <si>
    <t>Severe error in application:\n\1\n\nDetails to the error in:\n\n\2\n\nPlease send this file together with a short description of the last actions to mail@quickimagecomment.de.\nThe program terminates now.</t>
  </si>
  <si>
    <t>Schwerwiegender Fehler in der Anwendung.\n\1\n\2\n \nBitte diese Information mit einer kurzen Beschreibung der letzten Aktionen an mail@quickimagecomment.de schicken.\nDas Programm beendet sich.</t>
  </si>
  <si>
    <t>Severe error in application.\n\1\n\2\n \nPlease send this information together with a short description of the last actions to mail@quickimagecomment.de.\nThe program terminates now.</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</si>
  <si>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</si>
  <si>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</si>
  <si>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severeCacheReadError</t>
  </si>
  <si>
    <t>Fatal error in the application:\n\1\n\nThe program terminates.\n\nA crash report can be sent to the developer.\nFurther hints (e.g. a short description of the last actions) might help in troubleshooting. Please send them to mail@quickimagecomment.de. This then also enables the developer to contact you.\n\nSend the crash report to the developer (will be done when program is started next time)?</t>
  </si>
  <si>
    <t>Schwerwiegender Fehler in der Anwendung:\n\1\n\nDas Programm beendet sich.\n\nEin Absturzbericht kann an den Entwickler übermittelt werden.\nWeitere Hinweise (z.B. eine kurze Beschreibung der letzten Aktionen) könnten bei der Fehlersuche helfen. Diese bitte an mail@quickimagecomment.de schicken. Das ermöglicht auch dem Entwickler, Sie zu kontaktieren.\n\nSoll der Absturzbericht an den Entwickler übermittelt werden (erfolgt beim nächsten Start des Programmes)?</t>
  </si>
  <si>
    <t>Änderungshistorie</t>
  </si>
  <si>
    <t>Change history</t>
  </si>
  <si>
    <t>D:\_prg\QuickImageCommentX86Net4</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</si>
  <si>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</si>
  <si>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</si>
  <si>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</si>
  <si>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</si>
  <si>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</si>
  <si>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</si>
  <si>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</si>
  <si>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</si>
  <si>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</si>
  <si>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</si>
  <si>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</si>
  <si>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</si>
  <si>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</si>
  <si>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</si>
  <si>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</si>
  <si>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D:\_prg\QuickImageCommentX64</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</si>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</sst>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9525</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1571</v>
      </c>
      <c r="B1" s="30"/>
      <c r="C1" s="31" t="s">
        <v>1572</v>
      </c>
    </row>
    <row r="2" spans="1:3" x14ac:dyDescent="0.25">
      <c r="A2" s="18" t="s">
        <v>1540</v>
      </c>
      <c r="B2" s="18"/>
      <c r="C2" s="18" t="s">
        <v>1512</v>
      </c>
    </row>
    <row r="3" spans="1:3" x14ac:dyDescent="0.25">
      <c r="A3" s="19" t="s">
        <v>1566</v>
      </c>
      <c r="B3" s="19"/>
      <c r="C3" s="19" t="s">
        <v>1567</v>
      </c>
    </row>
    <row r="4" spans="1:3" ht="30" x14ac:dyDescent="0.25">
      <c r="A4" s="11" t="s">
        <v>1541</v>
      </c>
      <c r="B4" s="11"/>
      <c r="C4" s="11" t="s">
        <v>1513</v>
      </c>
    </row>
    <row r="5" spans="1:3" ht="30" x14ac:dyDescent="0.25">
      <c r="A5" s="11" t="s">
        <v>1542</v>
      </c>
      <c r="B5" s="11"/>
      <c r="C5" s="11" t="s">
        <v>1516</v>
      </c>
    </row>
    <row r="6" spans="1:3" ht="30" x14ac:dyDescent="0.25">
      <c r="A6" s="11" t="s">
        <v>1543</v>
      </c>
      <c r="B6" s="11"/>
      <c r="C6" s="11" t="s">
        <v>1544</v>
      </c>
    </row>
    <row r="7" spans="1:3" ht="60" x14ac:dyDescent="0.25">
      <c r="A7" s="11" t="s">
        <v>1545</v>
      </c>
      <c r="B7" s="11"/>
      <c r="C7" s="11" t="s">
        <v>1517</v>
      </c>
    </row>
    <row r="8" spans="1:3" ht="45" x14ac:dyDescent="0.25">
      <c r="A8" s="11" t="s">
        <v>1597</v>
      </c>
      <c r="B8" s="11"/>
      <c r="C8" s="11" t="s">
        <v>1598</v>
      </c>
    </row>
    <row r="9" spans="1:3" x14ac:dyDescent="0.25">
      <c r="A9" s="11" t="s">
        <v>1546</v>
      </c>
      <c r="B9" s="11"/>
      <c r="C9" s="11" t="s">
        <v>1518</v>
      </c>
    </row>
    <row r="10" spans="1:3" ht="90" x14ac:dyDescent="0.25">
      <c r="A10" s="11" t="s">
        <v>1599</v>
      </c>
      <c r="B10" s="11"/>
      <c r="C10" s="11" t="s">
        <v>1600</v>
      </c>
    </row>
    <row r="11" spans="1:3" x14ac:dyDescent="0.25">
      <c r="A11" s="2"/>
      <c r="B11" s="2"/>
      <c r="C11" s="2"/>
    </row>
    <row r="12" spans="1:3" x14ac:dyDescent="0.25">
      <c r="A12" s="18" t="s">
        <v>1547</v>
      </c>
      <c r="B12" s="18"/>
      <c r="C12" s="18" t="s">
        <v>1601</v>
      </c>
    </row>
    <row r="13" spans="1:3" ht="30" x14ac:dyDescent="0.25">
      <c r="A13" s="2" t="s">
        <v>1548</v>
      </c>
      <c r="B13" s="2"/>
      <c r="C13" s="2" t="s">
        <v>1568</v>
      </c>
    </row>
    <row r="14" spans="1:3" ht="90" x14ac:dyDescent="0.25">
      <c r="A14" s="11" t="s">
        <v>1602</v>
      </c>
      <c r="B14" s="11"/>
      <c r="C14" s="11" t="s">
        <v>1549</v>
      </c>
    </row>
    <row r="15" spans="1:3" ht="60" x14ac:dyDescent="0.25">
      <c r="A15" s="11" t="s">
        <v>1603</v>
      </c>
      <c r="B15" s="11"/>
      <c r="C15" s="11" t="s">
        <v>1604</v>
      </c>
    </row>
    <row r="16" spans="1:3" ht="75" x14ac:dyDescent="0.25">
      <c r="A16" s="11" t="s">
        <v>1551</v>
      </c>
      <c r="B16" s="11"/>
      <c r="C16" s="11" t="s">
        <v>1550</v>
      </c>
    </row>
    <row r="17" spans="1:3" ht="60" x14ac:dyDescent="0.25">
      <c r="A17" s="11" t="s">
        <v>1552</v>
      </c>
      <c r="B17" s="11"/>
      <c r="C17" s="11" t="s">
        <v>1553</v>
      </c>
    </row>
    <row r="18" spans="1:3" x14ac:dyDescent="0.25">
      <c r="A18" s="11" t="s">
        <v>1554</v>
      </c>
      <c r="B18" s="11"/>
      <c r="C18" s="11" t="s">
        <v>1515</v>
      </c>
    </row>
    <row r="19" spans="1:3" ht="60" x14ac:dyDescent="0.25">
      <c r="A19" s="11" t="s">
        <v>1555</v>
      </c>
      <c r="B19" s="11"/>
      <c r="C19" s="11" t="s">
        <v>1537</v>
      </c>
    </row>
    <row r="20" spans="1:3" ht="30" x14ac:dyDescent="0.25">
      <c r="A20" s="11" t="s">
        <v>1556</v>
      </c>
      <c r="B20" s="11"/>
      <c r="C20" s="11" t="s">
        <v>1519</v>
      </c>
    </row>
    <row r="21" spans="1:3" ht="75" x14ac:dyDescent="0.25">
      <c r="A21" s="11" t="s">
        <v>1569</v>
      </c>
      <c r="B21" s="11"/>
      <c r="C21" s="11" t="s">
        <v>1570</v>
      </c>
    </row>
    <row r="22" spans="1:3" ht="45" x14ac:dyDescent="0.25">
      <c r="A22" s="11" t="s">
        <v>1557</v>
      </c>
      <c r="B22" s="11"/>
      <c r="C22" s="11" t="s">
        <v>1538</v>
      </c>
    </row>
    <row r="23" spans="1:3" x14ac:dyDescent="0.25">
      <c r="A23" s="11"/>
      <c r="B23" s="11"/>
      <c r="C23" s="11"/>
    </row>
    <row r="24" spans="1:3" x14ac:dyDescent="0.25">
      <c r="A24" s="6" t="s">
        <v>1558</v>
      </c>
      <c r="B24" s="6"/>
      <c r="C24" s="6" t="s">
        <v>1511</v>
      </c>
    </row>
    <row r="25" spans="1:3" x14ac:dyDescent="0.25">
      <c r="A25" s="11" t="s">
        <v>1559</v>
      </c>
      <c r="B25" s="11"/>
      <c r="C25" s="11" t="s">
        <v>766</v>
      </c>
    </row>
    <row r="26" spans="1:3" ht="30" x14ac:dyDescent="0.25">
      <c r="A26" s="11" t="s">
        <v>1560</v>
      </c>
      <c r="B26" s="11"/>
      <c r="C26" s="11" t="s">
        <v>961</v>
      </c>
    </row>
    <row r="27" spans="1:3" x14ac:dyDescent="0.25">
      <c r="A27" s="11" t="s">
        <v>1561</v>
      </c>
      <c r="B27" s="11"/>
      <c r="C27" s="11" t="s">
        <v>959</v>
      </c>
    </row>
    <row r="28" spans="1:3" x14ac:dyDescent="0.25">
      <c r="A28" s="20" t="s">
        <v>1562</v>
      </c>
      <c r="B28" s="20"/>
      <c r="C28" s="20" t="s">
        <v>1564</v>
      </c>
    </row>
    <row r="29" spans="1:3" x14ac:dyDescent="0.25">
      <c r="A29" s="11" t="s">
        <v>1563</v>
      </c>
      <c r="B29" s="11"/>
      <c r="C29" s="11" t="s">
        <v>960</v>
      </c>
    </row>
    <row r="30" spans="1:3" ht="30" x14ac:dyDescent="0.25">
      <c r="A30" s="20" t="s">
        <v>1565</v>
      </c>
      <c r="B30" s="20"/>
      <c r="C30" s="20" t="s">
        <v>1539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36" sqref="B35:B36"/>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539</v>
      </c>
      <c r="B1" s="21" t="s">
        <v>534</v>
      </c>
      <c r="D1" t="s">
        <v>1514</v>
      </c>
      <c r="E1" s="29" t="s">
        <v>109</v>
      </c>
      <c r="F1" s="29" t="s">
        <v>110</v>
      </c>
      <c r="G1" s="22"/>
    </row>
    <row r="2" spans="1:7" x14ac:dyDescent="0.25">
      <c r="B2" s="21" t="s">
        <v>540</v>
      </c>
      <c r="D2" s="27" t="s">
        <v>95</v>
      </c>
      <c r="E2" s="27"/>
    </row>
    <row r="3" spans="1:7" x14ac:dyDescent="0.25">
      <c r="B3" s="21" t="s">
        <v>1740</v>
      </c>
      <c r="D3" t="s">
        <v>1521</v>
      </c>
      <c r="E3">
        <f>COUNTA(TextsToTranslate!A:A)-1</f>
        <v>488</v>
      </c>
      <c r="F3">
        <f>COUNTA(TextsToTranslate!B:B)-1</f>
        <v>488</v>
      </c>
      <c r="G3">
        <f>COUNTA(TextsToTranslate!C:C)-1</f>
        <v>0</v>
      </c>
    </row>
    <row r="4" spans="1:7" x14ac:dyDescent="0.25">
      <c r="B4" s="21" t="s">
        <v>1724</v>
      </c>
      <c r="D4" t="s">
        <v>1522</v>
      </c>
      <c r="E4">
        <f>COUNTA(Message!B:B)-1</f>
        <v>122</v>
      </c>
      <c r="F4">
        <f>COUNTA(Message!C:C)-1</f>
        <v>122</v>
      </c>
      <c r="G4">
        <f>COUNTA(Message!D:D)-1</f>
        <v>0</v>
      </c>
    </row>
    <row r="5" spans="1:7" x14ac:dyDescent="0.25">
      <c r="B5" s="21"/>
      <c r="D5" t="s">
        <v>1523</v>
      </c>
      <c r="E5">
        <f>COUNTA(MetaDataGroups!B:B)-1</f>
        <v>16</v>
      </c>
      <c r="F5">
        <f>COUNTA(MetaDataGroups!C:C)-1</f>
        <v>16</v>
      </c>
      <c r="G5">
        <f>COUNTA(MetaDataGroups!D:D)-1</f>
        <v>0</v>
      </c>
    </row>
    <row r="6" spans="1:7" x14ac:dyDescent="0.25">
      <c r="B6" s="21"/>
      <c r="D6" t="s">
        <v>1524</v>
      </c>
      <c r="E6">
        <f>COUNTA(PanelContent!B:B)-1</f>
        <v>12</v>
      </c>
      <c r="F6">
        <f>COUNTA(PanelContent!C:C)-1</f>
        <v>12</v>
      </c>
      <c r="G6">
        <f>COUNTA(PanelContent!D:D)-1</f>
        <v>0</v>
      </c>
    </row>
    <row r="7" spans="1:7" x14ac:dyDescent="0.25">
      <c r="D7" t="s">
        <v>1525</v>
      </c>
      <c r="E7">
        <f>COUNTA(Others!B:B)-1</f>
        <v>111</v>
      </c>
      <c r="F7">
        <f>COUNTA(Others!C:C)-1</f>
        <v>111</v>
      </c>
      <c r="G7">
        <f>COUNTA(Others!D:D)-1</f>
        <v>0</v>
      </c>
    </row>
    <row r="8" spans="1:7" x14ac:dyDescent="0.25">
      <c r="D8" s="27" t="s">
        <v>1520</v>
      </c>
      <c r="E8" s="27"/>
    </row>
    <row r="9" spans="1:7" x14ac:dyDescent="0.25">
      <c r="D9" t="s">
        <v>1526</v>
      </c>
      <c r="F9">
        <f t="shared" ref="F9:G13" si="0">$E3-F3</f>
        <v>0</v>
      </c>
      <c r="G9">
        <f t="shared" si="0"/>
        <v>488</v>
      </c>
    </row>
    <row r="10" spans="1:7" x14ac:dyDescent="0.25">
      <c r="D10" t="s">
        <v>1527</v>
      </c>
      <c r="F10">
        <f t="shared" si="0"/>
        <v>0</v>
      </c>
      <c r="G10">
        <f t="shared" si="0"/>
        <v>122</v>
      </c>
    </row>
    <row r="11" spans="1:7" x14ac:dyDescent="0.25">
      <c r="B11" s="38" t="s">
        <v>1573</v>
      </c>
      <c r="D11" t="s">
        <v>1528</v>
      </c>
      <c r="F11">
        <f t="shared" si="0"/>
        <v>0</v>
      </c>
      <c r="G11">
        <f t="shared" si="0"/>
        <v>16</v>
      </c>
    </row>
    <row r="12" spans="1:7" x14ac:dyDescent="0.25">
      <c r="D12" t="s">
        <v>1529</v>
      </c>
      <c r="F12">
        <f t="shared" si="0"/>
        <v>0</v>
      </c>
      <c r="G12">
        <f t="shared" si="0"/>
        <v>12</v>
      </c>
    </row>
    <row r="13" spans="1:7" x14ac:dyDescent="0.25">
      <c r="D13" t="s">
        <v>1530</v>
      </c>
      <c r="F13">
        <f t="shared" si="0"/>
        <v>0</v>
      </c>
      <c r="G13">
        <f t="shared" si="0"/>
        <v>111</v>
      </c>
    </row>
    <row r="15" spans="1:7" x14ac:dyDescent="0.25">
      <c r="D15" s="28" t="s">
        <v>1531</v>
      </c>
      <c r="E15" s="28"/>
      <c r="F15">
        <f>COUNTIFS(TextsToTranslate!D:D,"*!*")</f>
        <v>0</v>
      </c>
      <c r="G15">
        <f>COUNTIFS(TextsToTranslate!E:E,"*!*")</f>
        <v>7</v>
      </c>
    </row>
    <row r="16" spans="1:7" x14ac:dyDescent="0.25">
      <c r="D16" t="s">
        <v>1532</v>
      </c>
      <c r="F16">
        <f>COUNTIFS(Message!E:E,"*!*")</f>
        <v>0</v>
      </c>
      <c r="G16">
        <f>COUNTIFS(Message!F:F,"*!*")</f>
        <v>79</v>
      </c>
    </row>
    <row r="17" spans="4:7" x14ac:dyDescent="0.25">
      <c r="D17" t="s">
        <v>1533</v>
      </c>
      <c r="F17">
        <f>COUNTIFS(Others!E:E,"*!*")</f>
        <v>0</v>
      </c>
      <c r="G17">
        <f>COUNTIFS(Others!F:F,"*!*")</f>
        <v>19</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489"/>
  <sheetViews>
    <sheetView zoomScaleNormal="100" workbookViewId="0">
      <pane ySplit="1" topLeftCell="A457" activePane="bottomLeft" state="frozen"/>
      <selection pane="bottomLeft" activeCell="A2" sqref="A2:F489"/>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109</v>
      </c>
      <c r="B1" s="23" t="str">
        <f>Main!F1</f>
        <v>English</v>
      </c>
      <c r="C1" s="23">
        <f>Main!G1</f>
        <v>0</v>
      </c>
      <c r="D1" s="24" t="str">
        <f>"Parameter check  "&amp; B1</f>
        <v>Parameter check  English</v>
      </c>
      <c r="E1" s="24" t="str">
        <f>"Parameter check  "&amp; C1</f>
        <v>Parameter check  0</v>
      </c>
      <c r="F1" s="23" t="s">
        <v>266</v>
      </c>
    </row>
    <row r="2" spans="1:6" x14ac:dyDescent="0.25">
      <c r="A2" s="8" t="s">
        <v>538</v>
      </c>
      <c r="B2" s="3" t="s">
        <v>535</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537</v>
      </c>
      <c r="B3" s="3" t="s">
        <v>536</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582</v>
      </c>
      <c r="B4" s="3" t="s">
        <v>576</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1186</v>
      </c>
      <c r="B5" s="3" t="s">
        <v>1186</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1120</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1097</v>
      </c>
      <c r="B13" s="3" t="s">
        <v>420</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1228</v>
      </c>
      <c r="B15" s="3" t="s">
        <v>1230</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993</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421</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1118</v>
      </c>
      <c r="B24" s="3" t="s">
        <v>1121</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277</v>
      </c>
      <c r="B26" s="3" t="s">
        <v>311</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285</v>
      </c>
      <c r="B28" s="3" t="s">
        <v>312</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1192</v>
      </c>
      <c r="B29" s="3" t="s">
        <v>1197</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36</v>
      </c>
    </row>
    <row r="30" spans="1:6" x14ac:dyDescent="0.25">
      <c r="A30" s="8" t="s">
        <v>1191</v>
      </c>
      <c r="B30" s="3" t="s">
        <v>1196</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36</v>
      </c>
    </row>
    <row r="31" spans="1:6" x14ac:dyDescent="0.25">
      <c r="A31" s="8" t="s">
        <v>1193</v>
      </c>
      <c r="B31" s="3" t="s">
        <v>1198</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36</v>
      </c>
    </row>
    <row r="32" spans="1:6" x14ac:dyDescent="0.25">
      <c r="A32" s="8" t="s">
        <v>35</v>
      </c>
      <c r="B32" s="3" t="s">
        <v>35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3</v>
      </c>
    </row>
    <row r="33" spans="1:6" x14ac:dyDescent="0.25">
      <c r="A33" s="8" t="s">
        <v>36</v>
      </c>
      <c r="B33" s="3" t="s">
        <v>36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v>
      </c>
    </row>
    <row r="34" spans="1:6" x14ac:dyDescent="0.25">
      <c r="A34" s="8" t="s">
        <v>1028</v>
      </c>
      <c r="B34" s="3" t="s">
        <v>1030</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10</v>
      </c>
    </row>
    <row r="35" spans="1:6" x14ac:dyDescent="0.25">
      <c r="A35" s="8" t="s">
        <v>37</v>
      </c>
      <c r="B35" s="3" t="s">
        <v>37</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v>
      </c>
    </row>
    <row r="36" spans="1:6" x14ac:dyDescent="0.25">
      <c r="A36" s="8" t="s">
        <v>1029</v>
      </c>
      <c r="B36" s="3" t="s">
        <v>1031</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10</v>
      </c>
    </row>
    <row r="37" spans="1:6" x14ac:dyDescent="0.25">
      <c r="A37" s="8" t="s">
        <v>34</v>
      </c>
      <c r="B37" s="3" t="s">
        <v>34</v>
      </c>
      <c r="C37" s="9"/>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4</v>
      </c>
    </row>
    <row r="38" spans="1:6" x14ac:dyDescent="0.25">
      <c r="A38" s="8" t="s">
        <v>38</v>
      </c>
      <c r="B38" s="3" t="s">
        <v>38</v>
      </c>
      <c r="C38" s="9"/>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39</v>
      </c>
      <c r="B39" s="3" t="s">
        <v>39</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40</v>
      </c>
      <c r="B40" s="3" t="s">
        <v>40</v>
      </c>
      <c r="C40" s="9"/>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41</v>
      </c>
      <c r="B41" s="3" t="s">
        <v>41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3</v>
      </c>
    </row>
    <row r="42" spans="1:6" x14ac:dyDescent="0.25">
      <c r="A42" s="8" t="s">
        <v>42</v>
      </c>
      <c r="B42" s="3" t="s">
        <v>42</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43</v>
      </c>
      <c r="B43" s="3" t="s">
        <v>43</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216</v>
      </c>
      <c r="B44" s="3" t="s">
        <v>1066</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9</v>
      </c>
    </row>
    <row r="45" spans="1:6" x14ac:dyDescent="0.25">
      <c r="A45" s="8" t="s">
        <v>313</v>
      </c>
      <c r="B45" s="3" t="s">
        <v>314</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16</v>
      </c>
    </row>
    <row r="46" spans="1:6" ht="30" x14ac:dyDescent="0.25">
      <c r="A46" s="8" t="s">
        <v>1661</v>
      </c>
      <c r="B46" s="3" t="s">
        <v>1674</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67</v>
      </c>
    </row>
    <row r="47" spans="1:6" x14ac:dyDescent="0.25">
      <c r="A47" s="8" t="s">
        <v>222</v>
      </c>
      <c r="B47" s="3" t="s">
        <v>315</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7</v>
      </c>
    </row>
    <row r="48" spans="1:6" x14ac:dyDescent="0.25">
      <c r="A48" s="8" t="s">
        <v>292</v>
      </c>
      <c r="B48" s="3" t="s">
        <v>316</v>
      </c>
      <c r="C48" s="9"/>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14</v>
      </c>
    </row>
    <row r="49" spans="1:6" x14ac:dyDescent="0.25">
      <c r="A49" s="8" t="s">
        <v>202</v>
      </c>
      <c r="B49" s="3" t="s">
        <v>317</v>
      </c>
      <c r="C49" s="9"/>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4</v>
      </c>
    </row>
    <row r="50" spans="1:6" x14ac:dyDescent="0.25">
      <c r="A50" s="8" t="s">
        <v>1574</v>
      </c>
      <c r="B50" s="3" t="s">
        <v>1575</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12</v>
      </c>
    </row>
    <row r="51" spans="1:6" x14ac:dyDescent="0.25">
      <c r="A51" s="8" t="s">
        <v>469</v>
      </c>
      <c r="B51" s="3" t="s">
        <v>487</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14</v>
      </c>
    </row>
    <row r="52" spans="1:6" x14ac:dyDescent="0.25">
      <c r="A52" s="8" t="s">
        <v>473</v>
      </c>
      <c r="B52" s="3" t="s">
        <v>488</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31</v>
      </c>
    </row>
    <row r="53" spans="1:6" x14ac:dyDescent="0.25">
      <c r="A53" s="8" t="s">
        <v>138</v>
      </c>
      <c r="B53" s="3" t="s">
        <v>445</v>
      </c>
      <c r="C53" s="9"/>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15</v>
      </c>
    </row>
    <row r="54" spans="1:6" x14ac:dyDescent="0.25">
      <c r="A54" s="8" t="s">
        <v>951</v>
      </c>
      <c r="B54" s="3" t="s">
        <v>952</v>
      </c>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36</v>
      </c>
    </row>
    <row r="55" spans="1:6" x14ac:dyDescent="0.25">
      <c r="A55" s="8" t="s">
        <v>459</v>
      </c>
      <c r="B55" s="3" t="s">
        <v>1208</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10</v>
      </c>
    </row>
    <row r="56" spans="1:6" x14ac:dyDescent="0.25">
      <c r="A56" s="8" t="s">
        <v>1279</v>
      </c>
      <c r="B56" s="3" t="s">
        <v>1280</v>
      </c>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21</v>
      </c>
    </row>
    <row r="57" spans="1:6" x14ac:dyDescent="0.25">
      <c r="A57" s="8" t="s">
        <v>1250</v>
      </c>
      <c r="B57" s="3" t="s">
        <v>1251</v>
      </c>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26</v>
      </c>
    </row>
    <row r="58" spans="1:6" x14ac:dyDescent="0.25">
      <c r="A58" s="8" t="s">
        <v>1722</v>
      </c>
      <c r="B58" s="3" t="s">
        <v>1723</v>
      </c>
      <c r="D58" s="3" t="str">
        <f>IF(SIGN(IFERROR(SEARCH("\1",$A58),0))=SIGN(IFERROR(SEARCH("\1",B58),0)),".","!")&amp;
   IF(SIGN(IFERROR(SEARCH("\2",$A58),0))=SIGN(IFERROR(SEARCH("\2",B58),0)),".","!")&amp;
   IF(SIGN(IFERROR(SEARCH("\3",$A58),0))=SIGN(IFERROR(SEARCH("\3",B58),0)),".","!")</f>
        <v>...</v>
      </c>
      <c r="E58" s="3" t="str">
        <f>IF(SIGN(IFERROR(SEARCH("\1",$A58),0))=SIGN(IFERROR(SEARCH("\1",C58),0)),".","!")&amp;
   IF(SIGN(IFERROR(SEARCH("\2",$A58),0))=SIGN(IFERROR(SEARCH("\2",C58),0)),".","!")&amp;
   IF(SIGN(IFERROR(SEARCH("\3",$A58),0))=SIGN(IFERROR(SEARCH("\3",C58),0)),".","!")</f>
        <v>...</v>
      </c>
      <c r="F58" s="3">
        <f>LEN(A58)</f>
        <v>17</v>
      </c>
    </row>
    <row r="59" spans="1:6" x14ac:dyDescent="0.25">
      <c r="A59" s="8" t="s">
        <v>1060</v>
      </c>
      <c r="B59" s="3" t="s">
        <v>1064</v>
      </c>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18</v>
      </c>
    </row>
    <row r="60" spans="1:6" x14ac:dyDescent="0.25">
      <c r="A60" s="8" t="s">
        <v>726</v>
      </c>
      <c r="B60" s="3" t="s">
        <v>729</v>
      </c>
      <c r="D60" s="9"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22</v>
      </c>
    </row>
    <row r="61" spans="1:6" x14ac:dyDescent="0.25">
      <c r="A61" s="8" t="s">
        <v>1059</v>
      </c>
      <c r="B61" s="3" t="s">
        <v>1063</v>
      </c>
      <c r="D61" s="9"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24</v>
      </c>
    </row>
    <row r="62" spans="1:6" x14ac:dyDescent="0.25">
      <c r="A62" s="8" t="s">
        <v>725</v>
      </c>
      <c r="B62" s="3" t="s">
        <v>728</v>
      </c>
      <c r="D62" s="9" t="str">
        <f>IF(SIGN(IFERROR(SEARCH("\1",$A62),0))=SIGN(IFERROR(SEARCH("\1",B62),0)),".","!")&amp;
   IF(SIGN(IFERROR(SEARCH("\2",$A62),0))=SIGN(IFERROR(SEARCH("\2",B62),0)),".","!")&amp;
   IF(SIGN(IFERROR(SEARCH("\3",$A62),0))=SIGN(IFERROR(SEARCH("\3",B62),0)),".","!")</f>
        <v>...</v>
      </c>
      <c r="E62" s="9" t="str">
        <f>IF(SIGN(IFERROR(SEARCH("\1",$A62),0))=SIGN(IFERROR(SEARCH("\1",C62),0)),".","!")&amp;
   IF(SIGN(IFERROR(SEARCH("\2",$A62),0))=SIGN(IFERROR(SEARCH("\2",C62),0)),".","!")&amp;
   IF(SIGN(IFERROR(SEARCH("\3",$A62),0))=SIGN(IFERROR(SEARCH("\3",C62),0)),".","!")</f>
        <v>...</v>
      </c>
      <c r="F62" s="9">
        <f>LEN(A62)</f>
        <v>36</v>
      </c>
    </row>
    <row r="63" spans="1:6" x14ac:dyDescent="0.25">
      <c r="A63" s="8" t="s">
        <v>1061</v>
      </c>
      <c r="B63" s="3" t="s">
        <v>1065</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22</v>
      </c>
    </row>
    <row r="64" spans="1:6" x14ac:dyDescent="0.25">
      <c r="A64" s="8" t="s">
        <v>727</v>
      </c>
      <c r="B64" s="3" t="s">
        <v>730</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26</v>
      </c>
    </row>
    <row r="65" spans="1:6" x14ac:dyDescent="0.25">
      <c r="A65" s="8" t="s">
        <v>44</v>
      </c>
      <c r="B65" s="3" t="s">
        <v>45</v>
      </c>
      <c r="C65" s="9"/>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8</v>
      </c>
    </row>
    <row r="66" spans="1:6" x14ac:dyDescent="0.25">
      <c r="A66" s="8" t="s">
        <v>293</v>
      </c>
      <c r="B66" s="3" t="s">
        <v>422</v>
      </c>
      <c r="C66" s="9"/>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16</v>
      </c>
    </row>
    <row r="67" spans="1:6" x14ac:dyDescent="0.25">
      <c r="A67" s="8" t="s">
        <v>303</v>
      </c>
      <c r="B67" s="3" t="s">
        <v>423</v>
      </c>
      <c r="C67" s="9"/>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15</v>
      </c>
    </row>
    <row r="68" spans="1:6" x14ac:dyDescent="0.25">
      <c r="A68" s="8" t="s">
        <v>1277</v>
      </c>
      <c r="B68" s="3" t="s">
        <v>1278</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36</v>
      </c>
    </row>
    <row r="69" spans="1:6" x14ac:dyDescent="0.25">
      <c r="A69" s="8" t="s">
        <v>230</v>
      </c>
      <c r="B69" s="3" t="s">
        <v>318</v>
      </c>
      <c r="C69" s="9"/>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22</v>
      </c>
    </row>
    <row r="70" spans="1:6" x14ac:dyDescent="0.25">
      <c r="A70" s="8" t="s">
        <v>263</v>
      </c>
      <c r="B70" s="3" t="s">
        <v>319</v>
      </c>
      <c r="C70" s="9"/>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18</v>
      </c>
    </row>
    <row r="71" spans="1:6" x14ac:dyDescent="0.25">
      <c r="A71" s="8" t="s">
        <v>1657</v>
      </c>
      <c r="B71" s="3" t="s">
        <v>1668</v>
      </c>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24</v>
      </c>
    </row>
    <row r="72" spans="1:6" x14ac:dyDescent="0.25">
      <c r="A72" s="8" t="s">
        <v>233</v>
      </c>
      <c r="B72" s="3" t="s">
        <v>320</v>
      </c>
      <c r="C72" s="9"/>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25</v>
      </c>
    </row>
    <row r="73" spans="1:6" x14ac:dyDescent="0.25">
      <c r="A73" s="8" t="s">
        <v>242</v>
      </c>
      <c r="B73" s="3" t="s">
        <v>321</v>
      </c>
      <c r="C73" s="9"/>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7</v>
      </c>
    </row>
    <row r="74" spans="1:6" x14ac:dyDescent="0.25">
      <c r="A74" s="8" t="s">
        <v>1098</v>
      </c>
      <c r="B74" s="3" t="s">
        <v>1099</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20</v>
      </c>
    </row>
    <row r="75" spans="1:6" x14ac:dyDescent="0.25">
      <c r="A75" s="8" t="s">
        <v>732</v>
      </c>
      <c r="B75" s="3" t="s">
        <v>733</v>
      </c>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15</v>
      </c>
    </row>
    <row r="76" spans="1:6" x14ac:dyDescent="0.25">
      <c r="A76" s="8" t="s">
        <v>1281</v>
      </c>
      <c r="B76" s="3" t="s">
        <v>1282</v>
      </c>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13</v>
      </c>
    </row>
    <row r="77" spans="1:6" x14ac:dyDescent="0.25">
      <c r="A77" s="8" t="s">
        <v>232</v>
      </c>
      <c r="B77" s="3" t="s">
        <v>322</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48</v>
      </c>
    </row>
    <row r="78" spans="1:6" x14ac:dyDescent="0.25">
      <c r="A78" s="8" t="s">
        <v>225</v>
      </c>
      <c r="B78" s="3" t="s">
        <v>68</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8</v>
      </c>
    </row>
    <row r="79" spans="1:6" x14ac:dyDescent="0.25">
      <c r="A79" s="8" t="s">
        <v>1467</v>
      </c>
      <c r="B79" s="3" t="s">
        <v>1467</v>
      </c>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5</v>
      </c>
    </row>
    <row r="80" spans="1:6" x14ac:dyDescent="0.25">
      <c r="A80" s="8" t="s">
        <v>46</v>
      </c>
      <c r="B80" s="3" t="s">
        <v>1119</v>
      </c>
      <c r="C80" s="9"/>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26</v>
      </c>
    </row>
    <row r="81" spans="1:6" x14ac:dyDescent="0.25">
      <c r="A81" s="8" t="s">
        <v>199</v>
      </c>
      <c r="B81" s="3" t="s">
        <v>323</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23</v>
      </c>
    </row>
    <row r="82" spans="1:6" x14ac:dyDescent="0.25">
      <c r="A82" s="8" t="s">
        <v>47</v>
      </c>
      <c r="B82" s="3" t="s">
        <v>1209</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27</v>
      </c>
    </row>
    <row r="83" spans="1:6" x14ac:dyDescent="0.25">
      <c r="A83" s="8" t="s">
        <v>151</v>
      </c>
      <c r="B83" s="3" t="s">
        <v>157</v>
      </c>
      <c r="C83" s="9"/>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9</v>
      </c>
    </row>
    <row r="84" spans="1:6" x14ac:dyDescent="0.25">
      <c r="A84" s="8" t="s">
        <v>136</v>
      </c>
      <c r="B84" s="3" t="s">
        <v>158</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13</v>
      </c>
    </row>
    <row r="85" spans="1:6" x14ac:dyDescent="0.25">
      <c r="A85" s="8" t="s">
        <v>139</v>
      </c>
      <c r="B85" s="3" t="s">
        <v>159</v>
      </c>
      <c r="C85" s="9"/>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23</v>
      </c>
    </row>
    <row r="86" spans="1:6" x14ac:dyDescent="0.25">
      <c r="A86" s="8" t="s">
        <v>211</v>
      </c>
      <c r="B86" s="3" t="s">
        <v>424</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32</v>
      </c>
    </row>
    <row r="87" spans="1:6" x14ac:dyDescent="0.25">
      <c r="A87" s="8" t="s">
        <v>1747</v>
      </c>
      <c r="B87" s="3" t="s">
        <v>1748</v>
      </c>
      <c r="D87" s="3" t="str">
        <f>IF(SIGN(IFERROR(SEARCH("\1",$A87),0))=SIGN(IFERROR(SEARCH("\1",B87),0)),".","!")&amp;
   IF(SIGN(IFERROR(SEARCH("\2",$A87),0))=SIGN(IFERROR(SEARCH("\2",B87),0)),".","!")&amp;
   IF(SIGN(IFERROR(SEARCH("\3",$A87),0))=SIGN(IFERROR(SEARCH("\3",B87),0)),".","!")</f>
        <v>...</v>
      </c>
      <c r="E87" s="3" t="str">
        <f>IF(SIGN(IFERROR(SEARCH("\1",$A87),0))=SIGN(IFERROR(SEARCH("\1",C87),0)),".","!")&amp;
   IF(SIGN(IFERROR(SEARCH("\2",$A87),0))=SIGN(IFERROR(SEARCH("\2",C87),0)),".","!")&amp;
   IF(SIGN(IFERROR(SEARCH("\3",$A87),0))=SIGN(IFERROR(SEARCH("\3",C87),0)),".","!")</f>
        <v>...</v>
      </c>
      <c r="F87" s="3">
        <f>LEN(A87)</f>
        <v>26</v>
      </c>
    </row>
    <row r="88" spans="1:6" x14ac:dyDescent="0.25">
      <c r="A88" s="8" t="s">
        <v>140</v>
      </c>
      <c r="B88" s="3" t="s">
        <v>446</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32</v>
      </c>
    </row>
    <row r="89" spans="1:6" x14ac:dyDescent="0.25">
      <c r="A89" s="8" t="s">
        <v>1465</v>
      </c>
      <c r="B89" s="3" t="s">
        <v>1466</v>
      </c>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3</v>
      </c>
    </row>
    <row r="90" spans="1:6" x14ac:dyDescent="0.25">
      <c r="A90" s="8" t="s">
        <v>48</v>
      </c>
      <c r="B90" s="3" t="s">
        <v>49</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10</v>
      </c>
    </row>
    <row r="91" spans="1:6" x14ac:dyDescent="0.25">
      <c r="A91" s="8" t="s">
        <v>50</v>
      </c>
      <c r="B91" s="3" t="s">
        <v>51</v>
      </c>
      <c r="C91" s="9"/>
      <c r="D91" s="9" t="str">
        <f>IF(SIGN(IFERROR(SEARCH("\1",$A91),0))=SIGN(IFERROR(SEARCH("\1",B91),0)),".","!")&amp;
   IF(SIGN(IFERROR(SEARCH("\2",$A91),0))=SIGN(IFERROR(SEARCH("\2",B91),0)),".","!")&amp;
   IF(SIGN(IFERROR(SEARCH("\3",$A91),0))=SIGN(IFERROR(SEARCH("\3",B91),0)),".","!")</f>
        <v>...</v>
      </c>
      <c r="E91" s="9" t="str">
        <f>IF(SIGN(IFERROR(SEARCH("\1",$A91),0))=SIGN(IFERROR(SEARCH("\1",C91),0)),".","!")&amp;
   IF(SIGN(IFERROR(SEARCH("\2",$A91),0))=SIGN(IFERROR(SEARCH("\2",C91),0)),".","!")&amp;
   IF(SIGN(IFERROR(SEARCH("\3",$A91),0))=SIGN(IFERROR(SEARCH("\3",C91),0)),".","!")</f>
        <v>...</v>
      </c>
      <c r="F91" s="9">
        <f>LEN(A91)</f>
        <v>28</v>
      </c>
    </row>
    <row r="92" spans="1:6" x14ac:dyDescent="0.25">
      <c r="A92" s="8" t="s">
        <v>1170</v>
      </c>
      <c r="B92" s="3" t="s">
        <v>1171</v>
      </c>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29</v>
      </c>
    </row>
    <row r="93" spans="1:6" x14ac:dyDescent="0.25">
      <c r="A93" s="8" t="s">
        <v>324</v>
      </c>
      <c r="B93" s="3" t="s">
        <v>325</v>
      </c>
      <c r="C93" s="9"/>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18</v>
      </c>
    </row>
    <row r="94" spans="1:6" ht="30" x14ac:dyDescent="0.25">
      <c r="A94" s="8" t="s">
        <v>532</v>
      </c>
      <c r="B94" s="3" t="s">
        <v>533</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86</v>
      </c>
    </row>
    <row r="95" spans="1:6" x14ac:dyDescent="0.25">
      <c r="A95" s="8" t="s">
        <v>485</v>
      </c>
      <c r="B95" s="3" t="s">
        <v>489</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17</v>
      </c>
    </row>
    <row r="96" spans="1:6" x14ac:dyDescent="0.25">
      <c r="A96" s="8" t="s">
        <v>468</v>
      </c>
      <c r="B96" s="3" t="s">
        <v>490</v>
      </c>
      <c r="C96" s="9"/>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7</v>
      </c>
    </row>
    <row r="97" spans="1:6" x14ac:dyDescent="0.25">
      <c r="A97" s="8" t="s">
        <v>470</v>
      </c>
      <c r="B97" s="3" t="s">
        <v>491</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15</v>
      </c>
    </row>
    <row r="98" spans="1:6" x14ac:dyDescent="0.25">
      <c r="A98" s="8" t="s">
        <v>1394</v>
      </c>
      <c r="B98" s="3" t="s">
        <v>1395</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18</v>
      </c>
    </row>
    <row r="99" spans="1:6" x14ac:dyDescent="0.25">
      <c r="A99" s="8" t="s">
        <v>238</v>
      </c>
      <c r="B99" s="3" t="s">
        <v>1122</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22</v>
      </c>
    </row>
    <row r="100" spans="1:6" x14ac:dyDescent="0.25">
      <c r="A100" s="8" t="s">
        <v>475</v>
      </c>
      <c r="B100" s="3" t="s">
        <v>1210</v>
      </c>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13</v>
      </c>
    </row>
    <row r="101" spans="1:6" x14ac:dyDescent="0.25">
      <c r="A101" s="8" t="s">
        <v>1698</v>
      </c>
      <c r="B101" s="3" t="s">
        <v>486</v>
      </c>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28</v>
      </c>
    </row>
    <row r="102" spans="1:6" x14ac:dyDescent="0.25">
      <c r="A102" s="8" t="s">
        <v>1040</v>
      </c>
      <c r="B102" s="3" t="s">
        <v>1040</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v>
      </c>
    </row>
    <row r="103" spans="1:6" ht="30" x14ac:dyDescent="0.25">
      <c r="A103" s="8" t="s">
        <v>291</v>
      </c>
      <c r="B103" s="3" t="s">
        <v>326</v>
      </c>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30</v>
      </c>
    </row>
    <row r="104" spans="1:6" ht="30" x14ac:dyDescent="0.25">
      <c r="A104" s="8" t="s">
        <v>1182</v>
      </c>
      <c r="B104" s="3" t="s">
        <v>1183</v>
      </c>
      <c r="C104" s="9"/>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10</v>
      </c>
    </row>
    <row r="105" spans="1:6" ht="30" x14ac:dyDescent="0.25">
      <c r="A105" s="8" t="s">
        <v>455</v>
      </c>
      <c r="B105" s="3" t="s">
        <v>327</v>
      </c>
      <c r="C105" s="9"/>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70</v>
      </c>
    </row>
    <row r="106" spans="1:6" ht="30" x14ac:dyDescent="0.25">
      <c r="A106" s="8" t="s">
        <v>425</v>
      </c>
      <c r="B106" s="3" t="s">
        <v>328</v>
      </c>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68</v>
      </c>
    </row>
    <row r="107" spans="1:6" x14ac:dyDescent="0.25">
      <c r="A107" s="8" t="s">
        <v>1248</v>
      </c>
      <c r="B107" s="3" t="s">
        <v>1249</v>
      </c>
      <c r="C107" s="9"/>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25</v>
      </c>
    </row>
    <row r="108" spans="1:6" x14ac:dyDescent="0.25">
      <c r="A108" s="8" t="s">
        <v>426</v>
      </c>
      <c r="B108" s="3" t="s">
        <v>427</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63</v>
      </c>
    </row>
    <row r="109" spans="1:6" ht="30" x14ac:dyDescent="0.25">
      <c r="A109" s="8" t="s">
        <v>1135</v>
      </c>
      <c r="B109" s="3" t="s">
        <v>1134</v>
      </c>
      <c r="C109" s="9"/>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76</v>
      </c>
    </row>
    <row r="110" spans="1:6" ht="30" x14ac:dyDescent="0.25">
      <c r="A110" s="8" t="s">
        <v>1136</v>
      </c>
      <c r="B110" s="3" t="s">
        <v>1133</v>
      </c>
      <c r="C110" s="9"/>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69</v>
      </c>
    </row>
    <row r="111" spans="1:6" ht="30" x14ac:dyDescent="0.25">
      <c r="A111" s="8" t="s">
        <v>287</v>
      </c>
      <c r="B111" s="3" t="s">
        <v>329</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61</v>
      </c>
    </row>
    <row r="112" spans="1:6" ht="30" x14ac:dyDescent="0.25">
      <c r="A112" s="8" t="s">
        <v>1482</v>
      </c>
      <c r="B112" s="3" t="s">
        <v>1481</v>
      </c>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108</v>
      </c>
    </row>
    <row r="113" spans="1:6" x14ac:dyDescent="0.25">
      <c r="A113" s="8" t="s">
        <v>1022</v>
      </c>
      <c r="B113" s="3" t="s">
        <v>1023</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5</v>
      </c>
    </row>
    <row r="114" spans="1:6" x14ac:dyDescent="0.25">
      <c r="A114" s="8" t="s">
        <v>144</v>
      </c>
      <c r="B114" s="3" t="s">
        <v>160</v>
      </c>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15</v>
      </c>
    </row>
    <row r="115" spans="1:6" x14ac:dyDescent="0.25">
      <c r="A115" s="8" t="s">
        <v>1142</v>
      </c>
      <c r="B115" s="3" t="s">
        <v>1143</v>
      </c>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32</v>
      </c>
    </row>
    <row r="116" spans="1:6" x14ac:dyDescent="0.25">
      <c r="A116" s="8" t="s">
        <v>1090</v>
      </c>
      <c r="B116" s="3" t="s">
        <v>1092</v>
      </c>
      <c r="C116" s="9"/>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12</v>
      </c>
    </row>
    <row r="117" spans="1:6" x14ac:dyDescent="0.25">
      <c r="A117" s="8" t="s">
        <v>477</v>
      </c>
      <c r="B117" s="3" t="s">
        <v>1127</v>
      </c>
      <c r="C117" s="9"/>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12</v>
      </c>
    </row>
    <row r="118" spans="1:6" x14ac:dyDescent="0.25">
      <c r="A118" s="8" t="s">
        <v>309</v>
      </c>
      <c r="B118" s="3" t="s">
        <v>330</v>
      </c>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4</v>
      </c>
    </row>
    <row r="119" spans="1:6" x14ac:dyDescent="0.25">
      <c r="A119" s="8" t="s">
        <v>1254</v>
      </c>
      <c r="B119" s="3" t="s">
        <v>1255</v>
      </c>
      <c r="C119" s="9"/>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31</v>
      </c>
    </row>
    <row r="120" spans="1:6" x14ac:dyDescent="0.25">
      <c r="A120" s="8" t="s">
        <v>544</v>
      </c>
      <c r="B120" s="3" t="s">
        <v>553</v>
      </c>
      <c r="C120" s="9"/>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12</v>
      </c>
    </row>
    <row r="121" spans="1:6" x14ac:dyDescent="0.25">
      <c r="A121" s="8" t="s">
        <v>52</v>
      </c>
      <c r="B121" s="3" t="s">
        <v>428</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15</v>
      </c>
    </row>
    <row r="122" spans="1:6" x14ac:dyDescent="0.25">
      <c r="A122" s="8" t="s">
        <v>549</v>
      </c>
      <c r="B122" s="3" t="s">
        <v>557</v>
      </c>
      <c r="C122" s="9"/>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22</v>
      </c>
    </row>
    <row r="123" spans="1:6" x14ac:dyDescent="0.25">
      <c r="A123" s="8" t="s">
        <v>550</v>
      </c>
      <c r="B123" s="3" t="s">
        <v>558</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23</v>
      </c>
    </row>
    <row r="124" spans="1:6" x14ac:dyDescent="0.25">
      <c r="A124" s="8" t="s">
        <v>1226</v>
      </c>
      <c r="B124" s="3" t="s">
        <v>1232</v>
      </c>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39</v>
      </c>
    </row>
    <row r="125" spans="1:6" x14ac:dyDescent="0.25">
      <c r="A125" s="8" t="s">
        <v>1227</v>
      </c>
      <c r="B125" s="3" t="s">
        <v>1233</v>
      </c>
      <c r="C125" s="9"/>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40</v>
      </c>
    </row>
    <row r="126" spans="1:6" x14ac:dyDescent="0.25">
      <c r="A126" s="8" t="s">
        <v>1114</v>
      </c>
      <c r="B126" s="3" t="s">
        <v>1115</v>
      </c>
      <c r="C126" s="9"/>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41</v>
      </c>
    </row>
    <row r="127" spans="1:6" ht="30" x14ac:dyDescent="0.25">
      <c r="A127" s="8" t="s">
        <v>1112</v>
      </c>
      <c r="B127" s="3" t="s">
        <v>1113</v>
      </c>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43</v>
      </c>
    </row>
    <row r="128" spans="1:6" x14ac:dyDescent="0.25">
      <c r="A128" s="8" t="s">
        <v>583</v>
      </c>
      <c r="B128" s="3" t="s">
        <v>584</v>
      </c>
      <c r="C128" s="9"/>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26</v>
      </c>
    </row>
    <row r="129" spans="1:6" x14ac:dyDescent="0.25">
      <c r="A129" s="8" t="s">
        <v>509</v>
      </c>
      <c r="B129" s="3" t="s">
        <v>510</v>
      </c>
      <c r="C129" s="9"/>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72</v>
      </c>
    </row>
    <row r="130" spans="1:6" x14ac:dyDescent="0.25">
      <c r="A130" s="8" t="s">
        <v>1366</v>
      </c>
      <c r="B130" s="3" t="s">
        <v>1367</v>
      </c>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48</v>
      </c>
    </row>
    <row r="131" spans="1:6" x14ac:dyDescent="0.25">
      <c r="A131" s="8" t="s">
        <v>894</v>
      </c>
      <c r="B131" s="3" t="s">
        <v>895</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13</v>
      </c>
    </row>
    <row r="132" spans="1:6" x14ac:dyDescent="0.25">
      <c r="A132" s="8" t="s">
        <v>181</v>
      </c>
      <c r="B132" s="3" t="s">
        <v>183</v>
      </c>
      <c r="C132" s="9"/>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9</v>
      </c>
    </row>
    <row r="133" spans="1:6" x14ac:dyDescent="0.25">
      <c r="A133" s="8" t="s">
        <v>220</v>
      </c>
      <c r="B133" s="3" t="s">
        <v>331</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22</v>
      </c>
    </row>
    <row r="134" spans="1:6" x14ac:dyDescent="0.25">
      <c r="A134" s="8" t="s">
        <v>182</v>
      </c>
      <c r="B134" s="3" t="s">
        <v>184</v>
      </c>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8</v>
      </c>
    </row>
    <row r="135" spans="1:6" x14ac:dyDescent="0.25">
      <c r="A135" s="8" t="s">
        <v>947</v>
      </c>
      <c r="B135" s="3" t="s">
        <v>948</v>
      </c>
      <c r="C135" s="9"/>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35</v>
      </c>
    </row>
    <row r="136" spans="1:6" x14ac:dyDescent="0.25">
      <c r="A136" s="8" t="s">
        <v>332</v>
      </c>
      <c r="B136" s="3" t="s">
        <v>1108</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40</v>
      </c>
    </row>
    <row r="137" spans="1:6" x14ac:dyDescent="0.25">
      <c r="A137" s="8" t="s">
        <v>145</v>
      </c>
      <c r="B137" s="3" t="s">
        <v>161</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6</v>
      </c>
    </row>
    <row r="138" spans="1:6" x14ac:dyDescent="0.25">
      <c r="A138" s="8" t="s">
        <v>186</v>
      </c>
      <c r="B138" s="3" t="s">
        <v>185</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5</v>
      </c>
    </row>
    <row r="139" spans="1:6" x14ac:dyDescent="0.25">
      <c r="A139" s="8" t="s">
        <v>481</v>
      </c>
      <c r="B139" s="3" t="s">
        <v>492</v>
      </c>
      <c r="C139" s="9"/>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6</v>
      </c>
    </row>
    <row r="140" spans="1:6" x14ac:dyDescent="0.25">
      <c r="A140" s="8" t="s">
        <v>146</v>
      </c>
      <c r="B140" s="3" t="s">
        <v>162</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10</v>
      </c>
    </row>
    <row r="141" spans="1:6" x14ac:dyDescent="0.25">
      <c r="A141" s="8" t="s">
        <v>1471</v>
      </c>
      <c r="B141" s="3" t="s">
        <v>1474</v>
      </c>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34</v>
      </c>
    </row>
    <row r="142" spans="1:6" x14ac:dyDescent="0.25">
      <c r="A142" s="8" t="s">
        <v>187</v>
      </c>
      <c r="B142" s="3" t="s">
        <v>187</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5</v>
      </c>
    </row>
    <row r="143" spans="1:6" x14ac:dyDescent="0.25">
      <c r="A143" s="8" t="s">
        <v>987</v>
      </c>
      <c r="B143" s="3" t="s">
        <v>988</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27</v>
      </c>
    </row>
    <row r="144" spans="1:6" x14ac:dyDescent="0.25">
      <c r="A144" s="8" t="s">
        <v>147</v>
      </c>
      <c r="B144" s="3" t="s">
        <v>147</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9</v>
      </c>
    </row>
    <row r="145" spans="1:6" x14ac:dyDescent="0.25">
      <c r="A145" s="8" t="s">
        <v>463</v>
      </c>
      <c r="B145" s="3" t="s">
        <v>493</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5</v>
      </c>
    </row>
    <row r="146" spans="1:6" x14ac:dyDescent="0.25">
      <c r="A146" s="8" t="s">
        <v>511</v>
      </c>
      <c r="B146" s="3" t="s">
        <v>512</v>
      </c>
      <c r="C146" s="9"/>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32</v>
      </c>
    </row>
    <row r="147" spans="1:6" x14ac:dyDescent="0.25">
      <c r="A147" s="8" t="s">
        <v>302</v>
      </c>
      <c r="B147" s="3" t="s">
        <v>429</v>
      </c>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13</v>
      </c>
    </row>
    <row r="148" spans="1:6" x14ac:dyDescent="0.25">
      <c r="A148" s="8" t="s">
        <v>1298</v>
      </c>
      <c r="B148" s="3" t="s">
        <v>1299</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35</v>
      </c>
    </row>
    <row r="149" spans="1:6" x14ac:dyDescent="0.25">
      <c r="A149" s="8" t="s">
        <v>55</v>
      </c>
      <c r="B149" s="3" t="s">
        <v>433</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17</v>
      </c>
    </row>
    <row r="150" spans="1:6" x14ac:dyDescent="0.25">
      <c r="A150" s="8" t="s">
        <v>56</v>
      </c>
      <c r="B150" s="3" t="s">
        <v>432</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17</v>
      </c>
    </row>
    <row r="151" spans="1:6" x14ac:dyDescent="0.25">
      <c r="A151" s="8" t="s">
        <v>57</v>
      </c>
      <c r="B151" s="3" t="s">
        <v>431</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15</v>
      </c>
    </row>
    <row r="152" spans="1:6" x14ac:dyDescent="0.25">
      <c r="A152" s="8" t="s">
        <v>58</v>
      </c>
      <c r="B152" s="3" t="s">
        <v>430</v>
      </c>
      <c r="C152" s="9"/>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25</v>
      </c>
    </row>
    <row r="153" spans="1:6" x14ac:dyDescent="0.25">
      <c r="A153" s="8" t="s">
        <v>1095</v>
      </c>
      <c r="B153" s="3" t="s">
        <v>53</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19</v>
      </c>
    </row>
    <row r="154" spans="1:6" x14ac:dyDescent="0.25">
      <c r="A154" s="8" t="s">
        <v>1096</v>
      </c>
      <c r="B154" s="3" t="s">
        <v>54</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20</v>
      </c>
    </row>
    <row r="155" spans="1:6" x14ac:dyDescent="0.25">
      <c r="A155" s="8" t="s">
        <v>255</v>
      </c>
      <c r="B155" s="3" t="s">
        <v>333</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18</v>
      </c>
    </row>
    <row r="156" spans="1:6" x14ac:dyDescent="0.25">
      <c r="A156" s="8" t="s">
        <v>205</v>
      </c>
      <c r="B156" s="3" t="s">
        <v>334</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19</v>
      </c>
    </row>
    <row r="157" spans="1:6" x14ac:dyDescent="0.25">
      <c r="A157" s="8" t="s">
        <v>454</v>
      </c>
      <c r="B157" s="3" t="s">
        <v>994</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62</v>
      </c>
    </row>
    <row r="158" spans="1:6" x14ac:dyDescent="0.25">
      <c r="A158" s="8" t="s">
        <v>453</v>
      </c>
      <c r="B158" s="3" t="s">
        <v>995</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67</v>
      </c>
    </row>
    <row r="159" spans="1:6" x14ac:dyDescent="0.25">
      <c r="A159" s="8" t="s">
        <v>188</v>
      </c>
      <c r="B159" s="3" t="s">
        <v>434</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12</v>
      </c>
    </row>
    <row r="160" spans="1:6" x14ac:dyDescent="0.25">
      <c r="A160" s="8" t="s">
        <v>150</v>
      </c>
      <c r="B160" s="3" t="s">
        <v>163</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10</v>
      </c>
    </row>
    <row r="161" spans="1:6" x14ac:dyDescent="0.25">
      <c r="A161" s="8" t="s">
        <v>543</v>
      </c>
      <c r="B161" s="3" t="s">
        <v>554</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24</v>
      </c>
    </row>
    <row r="162" spans="1:6" x14ac:dyDescent="0.25">
      <c r="A162" s="8" t="s">
        <v>149</v>
      </c>
      <c r="B162" s="3" t="s">
        <v>164</v>
      </c>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9</v>
      </c>
    </row>
    <row r="163" spans="1:6" x14ac:dyDescent="0.25">
      <c r="A163" s="8" t="s">
        <v>1656</v>
      </c>
      <c r="B163" s="3" t="s">
        <v>1667</v>
      </c>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14</v>
      </c>
    </row>
    <row r="164" spans="1:6" x14ac:dyDescent="0.25">
      <c r="A164" s="8" t="s">
        <v>1744</v>
      </c>
      <c r="B164" s="3" t="s">
        <v>1745</v>
      </c>
      <c r="D164" s="3" t="str">
        <f>IF(SIGN(IFERROR(SEARCH("\1",$A164),0))=SIGN(IFERROR(SEARCH("\1",B164),0)),".","!")&amp;
   IF(SIGN(IFERROR(SEARCH("\2",$A164),0))=SIGN(IFERROR(SEARCH("\2",B164),0)),".","!")&amp;
   IF(SIGN(IFERROR(SEARCH("\3",$A164),0))=SIGN(IFERROR(SEARCH("\3",B164),0)),".","!")</f>
        <v>...</v>
      </c>
      <c r="E164" s="3" t="str">
        <f>IF(SIGN(IFERROR(SEARCH("\1",$A164),0))=SIGN(IFERROR(SEARCH("\1",C164),0)),".","!")&amp;
   IF(SIGN(IFERROR(SEARCH("\2",$A164),0))=SIGN(IFERROR(SEARCH("\2",C164),0)),".","!")&amp;
   IF(SIGN(IFERROR(SEARCH("\3",$A164),0))=SIGN(IFERROR(SEARCH("\3",C164),0)),".","!")</f>
        <v>...</v>
      </c>
      <c r="F164" s="3">
        <f>LEN(A164)</f>
        <v>21</v>
      </c>
    </row>
    <row r="165" spans="1:6" x14ac:dyDescent="0.25">
      <c r="A165" s="8" t="s">
        <v>1089</v>
      </c>
      <c r="B165" s="3" t="s">
        <v>1091</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8</v>
      </c>
    </row>
    <row r="166" spans="1:6" x14ac:dyDescent="0.25">
      <c r="A166" s="8" t="s">
        <v>1364</v>
      </c>
      <c r="B166" s="3" t="s">
        <v>1365</v>
      </c>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34</v>
      </c>
    </row>
    <row r="167" spans="1:6" x14ac:dyDescent="0.25">
      <c r="A167" s="8" t="s">
        <v>1371</v>
      </c>
      <c r="B167" s="3" t="s">
        <v>1363</v>
      </c>
      <c r="C167" s="9"/>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39</v>
      </c>
    </row>
    <row r="168" spans="1:6" x14ac:dyDescent="0.25">
      <c r="A168" s="8" t="s">
        <v>1384</v>
      </c>
      <c r="B168" s="3" t="s">
        <v>1385</v>
      </c>
      <c r="D168" s="9" t="str">
        <f>IF(SIGN(IFERROR(SEARCH("\1",$A168),0))=SIGN(IFERROR(SEARCH("\1",B168),0)),".","!")&amp;
   IF(SIGN(IFERROR(SEARCH("\2",$A168),0))=SIGN(IFERROR(SEARCH("\2",B168),0)),".","!")&amp;
   IF(SIGN(IFERROR(SEARCH("\3",$A168),0))=SIGN(IFERROR(SEARCH("\3",B168),0)),".","!")</f>
        <v>...</v>
      </c>
      <c r="E168" s="9" t="str">
        <f>IF(SIGN(IFERROR(SEARCH("\1",$A168),0))=SIGN(IFERROR(SEARCH("\1",C168),0)),".","!")&amp;
   IF(SIGN(IFERROR(SEARCH("\2",$A168),0))=SIGN(IFERROR(SEARCH("\2",C168),0)),".","!")&amp;
   IF(SIGN(IFERROR(SEARCH("\3",$A168),0))=SIGN(IFERROR(SEARCH("\3",C168),0)),".","!")</f>
        <v>...</v>
      </c>
      <c r="F168" s="9">
        <f>LEN(A168)</f>
        <v>5</v>
      </c>
    </row>
    <row r="169" spans="1:6" x14ac:dyDescent="0.25">
      <c r="A169" s="8" t="s">
        <v>275</v>
      </c>
      <c r="B169" s="3" t="s">
        <v>382</v>
      </c>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27</v>
      </c>
    </row>
    <row r="170" spans="1:6" x14ac:dyDescent="0.25">
      <c r="A170" s="8" t="s">
        <v>1289</v>
      </c>
      <c r="B170" s="3" t="s">
        <v>1290</v>
      </c>
      <c r="D170" s="9"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30</v>
      </c>
    </row>
    <row r="171" spans="1:6" x14ac:dyDescent="0.25">
      <c r="A171" s="8" t="s">
        <v>304</v>
      </c>
      <c r="B171" s="3" t="s">
        <v>304</v>
      </c>
      <c r="D171" s="9" t="str">
        <f>IF(SIGN(IFERROR(SEARCH("\1",$A171),0))=SIGN(IFERROR(SEARCH("\1",B171),0)),".","!")&amp;
   IF(SIGN(IFERROR(SEARCH("\2",$A171),0))=SIGN(IFERROR(SEARCH("\2",B171),0)),".","!")&amp;
   IF(SIGN(IFERROR(SEARCH("\3",$A171),0))=SIGN(IFERROR(SEARCH("\3",B171),0)),".","!")</f>
        <v>...</v>
      </c>
      <c r="E171" s="9" t="str">
        <f>IF(SIGN(IFERROR(SEARCH("\1",$A171),0))=SIGN(IFERROR(SEARCH("\1",C171),0)),".","!")&amp;
   IF(SIGN(IFERROR(SEARCH("\2",$A171),0))=SIGN(IFERROR(SEARCH("\2",C171),0)),".","!")&amp;
   IF(SIGN(IFERROR(SEARCH("\3",$A171),0))=SIGN(IFERROR(SEARCH("\3",C171),0)),".","!")</f>
        <v>...</v>
      </c>
      <c r="F171" s="9">
        <f>LEN(A171)</f>
        <v>7</v>
      </c>
    </row>
    <row r="172" spans="1:6" x14ac:dyDescent="0.25">
      <c r="A172" s="8" t="s">
        <v>59</v>
      </c>
      <c r="B172" s="3" t="s">
        <v>59</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8</v>
      </c>
    </row>
    <row r="173" spans="1:6" x14ac:dyDescent="0.25">
      <c r="A173" s="8" t="s">
        <v>60</v>
      </c>
      <c r="B173" s="3" t="s">
        <v>61</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14</v>
      </c>
    </row>
    <row r="174" spans="1:6" x14ac:dyDescent="0.25">
      <c r="A174" s="8" t="s">
        <v>62</v>
      </c>
      <c r="B174" s="3" t="s">
        <v>63</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15</v>
      </c>
    </row>
    <row r="175" spans="1:6" x14ac:dyDescent="0.25">
      <c r="A175" s="8" t="s">
        <v>258</v>
      </c>
      <c r="B175" s="3" t="s">
        <v>385</v>
      </c>
      <c r="C175" s="9"/>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5</v>
      </c>
    </row>
    <row r="176" spans="1:6" x14ac:dyDescent="0.25">
      <c r="A176" s="8" t="s">
        <v>1082</v>
      </c>
      <c r="B176" s="3" t="s">
        <v>1123</v>
      </c>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11</v>
      </c>
    </row>
    <row r="177" spans="1:6" x14ac:dyDescent="0.25">
      <c r="A177" s="8" t="s">
        <v>64</v>
      </c>
      <c r="B177" s="3" t="s">
        <v>65</v>
      </c>
      <c r="D177" s="9" t="str">
        <f>IF(SIGN(IFERROR(SEARCH("\1",$A177),0))=SIGN(IFERROR(SEARCH("\1",B177),0)),".","!")&amp;
   IF(SIGN(IFERROR(SEARCH("\2",$A177),0))=SIGN(IFERROR(SEARCH("\2",B177),0)),".","!")&amp;
   IF(SIGN(IFERROR(SEARCH("\3",$A177),0))=SIGN(IFERROR(SEARCH("\3",B177),0)),".","!")</f>
        <v>...</v>
      </c>
      <c r="E177" s="9" t="str">
        <f>IF(SIGN(IFERROR(SEARCH("\1",$A177),0))=SIGN(IFERROR(SEARCH("\1",C177),0)),".","!")&amp;
   IF(SIGN(IFERROR(SEARCH("\2",$A177),0))=SIGN(IFERROR(SEARCH("\2",C177),0)),".","!")&amp;
   IF(SIGN(IFERROR(SEARCH("\3",$A177),0))=SIGN(IFERROR(SEARCH("\3",C177),0)),".","!")</f>
        <v>...</v>
      </c>
      <c r="F177" s="9">
        <f>LEN(A177)</f>
        <v>56</v>
      </c>
    </row>
    <row r="178" spans="1:6" x14ac:dyDescent="0.25">
      <c r="A178" s="8" t="s">
        <v>66</v>
      </c>
      <c r="B178" s="3" t="s">
        <v>435</v>
      </c>
      <c r="C178" s="9"/>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7</v>
      </c>
    </row>
    <row r="179" spans="1:6" ht="45" x14ac:dyDescent="0.25">
      <c r="A179" s="8" t="s">
        <v>121</v>
      </c>
      <c r="B179" s="3" t="s">
        <v>127</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13</v>
      </c>
    </row>
    <row r="180" spans="1:6" x14ac:dyDescent="0.25">
      <c r="A180" s="8" t="s">
        <v>949</v>
      </c>
      <c r="B180" s="3" t="s">
        <v>950</v>
      </c>
      <c r="C180" s="9"/>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26</v>
      </c>
    </row>
    <row r="181" spans="1:6" x14ac:dyDescent="0.25">
      <c r="A181" s="8" t="s">
        <v>296</v>
      </c>
      <c r="B181" s="3" t="s">
        <v>436</v>
      </c>
      <c r="C181" s="9"/>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23</v>
      </c>
    </row>
    <row r="182" spans="1:6" ht="45" x14ac:dyDescent="0.25">
      <c r="A182" s="8" t="s">
        <v>1673</v>
      </c>
      <c r="B182" s="3" t="s">
        <v>1672</v>
      </c>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144</v>
      </c>
    </row>
    <row r="183" spans="1:6" x14ac:dyDescent="0.25">
      <c r="A183" s="8" t="s">
        <v>67</v>
      </c>
      <c r="B183" s="3" t="s">
        <v>68</v>
      </c>
      <c r="C183" s="9"/>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10</v>
      </c>
    </row>
    <row r="184" spans="1:6" x14ac:dyDescent="0.25">
      <c r="A184" s="8" t="s">
        <v>301</v>
      </c>
      <c r="B184" s="3" t="s">
        <v>1104</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46</v>
      </c>
    </row>
    <row r="185" spans="1:6" x14ac:dyDescent="0.25">
      <c r="A185" s="8" t="s">
        <v>297</v>
      </c>
      <c r="B185" s="3" t="s">
        <v>1105</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57</v>
      </c>
    </row>
    <row r="186" spans="1:6" x14ac:dyDescent="0.25">
      <c r="A186" s="8" t="s">
        <v>299</v>
      </c>
      <c r="B186" s="3" t="s">
        <v>1106</v>
      </c>
      <c r="C186" s="9"/>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52</v>
      </c>
    </row>
    <row r="187" spans="1:6" x14ac:dyDescent="0.25">
      <c r="A187" s="8" t="s">
        <v>559</v>
      </c>
      <c r="B187" s="3" t="s">
        <v>1107</v>
      </c>
      <c r="C187" s="9"/>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63</v>
      </c>
    </row>
    <row r="188" spans="1:6" x14ac:dyDescent="0.25">
      <c r="A188" s="8" t="s">
        <v>1381</v>
      </c>
      <c r="B188" s="3" t="s">
        <v>1400</v>
      </c>
      <c r="C188" s="9"/>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22</v>
      </c>
    </row>
    <row r="189" spans="1:6" x14ac:dyDescent="0.25">
      <c r="A189" s="8" t="s">
        <v>1242</v>
      </c>
      <c r="B189" s="3" t="s">
        <v>1243</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14</v>
      </c>
    </row>
    <row r="190" spans="1:6" x14ac:dyDescent="0.25">
      <c r="A190" s="8" t="s">
        <v>269</v>
      </c>
      <c r="B190" s="3" t="s">
        <v>335</v>
      </c>
      <c r="C190" s="9"/>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13</v>
      </c>
    </row>
    <row r="191" spans="1:6" x14ac:dyDescent="0.25">
      <c r="A191" s="8" t="s">
        <v>551</v>
      </c>
      <c r="B191" s="3" t="s">
        <v>555</v>
      </c>
      <c r="C191" s="9"/>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20</v>
      </c>
    </row>
    <row r="192" spans="1:6" x14ac:dyDescent="0.25">
      <c r="A192" s="8" t="s">
        <v>337</v>
      </c>
      <c r="B192" s="3" t="s">
        <v>336</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23</v>
      </c>
    </row>
    <row r="193" spans="1:6" x14ac:dyDescent="0.25">
      <c r="A193" s="8" t="s">
        <v>281</v>
      </c>
      <c r="B193" s="3" t="s">
        <v>338</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38</v>
      </c>
    </row>
    <row r="194" spans="1:6" x14ac:dyDescent="0.25">
      <c r="A194" s="8" t="s">
        <v>465</v>
      </c>
      <c r="B194" s="3" t="s">
        <v>494</v>
      </c>
      <c r="C194" s="9"/>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34</v>
      </c>
    </row>
    <row r="195" spans="1:6" x14ac:dyDescent="0.25">
      <c r="A195" s="8" t="s">
        <v>464</v>
      </c>
      <c r="B195" s="3" t="s">
        <v>495</v>
      </c>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39</v>
      </c>
    </row>
    <row r="196" spans="1:6" x14ac:dyDescent="0.25">
      <c r="A196" s="8" t="s">
        <v>466</v>
      </c>
      <c r="B196" s="3" t="s">
        <v>496</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23</v>
      </c>
    </row>
    <row r="197" spans="1:6" x14ac:dyDescent="0.25">
      <c r="A197" s="8" t="s">
        <v>507</v>
      </c>
      <c r="B197" s="3" t="s">
        <v>508</v>
      </c>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29</v>
      </c>
    </row>
    <row r="198" spans="1:6" x14ac:dyDescent="0.25">
      <c r="A198" s="8" t="s">
        <v>467</v>
      </c>
      <c r="B198" s="3" t="s">
        <v>1211</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33</v>
      </c>
    </row>
    <row r="199" spans="1:6" x14ac:dyDescent="0.25">
      <c r="A199" s="8" t="s">
        <v>565</v>
      </c>
      <c r="B199" s="3" t="s">
        <v>996</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55</v>
      </c>
    </row>
    <row r="200" spans="1:6" x14ac:dyDescent="0.25">
      <c r="A200" s="8" t="s">
        <v>527</v>
      </c>
      <c r="B200" s="3" t="s">
        <v>528</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25</v>
      </c>
    </row>
    <row r="201" spans="1:6" x14ac:dyDescent="0.25">
      <c r="A201" s="8" t="s">
        <v>1605</v>
      </c>
      <c r="B201" s="3" t="s">
        <v>573</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28</v>
      </c>
    </row>
    <row r="202" spans="1:6" x14ac:dyDescent="0.25">
      <c r="A202" s="8" t="s">
        <v>69</v>
      </c>
      <c r="B202" s="3" t="s">
        <v>437</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22</v>
      </c>
    </row>
    <row r="203" spans="1:6" x14ac:dyDescent="0.25">
      <c r="A203" s="8" t="s">
        <v>253</v>
      </c>
      <c r="B203" s="3" t="s">
        <v>339</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29</v>
      </c>
    </row>
    <row r="204" spans="1:6" x14ac:dyDescent="0.25">
      <c r="A204" s="8" t="s">
        <v>274</v>
      </c>
      <c r="B204" s="3" t="s">
        <v>386</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31</v>
      </c>
    </row>
    <row r="205" spans="1:6" x14ac:dyDescent="0.25">
      <c r="A205" s="8" t="s">
        <v>272</v>
      </c>
      <c r="B205" s="3" t="s">
        <v>387</v>
      </c>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30</v>
      </c>
    </row>
    <row r="206" spans="1:6" x14ac:dyDescent="0.25">
      <c r="A206" s="8" t="s">
        <v>341</v>
      </c>
      <c r="B206" s="3" t="s">
        <v>340</v>
      </c>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23</v>
      </c>
    </row>
    <row r="207" spans="1:6" x14ac:dyDescent="0.25">
      <c r="A207" s="8" t="s">
        <v>259</v>
      </c>
      <c r="B207" s="3" t="s">
        <v>342</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50</v>
      </c>
    </row>
    <row r="208" spans="1:6" x14ac:dyDescent="0.25">
      <c r="A208" s="8" t="s">
        <v>1269</v>
      </c>
      <c r="B208" s="3" t="s">
        <v>1270</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28</v>
      </c>
    </row>
    <row r="209" spans="1:6" x14ac:dyDescent="0.25">
      <c r="A209" s="8" t="s">
        <v>1240</v>
      </c>
      <c r="B209" s="3" t="s">
        <v>1241</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9</v>
      </c>
    </row>
    <row r="210" spans="1:6" x14ac:dyDescent="0.25">
      <c r="A210" s="8" t="s">
        <v>1055</v>
      </c>
      <c r="B210" s="3" t="s">
        <v>1056</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11</v>
      </c>
    </row>
    <row r="211" spans="1:6" x14ac:dyDescent="0.25">
      <c r="A211" s="8" t="s">
        <v>476</v>
      </c>
      <c r="B211" s="3" t="s">
        <v>497</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9</v>
      </c>
    </row>
    <row r="212" spans="1:6" x14ac:dyDescent="0.25">
      <c r="A212" s="8" t="s">
        <v>471</v>
      </c>
      <c r="B212" s="3" t="s">
        <v>1125</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24</v>
      </c>
    </row>
    <row r="213" spans="1:6" x14ac:dyDescent="0.25">
      <c r="A213" s="8" t="s">
        <v>271</v>
      </c>
      <c r="B213" s="3" t="s">
        <v>383</v>
      </c>
      <c r="C213" s="9"/>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24</v>
      </c>
    </row>
    <row r="214" spans="1:6" x14ac:dyDescent="0.25">
      <c r="A214" s="8" t="s">
        <v>152</v>
      </c>
      <c r="B214" s="8" t="s">
        <v>152</v>
      </c>
      <c r="D214" s="9" t="str">
        <f>IF(SIGN(IFERROR(SEARCH("\1",$A214),0))=SIGN(IFERROR(SEARCH("\1",B214),0)),".","!")&amp;
   IF(SIGN(IFERROR(SEARCH("\2",$A214),0))=SIGN(IFERROR(SEARCH("\2",B214),0)),".","!")&amp;
   IF(SIGN(IFERROR(SEARCH("\3",$A214),0))=SIGN(IFERROR(SEARCH("\3",B214),0)),".","!")</f>
        <v>...</v>
      </c>
      <c r="E214" s="3" t="str">
        <f>IF(SIGN(IFERROR(SEARCH("\1",$A214),0))=SIGN(IFERROR(SEARCH("\1",C214),0)),".","!")&amp;
   IF(SIGN(IFERROR(SEARCH("\2",$A214),0))=SIGN(IFERROR(SEARCH("\2",C214),0)),".","!")&amp;
   IF(SIGN(IFERROR(SEARCH("\3",$A214),0))=SIGN(IFERROR(SEARCH("\3",C214),0)),".","!")</f>
        <v>...</v>
      </c>
      <c r="F214" s="9">
        <f>LEN(A214)</f>
        <v>4</v>
      </c>
    </row>
    <row r="215" spans="1:6" x14ac:dyDescent="0.25">
      <c r="A215" s="8" t="s">
        <v>193</v>
      </c>
      <c r="B215" s="3" t="s">
        <v>447</v>
      </c>
      <c r="C215" s="9"/>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14</v>
      </c>
    </row>
    <row r="216" spans="1:6" x14ac:dyDescent="0.25">
      <c r="A216" s="8" t="s">
        <v>194</v>
      </c>
      <c r="B216" s="3" t="s">
        <v>448</v>
      </c>
      <c r="C216" s="9"/>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13</v>
      </c>
    </row>
    <row r="217" spans="1:6" x14ac:dyDescent="0.25">
      <c r="A217" s="8" t="s">
        <v>218</v>
      </c>
      <c r="B217" s="3" t="s">
        <v>343</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24</v>
      </c>
    </row>
    <row r="218" spans="1:6" x14ac:dyDescent="0.25">
      <c r="A218" s="8" t="s">
        <v>344</v>
      </c>
      <c r="B218" s="3" t="s">
        <v>344</v>
      </c>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9</v>
      </c>
    </row>
    <row r="219" spans="1:6" x14ac:dyDescent="0.25">
      <c r="A219" s="8" t="s">
        <v>345</v>
      </c>
      <c r="B219" s="3" t="s">
        <v>438</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10</v>
      </c>
    </row>
    <row r="220" spans="1:6" x14ac:dyDescent="0.25">
      <c r="A220" s="8" t="s">
        <v>70</v>
      </c>
      <c r="B220" s="3" t="s">
        <v>71</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48</v>
      </c>
    </row>
    <row r="221" spans="1:6" x14ac:dyDescent="0.25">
      <c r="A221" s="8" t="s">
        <v>530</v>
      </c>
      <c r="B221" s="3" t="s">
        <v>531</v>
      </c>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6</v>
      </c>
    </row>
    <row r="222" spans="1:6" x14ac:dyDescent="0.25">
      <c r="A222" s="8" t="s">
        <v>1085</v>
      </c>
      <c r="B222" s="3" t="s">
        <v>1088</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10</v>
      </c>
    </row>
    <row r="223" spans="1:6" x14ac:dyDescent="0.25">
      <c r="A223" s="8" t="s">
        <v>171</v>
      </c>
      <c r="B223" s="3" t="s">
        <v>175</v>
      </c>
      <c r="C223" s="9"/>
      <c r="D223" s="9" t="str">
        <f>IF(SIGN(IFERROR(SEARCH("\1",$A223),0))=SIGN(IFERROR(SEARCH("\1",B223),0)),".","!")&amp;
   IF(SIGN(IFERROR(SEARCH("\2",$A223),0))=SIGN(IFERROR(SEARCH("\2",B223),0)),".","!")&amp;
   IF(SIGN(IFERROR(SEARCH("\3",$A223),0))=SIGN(IFERROR(SEARCH("\3",B223),0)),".","!")</f>
        <v>...</v>
      </c>
      <c r="E223" s="9" t="str">
        <f>IF(SIGN(IFERROR(SEARCH("\1",$A223),0))=SIGN(IFERROR(SEARCH("\1",C223),0)),".","!")&amp;
   IF(SIGN(IFERROR(SEARCH("\2",$A223),0))=SIGN(IFERROR(SEARCH("\2",C223),0)),".","!")&amp;
   IF(SIGN(IFERROR(SEARCH("\3",$A223),0))=SIGN(IFERROR(SEARCH("\3",C223),0)),".","!")</f>
        <v>...</v>
      </c>
      <c r="F223" s="9">
        <f>LEN(A223)</f>
        <v>7</v>
      </c>
    </row>
    <row r="224" spans="1:6" x14ac:dyDescent="0.25">
      <c r="A224" s="8" t="s">
        <v>224</v>
      </c>
      <c r="B224" s="3" t="s">
        <v>346</v>
      </c>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5</v>
      </c>
    </row>
    <row r="225" spans="1:6" x14ac:dyDescent="0.25">
      <c r="A225" s="8" t="s">
        <v>574</v>
      </c>
      <c r="B225" s="3" t="s">
        <v>575</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43</v>
      </c>
    </row>
    <row r="226" spans="1:6" x14ac:dyDescent="0.25">
      <c r="A226" s="8" t="s">
        <v>1703</v>
      </c>
      <c r="B226" s="3" t="s">
        <v>1712</v>
      </c>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38</v>
      </c>
    </row>
    <row r="227" spans="1:6" x14ac:dyDescent="0.25">
      <c r="A227" s="8" t="s">
        <v>268</v>
      </c>
      <c r="B227" s="3" t="s">
        <v>997</v>
      </c>
      <c r="C227" s="9"/>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4</v>
      </c>
    </row>
    <row r="228" spans="1:6" x14ac:dyDescent="0.25">
      <c r="A228" s="8" t="s">
        <v>231</v>
      </c>
      <c r="B228" s="3" t="s">
        <v>998</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16</v>
      </c>
    </row>
    <row r="229" spans="1:6" x14ac:dyDescent="0.25">
      <c r="A229" s="8" t="s">
        <v>1168</v>
      </c>
      <c r="B229" s="3" t="s">
        <v>1169</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15</v>
      </c>
    </row>
    <row r="230" spans="1:6" x14ac:dyDescent="0.25">
      <c r="A230" s="8" t="s">
        <v>1660</v>
      </c>
      <c r="B230" s="3" t="s">
        <v>1671</v>
      </c>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8</v>
      </c>
    </row>
    <row r="231" spans="1:6" ht="30" x14ac:dyDescent="0.25">
      <c r="A231" s="8" t="s">
        <v>262</v>
      </c>
      <c r="B231" s="3" t="s">
        <v>347</v>
      </c>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11</v>
      </c>
    </row>
    <row r="232" spans="1:6" ht="30" x14ac:dyDescent="0.25">
      <c r="A232" s="8" t="s">
        <v>189</v>
      </c>
      <c r="B232" s="3" t="s">
        <v>189</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6</v>
      </c>
    </row>
    <row r="233" spans="1:6" ht="30" x14ac:dyDescent="0.25">
      <c r="A233" s="8" t="s">
        <v>72</v>
      </c>
      <c r="B233" s="3" t="s">
        <v>72</v>
      </c>
      <c r="C233" s="9"/>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3</v>
      </c>
    </row>
    <row r="234" spans="1:6" ht="30" x14ac:dyDescent="0.25">
      <c r="A234" s="8" t="s">
        <v>349</v>
      </c>
      <c r="B234" s="3" t="s">
        <v>348</v>
      </c>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47</v>
      </c>
    </row>
    <row r="235" spans="1:6" ht="30" x14ac:dyDescent="0.25">
      <c r="A235" s="8" t="s">
        <v>1662</v>
      </c>
      <c r="B235" s="3" t="s">
        <v>1675</v>
      </c>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103</v>
      </c>
    </row>
    <row r="236" spans="1:6" x14ac:dyDescent="0.25">
      <c r="A236" s="8" t="s">
        <v>1391</v>
      </c>
      <c r="B236" s="3" t="s">
        <v>1391</v>
      </c>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6</v>
      </c>
    </row>
    <row r="237" spans="1:6" ht="30" x14ac:dyDescent="0.25">
      <c r="A237" s="8" t="s">
        <v>1102</v>
      </c>
      <c r="B237" s="3" t="s">
        <v>1103</v>
      </c>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81</v>
      </c>
    </row>
    <row r="238" spans="1:6" x14ac:dyDescent="0.25">
      <c r="A238" s="8" t="s">
        <v>73</v>
      </c>
      <c r="B238" s="3" t="s">
        <v>73</v>
      </c>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18</v>
      </c>
    </row>
    <row r="239" spans="1:6" x14ac:dyDescent="0.25">
      <c r="A239" s="8" t="s">
        <v>273</v>
      </c>
      <c r="B239" s="3" t="s">
        <v>384</v>
      </c>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30</v>
      </c>
    </row>
    <row r="240" spans="1:6" x14ac:dyDescent="0.25">
      <c r="A240" s="8" t="s">
        <v>1039</v>
      </c>
      <c r="B240" s="3" t="s">
        <v>1039</v>
      </c>
      <c r="C240" s="9"/>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1</v>
      </c>
    </row>
    <row r="241" spans="1:6" x14ac:dyDescent="0.25">
      <c r="A241" s="8" t="s">
        <v>1054</v>
      </c>
      <c r="B241" s="3" t="s">
        <v>1057</v>
      </c>
      <c r="C241" s="9"/>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11</v>
      </c>
    </row>
    <row r="242" spans="1:6" x14ac:dyDescent="0.25">
      <c r="A242" s="8" t="s">
        <v>1386</v>
      </c>
      <c r="B242" s="3" t="s">
        <v>1387</v>
      </c>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18</v>
      </c>
    </row>
    <row r="243" spans="1:6" x14ac:dyDescent="0.25">
      <c r="A243" s="8" t="s">
        <v>1084</v>
      </c>
      <c r="B243" s="3" t="s">
        <v>1087</v>
      </c>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11</v>
      </c>
    </row>
    <row r="244" spans="1:6" x14ac:dyDescent="0.25">
      <c r="A244" s="8" t="s">
        <v>1478</v>
      </c>
      <c r="B244" s="3" t="s">
        <v>1475</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19</v>
      </c>
    </row>
    <row r="245" spans="1:6" x14ac:dyDescent="0.25">
      <c r="A245" s="8" t="s">
        <v>1479</v>
      </c>
      <c r="B245" s="3" t="s">
        <v>1476</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20</v>
      </c>
    </row>
    <row r="246" spans="1:6" x14ac:dyDescent="0.25">
      <c r="A246" s="8" t="s">
        <v>1480</v>
      </c>
      <c r="B246" s="3" t="s">
        <v>1477</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18</v>
      </c>
    </row>
    <row r="247" spans="1:6" x14ac:dyDescent="0.25">
      <c r="A247" s="8" t="s">
        <v>1455</v>
      </c>
      <c r="B247" s="3" t="s">
        <v>1455</v>
      </c>
      <c r="D247" s="9" t="str">
        <f>IF(SIGN(IFERROR(SEARCH("\1",$A247),0))=SIGN(IFERROR(SEARCH("\1",B247),0)),".","!")&amp;
   IF(SIGN(IFERROR(SEARCH("\2",$A247),0))=SIGN(IFERROR(SEARCH("\2",B247),0)),".","!")&amp;
   IF(SIGN(IFERROR(SEARCH("\3",$A247),0))=SIGN(IFERROR(SEARCH("\3",B247),0)),".","!")</f>
        <v>...</v>
      </c>
      <c r="E247" s="9" t="str">
        <f>IF(SIGN(IFERROR(SEARCH("\1",$A247),0))=SIGN(IFERROR(SEARCH("\1",C247),0)),".","!")&amp;
   IF(SIGN(IFERROR(SEARCH("\2",$A247),0))=SIGN(IFERROR(SEARCH("\2",C247),0)),".","!")&amp;
   IF(SIGN(IFERROR(SEARCH("\3",$A247),0))=SIGN(IFERROR(SEARCH("\3",C247),0)),".","!")</f>
        <v>...</v>
      </c>
      <c r="F247" s="9">
        <f>LEN(A247)</f>
        <v>18</v>
      </c>
    </row>
    <row r="248" spans="1:6" x14ac:dyDescent="0.25">
      <c r="A248" s="8" t="s">
        <v>1456</v>
      </c>
      <c r="B248" s="3" t="s">
        <v>1457</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12</v>
      </c>
    </row>
    <row r="249" spans="1:6" x14ac:dyDescent="0.25">
      <c r="A249" s="8" t="s">
        <v>1260</v>
      </c>
      <c r="B249" s="3" t="s">
        <v>1261</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16</v>
      </c>
    </row>
    <row r="250" spans="1:6" x14ac:dyDescent="0.25">
      <c r="A250" s="8" t="s">
        <v>1094</v>
      </c>
      <c r="B250" s="3" t="s">
        <v>1093</v>
      </c>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8</v>
      </c>
    </row>
    <row r="251" spans="1:6" x14ac:dyDescent="0.25">
      <c r="A251" s="8" t="s">
        <v>227</v>
      </c>
      <c r="B251" s="3" t="s">
        <v>350</v>
      </c>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5</v>
      </c>
    </row>
    <row r="252" spans="1:6" x14ac:dyDescent="0.25">
      <c r="A252" s="8" t="s">
        <v>254</v>
      </c>
      <c r="B252" s="3" t="s">
        <v>351</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33</v>
      </c>
    </row>
    <row r="253" spans="1:6" x14ac:dyDescent="0.25">
      <c r="A253" s="8" t="s">
        <v>1053</v>
      </c>
      <c r="B253" s="3" t="s">
        <v>1037</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8</v>
      </c>
    </row>
    <row r="254" spans="1:6" x14ac:dyDescent="0.25">
      <c r="A254" s="8" t="s">
        <v>195</v>
      </c>
      <c r="B254" s="3" t="s">
        <v>196</v>
      </c>
      <c r="D254" s="9" t="str">
        <f>IF(SIGN(IFERROR(SEARCH("\1",$A254),0))=SIGN(IFERROR(SEARCH("\1",B254),0)),".","!")&amp;
   IF(SIGN(IFERROR(SEARCH("\2",$A254),0))=SIGN(IFERROR(SEARCH("\2",B254),0)),".","!")&amp;
   IF(SIGN(IFERROR(SEARCH("\3",$A254),0))=SIGN(IFERROR(SEARCH("\3",B254),0)),".","!")</f>
        <v>...</v>
      </c>
      <c r="E254" s="9" t="str">
        <f>IF(SIGN(IFERROR(SEARCH("\1",$A254),0))=SIGN(IFERROR(SEARCH("\1",C254),0)),".","!")&amp;
   IF(SIGN(IFERROR(SEARCH("\2",$A254),0))=SIGN(IFERROR(SEARCH("\2",C254),0)),".","!")&amp;
   IF(SIGN(IFERROR(SEARCH("\3",$A254),0))=SIGN(IFERROR(SEARCH("\3",C254),0)),".","!")</f>
        <v>...</v>
      </c>
      <c r="F254" s="9">
        <f>LEN(A254)</f>
        <v>10</v>
      </c>
    </row>
    <row r="255" spans="1:6" x14ac:dyDescent="0.25">
      <c r="A255" s="8" t="s">
        <v>74</v>
      </c>
      <c r="B255" s="3" t="s">
        <v>75</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5</v>
      </c>
    </row>
    <row r="256" spans="1:6" x14ac:dyDescent="0.25">
      <c r="A256" s="8" t="s">
        <v>482</v>
      </c>
      <c r="B256" s="3" t="s">
        <v>1126</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16</v>
      </c>
    </row>
    <row r="257" spans="1:6" x14ac:dyDescent="0.25">
      <c r="A257" s="8" t="s">
        <v>460</v>
      </c>
      <c r="B257" s="3" t="s">
        <v>498</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16</v>
      </c>
    </row>
    <row r="258" spans="1:6" x14ac:dyDescent="0.25">
      <c r="A258" s="8" t="s">
        <v>480</v>
      </c>
      <c r="B258" s="3" t="s">
        <v>499</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4</v>
      </c>
    </row>
    <row r="259" spans="1:6" ht="30" x14ac:dyDescent="0.25">
      <c r="A259" s="8" t="s">
        <v>1052</v>
      </c>
      <c r="B259" s="3" t="s">
        <v>1052</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10</v>
      </c>
    </row>
    <row r="260" spans="1:6" ht="30" x14ac:dyDescent="0.25">
      <c r="A260" s="8" t="s">
        <v>1049</v>
      </c>
      <c r="B260" s="3" t="s">
        <v>1049</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10</v>
      </c>
    </row>
    <row r="261" spans="1:6" ht="30" x14ac:dyDescent="0.25">
      <c r="A261" s="8" t="s">
        <v>1024</v>
      </c>
      <c r="B261" s="3" t="s">
        <v>1024</v>
      </c>
      <c r="C261" s="9"/>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10</v>
      </c>
    </row>
    <row r="262" spans="1:6" x14ac:dyDescent="0.25">
      <c r="A262" s="8" t="s">
        <v>289</v>
      </c>
      <c r="B262" s="3" t="s">
        <v>1109</v>
      </c>
      <c r="C262" s="9"/>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81</v>
      </c>
    </row>
    <row r="263" spans="1:6" ht="30" x14ac:dyDescent="0.25">
      <c r="A263" s="8" t="s">
        <v>290</v>
      </c>
      <c r="B263" s="3" t="s">
        <v>352</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66</v>
      </c>
    </row>
    <row r="264" spans="1:6" x14ac:dyDescent="0.25">
      <c r="A264" s="8" t="s">
        <v>234</v>
      </c>
      <c r="B264" s="3" t="s">
        <v>353</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34</v>
      </c>
    </row>
    <row r="265" spans="1:6" x14ac:dyDescent="0.25">
      <c r="A265" s="8" t="s">
        <v>1271</v>
      </c>
      <c r="B265" s="3" t="s">
        <v>1272</v>
      </c>
      <c r="C265" s="9"/>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16</v>
      </c>
    </row>
    <row r="266" spans="1:6" x14ac:dyDescent="0.25">
      <c r="A266" s="8" t="s">
        <v>884</v>
      </c>
      <c r="B266" s="3" t="s">
        <v>1212</v>
      </c>
      <c r="C266" s="9"/>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19</v>
      </c>
    </row>
    <row r="267" spans="1:6" x14ac:dyDescent="0.25">
      <c r="A267" s="8" t="s">
        <v>525</v>
      </c>
      <c r="B267" s="3" t="s">
        <v>526</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60</v>
      </c>
    </row>
    <row r="268" spans="1:6" x14ac:dyDescent="0.25">
      <c r="A268" s="8" t="s">
        <v>355</v>
      </c>
      <c r="B268" s="3" t="s">
        <v>354</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13</v>
      </c>
    </row>
    <row r="269" spans="1:6" x14ac:dyDescent="0.25">
      <c r="A269" s="8" t="s">
        <v>153</v>
      </c>
      <c r="B269" s="8" t="s">
        <v>153</v>
      </c>
      <c r="D269" s="9" t="str">
        <f>IF(SIGN(IFERROR(SEARCH("\1",$A269),0))=SIGN(IFERROR(SEARCH("\1",B269),0)),".","!")&amp;
   IF(SIGN(IFERROR(SEARCH("\2",$A269),0))=SIGN(IFERROR(SEARCH("\2",B269),0)),".","!")&amp;
   IF(SIGN(IFERROR(SEARCH("\3",$A269),0))=SIGN(IFERROR(SEARCH("\3",B269),0)),".","!")</f>
        <v>...</v>
      </c>
      <c r="E269" s="3" t="str">
        <f>IF(SIGN(IFERROR(SEARCH("\1",$A269),0))=SIGN(IFERROR(SEARCH("\1",C269),0)),".","!")&amp;
   IF(SIGN(IFERROR(SEARCH("\2",$A269),0))=SIGN(IFERROR(SEARCH("\2",C269),0)),".","!")&amp;
   IF(SIGN(IFERROR(SEARCH("\3",$A269),0))=SIGN(IFERROR(SEARCH("\3",C269),0)),".","!")</f>
        <v>...</v>
      </c>
      <c r="F269" s="9">
        <f>LEN(A269)</f>
        <v>4</v>
      </c>
    </row>
    <row r="270" spans="1:6" x14ac:dyDescent="0.25">
      <c r="A270" s="8" t="s">
        <v>115</v>
      </c>
      <c r="B270" s="3" t="s">
        <v>133</v>
      </c>
      <c r="C270" s="9"/>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19</v>
      </c>
    </row>
    <row r="271" spans="1:6" x14ac:dyDescent="0.25">
      <c r="A271" s="8" t="s">
        <v>143</v>
      </c>
      <c r="B271" s="3" t="s">
        <v>165</v>
      </c>
      <c r="C271" s="9"/>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15</v>
      </c>
    </row>
    <row r="272" spans="1:6" x14ac:dyDescent="0.25">
      <c r="A272" s="8" t="s">
        <v>1706</v>
      </c>
      <c r="B272" s="3" t="s">
        <v>1709</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2</v>
      </c>
    </row>
    <row r="273" spans="1:6" x14ac:dyDescent="0.25">
      <c r="A273" s="8" t="s">
        <v>250</v>
      </c>
      <c r="B273" s="3" t="s">
        <v>1101</v>
      </c>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55</v>
      </c>
    </row>
    <row r="274" spans="1:6" x14ac:dyDescent="0.25">
      <c r="A274" s="8" t="s">
        <v>204</v>
      </c>
      <c r="B274" s="3" t="s">
        <v>1100</v>
      </c>
      <c r="C274" s="9"/>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39</v>
      </c>
    </row>
    <row r="275" spans="1:6" x14ac:dyDescent="0.25">
      <c r="A275" s="8" t="s">
        <v>252</v>
      </c>
      <c r="B275" s="3" t="s">
        <v>356</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30</v>
      </c>
    </row>
    <row r="276" spans="1:6" x14ac:dyDescent="0.25">
      <c r="A276" s="8" t="s">
        <v>190</v>
      </c>
      <c r="B276" s="3" t="s">
        <v>439</v>
      </c>
      <c r="C276" s="9"/>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14</v>
      </c>
    </row>
    <row r="277" spans="1:6" x14ac:dyDescent="0.25">
      <c r="A277" s="8" t="s">
        <v>141</v>
      </c>
      <c r="B277" s="3" t="s">
        <v>166</v>
      </c>
      <c r="C277" s="9"/>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17</v>
      </c>
    </row>
    <row r="278" spans="1:6" x14ac:dyDescent="0.25">
      <c r="A278" s="8" t="s">
        <v>142</v>
      </c>
      <c r="B278" s="3" t="s">
        <v>999</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13</v>
      </c>
    </row>
    <row r="279" spans="1:6" x14ac:dyDescent="0.25">
      <c r="A279" s="8" t="s">
        <v>1257</v>
      </c>
      <c r="B279" s="3" t="s">
        <v>1256</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5</v>
      </c>
    </row>
    <row r="280" spans="1:6" x14ac:dyDescent="0.25">
      <c r="A280" s="8" t="s">
        <v>1258</v>
      </c>
      <c r="B280" s="3" t="s">
        <v>1259</v>
      </c>
      <c r="C280" s="9"/>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24</v>
      </c>
    </row>
    <row r="281" spans="1:6" x14ac:dyDescent="0.25">
      <c r="A281" s="8" t="s">
        <v>1463</v>
      </c>
      <c r="B281" s="3" t="s">
        <v>1464</v>
      </c>
      <c r="C281" s="9"/>
      <c r="D281" s="9" t="str">
        <f>IF(SIGN(IFERROR(SEARCH("\1",$A281),0))=SIGN(IFERROR(SEARCH("\1",B281),0)),".","!")&amp;
   IF(SIGN(IFERROR(SEARCH("\2",$A281),0))=SIGN(IFERROR(SEARCH("\2",B281),0)),".","!")&amp;
   IF(SIGN(IFERROR(SEARCH("\3",$A281),0))=SIGN(IFERROR(SEARCH("\3",B281),0)),".","!")</f>
        <v>...</v>
      </c>
      <c r="E281" s="9" t="str">
        <f>IF(SIGN(IFERROR(SEARCH("\1",$A281),0))=SIGN(IFERROR(SEARCH("\1",C281),0)),".","!")&amp;
   IF(SIGN(IFERROR(SEARCH("\2",$A281),0))=SIGN(IFERROR(SEARCH("\2",C281),0)),".","!")&amp;
   IF(SIGN(IFERROR(SEARCH("\3",$A281),0))=SIGN(IFERROR(SEARCH("\3",C281),0)),".","!")</f>
        <v>...</v>
      </c>
      <c r="F281" s="9">
        <f>LEN(A281)</f>
        <v>25</v>
      </c>
    </row>
    <row r="282" spans="1:6" x14ac:dyDescent="0.25">
      <c r="A282" s="8" t="s">
        <v>1405</v>
      </c>
      <c r="B282" s="3" t="s">
        <v>1404</v>
      </c>
      <c r="C282" s="9"/>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25</v>
      </c>
    </row>
    <row r="283" spans="1:6" x14ac:dyDescent="0.25">
      <c r="A283" s="8" t="s">
        <v>1067</v>
      </c>
      <c r="B283" s="3" t="s">
        <v>1027</v>
      </c>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5</v>
      </c>
    </row>
    <row r="284" spans="1:6" x14ac:dyDescent="0.25">
      <c r="A284" s="8" t="s">
        <v>1001</v>
      </c>
      <c r="B284" s="3" t="s">
        <v>1000</v>
      </c>
      <c r="C284" s="9"/>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48</v>
      </c>
    </row>
    <row r="285" spans="1:6" x14ac:dyDescent="0.25">
      <c r="A285" s="8" t="s">
        <v>1746</v>
      </c>
      <c r="B285" s="3" t="s">
        <v>1746</v>
      </c>
      <c r="D285" s="3" t="str">
        <f>IF(SIGN(IFERROR(SEARCH("\1",$A285),0))=SIGN(IFERROR(SEARCH("\1",B285),0)),".","!")&amp;
   IF(SIGN(IFERROR(SEARCH("\2",$A285),0))=SIGN(IFERROR(SEARCH("\2",B285),0)),".","!")&amp;
   IF(SIGN(IFERROR(SEARCH("\3",$A285),0))=SIGN(IFERROR(SEARCH("\3",B285),0)),".","!")</f>
        <v>...</v>
      </c>
      <c r="E285" s="3" t="str">
        <f>IF(SIGN(IFERROR(SEARCH("\1",$A285),0))=SIGN(IFERROR(SEARCH("\1",C285),0)),".","!")&amp;
   IF(SIGN(IFERROR(SEARCH("\2",$A285),0))=SIGN(IFERROR(SEARCH("\2",C285),0)),".","!")&amp;
   IF(SIGN(IFERROR(SEARCH("\3",$A285),0))=SIGN(IFERROR(SEARCH("\3",C285),0)),".","!")</f>
        <v>...</v>
      </c>
      <c r="F285" s="3">
        <f>LEN(A285)</f>
        <v>2</v>
      </c>
    </row>
    <row r="286" spans="1:6" x14ac:dyDescent="0.25">
      <c r="A286" s="8" t="s">
        <v>117</v>
      </c>
      <c r="B286" s="3" t="s">
        <v>131</v>
      </c>
      <c r="C286" s="9"/>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9</v>
      </c>
    </row>
    <row r="287" spans="1:6" x14ac:dyDescent="0.25">
      <c r="A287" s="8" t="s">
        <v>279</v>
      </c>
      <c r="B287" s="3" t="s">
        <v>357</v>
      </c>
      <c r="C287" s="9"/>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22</v>
      </c>
    </row>
    <row r="288" spans="1:6" x14ac:dyDescent="0.25">
      <c r="A288" s="8" t="s">
        <v>1252</v>
      </c>
      <c r="B288" s="3" t="s">
        <v>1253</v>
      </c>
      <c r="C288" s="9"/>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7</v>
      </c>
    </row>
    <row r="289" spans="1:6" x14ac:dyDescent="0.25">
      <c r="A289" s="8" t="s">
        <v>571</v>
      </c>
      <c r="B289" s="3" t="s">
        <v>572</v>
      </c>
      <c r="C289" s="9"/>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11</v>
      </c>
    </row>
    <row r="290" spans="1:6" x14ac:dyDescent="0.25">
      <c r="A290" s="8" t="s">
        <v>237</v>
      </c>
      <c r="B290" s="3" t="s">
        <v>358</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8</v>
      </c>
    </row>
    <row r="291" spans="1:6" x14ac:dyDescent="0.25">
      <c r="A291" s="8" t="s">
        <v>1654</v>
      </c>
      <c r="B291" s="3" t="s">
        <v>1665</v>
      </c>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17</v>
      </c>
    </row>
    <row r="292" spans="1:6" x14ac:dyDescent="0.25">
      <c r="A292" s="8" t="s">
        <v>1653</v>
      </c>
      <c r="B292" s="3" t="s">
        <v>1664</v>
      </c>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24</v>
      </c>
    </row>
    <row r="293" spans="1:6" x14ac:dyDescent="0.25">
      <c r="A293" s="8" t="s">
        <v>137</v>
      </c>
      <c r="B293" s="3" t="s">
        <v>167</v>
      </c>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8</v>
      </c>
    </row>
    <row r="294" spans="1:6" x14ac:dyDescent="0.25">
      <c r="A294" s="8" t="s">
        <v>120</v>
      </c>
      <c r="B294" s="3" t="s">
        <v>168</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16</v>
      </c>
    </row>
    <row r="295" spans="1:6" x14ac:dyDescent="0.25">
      <c r="A295" s="8" t="s">
        <v>76</v>
      </c>
      <c r="B295" s="3" t="s">
        <v>440</v>
      </c>
      <c r="C295" s="9"/>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23</v>
      </c>
    </row>
    <row r="296" spans="1:6" x14ac:dyDescent="0.25">
      <c r="A296" s="8" t="s">
        <v>278</v>
      </c>
      <c r="B296" s="3" t="s">
        <v>388</v>
      </c>
      <c r="C296" s="9"/>
      <c r="D296" s="9"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29</v>
      </c>
    </row>
    <row r="297" spans="1:6" x14ac:dyDescent="0.25">
      <c r="A297" s="8" t="s">
        <v>174</v>
      </c>
      <c r="B297" s="3" t="s">
        <v>178</v>
      </c>
      <c r="C297" s="9"/>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10</v>
      </c>
    </row>
    <row r="298" spans="1:6" x14ac:dyDescent="0.25">
      <c r="A298" s="8" t="s">
        <v>266</v>
      </c>
      <c r="B298" s="3" t="s">
        <v>359</v>
      </c>
      <c r="D298" s="9" t="str">
        <f>IF(SIGN(IFERROR(SEARCH("\1",$A298),0))=SIGN(IFERROR(SEARCH("\1",B298),0)),".","!")&amp;
   IF(SIGN(IFERROR(SEARCH("\2",$A298),0))=SIGN(IFERROR(SEARCH("\2",B298),0)),".","!")&amp;
   IF(SIGN(IFERROR(SEARCH("\3",$A298),0))=SIGN(IFERROR(SEARCH("\3",B298),0)),".","!")</f>
        <v>...</v>
      </c>
      <c r="E298" s="9" t="str">
        <f>IF(SIGN(IFERROR(SEARCH("\1",$A298),0))=SIGN(IFERROR(SEARCH("\1",C298),0)),".","!")&amp;
   IF(SIGN(IFERROR(SEARCH("\2",$A298),0))=SIGN(IFERROR(SEARCH("\2",C298),0)),".","!")&amp;
   IF(SIGN(IFERROR(SEARCH("\3",$A298),0))=SIGN(IFERROR(SEARCH("\3",C298),0)),".","!")</f>
        <v>...</v>
      </c>
      <c r="F298" s="9">
        <f>LEN(A298)</f>
        <v>5</v>
      </c>
    </row>
    <row r="299" spans="1:6" ht="30" x14ac:dyDescent="0.25">
      <c r="A299" s="8" t="s">
        <v>261</v>
      </c>
      <c r="B299" s="3" t="s">
        <v>1002</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92</v>
      </c>
    </row>
    <row r="300" spans="1:6" x14ac:dyDescent="0.25">
      <c r="A300" s="8" t="s">
        <v>1229</v>
      </c>
      <c r="B300" s="3" t="s">
        <v>1231</v>
      </c>
      <c r="C300" s="9"/>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8</v>
      </c>
    </row>
    <row r="301" spans="1:6" x14ac:dyDescent="0.25">
      <c r="A301" s="8" t="s">
        <v>77</v>
      </c>
      <c r="B301" s="3" t="s">
        <v>1110</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17</v>
      </c>
    </row>
    <row r="302" spans="1:6" x14ac:dyDescent="0.25">
      <c r="A302" s="8" t="s">
        <v>361</v>
      </c>
      <c r="B302" s="3" t="s">
        <v>360</v>
      </c>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14</v>
      </c>
    </row>
    <row r="303" spans="1:6" x14ac:dyDescent="0.25">
      <c r="A303" s="8" t="s">
        <v>226</v>
      </c>
      <c r="B303" s="3" t="s">
        <v>362</v>
      </c>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9</v>
      </c>
    </row>
    <row r="304" spans="1:6" x14ac:dyDescent="0.25">
      <c r="A304" s="8" t="s">
        <v>305</v>
      </c>
      <c r="B304" s="3" t="s">
        <v>363</v>
      </c>
      <c r="C304" s="9"/>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5</v>
      </c>
    </row>
    <row r="305" spans="1:6" x14ac:dyDescent="0.25">
      <c r="A305" s="8" t="s">
        <v>1172</v>
      </c>
      <c r="B305" s="3" t="s">
        <v>1173</v>
      </c>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16</v>
      </c>
    </row>
    <row r="306" spans="1:6" x14ac:dyDescent="0.25">
      <c r="A306" s="8" t="s">
        <v>1659</v>
      </c>
      <c r="B306" s="3" t="s">
        <v>1670</v>
      </c>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26</v>
      </c>
    </row>
    <row r="307" spans="1:6" x14ac:dyDescent="0.25">
      <c r="A307" s="8" t="s">
        <v>241</v>
      </c>
      <c r="B307" s="3" t="s">
        <v>364</v>
      </c>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32</v>
      </c>
    </row>
    <row r="308" spans="1:6" x14ac:dyDescent="0.25">
      <c r="A308" s="8" t="s">
        <v>300</v>
      </c>
      <c r="B308" s="3" t="s">
        <v>365</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52</v>
      </c>
    </row>
    <row r="309" spans="1:6" x14ac:dyDescent="0.25">
      <c r="A309" s="8" t="s">
        <v>298</v>
      </c>
      <c r="B309" s="3" t="s">
        <v>366</v>
      </c>
      <c r="C309" s="9"/>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63</v>
      </c>
    </row>
    <row r="310" spans="1:6" x14ac:dyDescent="0.25">
      <c r="A310" s="8" t="s">
        <v>577</v>
      </c>
      <c r="B310" s="3" t="s">
        <v>578</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33</v>
      </c>
    </row>
    <row r="311" spans="1:6" x14ac:dyDescent="0.25">
      <c r="A311" s="8" t="s">
        <v>236</v>
      </c>
      <c r="B311" s="3" t="s">
        <v>367</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7</v>
      </c>
    </row>
    <row r="312" spans="1:6" x14ac:dyDescent="0.25">
      <c r="A312" s="8" t="s">
        <v>1330</v>
      </c>
      <c r="B312" s="3" t="s">
        <v>1331</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40</v>
      </c>
    </row>
    <row r="313" spans="1:6" x14ac:dyDescent="0.25">
      <c r="A313" s="8" t="s">
        <v>1328</v>
      </c>
      <c r="B313" s="3" t="s">
        <v>1329</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49</v>
      </c>
    </row>
    <row r="314" spans="1:6" x14ac:dyDescent="0.25">
      <c r="A314" s="8" t="s">
        <v>1651</v>
      </c>
      <c r="B314" s="3" t="s">
        <v>1663</v>
      </c>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48</v>
      </c>
    </row>
    <row r="315" spans="1:6" ht="30" x14ac:dyDescent="0.25">
      <c r="A315" s="8" t="s">
        <v>207</v>
      </c>
      <c r="B315" s="3" t="s">
        <v>1003</v>
      </c>
      <c r="C315" s="9"/>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38</v>
      </c>
    </row>
    <row r="316" spans="1:6" ht="30" x14ac:dyDescent="0.25">
      <c r="A316" s="8" t="s">
        <v>457</v>
      </c>
      <c r="B316" s="3" t="s">
        <v>458</v>
      </c>
      <c r="C316" s="9"/>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19</v>
      </c>
    </row>
    <row r="317" spans="1:6" ht="30" x14ac:dyDescent="0.25">
      <c r="A317" s="8" t="s">
        <v>210</v>
      </c>
      <c r="B317" s="3" t="s">
        <v>368</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14</v>
      </c>
    </row>
    <row r="318" spans="1:6" ht="30" x14ac:dyDescent="0.25">
      <c r="A318" s="8" t="s">
        <v>1047</v>
      </c>
      <c r="B318" s="3" t="s">
        <v>1048</v>
      </c>
      <c r="C318" s="9"/>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10</v>
      </c>
    </row>
    <row r="319" spans="1:6" ht="30" x14ac:dyDescent="0.25">
      <c r="A319" s="8" t="s">
        <v>283</v>
      </c>
      <c r="B319" s="3" t="s">
        <v>369</v>
      </c>
      <c r="C319" s="9"/>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67</v>
      </c>
    </row>
    <row r="320" spans="1:6" ht="30" x14ac:dyDescent="0.25">
      <c r="A320" s="8" t="s">
        <v>288</v>
      </c>
      <c r="B320" s="3" t="s">
        <v>1111</v>
      </c>
      <c r="C320" s="9"/>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66</v>
      </c>
    </row>
    <row r="321" spans="1:6" ht="30" x14ac:dyDescent="0.25">
      <c r="A321" s="8" t="s">
        <v>282</v>
      </c>
      <c r="B321" s="3" t="s">
        <v>370</v>
      </c>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65</v>
      </c>
    </row>
    <row r="322" spans="1:6" ht="30" x14ac:dyDescent="0.25">
      <c r="A322" s="8" t="s">
        <v>280</v>
      </c>
      <c r="B322" s="3" t="s">
        <v>371</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68</v>
      </c>
    </row>
    <row r="323" spans="1:6" x14ac:dyDescent="0.25">
      <c r="A323" s="8" t="s">
        <v>1332</v>
      </c>
      <c r="B323" s="3" t="s">
        <v>1333</v>
      </c>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74</v>
      </c>
    </row>
    <row r="324" spans="1:6" ht="30" x14ac:dyDescent="0.25">
      <c r="A324" s="8" t="s">
        <v>284</v>
      </c>
      <c r="B324" s="3" t="s">
        <v>372</v>
      </c>
      <c r="C324" s="9"/>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65</v>
      </c>
    </row>
    <row r="325" spans="1:6" x14ac:dyDescent="0.25">
      <c r="A325" s="8" t="s">
        <v>1595</v>
      </c>
      <c r="B325" s="3" t="s">
        <v>1596</v>
      </c>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12</v>
      </c>
    </row>
    <row r="326" spans="1:6" x14ac:dyDescent="0.25">
      <c r="A326" s="8" t="s">
        <v>474</v>
      </c>
      <c r="B326" s="3" t="s">
        <v>500</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16</v>
      </c>
    </row>
    <row r="327" spans="1:6" x14ac:dyDescent="0.25">
      <c r="A327" s="8" t="s">
        <v>78</v>
      </c>
      <c r="B327" s="3" t="s">
        <v>1130</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24</v>
      </c>
    </row>
    <row r="328" spans="1:6" x14ac:dyDescent="0.25">
      <c r="A328" s="8" t="s">
        <v>569</v>
      </c>
      <c r="B328" s="3" t="s">
        <v>570</v>
      </c>
      <c r="C328" s="9"/>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4</v>
      </c>
    </row>
    <row r="329" spans="1:6" x14ac:dyDescent="0.25">
      <c r="A329" s="8" t="s">
        <v>523</v>
      </c>
      <c r="B329" s="3" t="s">
        <v>524</v>
      </c>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16</v>
      </c>
    </row>
    <row r="330" spans="1:6" x14ac:dyDescent="0.25">
      <c r="A330" s="8" t="s">
        <v>1275</v>
      </c>
      <c r="B330" s="3" t="s">
        <v>1276</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50</v>
      </c>
    </row>
    <row r="331" spans="1:6" x14ac:dyDescent="0.25">
      <c r="A331" s="8" t="s">
        <v>1392</v>
      </c>
      <c r="B331" s="3" t="s">
        <v>1393</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10</v>
      </c>
    </row>
    <row r="332" spans="1:6" x14ac:dyDescent="0.25">
      <c r="A332" s="8" t="s">
        <v>240</v>
      </c>
      <c r="B332" s="3" t="s">
        <v>375</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12</v>
      </c>
    </row>
    <row r="333" spans="1:6" x14ac:dyDescent="0.25">
      <c r="A333" s="8" t="s">
        <v>239</v>
      </c>
      <c r="B333" s="3" t="s">
        <v>376</v>
      </c>
      <c r="C333" s="9"/>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12</v>
      </c>
    </row>
    <row r="334" spans="1:6" x14ac:dyDescent="0.25">
      <c r="A334" s="8" t="s">
        <v>251</v>
      </c>
      <c r="B334" s="3" t="s">
        <v>374</v>
      </c>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20</v>
      </c>
    </row>
    <row r="335" spans="1:6" x14ac:dyDescent="0.25">
      <c r="A335" s="8" t="s">
        <v>306</v>
      </c>
      <c r="B335" s="3" t="s">
        <v>441</v>
      </c>
      <c r="C335" s="9"/>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15</v>
      </c>
    </row>
    <row r="336" spans="1:6" x14ac:dyDescent="0.25">
      <c r="A336" s="8" t="s">
        <v>213</v>
      </c>
      <c r="B336" s="3" t="s">
        <v>373</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7</v>
      </c>
    </row>
    <row r="337" spans="1:6" x14ac:dyDescent="0.25">
      <c r="A337" s="8" t="s">
        <v>1083</v>
      </c>
      <c r="B337" s="3" t="s">
        <v>1086</v>
      </c>
      <c r="C337" s="9"/>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9</v>
      </c>
    </row>
    <row r="338" spans="1:6" x14ac:dyDescent="0.25">
      <c r="A338" s="8" t="s">
        <v>191</v>
      </c>
      <c r="B338" s="3" t="s">
        <v>192</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6</v>
      </c>
    </row>
    <row r="339" spans="1:6" x14ac:dyDescent="0.25">
      <c r="A339" s="8" t="s">
        <v>248</v>
      </c>
      <c r="B339" s="3" t="s">
        <v>389</v>
      </c>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9</v>
      </c>
    </row>
    <row r="340" spans="1:6" x14ac:dyDescent="0.25">
      <c r="A340" s="8" t="s">
        <v>247</v>
      </c>
      <c r="B340" s="3" t="s">
        <v>390</v>
      </c>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10</v>
      </c>
    </row>
    <row r="341" spans="1:6" x14ac:dyDescent="0.25">
      <c r="A341" s="8" t="s">
        <v>391</v>
      </c>
      <c r="B341" s="3" t="s">
        <v>442</v>
      </c>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15</v>
      </c>
    </row>
    <row r="342" spans="1:6" x14ac:dyDescent="0.25">
      <c r="A342" s="8" t="s">
        <v>245</v>
      </c>
      <c r="B342" s="3" t="s">
        <v>245</v>
      </c>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4</v>
      </c>
    </row>
    <row r="343" spans="1:6" x14ac:dyDescent="0.25">
      <c r="A343" s="8" t="s">
        <v>206</v>
      </c>
      <c r="B343" s="3" t="s">
        <v>392</v>
      </c>
      <c r="C343" s="9"/>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25</v>
      </c>
    </row>
    <row r="344" spans="1:6" x14ac:dyDescent="0.25">
      <c r="A344" s="8" t="s">
        <v>286</v>
      </c>
      <c r="B344" s="3" t="s">
        <v>393</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36</v>
      </c>
    </row>
    <row r="345" spans="1:6" x14ac:dyDescent="0.25">
      <c r="A345" s="8" t="s">
        <v>1705</v>
      </c>
      <c r="B345" s="3" t="s">
        <v>1708</v>
      </c>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4</v>
      </c>
    </row>
    <row r="346" spans="1:6" x14ac:dyDescent="0.25">
      <c r="A346" s="8" t="s">
        <v>246</v>
      </c>
      <c r="B346" s="3" t="s">
        <v>394</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3</v>
      </c>
    </row>
    <row r="347" spans="1:6" x14ac:dyDescent="0.25">
      <c r="A347" s="8" t="s">
        <v>1361</v>
      </c>
      <c r="B347" s="3" t="s">
        <v>1362</v>
      </c>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10</v>
      </c>
    </row>
    <row r="348" spans="1:6" x14ac:dyDescent="0.25">
      <c r="A348" s="8" t="s">
        <v>1359</v>
      </c>
      <c r="B348" s="3" t="s">
        <v>1360</v>
      </c>
      <c r="C348" s="9"/>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30</v>
      </c>
    </row>
    <row r="349" spans="1:6" x14ac:dyDescent="0.25">
      <c r="A349" s="8" t="s">
        <v>1070</v>
      </c>
      <c r="B349" s="3" t="s">
        <v>1077</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28</v>
      </c>
    </row>
    <row r="350" spans="1:6" x14ac:dyDescent="0.25">
      <c r="A350" s="8" t="s">
        <v>1074</v>
      </c>
      <c r="B350" s="3" t="s">
        <v>1080</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39</v>
      </c>
    </row>
    <row r="351" spans="1:6" x14ac:dyDescent="0.25">
      <c r="A351" s="8" t="s">
        <v>1073</v>
      </c>
      <c r="B351" s="3" t="s">
        <v>1081</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40</v>
      </c>
    </row>
    <row r="352" spans="1:6" x14ac:dyDescent="0.25">
      <c r="A352" s="8" t="s">
        <v>264</v>
      </c>
      <c r="B352" s="3" t="s">
        <v>1004</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21</v>
      </c>
    </row>
    <row r="353" spans="1:6" x14ac:dyDescent="0.25">
      <c r="A353" s="8" t="s">
        <v>79</v>
      </c>
      <c r="B353" s="3" t="s">
        <v>156</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26</v>
      </c>
    </row>
    <row r="354" spans="1:6" x14ac:dyDescent="0.25">
      <c r="A354" s="8" t="s">
        <v>307</v>
      </c>
      <c r="B354" s="3" t="s">
        <v>395</v>
      </c>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33</v>
      </c>
    </row>
    <row r="355" spans="1:6" x14ac:dyDescent="0.25">
      <c r="A355" s="8" t="s">
        <v>1005</v>
      </c>
      <c r="B355" s="3" t="s">
        <v>1006</v>
      </c>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55</v>
      </c>
    </row>
    <row r="356" spans="1:6" x14ac:dyDescent="0.25">
      <c r="A356" s="8" t="s">
        <v>1205</v>
      </c>
      <c r="B356" s="3" t="s">
        <v>1204</v>
      </c>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10</v>
      </c>
    </row>
    <row r="357" spans="1:6" x14ac:dyDescent="0.25">
      <c r="A357" s="8" t="s">
        <v>542</v>
      </c>
      <c r="B357" s="3" t="s">
        <v>556</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29</v>
      </c>
    </row>
    <row r="358" spans="1:6" x14ac:dyDescent="0.25">
      <c r="A358" s="8" t="s">
        <v>456</v>
      </c>
      <c r="B358" s="3" t="s">
        <v>456</v>
      </c>
      <c r="C358" s="9"/>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2</v>
      </c>
    </row>
    <row r="359" spans="1:6" x14ac:dyDescent="0.25">
      <c r="A359" s="8" t="s">
        <v>294</v>
      </c>
      <c r="B359" s="3" t="s">
        <v>377</v>
      </c>
      <c r="C359" s="9"/>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23</v>
      </c>
    </row>
    <row r="360" spans="1:6" x14ac:dyDescent="0.25">
      <c r="A360" s="8" t="s">
        <v>1273</v>
      </c>
      <c r="B360" s="3" t="s">
        <v>1274</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59</v>
      </c>
    </row>
    <row r="361" spans="1:6" x14ac:dyDescent="0.25">
      <c r="A361" s="8" t="s">
        <v>122</v>
      </c>
      <c r="B361" s="3" t="s">
        <v>126</v>
      </c>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6</v>
      </c>
    </row>
    <row r="362" spans="1:6" x14ac:dyDescent="0.25">
      <c r="A362" s="8" t="s">
        <v>1655</v>
      </c>
      <c r="B362" s="3" t="s">
        <v>1666</v>
      </c>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13</v>
      </c>
    </row>
    <row r="363" spans="1:6" x14ac:dyDescent="0.25">
      <c r="A363" s="8" t="s">
        <v>515</v>
      </c>
      <c r="B363" s="3" t="s">
        <v>516</v>
      </c>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11</v>
      </c>
    </row>
    <row r="364" spans="1:6" x14ac:dyDescent="0.25">
      <c r="A364" s="8" t="s">
        <v>519</v>
      </c>
      <c r="B364" s="3" t="s">
        <v>520</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10</v>
      </c>
    </row>
    <row r="365" spans="1:6" x14ac:dyDescent="0.25">
      <c r="A365" s="8" t="s">
        <v>517</v>
      </c>
      <c r="B365" s="3" t="s">
        <v>518</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12</v>
      </c>
    </row>
    <row r="366" spans="1:6" x14ac:dyDescent="0.25">
      <c r="A366" s="8" t="s">
        <v>521</v>
      </c>
      <c r="B366" s="3" t="s">
        <v>522</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11</v>
      </c>
    </row>
    <row r="367" spans="1:6" x14ac:dyDescent="0.25">
      <c r="A367" s="8" t="s">
        <v>1379</v>
      </c>
      <c r="B367" s="3" t="s">
        <v>1380</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30</v>
      </c>
    </row>
    <row r="368" spans="1:6" x14ac:dyDescent="0.25">
      <c r="A368" s="8" t="s">
        <v>1396</v>
      </c>
      <c r="B368" s="3" t="s">
        <v>1397</v>
      </c>
      <c r="C368" s="9"/>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31</v>
      </c>
    </row>
    <row r="369" spans="1:6" x14ac:dyDescent="0.25">
      <c r="A369" s="8" t="s">
        <v>80</v>
      </c>
      <c r="B369" s="3" t="s">
        <v>80</v>
      </c>
      <c r="C369" s="9"/>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10</v>
      </c>
    </row>
    <row r="370" spans="1:6" x14ac:dyDescent="0.25">
      <c r="A370" s="8" t="s">
        <v>81</v>
      </c>
      <c r="B370" s="3" t="s">
        <v>81</v>
      </c>
      <c r="C370" s="9"/>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10</v>
      </c>
    </row>
    <row r="371" spans="1:6" x14ac:dyDescent="0.25">
      <c r="A371" s="8" t="s">
        <v>243</v>
      </c>
      <c r="B371" s="3" t="s">
        <v>243</v>
      </c>
      <c r="C371" s="9"/>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7</v>
      </c>
    </row>
    <row r="372" spans="1:6" x14ac:dyDescent="0.25">
      <c r="A372" s="8" t="s">
        <v>244</v>
      </c>
      <c r="B372" s="3" t="s">
        <v>244</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6</v>
      </c>
    </row>
    <row r="373" spans="1:6" x14ac:dyDescent="0.25">
      <c r="A373" s="8" t="s">
        <v>1184</v>
      </c>
      <c r="B373" s="3" t="s">
        <v>1185</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20</v>
      </c>
    </row>
    <row r="374" spans="1:6" x14ac:dyDescent="0.25">
      <c r="A374" s="8" t="s">
        <v>989</v>
      </c>
      <c r="B374" s="3" t="s">
        <v>990</v>
      </c>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33</v>
      </c>
    </row>
    <row r="375" spans="1:6" x14ac:dyDescent="0.25">
      <c r="A375" s="8" t="s">
        <v>219</v>
      </c>
      <c r="B375" s="3" t="s">
        <v>378</v>
      </c>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6</v>
      </c>
    </row>
    <row r="376" spans="1:6" x14ac:dyDescent="0.25">
      <c r="A376" s="8" t="s">
        <v>1038</v>
      </c>
      <c r="B376" s="3" t="s">
        <v>1038</v>
      </c>
      <c r="C376" s="9"/>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1</v>
      </c>
    </row>
    <row r="377" spans="1:6" ht="30" x14ac:dyDescent="0.25">
      <c r="A377" s="8" t="s">
        <v>82</v>
      </c>
      <c r="B377" s="3" t="s">
        <v>443</v>
      </c>
      <c r="C377" s="9"/>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11</v>
      </c>
    </row>
    <row r="378" spans="1:6" x14ac:dyDescent="0.25">
      <c r="A378" s="8" t="s">
        <v>472</v>
      </c>
      <c r="B378" s="3" t="s">
        <v>501</v>
      </c>
      <c r="C378" s="9"/>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26</v>
      </c>
    </row>
    <row r="379" spans="1:6" x14ac:dyDescent="0.25">
      <c r="A379" s="8" t="s">
        <v>223</v>
      </c>
      <c r="B379" s="3" t="s">
        <v>379</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15</v>
      </c>
    </row>
    <row r="380" spans="1:6" x14ac:dyDescent="0.25">
      <c r="A380" s="8" t="s">
        <v>83</v>
      </c>
      <c r="B380" s="3" t="s">
        <v>1213</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21</v>
      </c>
    </row>
    <row r="381" spans="1:6" ht="30" x14ac:dyDescent="0.25">
      <c r="A381" s="8" t="s">
        <v>221</v>
      </c>
      <c r="B381" s="3" t="s">
        <v>396</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91</v>
      </c>
    </row>
    <row r="382" spans="1:6" x14ac:dyDescent="0.25">
      <c r="A382" s="8" t="s">
        <v>228</v>
      </c>
      <c r="B382" s="3" t="s">
        <v>397</v>
      </c>
      <c r="C382" s="9"/>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12</v>
      </c>
    </row>
    <row r="383" spans="1:6" x14ac:dyDescent="0.25">
      <c r="A383" s="8" t="s">
        <v>1044</v>
      </c>
      <c r="B383" s="3" t="s">
        <v>1045</v>
      </c>
      <c r="C383" s="9"/>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11</v>
      </c>
    </row>
    <row r="384" spans="1:6" x14ac:dyDescent="0.25">
      <c r="A384" s="8" t="s">
        <v>1043</v>
      </c>
      <c r="B384" s="3" t="s">
        <v>1046</v>
      </c>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11</v>
      </c>
    </row>
    <row r="385" spans="1:6" x14ac:dyDescent="0.25">
      <c r="A385" s="8" t="s">
        <v>229</v>
      </c>
      <c r="B385" s="3" t="s">
        <v>398</v>
      </c>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10</v>
      </c>
    </row>
    <row r="386" spans="1:6" x14ac:dyDescent="0.25">
      <c r="A386" s="8" t="s">
        <v>1507</v>
      </c>
      <c r="B386" s="3" t="s">
        <v>1508</v>
      </c>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6</v>
      </c>
    </row>
    <row r="387" spans="1:6" x14ac:dyDescent="0.25">
      <c r="A387" s="8" t="s">
        <v>265</v>
      </c>
      <c r="B387" s="3" t="s">
        <v>1124</v>
      </c>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28</v>
      </c>
    </row>
    <row r="388" spans="1:6" x14ac:dyDescent="0.25">
      <c r="A388" s="8" t="s">
        <v>203</v>
      </c>
      <c r="B388" s="3" t="s">
        <v>1007</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44</v>
      </c>
    </row>
    <row r="389" spans="1:6" x14ac:dyDescent="0.25">
      <c r="A389" s="8" t="s">
        <v>399</v>
      </c>
      <c r="B389" s="3" t="s">
        <v>444</v>
      </c>
      <c r="C389" s="9"/>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26</v>
      </c>
    </row>
    <row r="390" spans="1:6" x14ac:dyDescent="0.25">
      <c r="A390" s="8" t="s">
        <v>1652</v>
      </c>
      <c r="B390" s="3" t="s">
        <v>1652</v>
      </c>
      <c r="D390" s="9"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4</v>
      </c>
    </row>
    <row r="391" spans="1:6" x14ac:dyDescent="0.25">
      <c r="A391" s="8" t="s">
        <v>198</v>
      </c>
      <c r="B391" s="3" t="s">
        <v>400</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9</v>
      </c>
    </row>
    <row r="392" spans="1:6" x14ac:dyDescent="0.25">
      <c r="A392" s="8" t="s">
        <v>1470</v>
      </c>
      <c r="B392" s="3" t="s">
        <v>1473</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21</v>
      </c>
    </row>
    <row r="393" spans="1:6" x14ac:dyDescent="0.25">
      <c r="A393" s="8" t="s">
        <v>1469</v>
      </c>
      <c r="B393" s="3" t="s">
        <v>1472</v>
      </c>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21</v>
      </c>
    </row>
    <row r="394" spans="1:6" x14ac:dyDescent="0.25">
      <c r="A394" s="8" t="s">
        <v>483</v>
      </c>
      <c r="B394" s="3" t="s">
        <v>502</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10</v>
      </c>
    </row>
    <row r="395" spans="1:6" x14ac:dyDescent="0.25">
      <c r="A395" s="8" t="s">
        <v>84</v>
      </c>
      <c r="B395" s="3" t="s">
        <v>85</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20</v>
      </c>
    </row>
    <row r="396" spans="1:6" x14ac:dyDescent="0.25">
      <c r="A396" s="8" t="s">
        <v>214</v>
      </c>
      <c r="B396" s="3" t="s">
        <v>401</v>
      </c>
      <c r="C396" s="9"/>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8</v>
      </c>
    </row>
    <row r="397" spans="1:6" x14ac:dyDescent="0.25">
      <c r="A397" s="8" t="s">
        <v>1704</v>
      </c>
      <c r="B397" s="3" t="s">
        <v>1711</v>
      </c>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34</v>
      </c>
    </row>
    <row r="398" spans="1:6" x14ac:dyDescent="0.25">
      <c r="A398" s="8" t="s">
        <v>1707</v>
      </c>
      <c r="B398" s="3" t="s">
        <v>1710</v>
      </c>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53</v>
      </c>
    </row>
    <row r="399" spans="1:6" x14ac:dyDescent="0.25">
      <c r="A399" s="8" t="s">
        <v>148</v>
      </c>
      <c r="B399" s="3" t="s">
        <v>169</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12</v>
      </c>
    </row>
    <row r="400" spans="1:6" x14ac:dyDescent="0.25">
      <c r="A400" s="8" t="s">
        <v>1041</v>
      </c>
      <c r="B400" s="3" t="s">
        <v>1042</v>
      </c>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12</v>
      </c>
    </row>
    <row r="401" spans="1:6" x14ac:dyDescent="0.25">
      <c r="A401" s="8" t="s">
        <v>566</v>
      </c>
      <c r="B401" s="3" t="s">
        <v>568</v>
      </c>
      <c r="C401" s="9"/>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38</v>
      </c>
    </row>
    <row r="402" spans="1:6" x14ac:dyDescent="0.25">
      <c r="A402" s="8" t="s">
        <v>564</v>
      </c>
      <c r="B402" s="3" t="s">
        <v>567</v>
      </c>
      <c r="C402" s="9"/>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58</v>
      </c>
    </row>
    <row r="403" spans="1:6" x14ac:dyDescent="0.25">
      <c r="A403" s="8" t="s">
        <v>86</v>
      </c>
      <c r="B403" s="3" t="s">
        <v>450</v>
      </c>
      <c r="C403" s="9"/>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8</v>
      </c>
    </row>
    <row r="404" spans="1:6" x14ac:dyDescent="0.25">
      <c r="A404" s="8" t="s">
        <v>449</v>
      </c>
      <c r="B404" s="3" t="s">
        <v>87</v>
      </c>
      <c r="C404" s="9"/>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9</v>
      </c>
    </row>
    <row r="405" spans="1:6" x14ac:dyDescent="0.25">
      <c r="A405" s="8" t="s">
        <v>1244</v>
      </c>
      <c r="B405" s="3" t="s">
        <v>1245</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9</v>
      </c>
    </row>
    <row r="406" spans="1:6" x14ac:dyDescent="0.25">
      <c r="A406" s="8" t="s">
        <v>260</v>
      </c>
      <c r="B406" s="3" t="s">
        <v>402</v>
      </c>
      <c r="C406" s="9"/>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14</v>
      </c>
    </row>
    <row r="407" spans="1:6" x14ac:dyDescent="0.25">
      <c r="A407" s="8" t="s">
        <v>1389</v>
      </c>
      <c r="B407" s="3" t="s">
        <v>1390</v>
      </c>
      <c r="C407" s="9"/>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8</v>
      </c>
    </row>
    <row r="408" spans="1:6" x14ac:dyDescent="0.25">
      <c r="A408" s="8" t="s">
        <v>257</v>
      </c>
      <c r="B408" s="3" t="s">
        <v>403</v>
      </c>
      <c r="C408" s="9"/>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9</v>
      </c>
    </row>
    <row r="409" spans="1:6" x14ac:dyDescent="0.25">
      <c r="A409" s="8" t="s">
        <v>256</v>
      </c>
      <c r="B409" s="3" t="s">
        <v>1206</v>
      </c>
      <c r="C409" s="9"/>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19</v>
      </c>
    </row>
    <row r="410" spans="1:6" x14ac:dyDescent="0.25">
      <c r="A410" s="8" t="s">
        <v>580</v>
      </c>
      <c r="B410" s="3" t="s">
        <v>581</v>
      </c>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10</v>
      </c>
    </row>
    <row r="411" spans="1:6" x14ac:dyDescent="0.25">
      <c r="A411" s="8" t="s">
        <v>1180</v>
      </c>
      <c r="B411" s="3" t="s">
        <v>1181</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38</v>
      </c>
    </row>
    <row r="412" spans="1:6" x14ac:dyDescent="0.25">
      <c r="A412" s="8" t="s">
        <v>155</v>
      </c>
      <c r="B412" s="3" t="s">
        <v>170</v>
      </c>
      <c r="C412" s="9"/>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7</v>
      </c>
    </row>
    <row r="413" spans="1:6" x14ac:dyDescent="0.25">
      <c r="A413" s="8" t="s">
        <v>276</v>
      </c>
      <c r="B413" s="3" t="s">
        <v>404</v>
      </c>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8</v>
      </c>
    </row>
    <row r="414" spans="1:6" x14ac:dyDescent="0.25">
      <c r="A414" s="8" t="s">
        <v>310</v>
      </c>
      <c r="B414" s="3" t="s">
        <v>310</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8</v>
      </c>
    </row>
    <row r="415" spans="1:6" x14ac:dyDescent="0.25">
      <c r="A415" s="8" t="s">
        <v>217</v>
      </c>
      <c r="B415" s="3" t="s">
        <v>217</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5</v>
      </c>
    </row>
    <row r="416" spans="1:6" x14ac:dyDescent="0.25">
      <c r="A416" s="8" t="s">
        <v>88</v>
      </c>
      <c r="B416" s="3" t="s">
        <v>89</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10</v>
      </c>
    </row>
    <row r="417" spans="1:6" x14ac:dyDescent="0.25">
      <c r="A417" s="8" t="s">
        <v>212</v>
      </c>
      <c r="B417" s="3" t="s">
        <v>405</v>
      </c>
      <c r="C417" s="9"/>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7</v>
      </c>
    </row>
    <row r="418" spans="1:6" x14ac:dyDescent="0.25">
      <c r="A418" s="8" t="s">
        <v>235</v>
      </c>
      <c r="B418" s="3" t="s">
        <v>406</v>
      </c>
      <c r="C418" s="9"/>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5</v>
      </c>
    </row>
    <row r="419" spans="1:6" x14ac:dyDescent="0.25">
      <c r="A419" s="8" t="s">
        <v>1658</v>
      </c>
      <c r="B419" s="3" t="s">
        <v>1669</v>
      </c>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13</v>
      </c>
    </row>
    <row r="420" spans="1:6" x14ac:dyDescent="0.25">
      <c r="A420" s="8" t="s">
        <v>1535</v>
      </c>
      <c r="B420" s="3" t="s">
        <v>1594</v>
      </c>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24</v>
      </c>
    </row>
    <row r="421" spans="1:6" x14ac:dyDescent="0.25">
      <c r="A421" s="8" t="s">
        <v>295</v>
      </c>
      <c r="B421" s="3" t="s">
        <v>407</v>
      </c>
      <c r="C421" s="9"/>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21</v>
      </c>
    </row>
    <row r="422" spans="1:6" x14ac:dyDescent="0.25">
      <c r="A422" s="8" t="s">
        <v>90</v>
      </c>
      <c r="B422" s="3" t="s">
        <v>91</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12</v>
      </c>
    </row>
    <row r="423" spans="1:6" x14ac:dyDescent="0.25">
      <c r="A423" s="8" t="s">
        <v>1195</v>
      </c>
      <c r="B423" s="3" t="s">
        <v>1200</v>
      </c>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29</v>
      </c>
    </row>
    <row r="424" spans="1:6" x14ac:dyDescent="0.25">
      <c r="A424" s="8" t="s">
        <v>479</v>
      </c>
      <c r="B424" s="3" t="s">
        <v>529</v>
      </c>
      <c r="C424" s="9"/>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9</v>
      </c>
    </row>
    <row r="425" spans="1:6" x14ac:dyDescent="0.25">
      <c r="A425" s="8" t="s">
        <v>201</v>
      </c>
      <c r="B425" s="3" t="s">
        <v>408</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4</v>
      </c>
    </row>
    <row r="426" spans="1:6" x14ac:dyDescent="0.25">
      <c r="A426" s="8" t="s">
        <v>1137</v>
      </c>
      <c r="B426" s="3" t="s">
        <v>1138</v>
      </c>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18</v>
      </c>
    </row>
    <row r="427" spans="1:6" x14ac:dyDescent="0.25">
      <c r="A427" s="8" t="s">
        <v>991</v>
      </c>
      <c r="B427" s="3" t="s">
        <v>992</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32</v>
      </c>
    </row>
    <row r="428" spans="1:6" x14ac:dyDescent="0.25">
      <c r="A428" s="8" t="s">
        <v>734</v>
      </c>
      <c r="B428" s="3" t="s">
        <v>735</v>
      </c>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8</v>
      </c>
    </row>
    <row r="429" spans="1:6" x14ac:dyDescent="0.25">
      <c r="A429" s="8" t="s">
        <v>738</v>
      </c>
      <c r="B429" s="3" t="s">
        <v>739</v>
      </c>
      <c r="C429" s="9"/>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7</v>
      </c>
    </row>
    <row r="430" spans="1:6" x14ac:dyDescent="0.25">
      <c r="A430" s="8" t="s">
        <v>484</v>
      </c>
      <c r="B430" s="3" t="s">
        <v>503</v>
      </c>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14</v>
      </c>
    </row>
    <row r="431" spans="1:6" x14ac:dyDescent="0.25">
      <c r="A431" s="8" t="s">
        <v>513</v>
      </c>
      <c r="B431" s="3" t="s">
        <v>514</v>
      </c>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52</v>
      </c>
    </row>
    <row r="432" spans="1:6" x14ac:dyDescent="0.25">
      <c r="A432" s="8" t="s">
        <v>92</v>
      </c>
      <c r="B432" s="3" t="s">
        <v>579</v>
      </c>
      <c r="C432" s="9"/>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24</v>
      </c>
    </row>
    <row r="433" spans="1:6" x14ac:dyDescent="0.25">
      <c r="A433" s="8" t="s">
        <v>1398</v>
      </c>
      <c r="B433" s="3" t="s">
        <v>1399</v>
      </c>
      <c r="C433" s="9"/>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22</v>
      </c>
    </row>
    <row r="434" spans="1:6" x14ac:dyDescent="0.25">
      <c r="A434" s="8" t="s">
        <v>173</v>
      </c>
      <c r="B434" s="3" t="s">
        <v>177</v>
      </c>
      <c r="C434" s="9"/>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5</v>
      </c>
    </row>
    <row r="435" spans="1:6" x14ac:dyDescent="0.25">
      <c r="A435" s="8" t="s">
        <v>451</v>
      </c>
      <c r="B435" s="3" t="s">
        <v>452</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7</v>
      </c>
    </row>
    <row r="436" spans="1:6" x14ac:dyDescent="0.25">
      <c r="A436" s="8" t="s">
        <v>1388</v>
      </c>
      <c r="B436" s="3" t="s">
        <v>452</v>
      </c>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12</v>
      </c>
    </row>
    <row r="437" spans="1:6" x14ac:dyDescent="0.25">
      <c r="A437" s="8" t="s">
        <v>1194</v>
      </c>
      <c r="B437" s="3" t="s">
        <v>1199</v>
      </c>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29</v>
      </c>
    </row>
    <row r="438" spans="1:6" x14ac:dyDescent="0.25">
      <c r="A438" s="8" t="s">
        <v>93</v>
      </c>
      <c r="B438" s="3" t="s">
        <v>93</v>
      </c>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9</v>
      </c>
    </row>
    <row r="439" spans="1:6" x14ac:dyDescent="0.25">
      <c r="A439" s="8" t="s">
        <v>740</v>
      </c>
      <c r="B439" s="3" t="s">
        <v>741</v>
      </c>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3</v>
      </c>
    </row>
    <row r="440" spans="1:6" x14ac:dyDescent="0.25">
      <c r="A440" s="8" t="s">
        <v>0</v>
      </c>
      <c r="B440" s="3" t="s">
        <v>1207</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8</v>
      </c>
    </row>
    <row r="441" spans="1:6" x14ac:dyDescent="0.25">
      <c r="A441" s="8" t="s">
        <v>197</v>
      </c>
      <c r="B441" s="3" t="s">
        <v>409</v>
      </c>
      <c r="C441" s="9"/>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22</v>
      </c>
    </row>
    <row r="442" spans="1:6" x14ac:dyDescent="0.25">
      <c r="A442" s="8" t="s">
        <v>724</v>
      </c>
      <c r="B442" s="3" t="s">
        <v>731</v>
      </c>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19</v>
      </c>
    </row>
    <row r="443" spans="1:6" x14ac:dyDescent="0.25">
      <c r="A443" s="8" t="s">
        <v>1058</v>
      </c>
      <c r="B443" s="3" t="s">
        <v>1062</v>
      </c>
      <c r="C443" s="9"/>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13</v>
      </c>
    </row>
    <row r="444" spans="1:6" x14ac:dyDescent="0.25">
      <c r="A444" s="8" t="s">
        <v>94</v>
      </c>
      <c r="B444" s="3" t="s">
        <v>95</v>
      </c>
      <c r="C444" s="9"/>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9</v>
      </c>
    </row>
    <row r="445" spans="1:6" x14ac:dyDescent="0.25">
      <c r="A445" s="8" t="s">
        <v>1468</v>
      </c>
      <c r="B445" s="3" t="s">
        <v>1468</v>
      </c>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7</v>
      </c>
    </row>
    <row r="446" spans="1:6" x14ac:dyDescent="0.25">
      <c r="A446" s="8" t="s">
        <v>1509</v>
      </c>
      <c r="B446" s="3" t="s">
        <v>1510</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5</v>
      </c>
    </row>
    <row r="447" spans="1:6" x14ac:dyDescent="0.25">
      <c r="A447" s="8" t="s">
        <v>172</v>
      </c>
      <c r="B447" s="3" t="s">
        <v>176</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6</v>
      </c>
    </row>
    <row r="448" spans="1:6" x14ac:dyDescent="0.25">
      <c r="A448" s="8" t="s">
        <v>96</v>
      </c>
      <c r="B448" s="3" t="s">
        <v>97</v>
      </c>
      <c r="C448" s="9"/>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8</v>
      </c>
    </row>
    <row r="449" spans="1:6" x14ac:dyDescent="0.25">
      <c r="A449" s="8" t="s">
        <v>411</v>
      </c>
      <c r="B449" s="3" t="s">
        <v>410</v>
      </c>
      <c r="C449" s="9"/>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17</v>
      </c>
    </row>
    <row r="450" spans="1:6" x14ac:dyDescent="0.25">
      <c r="A450" s="8" t="s">
        <v>1050</v>
      </c>
      <c r="B450" s="3" t="s">
        <v>1050</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9</v>
      </c>
    </row>
    <row r="451" spans="1:6" x14ac:dyDescent="0.25">
      <c r="A451" s="8" t="s">
        <v>1051</v>
      </c>
      <c r="B451" s="3" t="s">
        <v>1051</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9</v>
      </c>
    </row>
    <row r="452" spans="1:6" x14ac:dyDescent="0.25">
      <c r="A452" s="8" t="s">
        <v>1025</v>
      </c>
      <c r="B452" s="3" t="s">
        <v>1026</v>
      </c>
      <c r="C452" s="9"/>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8</v>
      </c>
    </row>
    <row r="453" spans="1:6" x14ac:dyDescent="0.25">
      <c r="A453" s="8" t="s">
        <v>1144</v>
      </c>
      <c r="B453" s="3" t="s">
        <v>1145</v>
      </c>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18</v>
      </c>
    </row>
    <row r="454" spans="1:6" x14ac:dyDescent="0.25">
      <c r="A454" s="8" t="s">
        <v>1287</v>
      </c>
      <c r="B454" s="3" t="s">
        <v>1288</v>
      </c>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37</v>
      </c>
    </row>
    <row r="455" spans="1:6" x14ac:dyDescent="0.25">
      <c r="A455" s="8" t="s">
        <v>1035</v>
      </c>
      <c r="B455" s="3" t="s">
        <v>1036</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29</v>
      </c>
    </row>
    <row r="456" spans="1:6" x14ac:dyDescent="0.25">
      <c r="A456" s="8" t="s">
        <v>270</v>
      </c>
      <c r="B456" s="3" t="s">
        <v>270</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5</v>
      </c>
    </row>
    <row r="457" spans="1:6" x14ac:dyDescent="0.25">
      <c r="A457" s="8" t="s">
        <v>267</v>
      </c>
      <c r="B457" s="3" t="s">
        <v>412</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10</v>
      </c>
    </row>
    <row r="458" spans="1:6" x14ac:dyDescent="0.25">
      <c r="A458" s="8" t="s">
        <v>98</v>
      </c>
      <c r="B458" s="3" t="s">
        <v>99</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35</v>
      </c>
    </row>
    <row r="459" spans="1:6" x14ac:dyDescent="0.25">
      <c r="A459" s="8" t="s">
        <v>102</v>
      </c>
      <c r="B459" s="3" t="s">
        <v>103</v>
      </c>
      <c r="C459" s="9"/>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25</v>
      </c>
    </row>
    <row r="460" spans="1:6" x14ac:dyDescent="0.25">
      <c r="A460" s="8" t="s">
        <v>249</v>
      </c>
      <c r="B460" s="3" t="s">
        <v>413</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33</v>
      </c>
    </row>
    <row r="461" spans="1:6" x14ac:dyDescent="0.25">
      <c r="A461" s="8" t="s">
        <v>552</v>
      </c>
      <c r="B461" s="3" t="s">
        <v>1008</v>
      </c>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41</v>
      </c>
    </row>
    <row r="462" spans="1:6" x14ac:dyDescent="0.25">
      <c r="A462" s="8" t="s">
        <v>100</v>
      </c>
      <c r="B462" s="3" t="s">
        <v>101</v>
      </c>
      <c r="C462" s="9"/>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24</v>
      </c>
    </row>
    <row r="463" spans="1:6" x14ac:dyDescent="0.25">
      <c r="A463" s="8" t="s">
        <v>462</v>
      </c>
      <c r="B463" s="3" t="s">
        <v>504</v>
      </c>
      <c r="C463" s="9"/>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16</v>
      </c>
    </row>
    <row r="464" spans="1:6" x14ac:dyDescent="0.25">
      <c r="A464" s="8" t="s">
        <v>1068</v>
      </c>
      <c r="B464" s="3" t="s">
        <v>1075</v>
      </c>
      <c r="C464" s="9"/>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38</v>
      </c>
    </row>
    <row r="465" spans="1:6" x14ac:dyDescent="0.25">
      <c r="A465" s="8" t="s">
        <v>1069</v>
      </c>
      <c r="B465" s="3" t="s">
        <v>1076</v>
      </c>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39</v>
      </c>
    </row>
    <row r="466" spans="1:6" x14ac:dyDescent="0.25">
      <c r="A466" s="8" t="s">
        <v>1071</v>
      </c>
      <c r="B466" s="3" t="s">
        <v>1078</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34</v>
      </c>
    </row>
    <row r="467" spans="1:6" x14ac:dyDescent="0.25">
      <c r="A467" s="8" t="s">
        <v>1072</v>
      </c>
      <c r="B467" s="3" t="s">
        <v>1079</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35</v>
      </c>
    </row>
    <row r="468" spans="1:6" x14ac:dyDescent="0.25">
      <c r="A468" s="8" t="s">
        <v>1357</v>
      </c>
      <c r="B468" s="3" t="s">
        <v>1358</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13</v>
      </c>
    </row>
    <row r="469" spans="1:6" x14ac:dyDescent="0.25">
      <c r="A469" s="8" t="s">
        <v>208</v>
      </c>
      <c r="B469" s="3" t="s">
        <v>414</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23</v>
      </c>
    </row>
    <row r="470" spans="1:6" x14ac:dyDescent="0.25">
      <c r="A470" s="8" t="s">
        <v>104</v>
      </c>
      <c r="B470" s="3" t="s">
        <v>105</v>
      </c>
      <c r="C470" s="9"/>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7</v>
      </c>
    </row>
    <row r="471" spans="1:6" x14ac:dyDescent="0.25">
      <c r="A471" s="8" t="s">
        <v>106</v>
      </c>
      <c r="B471" s="3" t="s">
        <v>107</v>
      </c>
      <c r="C471" s="9"/>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8</v>
      </c>
    </row>
    <row r="472" spans="1:6" x14ac:dyDescent="0.25">
      <c r="A472" s="8" t="s">
        <v>200</v>
      </c>
      <c r="B472" s="3" t="s">
        <v>415</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26</v>
      </c>
    </row>
    <row r="473" spans="1:6" x14ac:dyDescent="0.25">
      <c r="A473" s="8" t="s">
        <v>736</v>
      </c>
      <c r="B473" s="3" t="s">
        <v>737</v>
      </c>
      <c r="C473" s="9"/>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4</v>
      </c>
    </row>
    <row r="474" spans="1:6" x14ac:dyDescent="0.25">
      <c r="A474" s="8" t="s">
        <v>417</v>
      </c>
      <c r="B474" s="3" t="s">
        <v>416</v>
      </c>
      <c r="C474" s="9"/>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13</v>
      </c>
    </row>
    <row r="475" spans="1:6" x14ac:dyDescent="0.25">
      <c r="A475" s="8" t="s">
        <v>209</v>
      </c>
      <c r="B475" s="3" t="s">
        <v>418</v>
      </c>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33</v>
      </c>
    </row>
    <row r="476" spans="1:6" x14ac:dyDescent="0.25">
      <c r="A476" s="8" t="s">
        <v>154</v>
      </c>
      <c r="B476" s="8" t="s">
        <v>154</v>
      </c>
      <c r="D476" s="9" t="str">
        <f>IF(SIGN(IFERROR(SEARCH("\1",$A476),0))=SIGN(IFERROR(SEARCH("\1",B476),0)),".","!")&amp;
   IF(SIGN(IFERROR(SEARCH("\2",$A476),0))=SIGN(IFERROR(SEARCH("\2",B476),0)),".","!")&amp;
   IF(SIGN(IFERROR(SEARCH("\3",$A476),0))=SIGN(IFERROR(SEARCH("\3",B476),0)),".","!")</f>
        <v>...</v>
      </c>
      <c r="E476" s="3" t="str">
        <f>IF(SIGN(IFERROR(SEARCH("\1",$A476),0))=SIGN(IFERROR(SEARCH("\1",C476),0)),".","!")&amp;
   IF(SIGN(IFERROR(SEARCH("\2",$A476),0))=SIGN(IFERROR(SEARCH("\2",C476),0)),".","!")&amp;
   IF(SIGN(IFERROR(SEARCH("\3",$A476),0))=SIGN(IFERROR(SEARCH("\3",C476),0)),".","!")</f>
        <v>...</v>
      </c>
      <c r="F476" s="9">
        <f>LEN(A476)</f>
        <v>3</v>
      </c>
    </row>
    <row r="477" spans="1:6" x14ac:dyDescent="0.25">
      <c r="A477" s="8" t="s">
        <v>1382</v>
      </c>
      <c r="B477" s="3" t="s">
        <v>1383</v>
      </c>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4</v>
      </c>
    </row>
    <row r="478" spans="1:6" x14ac:dyDescent="0.25">
      <c r="A478" s="8" t="s">
        <v>215</v>
      </c>
      <c r="B478" s="3" t="s">
        <v>541</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18</v>
      </c>
    </row>
    <row r="479" spans="1:6" x14ac:dyDescent="0.25">
      <c r="A479" s="8" t="s">
        <v>308</v>
      </c>
      <c r="B479" s="3" t="s">
        <v>419</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24</v>
      </c>
    </row>
    <row r="480" spans="1:6" x14ac:dyDescent="0.25">
      <c r="A480" s="8" t="s">
        <v>1286</v>
      </c>
      <c r="B480" s="3" t="s">
        <v>1291</v>
      </c>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10</v>
      </c>
    </row>
    <row r="481" spans="1:6" x14ac:dyDescent="0.25">
      <c r="A481" s="8" t="s">
        <v>108</v>
      </c>
      <c r="B481" s="3" t="s">
        <v>108</v>
      </c>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4</v>
      </c>
    </row>
    <row r="482" spans="1:6" x14ac:dyDescent="0.25">
      <c r="A482" s="8" t="s">
        <v>548</v>
      </c>
      <c r="B482" s="3" t="s">
        <v>548</v>
      </c>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10</v>
      </c>
    </row>
    <row r="483" spans="1:6" x14ac:dyDescent="0.25">
      <c r="A483" s="8" t="s">
        <v>547</v>
      </c>
      <c r="B483" s="3" t="s">
        <v>547</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10</v>
      </c>
    </row>
    <row r="484" spans="1:6" x14ac:dyDescent="0.25">
      <c r="A484" s="8" t="s">
        <v>546</v>
      </c>
      <c r="B484" s="3" t="s">
        <v>546</v>
      </c>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10</v>
      </c>
    </row>
    <row r="485" spans="1:6" x14ac:dyDescent="0.25">
      <c r="A485" s="8" t="s">
        <v>545</v>
      </c>
      <c r="B485" s="3" t="s">
        <v>545</v>
      </c>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10</v>
      </c>
    </row>
    <row r="486" spans="1:6" x14ac:dyDescent="0.25">
      <c r="A486" s="8" t="s">
        <v>478</v>
      </c>
      <c r="B486" s="3" t="s">
        <v>505</v>
      </c>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20</v>
      </c>
    </row>
    <row r="487" spans="1:6" x14ac:dyDescent="0.25">
      <c r="A487" s="8" t="s">
        <v>1246</v>
      </c>
      <c r="B487" s="3" t="s">
        <v>1247</v>
      </c>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15</v>
      </c>
    </row>
    <row r="488" spans="1:6" x14ac:dyDescent="0.25">
      <c r="A488" s="8" t="s">
        <v>461</v>
      </c>
      <c r="B488" s="3" t="s">
        <v>506</v>
      </c>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12</v>
      </c>
    </row>
    <row r="489" spans="1:6" x14ac:dyDescent="0.25">
      <c r="A489" s="8" t="s">
        <v>1116</v>
      </c>
      <c r="B489" s="3" t="s">
        <v>1117</v>
      </c>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52</v>
      </c>
    </row>
  </sheetData>
  <autoFilter ref="A1:F480" xr:uid="{00000000-0009-0000-0000-000002000000}">
    <sortState xmlns:xlrd2="http://schemas.microsoft.com/office/spreadsheetml/2017/richdata2" ref="A2:F489">
      <sortCondition ref="A1:A489"/>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3"/>
  <sheetViews>
    <sheetView workbookViewId="0">
      <pane ySplit="1" topLeftCell="A91" activePane="bottomLeft" state="frozen"/>
      <selection pane="bottomLeft" activeCell="A2" sqref="A2:F123"/>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124</v>
      </c>
      <c r="B1" s="23" t="s">
        <v>109</v>
      </c>
      <c r="C1" s="23" t="str">
        <f>Main!F1</f>
        <v>English</v>
      </c>
      <c r="D1" s="23">
        <f>Main!G1</f>
        <v>0</v>
      </c>
      <c r="E1" s="24" t="str">
        <f>"Parameter check  "&amp; C1</f>
        <v>Parameter check  English</v>
      </c>
      <c r="F1" s="24" t="str">
        <f>"Parameter check  "&amp; D1</f>
        <v>Parameter check  0</v>
      </c>
    </row>
    <row r="2" spans="1:6" ht="25.5" x14ac:dyDescent="0.25">
      <c r="A2" s="15" t="s">
        <v>1139</v>
      </c>
      <c r="B2" s="16" t="s">
        <v>1140</v>
      </c>
      <c r="C2" s="16" t="s">
        <v>1141</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640</v>
      </c>
      <c r="B3" s="16" t="s">
        <v>639</v>
      </c>
      <c r="C3" s="16" t="s">
        <v>665</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1416</v>
      </c>
      <c r="B4" s="16" t="s">
        <v>1334</v>
      </c>
      <c r="C4" s="16" t="s">
        <v>1335</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638</v>
      </c>
      <c r="B5" s="16" t="s">
        <v>637</v>
      </c>
      <c r="C5" s="16" t="s">
        <v>666</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635</v>
      </c>
      <c r="B6" s="16" t="s">
        <v>634</v>
      </c>
      <c r="C6" s="16" t="s">
        <v>667</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704</v>
      </c>
      <c r="B7" s="16" t="s">
        <v>703</v>
      </c>
      <c r="C7" s="16" t="s">
        <v>1462</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1430</v>
      </c>
      <c r="B8" s="16" t="s">
        <v>1431</v>
      </c>
      <c r="C8" s="16" t="s">
        <v>1432</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648</v>
      </c>
      <c r="B9" s="16" t="s">
        <v>647</v>
      </c>
      <c r="C9" s="16" t="s">
        <v>668</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1676</v>
      </c>
      <c r="B10" s="16" t="s">
        <v>1687</v>
      </c>
      <c r="C10" s="16" t="s">
        <v>1688</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646</v>
      </c>
      <c r="B11" s="16" t="s">
        <v>645</v>
      </c>
      <c r="C11" s="16" t="s">
        <v>669</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633</v>
      </c>
      <c r="B12" s="16" t="s">
        <v>636</v>
      </c>
      <c r="C12" s="16" t="s">
        <v>670</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1451</v>
      </c>
      <c r="B13" s="16" t="s">
        <v>1450</v>
      </c>
      <c r="C13" s="16" t="s">
        <v>1461</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712</v>
      </c>
      <c r="B14" s="16" t="s">
        <v>713</v>
      </c>
      <c r="C14" s="16" t="s">
        <v>714</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702</v>
      </c>
      <c r="B15" s="16" t="s">
        <v>707</v>
      </c>
      <c r="C15" s="16" t="s">
        <v>708</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51" x14ac:dyDescent="0.25">
      <c r="A16" s="15" t="s">
        <v>632</v>
      </c>
      <c r="B16" s="16" t="s">
        <v>631</v>
      </c>
      <c r="C16" s="16" t="s">
        <v>671</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ht="25.5" x14ac:dyDescent="0.25">
      <c r="A17" s="15" t="s">
        <v>1336</v>
      </c>
      <c r="B17" s="16" t="s">
        <v>1337</v>
      </c>
      <c r="C17" s="16" t="s">
        <v>1338</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x14ac:dyDescent="0.25">
      <c r="A18" s="15" t="s">
        <v>1439</v>
      </c>
      <c r="B18" s="16" t="s">
        <v>1440</v>
      </c>
      <c r="C18" s="16" t="s">
        <v>1441</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15" t="s">
        <v>1442</v>
      </c>
      <c r="B19" s="16" t="s">
        <v>1443</v>
      </c>
      <c r="C19" s="16" t="s">
        <v>1444</v>
      </c>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32" t="s">
        <v>1234</v>
      </c>
      <c r="B20" s="33" t="s">
        <v>1235</v>
      </c>
      <c r="C20" s="33" t="s">
        <v>1236</v>
      </c>
      <c r="D20" s="33"/>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25.5" x14ac:dyDescent="0.25">
      <c r="A21" s="15" t="s">
        <v>644</v>
      </c>
      <c r="B21" s="16" t="s">
        <v>643</v>
      </c>
      <c r="C21" s="16" t="s">
        <v>672</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38.25" x14ac:dyDescent="0.25">
      <c r="A22" s="15" t="s">
        <v>1427</v>
      </c>
      <c r="B22" s="16" t="s">
        <v>1428</v>
      </c>
      <c r="C22" s="16" t="s">
        <v>1429</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ht="51" x14ac:dyDescent="0.25">
      <c r="A23" s="32" t="s">
        <v>1310</v>
      </c>
      <c r="B23" s="16" t="s">
        <v>1311</v>
      </c>
      <c r="C23" s="16" t="s">
        <v>1325</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x14ac:dyDescent="0.25">
      <c r="A24" s="15" t="s">
        <v>630</v>
      </c>
      <c r="B24" s="16" t="s">
        <v>673</v>
      </c>
      <c r="C24" s="16" t="s">
        <v>674</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76.5" x14ac:dyDescent="0.25">
      <c r="A25" s="15" t="s">
        <v>1458</v>
      </c>
      <c r="B25" s="16" t="s">
        <v>1459</v>
      </c>
      <c r="C25" s="16" t="s">
        <v>1460</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641</v>
      </c>
      <c r="B26" s="16" t="s">
        <v>1414</v>
      </c>
      <c r="C26" s="16" t="s">
        <v>1415</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51" x14ac:dyDescent="0.25">
      <c r="A27" s="15" t="s">
        <v>1309</v>
      </c>
      <c r="B27" s="16" t="s">
        <v>1305</v>
      </c>
      <c r="C27" s="16" t="s">
        <v>1304</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63.75" x14ac:dyDescent="0.25">
      <c r="A28" s="15" t="s">
        <v>1412</v>
      </c>
      <c r="B28" s="16" t="s">
        <v>617</v>
      </c>
      <c r="C28" s="16" t="s">
        <v>684</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51" x14ac:dyDescent="0.25">
      <c r="A29" s="15" t="s">
        <v>1413</v>
      </c>
      <c r="B29" s="16" t="s">
        <v>618</v>
      </c>
      <c r="C29" s="16" t="s">
        <v>683</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1300</v>
      </c>
      <c r="B30" s="16" t="s">
        <v>1301</v>
      </c>
      <c r="C30" s="16" t="s">
        <v>1302</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1177</v>
      </c>
      <c r="B31" s="16" t="s">
        <v>1178</v>
      </c>
      <c r="C31" s="16" t="s">
        <v>1179</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1341</v>
      </c>
      <c r="B32" s="16" t="s">
        <v>1339</v>
      </c>
      <c r="C32" s="16" t="s">
        <v>1340</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616</v>
      </c>
      <c r="B33" s="16" t="s">
        <v>615</v>
      </c>
      <c r="C33" s="16" t="s">
        <v>675</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1445</v>
      </c>
      <c r="B34" s="16" t="s">
        <v>1446</v>
      </c>
      <c r="C34" s="16" t="s">
        <v>1447</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38.25" x14ac:dyDescent="0.25">
      <c r="A35" s="15" t="s">
        <v>1306</v>
      </c>
      <c r="B35" s="16" t="s">
        <v>1375</v>
      </c>
      <c r="C35" s="16" t="s">
        <v>1376</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51" x14ac:dyDescent="0.25">
      <c r="A36" s="15" t="s">
        <v>1307</v>
      </c>
      <c r="B36" s="16" t="s">
        <v>1314</v>
      </c>
      <c r="C36" s="16" t="s">
        <v>1308</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ht="63.75" x14ac:dyDescent="0.25">
      <c r="A37" s="15" t="s">
        <v>1312</v>
      </c>
      <c r="B37" s="16" t="s">
        <v>1377</v>
      </c>
      <c r="C37" s="16" t="s">
        <v>1378</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x14ac:dyDescent="0.25">
      <c r="A38" s="15" t="s">
        <v>1217</v>
      </c>
      <c r="B38" s="16" t="s">
        <v>1218</v>
      </c>
      <c r="C38" s="16" t="s">
        <v>1219</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1433</v>
      </c>
      <c r="B39" s="16" t="s">
        <v>1434</v>
      </c>
      <c r="C39" s="16" t="s">
        <v>1435</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1424</v>
      </c>
      <c r="B40" s="16" t="s">
        <v>1425</v>
      </c>
      <c r="C40" s="16" t="s">
        <v>1426</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25.5" x14ac:dyDescent="0.25">
      <c r="A41" s="15" t="s">
        <v>1157</v>
      </c>
      <c r="B41" s="16" t="s">
        <v>1158</v>
      </c>
      <c r="C41" s="16" t="s">
        <v>1159</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76.5" x14ac:dyDescent="0.25">
      <c r="A42" s="15" t="s">
        <v>1313</v>
      </c>
      <c r="B42" s="16" t="s">
        <v>620</v>
      </c>
      <c r="C42" s="16" t="s">
        <v>691</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1421</v>
      </c>
      <c r="B43" s="16" t="s">
        <v>1422</v>
      </c>
      <c r="C43" s="16" t="s">
        <v>1423</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25.5" x14ac:dyDescent="0.25">
      <c r="A44" s="15" t="s">
        <v>706</v>
      </c>
      <c r="B44" s="16" t="s">
        <v>705</v>
      </c>
      <c r="C44" s="16" t="s">
        <v>709</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51" x14ac:dyDescent="0.25">
      <c r="A45" s="15" t="s">
        <v>642</v>
      </c>
      <c r="B45" s="16" t="s">
        <v>676</v>
      </c>
      <c r="C45" s="16" t="s">
        <v>677</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1436</v>
      </c>
      <c r="B46" s="16" t="s">
        <v>1437</v>
      </c>
      <c r="C46" s="16" t="s">
        <v>1438</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1410</v>
      </c>
      <c r="B47" s="16" t="s">
        <v>1406</v>
      </c>
      <c r="C47" s="16" t="s">
        <v>1407</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
      <c r="A48" s="15" t="s">
        <v>1411</v>
      </c>
      <c r="B48" s="16" t="s">
        <v>1408</v>
      </c>
      <c r="C48" s="16" t="s">
        <v>1409</v>
      </c>
      <c r="D48" s="37"/>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51" x14ac:dyDescent="0.25">
      <c r="A49" s="15" t="s">
        <v>720</v>
      </c>
      <c r="B49" s="16" t="s">
        <v>722</v>
      </c>
      <c r="C49" s="16" t="s">
        <v>721</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600</v>
      </c>
      <c r="B50" s="16" t="s">
        <v>380</v>
      </c>
      <c r="C50" s="16" t="s">
        <v>381</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25.5" x14ac:dyDescent="0.25">
      <c r="A51" s="15" t="s">
        <v>1174</v>
      </c>
      <c r="B51" s="16" t="s">
        <v>1175</v>
      </c>
      <c r="C51" s="16" t="s">
        <v>1176</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38.25" x14ac:dyDescent="0.25">
      <c r="A52" s="15" t="s">
        <v>1679</v>
      </c>
      <c r="B52" s="16" t="s">
        <v>1699</v>
      </c>
      <c r="C52" s="16" t="s">
        <v>1700</v>
      </c>
      <c r="E52" s="36" t="str">
        <f>IF(SIGN(IFERROR(SEARCH("\1",$B52),0))=SIGN(IFERROR(SEARCH("\1",C52),0)),".","!")&amp;
   IF(SIGN(IFERROR(SEARCH("\2",$B52),0))=SIGN(IFERROR(SEARCH("\2",C52),0)),".","!")&amp;
   IF(SIGN(IFERROR(SEARCH("\3",$B52),0))=SIGN(IFERROR(SEARCH("\3",C52),0)),".","!")</f>
        <v>...</v>
      </c>
      <c r="F52" s="14" t="str">
        <f>IF(SIGN(IFERROR(SEARCH("\1",$B52),0))=SIGN(IFERROR(SEARCH("\1",D52),0)),".","!")&amp;
   IF(SIGN(IFERROR(SEARCH("\2",$B52),0))=SIGN(IFERROR(SEARCH("\2",D52),0)),".","!")&amp;
   IF(SIGN(IFERROR(SEARCH("\3",$B52),0))=SIGN(IFERROR(SEARCH("\3",D52),0)),".","!")</f>
        <v>!!!</v>
      </c>
    </row>
    <row r="53" spans="1:6" ht="25.5" x14ac:dyDescent="0.25">
      <c r="A53" s="15" t="s">
        <v>658</v>
      </c>
      <c r="B53" s="16" t="s">
        <v>657</v>
      </c>
      <c r="C53" s="16" t="s">
        <v>695</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1201</v>
      </c>
      <c r="B54" s="16" t="s">
        <v>1202</v>
      </c>
      <c r="C54" s="16" t="s">
        <v>1203</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165.75" x14ac:dyDescent="0.25">
      <c r="A55" s="15" t="s">
        <v>664</v>
      </c>
      <c r="B55" s="16" t="s">
        <v>1326</v>
      </c>
      <c r="C55" s="16" t="s">
        <v>1327</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1623</v>
      </c>
      <c r="B56" s="16" t="s">
        <v>1621</v>
      </c>
      <c r="C56" s="16" t="s">
        <v>1622</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38.25" x14ac:dyDescent="0.2">
      <c r="A57" s="15" t="s">
        <v>602</v>
      </c>
      <c r="B57" s="16" t="s">
        <v>562</v>
      </c>
      <c r="C57" s="16" t="s">
        <v>563</v>
      </c>
      <c r="D57" s="37"/>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x14ac:dyDescent="0.25">
      <c r="A58" s="15" t="s">
        <v>654</v>
      </c>
      <c r="B58" s="16" t="s">
        <v>653</v>
      </c>
      <c r="C58" s="16" t="s">
        <v>678</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5">
      <c r="A59" s="15" t="s">
        <v>601</v>
      </c>
      <c r="B59" s="16" t="s">
        <v>560</v>
      </c>
      <c r="C59" s="16" t="s">
        <v>561</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5">
      <c r="A60" s="15" t="s">
        <v>660</v>
      </c>
      <c r="B60" s="16" t="s">
        <v>661</v>
      </c>
      <c r="C60" s="16" t="s">
        <v>696</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
      <c r="A61" s="15" t="s">
        <v>663</v>
      </c>
      <c r="B61" s="16" t="s">
        <v>662</v>
      </c>
      <c r="C61" s="16" t="s">
        <v>698</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x14ac:dyDescent="0.25">
      <c r="A62" s="15" t="s">
        <v>1285</v>
      </c>
      <c r="B62" s="16" t="s">
        <v>1283</v>
      </c>
      <c r="C62" s="16" t="s">
        <v>1284</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15" t="s">
        <v>599</v>
      </c>
      <c r="B63" s="16" t="s">
        <v>180</v>
      </c>
      <c r="C63" s="16" t="s">
        <v>179</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
      <c r="A64" s="15" t="s">
        <v>656</v>
      </c>
      <c r="B64" s="16" t="s">
        <v>655</v>
      </c>
      <c r="C64" s="16" t="s">
        <v>694</v>
      </c>
      <c r="D64" s="37"/>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63.75" x14ac:dyDescent="0.25">
      <c r="A65" s="15" t="s">
        <v>659</v>
      </c>
      <c r="B65" s="16" t="s">
        <v>1448</v>
      </c>
      <c r="C65" s="16" t="s">
        <v>1449</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51" x14ac:dyDescent="0.25">
      <c r="A66" s="15" t="s">
        <v>605</v>
      </c>
      <c r="B66" s="16" t="s">
        <v>585</v>
      </c>
      <c r="C66" s="16" t="s">
        <v>586</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1320</v>
      </c>
      <c r="B67" s="16" t="s">
        <v>1321</v>
      </c>
      <c r="C67" s="16" t="s">
        <v>1324</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1645</v>
      </c>
      <c r="B68" s="16" t="s">
        <v>1646</v>
      </c>
      <c r="C68" s="16" t="s">
        <v>1647</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1319</v>
      </c>
      <c r="B69" s="16" t="s">
        <v>1322</v>
      </c>
      <c r="C69" s="16" t="s">
        <v>1323</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5">
      <c r="A70" s="15" t="s">
        <v>1160</v>
      </c>
      <c r="B70" s="16" t="s">
        <v>1161</v>
      </c>
      <c r="C70" s="16" t="s">
        <v>1162</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32" t="s">
        <v>917</v>
      </c>
      <c r="B71" s="16" t="s">
        <v>1009</v>
      </c>
      <c r="C71" s="16" t="s">
        <v>1010</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907</v>
      </c>
      <c r="B72" s="16" t="s">
        <v>908</v>
      </c>
      <c r="C72" s="16" t="s">
        <v>910</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906</v>
      </c>
      <c r="B73" s="16" t="s">
        <v>905</v>
      </c>
      <c r="C73" s="16" t="s">
        <v>909</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915</v>
      </c>
      <c r="B74" s="16" t="s">
        <v>916</v>
      </c>
      <c r="C74" s="16" t="s">
        <v>914</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863</v>
      </c>
      <c r="B75" s="16" t="s">
        <v>858</v>
      </c>
      <c r="C75" s="16" t="s">
        <v>862</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63.75" x14ac:dyDescent="0.25">
      <c r="A76" s="15" t="s">
        <v>918</v>
      </c>
      <c r="B76" s="16" t="s">
        <v>1355</v>
      </c>
      <c r="C76" s="16" t="s">
        <v>1356</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1292</v>
      </c>
      <c r="B77" s="16" t="s">
        <v>1294</v>
      </c>
      <c r="C77" s="16" t="s">
        <v>1293</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25.5" x14ac:dyDescent="0.2">
      <c r="A78" s="15" t="s">
        <v>848</v>
      </c>
      <c r="B78" s="16" t="s">
        <v>847</v>
      </c>
      <c r="C78" s="16" t="s">
        <v>859</v>
      </c>
      <c r="D78" s="37"/>
      <c r="E78" s="36" t="str">
        <f>IF(SIGN(IFERROR(SEARCH("\1",$B78),0))=SIGN(IFERROR(SEARCH("\1",C78),0)),".","!")&amp;
   IF(SIGN(IFERROR(SEARCH("\2",$B78),0))=SIGN(IFERROR(SEARCH("\2",C78),0)),".","!")&amp;
   IF(SIGN(IFERROR(SEARCH("\3",$B78),0))=SIGN(IFERROR(SEARCH("\3",C78),0)),".","!")</f>
        <v>...</v>
      </c>
      <c r="F78" s="36" t="str">
        <f>IF(SIGN(IFERROR(SEARCH("\1",$B78),0))=SIGN(IFERROR(SEARCH("\1",D78),0)),".","!")&amp;
   IF(SIGN(IFERROR(SEARCH("\2",$B78),0))=SIGN(IFERROR(SEARCH("\2",D78),0)),".","!")&amp;
   IF(SIGN(IFERROR(SEARCH("\3",$B78),0))=SIGN(IFERROR(SEARCH("\3",D78),0)),".","!")</f>
        <v>!..</v>
      </c>
    </row>
    <row r="79" spans="1:6" ht="25.5" x14ac:dyDescent="0.25">
      <c r="A79" s="15" t="s">
        <v>1149</v>
      </c>
      <c r="B79" s="16" t="s">
        <v>1150</v>
      </c>
      <c r="C79" s="16" t="s">
        <v>1151</v>
      </c>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652</v>
      </c>
      <c r="B80" s="16" t="s">
        <v>651</v>
      </c>
      <c r="C80" s="16" t="s">
        <v>679</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63.75" x14ac:dyDescent="0.25">
      <c r="A81" s="15" t="s">
        <v>598</v>
      </c>
      <c r="B81" s="16" t="s">
        <v>111</v>
      </c>
      <c r="C81" s="16" t="s">
        <v>1011</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38.25" x14ac:dyDescent="0.25">
      <c r="A82" s="15" t="s">
        <v>1238</v>
      </c>
      <c r="B82" s="16" t="s">
        <v>1454</v>
      </c>
      <c r="C82" s="16" t="s">
        <v>1239</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102" x14ac:dyDescent="0.25">
      <c r="A83" s="15" t="s">
        <v>886</v>
      </c>
      <c r="B83" s="16" t="s">
        <v>885</v>
      </c>
      <c r="C83" s="16" t="s">
        <v>887</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25.5" x14ac:dyDescent="0.25">
      <c r="A84" s="15" t="s">
        <v>849</v>
      </c>
      <c r="B84" s="16" t="s">
        <v>861</v>
      </c>
      <c r="C84" s="16" t="s">
        <v>860</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889</v>
      </c>
      <c r="B85" s="16" t="s">
        <v>888</v>
      </c>
      <c r="C85" s="16" t="s">
        <v>890</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650</v>
      </c>
      <c r="B86" s="16" t="s">
        <v>649</v>
      </c>
      <c r="C86" s="16" t="s">
        <v>680</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ht="25.5" x14ac:dyDescent="0.25">
      <c r="A87" s="15" t="s">
        <v>1146</v>
      </c>
      <c r="B87" s="16" t="s">
        <v>1147</v>
      </c>
      <c r="C87" s="16" t="s">
        <v>1148</v>
      </c>
      <c r="E87" s="36" t="str">
        <f>IF(SIGN(IFERROR(SEARCH("\1",$B87),0))=SIGN(IFERROR(SEARCH("\1",C87),0)),".","!")&amp;
   IF(SIGN(IFERROR(SEARCH("\2",$B87),0))=SIGN(IFERROR(SEARCH("\2",C87),0)),".","!")&amp;
   IF(SIGN(IFERROR(SEARCH("\3",$B87),0))=SIGN(IFERROR(SEARCH("\3",C87),0)),".","!")</f>
        <v>...</v>
      </c>
      <c r="F87" s="36" t="str">
        <f>IF(SIGN(IFERROR(SEARCH("\1",$B87),0))=SIGN(IFERROR(SEARCH("\1",D87),0)),".","!")&amp;
   IF(SIGN(IFERROR(SEARCH("\2",$B87),0))=SIGN(IFERROR(SEARCH("\2",D87),0)),".","!")&amp;
   IF(SIGN(IFERROR(SEARCH("\3",$B87),0))=SIGN(IFERROR(SEARCH("\3",D87),0)),".","!")</f>
        <v>...</v>
      </c>
    </row>
    <row r="88" spans="1:6" ht="38.25" x14ac:dyDescent="0.25">
      <c r="A88" s="15" t="s">
        <v>1295</v>
      </c>
      <c r="B88" s="16" t="s">
        <v>1296</v>
      </c>
      <c r="C88" s="16" t="s">
        <v>1297</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38.25" x14ac:dyDescent="0.25">
      <c r="A89" s="15" t="s">
        <v>881</v>
      </c>
      <c r="B89" s="16" t="s">
        <v>879</v>
      </c>
      <c r="C89" s="16" t="s">
        <v>880</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76.5" x14ac:dyDescent="0.25">
      <c r="A90" s="15" t="s">
        <v>982</v>
      </c>
      <c r="B90" s="16" t="s">
        <v>587</v>
      </c>
      <c r="C90" s="16" t="s">
        <v>588</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89.25" x14ac:dyDescent="0.25">
      <c r="A91" s="15" t="s">
        <v>1420</v>
      </c>
      <c r="B91" s="16" t="s">
        <v>1315</v>
      </c>
      <c r="C91" s="16" t="s">
        <v>697</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76.5" x14ac:dyDescent="0.25">
      <c r="A92" s="15" t="s">
        <v>608</v>
      </c>
      <c r="B92" s="16" t="s">
        <v>609</v>
      </c>
      <c r="C92" s="16" t="s">
        <v>681</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38.25" x14ac:dyDescent="0.25">
      <c r="A93" s="15" t="s">
        <v>1401</v>
      </c>
      <c r="B93" s="16" t="s">
        <v>1402</v>
      </c>
      <c r="C93" s="16" t="s">
        <v>1403</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38.25" x14ac:dyDescent="0.25">
      <c r="A94" s="15" t="s">
        <v>619</v>
      </c>
      <c r="B94" s="16" t="s">
        <v>1237</v>
      </c>
      <c r="C94" s="16" t="s">
        <v>1303</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x14ac:dyDescent="0.25">
      <c r="A95" s="15" t="s">
        <v>1032</v>
      </c>
      <c r="B95" s="16" t="s">
        <v>1033</v>
      </c>
      <c r="C95" s="16" t="s">
        <v>1034</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1639</v>
      </c>
      <c r="B96" s="16" t="s">
        <v>1640</v>
      </c>
      <c r="C96" s="16" t="s">
        <v>1641</v>
      </c>
      <c r="E96" s="14" t="str">
        <f>IF(SIGN(IFERROR(SEARCH("\1",$B96),0))=SIGN(IFERROR(SEARCH("\1",C96),0)),".","!")&amp;
   IF(SIGN(IFERROR(SEARCH("\2",$B96),0))=SIGN(IFERROR(SEARCH("\2",C96),0)),".","!")&amp;
   IF(SIGN(IFERROR(SEARCH("\3",$B96),0))=SIGN(IFERROR(SEARCH("\3",C96),0)),".","!")</f>
        <v>...</v>
      </c>
      <c r="F96" s="14" t="str">
        <f>IF(SIGN(IFERROR(SEARCH("\1",$B96),0))=SIGN(IFERROR(SEARCH("\1",D96),0)),".","!")&amp;
   IF(SIGN(IFERROR(SEARCH("\2",$B96),0))=SIGN(IFERROR(SEARCH("\2",D96),0)),".","!")&amp;
   IF(SIGN(IFERROR(SEARCH("\3",$B96),0))=SIGN(IFERROR(SEARCH("\3",D96),0)),".","!")</f>
        <v>!..</v>
      </c>
    </row>
    <row r="97" spans="1:6" ht="38.25" x14ac:dyDescent="0.25">
      <c r="A97" s="15" t="s">
        <v>1642</v>
      </c>
      <c r="B97" s="16" t="s">
        <v>1643</v>
      </c>
      <c r="C97" s="16" t="s">
        <v>1644</v>
      </c>
    </row>
    <row r="98" spans="1:6" ht="25.5" x14ac:dyDescent="0.25">
      <c r="A98" s="15" t="s">
        <v>606</v>
      </c>
      <c r="B98" s="16" t="s">
        <v>589</v>
      </c>
      <c r="C98" s="16" t="s">
        <v>682</v>
      </c>
      <c r="E98" s="36" t="str">
        <f>IF(SIGN(IFERROR(SEARCH("\1",$B98),0))=SIGN(IFERROR(SEARCH("\1",C98),0)),".","!")&amp;
   IF(SIGN(IFERROR(SEARCH("\2",$B98),0))=SIGN(IFERROR(SEARCH("\2",C98),0)),".","!")&amp;
   IF(SIGN(IFERROR(SEARCH("\3",$B98),0))=SIGN(IFERROR(SEARCH("\3",C98),0)),".","!")</f>
        <v>...</v>
      </c>
      <c r="F98" s="36" t="str">
        <f>IF(SIGN(IFERROR(SEARCH("\1",$B98),0))=SIGN(IFERROR(SEARCH("\1",D98),0)),".","!")&amp;
   IF(SIGN(IFERROR(SEARCH("\2",$B98),0))=SIGN(IFERROR(SEARCH("\2",D98),0)),".","!")&amp;
   IF(SIGN(IFERROR(SEARCH("\3",$B98),0))=SIGN(IFERROR(SEARCH("\3",D98),0)),".","!")</f>
        <v>...</v>
      </c>
    </row>
    <row r="99" spans="1:6" ht="38.25" x14ac:dyDescent="0.25">
      <c r="A99" s="15" t="s">
        <v>1753</v>
      </c>
      <c r="B99" s="16" t="s">
        <v>1755</v>
      </c>
      <c r="C99" s="16" t="s">
        <v>1756</v>
      </c>
      <c r="E99" s="14" t="str">
        <f>IF(SIGN(IFERROR(SEARCH("\1",$B99),0))=SIGN(IFERROR(SEARCH("\1",C99),0)),".","!")&amp;
   IF(SIGN(IFERROR(SEARCH("\2",$B99),0))=SIGN(IFERROR(SEARCH("\2",C99),0)),".","!")&amp;
   IF(SIGN(IFERROR(SEARCH("\3",$B99),0))=SIGN(IFERROR(SEARCH("\3",C99),0)),".","!")</f>
        <v>...</v>
      </c>
      <c r="F99" s="14" t="str">
        <f>IF(SIGN(IFERROR(SEARCH("\1",$B99),0))=SIGN(IFERROR(SEARCH("\1",D99),0)),".","!")&amp;
   IF(SIGN(IFERROR(SEARCH("\2",$B99),0))=SIGN(IFERROR(SEARCH("\2",D99),0)),".","!")&amp;
   IF(SIGN(IFERROR(SEARCH("\3",$B99),0))=SIGN(IFERROR(SEARCH("\3",D99),0)),".","!")</f>
        <v>!..</v>
      </c>
    </row>
    <row r="100" spans="1:6" ht="102" x14ac:dyDescent="0.25">
      <c r="A100" s="15" t="s">
        <v>1728</v>
      </c>
      <c r="B100" s="16" t="s">
        <v>1729</v>
      </c>
      <c r="C100" s="16" t="s">
        <v>1730</v>
      </c>
      <c r="E100" s="14" t="str">
        <f>IF(SIGN(IFERROR(SEARCH("\1",$B100),0))=SIGN(IFERROR(SEARCH("\1",C100),0)),".","!")&amp;
   IF(SIGN(IFERROR(SEARCH("\2",$B100),0))=SIGN(IFERROR(SEARCH("\2",C100),0)),".","!")&amp;
   IF(SIGN(IFERROR(SEARCH("\3",$B100),0))=SIGN(IFERROR(SEARCH("\3",C100),0)),".","!")</f>
        <v>...</v>
      </c>
      <c r="F100" s="14" t="str">
        <f>IF(SIGN(IFERROR(SEARCH("\1",$B100),0))=SIGN(IFERROR(SEARCH("\1",D100),0)),".","!")&amp;
   IF(SIGN(IFERROR(SEARCH("\2",$B100),0))=SIGN(IFERROR(SEARCH("\2",D100),0)),".","!")&amp;
   IF(SIGN(IFERROR(SEARCH("\3",$B100),0))=SIGN(IFERROR(SEARCH("\3",D100),0)),".","!")</f>
        <v>...</v>
      </c>
    </row>
    <row r="101" spans="1:6" ht="25.5" x14ac:dyDescent="0.25">
      <c r="A101" s="15" t="s">
        <v>1636</v>
      </c>
      <c r="B101" s="16" t="s">
        <v>1637</v>
      </c>
      <c r="C101" s="16" t="s">
        <v>1638</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38.25" x14ac:dyDescent="0.25">
      <c r="A102" s="15" t="s">
        <v>624</v>
      </c>
      <c r="B102" s="16" t="s">
        <v>623</v>
      </c>
      <c r="C102" s="16" t="s">
        <v>1012</v>
      </c>
      <c r="E102" s="36" t="str">
        <f>IF(SIGN(IFERROR(SEARCH("\1",$B102),0))=SIGN(IFERROR(SEARCH("\1",C102),0)),".","!")&amp;
   IF(SIGN(IFERROR(SEARCH("\2",$B102),0))=SIGN(IFERROR(SEARCH("\2",C102),0)),".","!")&amp;
   IF(SIGN(IFERROR(SEARCH("\3",$B102),0))=SIGN(IFERROR(SEARCH("\3",C102),0)),".","!")</f>
        <v>...</v>
      </c>
      <c r="F102" s="36" t="str">
        <f>IF(SIGN(IFERROR(SEARCH("\1",$B102),0))=SIGN(IFERROR(SEARCH("\1",D102),0)),".","!")&amp;
   IF(SIGN(IFERROR(SEARCH("\2",$B102),0))=SIGN(IFERROR(SEARCH("\2",D102),0)),".","!")&amp;
   IF(SIGN(IFERROR(SEARCH("\3",$B102),0))=SIGN(IFERROR(SEARCH("\3",D102),0)),".","!")</f>
        <v>!..</v>
      </c>
    </row>
    <row r="103" spans="1:6" ht="25.5" x14ac:dyDescent="0.25">
      <c r="A103" s="15" t="s">
        <v>622</v>
      </c>
      <c r="B103" s="16" t="s">
        <v>1013</v>
      </c>
      <c r="C103" s="16" t="s">
        <v>1014</v>
      </c>
      <c r="E103" s="36" t="str">
        <f>IF(SIGN(IFERROR(SEARCH("\1",$B103),0))=SIGN(IFERROR(SEARCH("\1",C103),0)),".","!")&amp;
   IF(SIGN(IFERROR(SEARCH("\2",$B103),0))=SIGN(IFERROR(SEARCH("\2",C103),0)),".","!")&amp;
   IF(SIGN(IFERROR(SEARCH("\3",$B103),0))=SIGN(IFERROR(SEARCH("\3",C103),0)),".","!")</f>
        <v>...</v>
      </c>
      <c r="F103" s="36" t="str">
        <f>IF(SIGN(IFERROR(SEARCH("\1",$B103),0))=SIGN(IFERROR(SEARCH("\1",D103),0)),".","!")&amp;
   IF(SIGN(IFERROR(SEARCH("\2",$B103),0))=SIGN(IFERROR(SEARCH("\2",D103),0)),".","!")&amp;
   IF(SIGN(IFERROR(SEARCH("\3",$B103),0))=SIGN(IFERROR(SEARCH("\3",D103),0)),".","!")</f>
        <v>!..</v>
      </c>
    </row>
    <row r="104" spans="1:6" ht="25.5" x14ac:dyDescent="0.25">
      <c r="A104" s="15" t="s">
        <v>627</v>
      </c>
      <c r="B104" s="16" t="s">
        <v>1131</v>
      </c>
      <c r="C104" s="16" t="s">
        <v>1132</v>
      </c>
      <c r="E104" s="36" t="str">
        <f>IF(SIGN(IFERROR(SEARCH("\1",$B104),0))=SIGN(IFERROR(SEARCH("\1",C104),0)),".","!")&amp;
   IF(SIGN(IFERROR(SEARCH("\2",$B104),0))=SIGN(IFERROR(SEARCH("\2",C104),0)),".","!")&amp;
   IF(SIGN(IFERROR(SEARCH("\3",$B104),0))=SIGN(IFERROR(SEARCH("\3",C104),0)),".","!")</f>
        <v>...</v>
      </c>
      <c r="F104" s="36" t="str">
        <f>IF(SIGN(IFERROR(SEARCH("\1",$B104),0))=SIGN(IFERROR(SEARCH("\1",D104),0)),".","!")&amp;
   IF(SIGN(IFERROR(SEARCH("\2",$B104),0))=SIGN(IFERROR(SEARCH("\2",D104),0)),".","!")&amp;
   IF(SIGN(IFERROR(SEARCH("\3",$B104),0))=SIGN(IFERROR(SEARCH("\3",D104),0)),".","!")</f>
        <v>!..</v>
      </c>
    </row>
    <row r="105" spans="1:6" ht="38.25" x14ac:dyDescent="0.25">
      <c r="A105" s="15" t="s">
        <v>1417</v>
      </c>
      <c r="B105" s="16" t="s">
        <v>1418</v>
      </c>
      <c r="C105" s="16" t="s">
        <v>1419</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76.5" x14ac:dyDescent="0.25">
      <c r="A106" s="15" t="s">
        <v>612</v>
      </c>
      <c r="B106" s="16" t="s">
        <v>611</v>
      </c>
      <c r="C106" s="16" t="s">
        <v>1015</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63.75" x14ac:dyDescent="0.25">
      <c r="A107" s="15" t="s">
        <v>610</v>
      </c>
      <c r="B107" s="16" t="s">
        <v>685</v>
      </c>
      <c r="C107" s="16" t="s">
        <v>686</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x14ac:dyDescent="0.25">
      <c r="A108" s="15" t="s">
        <v>629</v>
      </c>
      <c r="B108" s="16" t="s">
        <v>628</v>
      </c>
      <c r="C108" s="16" t="s">
        <v>687</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25.5" x14ac:dyDescent="0.25">
      <c r="A109" s="15" t="s">
        <v>1316</v>
      </c>
      <c r="B109" s="16" t="s">
        <v>1317</v>
      </c>
      <c r="C109" s="16" t="s">
        <v>1318</v>
      </c>
      <c r="E109" s="36" t="str">
        <f>IF(SIGN(IFERROR(SEARCH("\1",$B109),0))=SIGN(IFERROR(SEARCH("\1",C109),0)),".","!")&amp;
   IF(SIGN(IFERROR(SEARCH("\2",$B109),0))=SIGN(IFERROR(SEARCH("\2",C109),0)),".","!")&amp;
   IF(SIGN(IFERROR(SEARCH("\3",$B109),0))=SIGN(IFERROR(SEARCH("\3",C109),0)),".","!")</f>
        <v>...</v>
      </c>
      <c r="F109" s="36" t="str">
        <f>IF(SIGN(IFERROR(SEARCH("\1",$B109),0))=SIGN(IFERROR(SEARCH("\1",D109),0)),".","!")&amp;
   IF(SIGN(IFERROR(SEARCH("\2",$B109),0))=SIGN(IFERROR(SEARCH("\2",D109),0)),".","!")&amp;
   IF(SIGN(IFERROR(SEARCH("\3",$B109),0))=SIGN(IFERROR(SEARCH("\3",D109),0)),".","!")</f>
        <v>...</v>
      </c>
    </row>
    <row r="110" spans="1:6" x14ac:dyDescent="0.25">
      <c r="A110" s="15" t="s">
        <v>626</v>
      </c>
      <c r="B110" s="16" t="s">
        <v>625</v>
      </c>
      <c r="C110" s="16" t="s">
        <v>688</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15" x14ac:dyDescent="0.25">
      <c r="A111" s="1" t="s">
        <v>1620</v>
      </c>
      <c r="B111" s="2" t="s">
        <v>1618</v>
      </c>
      <c r="C111" s="2" t="s">
        <v>1619</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x14ac:dyDescent="0.25">
      <c r="A112" s="15" t="s">
        <v>1342</v>
      </c>
      <c r="B112" s="16" t="s">
        <v>1343</v>
      </c>
      <c r="C112" s="16" t="s">
        <v>1344</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38.25" x14ac:dyDescent="0.25">
      <c r="A113" s="15" t="s">
        <v>613</v>
      </c>
      <c r="B113" s="16" t="s">
        <v>614</v>
      </c>
      <c r="C113" s="16" t="s">
        <v>689</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ht="25.5" x14ac:dyDescent="0.25">
      <c r="A114" s="15" t="s">
        <v>604</v>
      </c>
      <c r="B114" s="16" t="s">
        <v>603</v>
      </c>
      <c r="C114" s="16" t="s">
        <v>690</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140.25" x14ac:dyDescent="0.25">
      <c r="A115" s="15" t="s">
        <v>983</v>
      </c>
      <c r="B115" s="16" t="s">
        <v>710</v>
      </c>
      <c r="C115" s="16" t="s">
        <v>711</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ht="38.25" x14ac:dyDescent="0.25">
      <c r="A116" s="15" t="s">
        <v>1220</v>
      </c>
      <c r="B116" s="16" t="s">
        <v>1221</v>
      </c>
      <c r="C116" s="16" t="s">
        <v>1222</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38.25" x14ac:dyDescent="0.25">
      <c r="A117" s="15" t="s">
        <v>1223</v>
      </c>
      <c r="B117" s="16" t="s">
        <v>1224</v>
      </c>
      <c r="C117" s="16" t="s">
        <v>1225</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38.25" x14ac:dyDescent="0.25">
      <c r="A118" s="15" t="s">
        <v>979</v>
      </c>
      <c r="B118" s="16" t="s">
        <v>980</v>
      </c>
      <c r="C118" s="16" t="s">
        <v>981</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51" x14ac:dyDescent="0.25">
      <c r="A119" s="15" t="s">
        <v>978</v>
      </c>
      <c r="B119" s="16" t="s">
        <v>692</v>
      </c>
      <c r="C119" s="16" t="s">
        <v>1016</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25.5" x14ac:dyDescent="0.25">
      <c r="A120" s="15" t="s">
        <v>621</v>
      </c>
      <c r="B120" s="16" t="s">
        <v>1017</v>
      </c>
      <c r="C120" s="16" t="s">
        <v>1018</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89.25" x14ac:dyDescent="0.25">
      <c r="A121" s="15" t="s">
        <v>1648</v>
      </c>
      <c r="B121" s="16" t="s">
        <v>1650</v>
      </c>
      <c r="C121" s="16" t="s">
        <v>1649</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51" x14ac:dyDescent="0.25">
      <c r="A122" s="15" t="s">
        <v>1485</v>
      </c>
      <c r="B122" s="16" t="s">
        <v>1486</v>
      </c>
      <c r="C122" s="16" t="s">
        <v>1487</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25.5" x14ac:dyDescent="0.25">
      <c r="A123" s="15" t="s">
        <v>607</v>
      </c>
      <c r="B123" s="16" t="s">
        <v>590</v>
      </c>
      <c r="C123" s="16" t="s">
        <v>693</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sheetData>
  <autoFilter ref="A1:F121" xr:uid="{00000000-0009-0000-0000-000003000000}">
    <sortState xmlns:xlrd2="http://schemas.microsoft.com/office/spreadsheetml/2017/richdata2" ref="A2:F123">
      <sortCondition ref="A1:A123"/>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124</v>
      </c>
      <c r="B1" s="35" t="s">
        <v>109</v>
      </c>
      <c r="C1" s="35" t="str">
        <f>Main!F1</f>
        <v>English</v>
      </c>
      <c r="D1" s="6">
        <f>Main!G1</f>
        <v>0</v>
      </c>
    </row>
    <row r="2" spans="1:4" s="1" customFormat="1" x14ac:dyDescent="0.25">
      <c r="A2" s="34" t="s">
        <v>1494</v>
      </c>
      <c r="B2" s="3" t="s">
        <v>773</v>
      </c>
      <c r="C2" s="3" t="s">
        <v>789</v>
      </c>
    </row>
    <row r="3" spans="1:4" s="1" customFormat="1" x14ac:dyDescent="0.25">
      <c r="A3" s="34" t="s">
        <v>1500</v>
      </c>
      <c r="B3" s="3" t="s">
        <v>779</v>
      </c>
      <c r="C3" s="3" t="s">
        <v>796</v>
      </c>
    </row>
    <row r="4" spans="1:4" s="1" customFormat="1" x14ac:dyDescent="0.25">
      <c r="A4" s="34" t="s">
        <v>1488</v>
      </c>
      <c r="B4" s="3" t="s">
        <v>780</v>
      </c>
      <c r="C4" s="3" t="s">
        <v>784</v>
      </c>
    </row>
    <row r="5" spans="1:4" s="1" customFormat="1" x14ac:dyDescent="0.25">
      <c r="A5" s="34" t="s">
        <v>1489</v>
      </c>
      <c r="B5" s="3" t="s">
        <v>781</v>
      </c>
      <c r="C5" s="3" t="s">
        <v>785</v>
      </c>
    </row>
    <row r="6" spans="1:4" s="1" customFormat="1" x14ac:dyDescent="0.25">
      <c r="A6" s="34" t="s">
        <v>1534</v>
      </c>
      <c r="B6" s="3" t="s">
        <v>1535</v>
      </c>
      <c r="C6" s="3" t="s">
        <v>1536</v>
      </c>
    </row>
    <row r="7" spans="1:4" s="1" customFormat="1" x14ac:dyDescent="0.25">
      <c r="A7" s="34" t="s">
        <v>1502</v>
      </c>
      <c r="B7" s="3" t="s">
        <v>1503</v>
      </c>
      <c r="C7" s="3" t="s">
        <v>1505</v>
      </c>
    </row>
    <row r="8" spans="1:4" s="1" customFormat="1" x14ac:dyDescent="0.25">
      <c r="A8" s="34" t="s">
        <v>1501</v>
      </c>
      <c r="B8" s="3" t="s">
        <v>1504</v>
      </c>
      <c r="C8" s="3" t="s">
        <v>1506</v>
      </c>
    </row>
    <row r="9" spans="1:4" s="1" customFormat="1" x14ac:dyDescent="0.25">
      <c r="A9" s="34" t="s">
        <v>1499</v>
      </c>
      <c r="B9" s="3" t="s">
        <v>778</v>
      </c>
      <c r="C9" s="3" t="s">
        <v>795</v>
      </c>
    </row>
    <row r="10" spans="1:4" s="1" customFormat="1" x14ac:dyDescent="0.25">
      <c r="A10" s="34" t="s">
        <v>1497</v>
      </c>
      <c r="B10" s="3" t="s">
        <v>776</v>
      </c>
      <c r="C10" s="3" t="s">
        <v>793</v>
      </c>
    </row>
    <row r="11" spans="1:4" s="1" customFormat="1" x14ac:dyDescent="0.25">
      <c r="A11" s="34" t="s">
        <v>1498</v>
      </c>
      <c r="B11" s="3" t="s">
        <v>777</v>
      </c>
      <c r="C11" s="3" t="s">
        <v>794</v>
      </c>
    </row>
    <row r="12" spans="1:4" s="1" customFormat="1" x14ac:dyDescent="0.25">
      <c r="A12" s="34" t="s">
        <v>1492</v>
      </c>
      <c r="B12" s="3" t="s">
        <v>771</v>
      </c>
      <c r="C12" s="3" t="s">
        <v>788</v>
      </c>
    </row>
    <row r="13" spans="1:4" s="1" customFormat="1" x14ac:dyDescent="0.25">
      <c r="A13" s="34" t="s">
        <v>1495</v>
      </c>
      <c r="B13" s="3" t="s">
        <v>774</v>
      </c>
      <c r="C13" s="3" t="s">
        <v>790</v>
      </c>
    </row>
    <row r="14" spans="1:4" s="1" customFormat="1" x14ac:dyDescent="0.25">
      <c r="A14" s="34" t="s">
        <v>1493</v>
      </c>
      <c r="B14" s="3" t="s">
        <v>772</v>
      </c>
      <c r="C14" s="3" t="s">
        <v>791</v>
      </c>
    </row>
    <row r="15" spans="1:4" s="1" customFormat="1" x14ac:dyDescent="0.25">
      <c r="A15" s="34" t="s">
        <v>1496</v>
      </c>
      <c r="B15" s="3" t="s">
        <v>775</v>
      </c>
      <c r="C15" s="3" t="s">
        <v>792</v>
      </c>
    </row>
    <row r="16" spans="1:4" s="1" customFormat="1" x14ac:dyDescent="0.25">
      <c r="A16" s="34" t="s">
        <v>1490</v>
      </c>
      <c r="B16" s="3" t="s">
        <v>782</v>
      </c>
      <c r="C16" s="3" t="s">
        <v>786</v>
      </c>
    </row>
    <row r="17" spans="1:3" s="1" customFormat="1" x14ac:dyDescent="0.25">
      <c r="A17" s="34" t="s">
        <v>1491</v>
      </c>
      <c r="B17" s="3" t="s">
        <v>783</v>
      </c>
      <c r="C17" s="3" t="s">
        <v>787</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124</v>
      </c>
      <c r="B1" s="35" t="s">
        <v>109</v>
      </c>
      <c r="C1" s="35" t="str">
        <f>Main!F1</f>
        <v>English</v>
      </c>
      <c r="D1" s="35">
        <f>Main!G1</f>
        <v>0</v>
      </c>
    </row>
    <row r="2" spans="1:4" x14ac:dyDescent="0.25">
      <c r="A2" s="4" t="s">
        <v>167</v>
      </c>
      <c r="B2" s="3" t="s">
        <v>120</v>
      </c>
      <c r="C2" s="3" t="s">
        <v>128</v>
      </c>
      <c r="D2" s="3"/>
    </row>
    <row r="3" spans="1:4" x14ac:dyDescent="0.25">
      <c r="A3" s="4" t="s">
        <v>592</v>
      </c>
      <c r="B3" s="3" t="s">
        <v>119</v>
      </c>
      <c r="C3" s="3" t="s">
        <v>129</v>
      </c>
      <c r="D3" s="3"/>
    </row>
    <row r="4" spans="1:4" x14ac:dyDescent="0.25">
      <c r="A4" s="4" t="s">
        <v>131</v>
      </c>
      <c r="B4" s="3" t="s">
        <v>117</v>
      </c>
      <c r="C4" s="3" t="s">
        <v>131</v>
      </c>
      <c r="D4" s="3"/>
    </row>
    <row r="5" spans="1:4" x14ac:dyDescent="0.25">
      <c r="A5" s="4" t="s">
        <v>593</v>
      </c>
      <c r="B5" s="3" t="s">
        <v>118</v>
      </c>
      <c r="C5" s="3" t="s">
        <v>130</v>
      </c>
      <c r="D5" s="3"/>
    </row>
    <row r="6" spans="1:4" x14ac:dyDescent="0.25">
      <c r="A6" s="4" t="s">
        <v>594</v>
      </c>
      <c r="B6" s="3" t="s">
        <v>116</v>
      </c>
      <c r="C6" s="3" t="s">
        <v>132</v>
      </c>
      <c r="D6" s="3"/>
    </row>
    <row r="7" spans="1:4" x14ac:dyDescent="0.25">
      <c r="A7" s="4" t="s">
        <v>597</v>
      </c>
      <c r="B7" s="3" t="s">
        <v>112</v>
      </c>
      <c r="C7" s="3" t="s">
        <v>112</v>
      </c>
      <c r="D7" s="3"/>
    </row>
    <row r="8" spans="1:4" x14ac:dyDescent="0.25">
      <c r="A8" s="4" t="s">
        <v>125</v>
      </c>
      <c r="B8" s="3" t="s">
        <v>123</v>
      </c>
      <c r="C8" s="3" t="s">
        <v>125</v>
      </c>
      <c r="D8" s="3"/>
    </row>
    <row r="9" spans="1:4" x14ac:dyDescent="0.25">
      <c r="A9" s="4" t="s">
        <v>591</v>
      </c>
      <c r="B9" s="3" t="s">
        <v>122</v>
      </c>
      <c r="C9" s="3" t="s">
        <v>126</v>
      </c>
      <c r="D9" s="3"/>
    </row>
    <row r="10" spans="1:4" x14ac:dyDescent="0.25">
      <c r="A10" s="4" t="s">
        <v>596</v>
      </c>
      <c r="B10" s="3" t="s">
        <v>114</v>
      </c>
      <c r="C10" s="3" t="s">
        <v>134</v>
      </c>
      <c r="D10" s="3"/>
    </row>
    <row r="11" spans="1:4" x14ac:dyDescent="0.25">
      <c r="A11" s="4" t="s">
        <v>595</v>
      </c>
      <c r="B11" s="3" t="s">
        <v>115</v>
      </c>
      <c r="C11" s="3" t="s">
        <v>133</v>
      </c>
      <c r="D11" s="3"/>
    </row>
    <row r="12" spans="1:4" x14ac:dyDescent="0.25">
      <c r="A12" s="4" t="s">
        <v>1256</v>
      </c>
      <c r="B12" s="3" t="s">
        <v>1257</v>
      </c>
      <c r="C12" s="3" t="s">
        <v>1256</v>
      </c>
      <c r="D12" s="3"/>
    </row>
    <row r="13" spans="1:4" x14ac:dyDescent="0.25">
      <c r="A13" s="4" t="s">
        <v>127</v>
      </c>
      <c r="B13" s="3" t="s">
        <v>121</v>
      </c>
      <c r="C13" s="3" t="s">
        <v>127</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2"/>
  <sheetViews>
    <sheetView workbookViewId="0">
      <pane ySplit="1" topLeftCell="A47" activePane="bottomLeft" state="frozen"/>
      <selection pane="bottomLeft" activeCell="A2" sqref="A2:F112"/>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124</v>
      </c>
      <c r="B1" s="43" t="s">
        <v>109</v>
      </c>
      <c r="C1" s="43" t="str">
        <f>Main!F1</f>
        <v>English</v>
      </c>
      <c r="D1" s="43">
        <f>Main!G1</f>
        <v>0</v>
      </c>
      <c r="E1" s="44" t="str">
        <f>"Parameter check  "&amp; C1</f>
        <v>Parameter check  English</v>
      </c>
      <c r="F1" s="44" t="str">
        <f>"Parameter check  "&amp; D1</f>
        <v>Parameter check  0</v>
      </c>
    </row>
    <row r="2" spans="1:6" s="47" customFormat="1" x14ac:dyDescent="0.25">
      <c r="A2" s="40" t="s">
        <v>1164</v>
      </c>
      <c r="B2" s="41" t="s">
        <v>1163</v>
      </c>
      <c r="C2" s="41" t="s">
        <v>1164</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823</v>
      </c>
      <c r="B3" s="41" t="s">
        <v>825</v>
      </c>
      <c r="C3" s="41" t="s">
        <v>827</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824</v>
      </c>
      <c r="B4" s="41" t="s">
        <v>826</v>
      </c>
      <c r="C4" s="41" t="s">
        <v>828</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829</v>
      </c>
      <c r="B5" s="41" t="s">
        <v>830</v>
      </c>
      <c r="C5" s="41" t="s">
        <v>831</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832</v>
      </c>
      <c r="B6" s="41" t="s">
        <v>833</v>
      </c>
      <c r="C6" s="41" t="s">
        <v>834</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835</v>
      </c>
      <c r="B7" s="41" t="s">
        <v>836</v>
      </c>
      <c r="C7" s="41" t="s">
        <v>837</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838</v>
      </c>
      <c r="B8" s="41" t="s">
        <v>839</v>
      </c>
      <c r="C8" s="41" t="s">
        <v>840</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1262</v>
      </c>
      <c r="B9" s="41" t="s">
        <v>198</v>
      </c>
      <c r="C9" s="41" t="s">
        <v>400</v>
      </c>
      <c r="E9" s="46" t="str">
        <f>IF(SIGN(IFERROR(SEARCH("\1",$B9),0))=SIGN(IFERROR(SEARCH("\1",C9),0)),".","!")&amp;
   IF(SIGN(IFERROR(SEARCH("\2",$B9),0))=SIGN(IFERROR(SEARCH("\2",C9),0)),".","!")&amp;
   IF(SIGN(IFERROR(SEARCH("\3",$B9),0))=SIGN(IFERROR(SEARCH("\3",C9),0)),".","!")</f>
        <v>...</v>
      </c>
      <c r="F9" s="46" t="str">
        <f>IF(SIGN(IFERROR(SEARCH("\1",$B9),0))=SIGN(IFERROR(SEARCH("\1",D9),0)),".","!")&amp;
   IF(SIGN(IFERROR(SEARCH("\2",$B9),0))=SIGN(IFERROR(SEARCH("\2",D9),0)),".","!")&amp;
   IF(SIGN(IFERROR(SEARCH("\3",$B9),0))=SIGN(IFERROR(SEARCH("\3",D9),0)),".","!")</f>
        <v>...</v>
      </c>
    </row>
    <row r="10" spans="1:6" x14ac:dyDescent="0.25">
      <c r="A10" s="40" t="s">
        <v>1265</v>
      </c>
      <c r="B10" s="41" t="s">
        <v>1263</v>
      </c>
      <c r="C10" s="41" t="s">
        <v>1264</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984</v>
      </c>
      <c r="B11" s="41" t="s">
        <v>896</v>
      </c>
      <c r="C11" s="41" t="s">
        <v>899</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985</v>
      </c>
      <c r="B12" s="41" t="s">
        <v>897</v>
      </c>
      <c r="C12" s="41" t="s">
        <v>900</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986</v>
      </c>
      <c r="B13" s="41" t="s">
        <v>898</v>
      </c>
      <c r="C13" s="41" t="s">
        <v>901</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ht="30" x14ac:dyDescent="0.25">
      <c r="A14" s="40" t="s">
        <v>883</v>
      </c>
      <c r="B14" s="41" t="s">
        <v>882</v>
      </c>
      <c r="C14" s="41" t="s">
        <v>1019</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953</v>
      </c>
      <c r="B15" s="41" t="s">
        <v>955</v>
      </c>
      <c r="C15" s="41" t="s">
        <v>956</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90" x14ac:dyDescent="0.25">
      <c r="A16" s="40" t="s">
        <v>954</v>
      </c>
      <c r="B16" s="41" t="s">
        <v>957</v>
      </c>
      <c r="C16" s="41" t="s">
        <v>958</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x14ac:dyDescent="0.25">
      <c r="A17" s="40" t="s">
        <v>700</v>
      </c>
      <c r="B17" s="41" t="s">
        <v>699</v>
      </c>
      <c r="C17" s="41" t="s">
        <v>701</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747</v>
      </c>
      <c r="B18" s="48" t="s">
        <v>744</v>
      </c>
      <c r="C18" s="48" t="s">
        <v>745</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x14ac:dyDescent="0.25">
      <c r="A19" s="40" t="s">
        <v>746</v>
      </c>
      <c r="B19" s="48" t="s">
        <v>742</v>
      </c>
      <c r="C19" s="48" t="s">
        <v>743</v>
      </c>
      <c r="E19" s="46" t="str">
        <f>IF(SIGN(IFERROR(SEARCH("\1",$B19),0))=SIGN(IFERROR(SEARCH("\1",C19),0)),".","!")&amp;
   IF(SIGN(IFERROR(SEARCH("\2",$B19),0))=SIGN(IFERROR(SEARCH("\2",C19),0)),".","!")&amp;
   IF(SIGN(IFERROR(SEARCH("\3",$B19),0))=SIGN(IFERROR(SEARCH("\3",C19),0)),".","!")</f>
        <v>...</v>
      </c>
      <c r="F19" s="46" t="str">
        <f>IF(SIGN(IFERROR(SEARCH("\1",$B19),0))=SIGN(IFERROR(SEARCH("\1",D19),0)),".","!")&amp;
   IF(SIGN(IFERROR(SEARCH("\2",$B19),0))=SIGN(IFERROR(SEARCH("\2",D19),0)),".","!")&amp;
   IF(SIGN(IFERROR(SEARCH("\3",$B19),0))=SIGN(IFERROR(SEARCH("\3",D19),0)),".","!")</f>
        <v>...</v>
      </c>
    </row>
    <row r="20" spans="1:6" x14ac:dyDescent="0.25">
      <c r="A20" s="40" t="s">
        <v>864</v>
      </c>
      <c r="B20" s="41" t="s">
        <v>866</v>
      </c>
      <c r="C20" s="41" t="s">
        <v>868</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865</v>
      </c>
      <c r="B21" s="41" t="s">
        <v>867</v>
      </c>
      <c r="C21" s="41" t="s">
        <v>867</v>
      </c>
      <c r="E21" s="46" t="str">
        <f>IF(SIGN(IFERROR(SEARCH("\1",$B21),0))=SIGN(IFERROR(SEARCH("\1",C21),0)),".","!")&amp;
   IF(SIGN(IFERROR(SEARCH("\2",$B21),0))=SIGN(IFERROR(SEARCH("\2",C21),0)),".","!")&amp;
   IF(SIGN(IFERROR(SEARCH("\3",$B21),0))=SIGN(IFERROR(SEARCH("\3",C21),0)),".","!")</f>
        <v>...</v>
      </c>
      <c r="F21" s="46" t="str">
        <f>IF(SIGN(IFERROR(SEARCH("\1",$B21),0))=SIGN(IFERROR(SEARCH("\1",D21),0)),".","!")&amp;
   IF(SIGN(IFERROR(SEARCH("\2",$B21),0))=SIGN(IFERROR(SEARCH("\2",D21),0)),".","!")&amp;
   IF(SIGN(IFERROR(SEARCH("\3",$B21),0))=SIGN(IFERROR(SEARCH("\3",D21),0)),".","!")</f>
        <v>...</v>
      </c>
    </row>
    <row r="22" spans="1:6" x14ac:dyDescent="0.25">
      <c r="A22" s="40" t="s">
        <v>1266</v>
      </c>
      <c r="B22" s="41" t="s">
        <v>1267</v>
      </c>
      <c r="C22" s="41" t="s">
        <v>1268</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977</v>
      </c>
      <c r="B23" s="41" t="s">
        <v>976</v>
      </c>
      <c r="C23" s="41" t="s">
        <v>975</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850</v>
      </c>
      <c r="B24" s="41" t="s">
        <v>851</v>
      </c>
      <c r="C24" s="41" t="s">
        <v>1020</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x14ac:dyDescent="0.25">
      <c r="A25" s="40" t="s">
        <v>751</v>
      </c>
      <c r="B25" s="41" t="s">
        <v>752</v>
      </c>
      <c r="C25" s="41" t="s">
        <v>753</v>
      </c>
      <c r="E25" s="46" t="str">
        <f>IF(SIGN(IFERROR(SEARCH("\1",$B25),0))=SIGN(IFERROR(SEARCH("\1",C25),0)),".","!")&amp;
   IF(SIGN(IFERROR(SEARCH("\2",$B25),0))=SIGN(IFERROR(SEARCH("\2",C25),0)),".","!")&amp;
   IF(SIGN(IFERROR(SEARCH("\3",$B25),0))=SIGN(IFERROR(SEARCH("\3",C25),0)),".","!")</f>
        <v>...</v>
      </c>
      <c r="F25" s="46" t="str">
        <f>IF(SIGN(IFERROR(SEARCH("\1",$B25),0))=SIGN(IFERROR(SEARCH("\1",D25),0)),".","!")&amp;
   IF(SIGN(IFERROR(SEARCH("\2",$B25),0))=SIGN(IFERROR(SEARCH("\2",D25),0)),".","!")&amp;
   IF(SIGN(IFERROR(SEARCH("\3",$B25),0))=SIGN(IFERROR(SEARCH("\3",D25),0)),".","!")</f>
        <v>...</v>
      </c>
    </row>
    <row r="26" spans="1:6" ht="30" x14ac:dyDescent="0.25">
      <c r="A26" s="40" t="s">
        <v>1576</v>
      </c>
      <c r="B26" s="49" t="s">
        <v>767</v>
      </c>
      <c r="C26" s="48" t="s">
        <v>768</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1734</v>
      </c>
      <c r="B27" s="41" t="s">
        <v>1735</v>
      </c>
      <c r="C27" s="41" t="s">
        <v>1736</v>
      </c>
      <c r="E27" s="40" t="str">
        <f>IF(SIGN(IFERROR(SEARCH("\1",$B27),0))=SIGN(IFERROR(SEARCH("\1",C27),0)),".","!")&amp;
   IF(SIGN(IFERROR(SEARCH("\2",$B27),0))=SIGN(IFERROR(SEARCH("\2",C27),0)),".","!")&amp;
   IF(SIGN(IFERROR(SEARCH("\3",$B27),0))=SIGN(IFERROR(SEARCH("\3",C27),0)),".","!")</f>
        <v>...</v>
      </c>
      <c r="F27" s="40" t="str">
        <f>IF(SIGN(IFERROR(SEARCH("\1",$B27),0))=SIGN(IFERROR(SEARCH("\1",D27),0)),".","!")&amp;
   IF(SIGN(IFERROR(SEARCH("\2",$B27),0))=SIGN(IFERROR(SEARCH("\2",D27),0)),".","!")&amp;
   IF(SIGN(IFERROR(SEARCH("\3",$B27),0))=SIGN(IFERROR(SEARCH("\3",D27),0)),".","!")</f>
        <v>...</v>
      </c>
    </row>
    <row r="28" spans="1:6" x14ac:dyDescent="0.25">
      <c r="A28" s="40" t="s">
        <v>1737</v>
      </c>
      <c r="B28" s="41" t="s">
        <v>1738</v>
      </c>
      <c r="C28" s="41" t="s">
        <v>1739</v>
      </c>
      <c r="E28" s="40" t="str">
        <f>IF(SIGN(IFERROR(SEARCH("\1",$B28),0))=SIGN(IFERROR(SEARCH("\1",C28),0)),".","!")&amp;
   IF(SIGN(IFERROR(SEARCH("\2",$B28),0))=SIGN(IFERROR(SEARCH("\2",C28),0)),".","!")&amp;
   IF(SIGN(IFERROR(SEARCH("\3",$B28),0))=SIGN(IFERROR(SEARCH("\3",C28),0)),".","!")</f>
        <v>...</v>
      </c>
      <c r="F28" s="40" t="str">
        <f>IF(SIGN(IFERROR(SEARCH("\1",$B28),0))=SIGN(IFERROR(SEARCH("\1",D28),0)),".","!")&amp;
   IF(SIGN(IFERROR(SEARCH("\2",$B28),0))=SIGN(IFERROR(SEARCH("\2",D28),0)),".","!")&amp;
   IF(SIGN(IFERROR(SEARCH("\3",$B28),0))=SIGN(IFERROR(SEARCH("\3",D28),0)),".","!")</f>
        <v>...</v>
      </c>
    </row>
    <row r="29" spans="1:6" ht="30" x14ac:dyDescent="0.25">
      <c r="A29" s="40" t="s">
        <v>717</v>
      </c>
      <c r="B29" s="41" t="s">
        <v>715</v>
      </c>
      <c r="C29" s="41" t="s">
        <v>716</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x14ac:dyDescent="0.25">
      <c r="A30" s="40" t="s">
        <v>1580</v>
      </c>
      <c r="B30" s="49" t="s">
        <v>807</v>
      </c>
      <c r="C30" s="48" t="s">
        <v>813</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x14ac:dyDescent="0.25">
      <c r="A31" s="40" t="s">
        <v>1581</v>
      </c>
      <c r="B31" s="49" t="s">
        <v>802</v>
      </c>
      <c r="C31" s="48" t="s">
        <v>812</v>
      </c>
      <c r="E31" s="46" t="str">
        <f>IF(SIGN(IFERROR(SEARCH("\1",$B31),0))=SIGN(IFERROR(SEARCH("\1",C31),0)),".","!")&amp;
   IF(SIGN(IFERROR(SEARCH("\2",$B31),0))=SIGN(IFERROR(SEARCH("\2",C31),0)),".","!")&amp;
   IF(SIGN(IFERROR(SEARCH("\3",$B31),0))=SIGN(IFERROR(SEARCH("\3",C31),0)),".","!")</f>
        <v>...</v>
      </c>
      <c r="F31" s="46" t="str">
        <f>IF(SIGN(IFERROR(SEARCH("\1",$B31),0))=SIGN(IFERROR(SEARCH("\1",D31),0)),".","!")&amp;
   IF(SIGN(IFERROR(SEARCH("\2",$B31),0))=SIGN(IFERROR(SEARCH("\2",D31),0)),".","!")&amp;
   IF(SIGN(IFERROR(SEARCH("\3",$B31),0))=SIGN(IFERROR(SEARCH("\3",D31),0)),".","!")</f>
        <v>...</v>
      </c>
    </row>
    <row r="32" spans="1:6" x14ac:dyDescent="0.25">
      <c r="A32" s="40" t="s">
        <v>1582</v>
      </c>
      <c r="B32" s="49" t="s">
        <v>803</v>
      </c>
      <c r="C32" s="48" t="s">
        <v>815</v>
      </c>
      <c r="E32" s="46" t="str">
        <f>IF(SIGN(IFERROR(SEARCH("\1",$B32),0))=SIGN(IFERROR(SEARCH("\1",C32),0)),".","!")&amp;
   IF(SIGN(IFERROR(SEARCH("\2",$B32),0))=SIGN(IFERROR(SEARCH("\2",C32),0)),".","!")&amp;
   IF(SIGN(IFERROR(SEARCH("\3",$B32),0))=SIGN(IFERROR(SEARCH("\3",C32),0)),".","!")</f>
        <v>...</v>
      </c>
      <c r="F32" s="46" t="str">
        <f>IF(SIGN(IFERROR(SEARCH("\1",$B32),0))=SIGN(IFERROR(SEARCH("\1",D32),0)),".","!")&amp;
   IF(SIGN(IFERROR(SEARCH("\2",$B32),0))=SIGN(IFERROR(SEARCH("\2",D32),0)),".","!")&amp;
   IF(SIGN(IFERROR(SEARCH("\3",$B32),0))=SIGN(IFERROR(SEARCH("\3",D32),0)),".","!")</f>
        <v>...</v>
      </c>
    </row>
    <row r="33" spans="1:6" x14ac:dyDescent="0.25">
      <c r="A33" s="40" t="s">
        <v>1583</v>
      </c>
      <c r="B33" s="49" t="s">
        <v>804</v>
      </c>
      <c r="C33" s="48" t="s">
        <v>816</v>
      </c>
      <c r="E33" s="46" t="str">
        <f>IF(SIGN(IFERROR(SEARCH("\1",$B33),0))=SIGN(IFERROR(SEARCH("\1",C33),0)),".","!")&amp;
   IF(SIGN(IFERROR(SEARCH("\2",$B33),0))=SIGN(IFERROR(SEARCH("\2",C33),0)),".","!")&amp;
   IF(SIGN(IFERROR(SEARCH("\3",$B33),0))=SIGN(IFERROR(SEARCH("\3",C33),0)),".","!")</f>
        <v>...</v>
      </c>
      <c r="F33" s="46" t="str">
        <f>IF(SIGN(IFERROR(SEARCH("\1",$B33),0))=SIGN(IFERROR(SEARCH("\1",D33),0)),".","!")&amp;
   IF(SIGN(IFERROR(SEARCH("\2",$B33),0))=SIGN(IFERROR(SEARCH("\2",D33),0)),".","!")&amp;
   IF(SIGN(IFERROR(SEARCH("\3",$B33),0))=SIGN(IFERROR(SEARCH("\3",D33),0)),".","!")</f>
        <v>...</v>
      </c>
    </row>
    <row r="34" spans="1:6" x14ac:dyDescent="0.25">
      <c r="A34" s="40" t="s">
        <v>1584</v>
      </c>
      <c r="B34" s="49" t="s">
        <v>805</v>
      </c>
      <c r="C34" s="48" t="s">
        <v>817</v>
      </c>
      <c r="E34" s="46" t="str">
        <f>IF(SIGN(IFERROR(SEARCH("\1",$B34),0))=SIGN(IFERROR(SEARCH("\1",C34),0)),".","!")&amp;
   IF(SIGN(IFERROR(SEARCH("\2",$B34),0))=SIGN(IFERROR(SEARCH("\2",C34),0)),".","!")&amp;
   IF(SIGN(IFERROR(SEARCH("\3",$B34),0))=SIGN(IFERROR(SEARCH("\3",C34),0)),".","!")</f>
        <v>...</v>
      </c>
      <c r="F34" s="46" t="str">
        <f>IF(SIGN(IFERROR(SEARCH("\1",$B34),0))=SIGN(IFERROR(SEARCH("\1",D34),0)),".","!")&amp;
   IF(SIGN(IFERROR(SEARCH("\2",$B34),0))=SIGN(IFERROR(SEARCH("\2",D34),0)),".","!")&amp;
   IF(SIGN(IFERROR(SEARCH("\3",$B34),0))=SIGN(IFERROR(SEARCH("\3",D34),0)),".","!")</f>
        <v>...</v>
      </c>
    </row>
    <row r="35" spans="1:6" x14ac:dyDescent="0.25">
      <c r="A35" s="40" t="s">
        <v>1585</v>
      </c>
      <c r="B35" s="49" t="s">
        <v>806</v>
      </c>
      <c r="C35" s="48" t="s">
        <v>814</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x14ac:dyDescent="0.25">
      <c r="A36" s="40" t="s">
        <v>1586</v>
      </c>
      <c r="B36" s="49" t="s">
        <v>355</v>
      </c>
      <c r="C36" s="48" t="s">
        <v>354</v>
      </c>
      <c r="E36" s="46" t="str">
        <f>IF(SIGN(IFERROR(SEARCH("\1",$B36),0))=SIGN(IFERROR(SEARCH("\1",C36),0)),".","!")&amp;
   IF(SIGN(IFERROR(SEARCH("\2",$B36),0))=SIGN(IFERROR(SEARCH("\2",C36),0)),".","!")&amp;
   IF(SIGN(IFERROR(SEARCH("\3",$B36),0))=SIGN(IFERROR(SEARCH("\3",C36),0)),".","!")</f>
        <v>...</v>
      </c>
      <c r="F36" s="46" t="str">
        <f>IF(SIGN(IFERROR(SEARCH("\1",$B36),0))=SIGN(IFERROR(SEARCH("\1",D36),0)),".","!")&amp;
   IF(SIGN(IFERROR(SEARCH("\2",$B36),0))=SIGN(IFERROR(SEARCH("\2",D36),0)),".","!")&amp;
   IF(SIGN(IFERROR(SEARCH("\3",$B36),0))=SIGN(IFERROR(SEARCH("\3",D36),0)),".","!")</f>
        <v>...</v>
      </c>
    </row>
    <row r="37" spans="1:6" x14ac:dyDescent="0.25">
      <c r="A37" s="40" t="s">
        <v>1587</v>
      </c>
      <c r="B37" s="49" t="s">
        <v>797</v>
      </c>
      <c r="C37" s="48" t="s">
        <v>808</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1588</v>
      </c>
      <c r="B38" s="49" t="s">
        <v>798</v>
      </c>
      <c r="C38" s="48" t="s">
        <v>810</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1589</v>
      </c>
      <c r="B39" s="49" t="s">
        <v>1189</v>
      </c>
      <c r="C39" s="48" t="s">
        <v>1190</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1590</v>
      </c>
      <c r="B40" s="49" t="s">
        <v>1188</v>
      </c>
      <c r="C40" s="48" t="s">
        <v>1579</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1591</v>
      </c>
      <c r="B41" s="49" t="s">
        <v>799</v>
      </c>
      <c r="C41" s="48" t="s">
        <v>799</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1592</v>
      </c>
      <c r="B42" s="49" t="s">
        <v>800</v>
      </c>
      <c r="C42" s="48" t="s">
        <v>809</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1593</v>
      </c>
      <c r="B43" s="49" t="s">
        <v>801</v>
      </c>
      <c r="C43" s="48" t="s">
        <v>811</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ht="165" x14ac:dyDescent="0.25">
      <c r="A44" s="40" t="s">
        <v>1701</v>
      </c>
      <c r="B44" s="48" t="s">
        <v>1718</v>
      </c>
      <c r="C44" s="48" t="s">
        <v>1717</v>
      </c>
      <c r="D44" s="48"/>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1374</v>
      </c>
      <c r="B45" s="41" t="s">
        <v>1372</v>
      </c>
      <c r="C45" s="41" t="s">
        <v>1373</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ht="300" x14ac:dyDescent="0.25">
      <c r="A46" s="40" t="s">
        <v>1187</v>
      </c>
      <c r="B46" s="48" t="s">
        <v>1484</v>
      </c>
      <c r="C46" s="48" t="s">
        <v>1483</v>
      </c>
      <c r="D46" s="48"/>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871</v>
      </c>
      <c r="B47" s="41" t="s">
        <v>872</v>
      </c>
      <c r="C47" s="41" t="s">
        <v>873</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ht="30" x14ac:dyDescent="0.25">
      <c r="A48" s="40" t="s">
        <v>971</v>
      </c>
      <c r="B48" s="41" t="s">
        <v>969</v>
      </c>
      <c r="C48" s="41" t="s">
        <v>970</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ht="30" x14ac:dyDescent="0.25">
      <c r="A49" s="40" t="s">
        <v>963</v>
      </c>
      <c r="B49" s="41" t="s">
        <v>965</v>
      </c>
      <c r="C49" s="41" t="s">
        <v>964</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x14ac:dyDescent="0.25">
      <c r="A50" s="40" t="s">
        <v>968</v>
      </c>
      <c r="B50" s="41" t="s">
        <v>966</v>
      </c>
      <c r="C50" s="41" t="s">
        <v>967</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x14ac:dyDescent="0.25">
      <c r="A51" s="40" t="s">
        <v>1749</v>
      </c>
      <c r="B51" s="41" t="s">
        <v>1757</v>
      </c>
      <c r="C51" s="41" t="s">
        <v>1754</v>
      </c>
      <c r="E51" s="40" t="str">
        <f>IF(SIGN(IFERROR(SEARCH("\1",$B51),0))=SIGN(IFERROR(SEARCH("\1",C51),0)),".","!")&amp;
   IF(SIGN(IFERROR(SEARCH("\2",$B51),0))=SIGN(IFERROR(SEARCH("\2",C51),0)),".","!")&amp;
   IF(SIGN(IFERROR(SEARCH("\3",$B51),0))=SIGN(IFERROR(SEARCH("\3",C51),0)),".","!")</f>
        <v>...</v>
      </c>
      <c r="F51" s="40" t="str">
        <f>IF(SIGN(IFERROR(SEARCH("\1",$B51),0))=SIGN(IFERROR(SEARCH("\1",D51),0)),".","!")&amp;
   IF(SIGN(IFERROR(SEARCH("\2",$B51),0))=SIGN(IFERROR(SEARCH("\2",D51),0)),".","!")&amp;
   IF(SIGN(IFERROR(SEARCH("\3",$B51),0))=SIGN(IFERROR(SEARCH("\3",D51),0)),".","!")</f>
        <v>...</v>
      </c>
    </row>
    <row r="52" spans="1:6" x14ac:dyDescent="0.25">
      <c r="A52" s="40" t="s">
        <v>1731</v>
      </c>
      <c r="B52" s="41" t="s">
        <v>1732</v>
      </c>
      <c r="C52" s="41" t="s">
        <v>1733</v>
      </c>
      <c r="E52" s="40" t="str">
        <f>IF(SIGN(IFERROR(SEARCH("\1",$B52),0))=SIGN(IFERROR(SEARCH("\1",C52),0)),".","!")&amp;
   IF(SIGN(IFERROR(SEARCH("\2",$B52),0))=SIGN(IFERROR(SEARCH("\2",C52),0)),".","!")&amp;
   IF(SIGN(IFERROR(SEARCH("\3",$B52),0))=SIGN(IFERROR(SEARCH("\3",C52),0)),".","!")</f>
        <v>...</v>
      </c>
      <c r="F52" s="40" t="str">
        <f>IF(SIGN(IFERROR(SEARCH("\1",$B52),0))=SIGN(IFERROR(SEARCH("\1",D52),0)),".","!")&amp;
   IF(SIGN(IFERROR(SEARCH("\2",$B52),0))=SIGN(IFERROR(SEARCH("\2",D52),0)),".","!")&amp;
   IF(SIGN(IFERROR(SEARCH("\3",$B52),0))=SIGN(IFERROR(SEARCH("\3",D52),0)),".","!")</f>
        <v>...</v>
      </c>
    </row>
    <row r="53" spans="1:6" x14ac:dyDescent="0.25">
      <c r="A53" s="40" t="s">
        <v>748</v>
      </c>
      <c r="B53" s="41" t="s">
        <v>749</v>
      </c>
      <c r="C53" s="41" t="s">
        <v>750</v>
      </c>
      <c r="E53" s="46" t="str">
        <f>IF(SIGN(IFERROR(SEARCH("\1",$B53),0))=SIGN(IFERROR(SEARCH("\1",C53),0)),".","!")&amp;
   IF(SIGN(IFERROR(SEARCH("\2",$B53),0))=SIGN(IFERROR(SEARCH("\2",C53),0)),".","!")&amp;
   IF(SIGN(IFERROR(SEARCH("\3",$B53),0))=SIGN(IFERROR(SEARCH("\3",C53),0)),".","!")</f>
        <v>...</v>
      </c>
      <c r="F53" s="46" t="str">
        <f>IF(SIGN(IFERROR(SEARCH("\1",$B53),0))=SIGN(IFERROR(SEARCH("\1",D53),0)),".","!")&amp;
   IF(SIGN(IFERROR(SEARCH("\2",$B53),0))=SIGN(IFERROR(SEARCH("\2",D53),0)),".","!")&amp;
   IF(SIGN(IFERROR(SEARCH("\3",$B53),0))=SIGN(IFERROR(SEARCH("\3",D53),0)),".","!")</f>
        <v>...</v>
      </c>
    </row>
    <row r="54" spans="1:6" ht="120" x14ac:dyDescent="0.25">
      <c r="A54" s="40" t="s">
        <v>1606</v>
      </c>
      <c r="B54" s="41" t="s">
        <v>1607</v>
      </c>
      <c r="C54" s="41" t="s">
        <v>1608</v>
      </c>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ht="30" x14ac:dyDescent="0.25">
      <c r="A55" s="40" t="s">
        <v>857</v>
      </c>
      <c r="B55" s="41" t="s">
        <v>855</v>
      </c>
      <c r="C55" s="41" t="s">
        <v>856</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x14ac:dyDescent="0.25">
      <c r="A56" s="40" t="s">
        <v>842</v>
      </c>
      <c r="B56" s="41" t="s">
        <v>841</v>
      </c>
      <c r="C56" s="41" t="s">
        <v>843</v>
      </c>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x14ac:dyDescent="0.25">
      <c r="A57" s="40" t="s">
        <v>1368</v>
      </c>
      <c r="B57" s="41" t="s">
        <v>1369</v>
      </c>
      <c r="C57" s="48" t="s">
        <v>1370</v>
      </c>
      <c r="D57" s="48"/>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ht="30" x14ac:dyDescent="0.25">
      <c r="A58" s="40" t="s">
        <v>1741</v>
      </c>
      <c r="B58" s="41" t="s">
        <v>1742</v>
      </c>
      <c r="C58" s="48" t="s">
        <v>1743</v>
      </c>
      <c r="D58" s="48"/>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x14ac:dyDescent="0.25">
      <c r="A59" s="40" t="s">
        <v>945</v>
      </c>
      <c r="B59" s="41" t="s">
        <v>944</v>
      </c>
      <c r="C59" s="41" t="s">
        <v>946</v>
      </c>
      <c r="E59" s="46" t="str">
        <f>IF(SIGN(IFERROR(SEARCH("\1",$B59),0))=SIGN(IFERROR(SEARCH("\1",C59),0)),".","!")&amp;
   IF(SIGN(IFERROR(SEARCH("\2",$B59),0))=SIGN(IFERROR(SEARCH("\2",C59),0)),".","!")&amp;
   IF(SIGN(IFERROR(SEARCH("\3",$B59),0))=SIGN(IFERROR(SEARCH("\3",C59),0)),".","!")</f>
        <v>...</v>
      </c>
      <c r="F59" s="46" t="str">
        <f>IF(SIGN(IFERROR(SEARCH("\1",$B59),0))=SIGN(IFERROR(SEARCH("\1",D59),0)),".","!")&amp;
   IF(SIGN(IFERROR(SEARCH("\2",$B59),0))=SIGN(IFERROR(SEARCH("\2",D59),0)),".","!")&amp;
   IF(SIGN(IFERROR(SEARCH("\3",$B59),0))=SIGN(IFERROR(SEARCH("\3",D59),0)),".","!")</f>
        <v>...</v>
      </c>
    </row>
    <row r="60" spans="1:6" ht="45" x14ac:dyDescent="0.25">
      <c r="A60" s="40" t="s">
        <v>818</v>
      </c>
      <c r="B60" s="41" t="s">
        <v>819</v>
      </c>
      <c r="C60" s="41" t="s">
        <v>820</v>
      </c>
      <c r="E60" s="46" t="str">
        <f>IF(SIGN(IFERROR(SEARCH("\1",$B60),0))=SIGN(IFERROR(SEARCH("\1",C60),0)),".","!")&amp;
   IF(SIGN(IFERROR(SEARCH("\2",$B60),0))=SIGN(IFERROR(SEARCH("\2",C60),0)),".","!")&amp;
   IF(SIGN(IFERROR(SEARCH("\3",$B60),0))=SIGN(IFERROR(SEARCH("\3",C60),0)),".","!")</f>
        <v>...</v>
      </c>
      <c r="F60" s="46" t="str">
        <f>IF(SIGN(IFERROR(SEARCH("\1",$B60),0))=SIGN(IFERROR(SEARCH("\1",D60),0)),".","!")&amp;
   IF(SIGN(IFERROR(SEARCH("\2",$B60),0))=SIGN(IFERROR(SEARCH("\2",D60),0)),".","!")&amp;
   IF(SIGN(IFERROR(SEARCH("\3",$B60),0))=SIGN(IFERROR(SEARCH("\3",D60),0)),".","!")</f>
        <v>!..</v>
      </c>
    </row>
    <row r="61" spans="1:6" ht="30" x14ac:dyDescent="0.25">
      <c r="A61" s="40" t="s">
        <v>1750</v>
      </c>
      <c r="B61" s="41" t="s">
        <v>1751</v>
      </c>
      <c r="C61" s="41" t="s">
        <v>1752</v>
      </c>
      <c r="E61" s="40" t="str">
        <f>IF(SIGN(IFERROR(SEARCH("\1",$B61),0))=SIGN(IFERROR(SEARCH("\1",C61),0)),".","!")&amp;
   IF(SIGN(IFERROR(SEARCH("\2",$B61),0))=SIGN(IFERROR(SEARCH("\2",C61),0)),".","!")&amp;
   IF(SIGN(IFERROR(SEARCH("\3",$B61),0))=SIGN(IFERROR(SEARCH("\3",C61),0)),".","!")</f>
        <v>...</v>
      </c>
      <c r="F61" s="40" t="str">
        <f>IF(SIGN(IFERROR(SEARCH("\1",$B61),0))=SIGN(IFERROR(SEARCH("\1",D61),0)),".","!")&amp;
   IF(SIGN(IFERROR(SEARCH("\2",$B61),0))=SIGN(IFERROR(SEARCH("\2",D61),0)),".","!")&amp;
   IF(SIGN(IFERROR(SEARCH("\3",$B61),0))=SIGN(IFERROR(SEARCH("\3",D61),0)),".","!")</f>
        <v>...</v>
      </c>
    </row>
    <row r="62" spans="1:6" x14ac:dyDescent="0.25">
      <c r="A62" s="40" t="s">
        <v>754</v>
      </c>
      <c r="B62" s="41" t="s">
        <v>755</v>
      </c>
      <c r="C62" s="41" t="s">
        <v>756</v>
      </c>
      <c r="E62" s="46" t="str">
        <f>IF(SIGN(IFERROR(SEARCH("\1",$B62),0))=SIGN(IFERROR(SEARCH("\1",C62),0)),".","!")&amp;
   IF(SIGN(IFERROR(SEARCH("\2",$B62),0))=SIGN(IFERROR(SEARCH("\2",C62),0)),".","!")&amp;
   IF(SIGN(IFERROR(SEARCH("\3",$B62),0))=SIGN(IFERROR(SEARCH("\3",C62),0)),".","!")</f>
        <v>...</v>
      </c>
      <c r="F62" s="46" t="str">
        <f>IF(SIGN(IFERROR(SEARCH("\1",$B62),0))=SIGN(IFERROR(SEARCH("\1",D62),0)),".","!")&amp;
   IF(SIGN(IFERROR(SEARCH("\2",$B62),0))=SIGN(IFERROR(SEARCH("\2",D62),0)),".","!")&amp;
   IF(SIGN(IFERROR(SEARCH("\3",$B62),0))=SIGN(IFERROR(SEARCH("\3",D62),0)),".","!")</f>
        <v>...</v>
      </c>
    </row>
    <row r="63" spans="1:6" x14ac:dyDescent="0.25">
      <c r="A63" s="40" t="s">
        <v>822</v>
      </c>
      <c r="B63" s="41" t="s">
        <v>246</v>
      </c>
      <c r="C63" s="41" t="s">
        <v>394</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x14ac:dyDescent="0.25">
      <c r="A64" s="40" t="s">
        <v>1154</v>
      </c>
      <c r="B64" s="41" t="s">
        <v>1155</v>
      </c>
      <c r="C64" s="41" t="s">
        <v>1156</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x14ac:dyDescent="0.25">
      <c r="A65" s="40" t="s">
        <v>758</v>
      </c>
      <c r="B65" s="41" t="s">
        <v>1348</v>
      </c>
      <c r="C65" s="41" t="s">
        <v>1349</v>
      </c>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30" x14ac:dyDescent="0.25">
      <c r="A66" s="40" t="s">
        <v>762</v>
      </c>
      <c r="B66" s="41" t="s">
        <v>1128</v>
      </c>
      <c r="C66" s="41" t="s">
        <v>1129</v>
      </c>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ht="30" x14ac:dyDescent="0.25">
      <c r="A67" s="40" t="s">
        <v>974</v>
      </c>
      <c r="B67" s="41" t="s">
        <v>972</v>
      </c>
      <c r="C67" s="41" t="s">
        <v>973</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x14ac:dyDescent="0.25">
      <c r="A68" s="40" t="s">
        <v>719</v>
      </c>
      <c r="B68" s="41" t="s">
        <v>718</v>
      </c>
      <c r="C68" s="41" t="s">
        <v>723</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853</v>
      </c>
      <c r="B69" s="41" t="s">
        <v>852</v>
      </c>
      <c r="C69" s="41" t="s">
        <v>854</v>
      </c>
      <c r="E69" s="46" t="str">
        <f>IF(SIGN(IFERROR(SEARCH("\1",$B69),0))=SIGN(IFERROR(SEARCH("\1",C69),0)),".","!")&amp;
   IF(SIGN(IFERROR(SEARCH("\2",$B69),0))=SIGN(IFERROR(SEARCH("\2",C69),0)),".","!")&amp;
   IF(SIGN(IFERROR(SEARCH("\3",$B69),0))=SIGN(IFERROR(SEARCH("\3",C69),0)),".","!")</f>
        <v>...</v>
      </c>
      <c r="F69" s="46" t="str">
        <f>IF(SIGN(IFERROR(SEARCH("\1",$B69),0))=SIGN(IFERROR(SEARCH("\1",D69),0)),".","!")&amp;
   IF(SIGN(IFERROR(SEARCH("\2",$B69),0))=SIGN(IFERROR(SEARCH("\2",D69),0)),".","!")&amp;
   IF(SIGN(IFERROR(SEARCH("\3",$B69),0))=SIGN(IFERROR(SEARCH("\3",D69),0)),".","!")</f>
        <v>...</v>
      </c>
    </row>
    <row r="70" spans="1:6" x14ac:dyDescent="0.25">
      <c r="A70" s="40" t="s">
        <v>893</v>
      </c>
      <c r="B70" s="41" t="s">
        <v>891</v>
      </c>
      <c r="C70" s="41" t="s">
        <v>892</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757</v>
      </c>
      <c r="B71" s="41" t="s">
        <v>1350</v>
      </c>
      <c r="C71" s="41" t="s">
        <v>1351</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x14ac:dyDescent="0.25">
      <c r="A72" s="40" t="s">
        <v>1578</v>
      </c>
      <c r="B72" s="49" t="s">
        <v>1452</v>
      </c>
      <c r="C72" s="48" t="s">
        <v>1453</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1165</v>
      </c>
      <c r="B73" s="41" t="s">
        <v>1166</v>
      </c>
      <c r="C73" s="41" t="s">
        <v>1167</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x14ac:dyDescent="0.25">
      <c r="A74" s="40" t="s">
        <v>1214</v>
      </c>
      <c r="B74" s="41" t="s">
        <v>1215</v>
      </c>
      <c r="C74" s="41" t="s">
        <v>1216</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x14ac:dyDescent="0.25">
      <c r="A75" s="40" t="s">
        <v>876</v>
      </c>
      <c r="B75" s="41" t="s">
        <v>874</v>
      </c>
      <c r="C75" s="41" t="s">
        <v>875</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1345</v>
      </c>
      <c r="B76" s="41" t="s">
        <v>1346</v>
      </c>
      <c r="C76" s="41" t="s">
        <v>1347</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844</v>
      </c>
      <c r="B77" s="41" t="s">
        <v>845</v>
      </c>
      <c r="C77" s="41" t="s">
        <v>846</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761</v>
      </c>
      <c r="B78" s="41" t="s">
        <v>759</v>
      </c>
      <c r="C78" s="41" t="s">
        <v>760</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912</v>
      </c>
      <c r="B79" s="41" t="s">
        <v>911</v>
      </c>
      <c r="C79" s="41" t="s">
        <v>913</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ht="30" x14ac:dyDescent="0.25">
      <c r="A80" s="40" t="s">
        <v>1352</v>
      </c>
      <c r="B80" s="41" t="s">
        <v>1353</v>
      </c>
      <c r="C80" s="41" t="s">
        <v>1354</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1624</v>
      </c>
      <c r="B81" s="41" t="s">
        <v>1625</v>
      </c>
      <c r="C81" s="41" t="s">
        <v>1626</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1615</v>
      </c>
      <c r="B82" s="41" t="s">
        <v>1616</v>
      </c>
      <c r="C82" s="41" t="s">
        <v>1617</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1629</v>
      </c>
      <c r="B83" s="41" t="s">
        <v>1634</v>
      </c>
      <c r="C83" s="41" t="s">
        <v>1635</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1628</v>
      </c>
      <c r="B84" s="41" t="s">
        <v>1632</v>
      </c>
      <c r="C84" s="41" t="s">
        <v>1633</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x14ac:dyDescent="0.25">
      <c r="A85" s="40" t="s">
        <v>1612</v>
      </c>
      <c r="B85" s="41" t="s">
        <v>1613</v>
      </c>
      <c r="C85" s="41" t="s">
        <v>1614</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1627</v>
      </c>
      <c r="B86" s="41" t="s">
        <v>1630</v>
      </c>
      <c r="C86" s="41" t="s">
        <v>1631</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1609</v>
      </c>
      <c r="B87" s="41" t="s">
        <v>1610</v>
      </c>
      <c r="C87" s="41" t="s">
        <v>1611</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45" x14ac:dyDescent="0.25">
      <c r="A88" s="40" t="s">
        <v>1719</v>
      </c>
      <c r="B88" s="41" t="s">
        <v>877</v>
      </c>
      <c r="C88" s="41" t="s">
        <v>878</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ht="195" x14ac:dyDescent="0.25">
      <c r="A89" s="40" t="s">
        <v>1702</v>
      </c>
      <c r="B89" s="41" t="s">
        <v>1721</v>
      </c>
      <c r="C89" s="41" t="s">
        <v>1720</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ht="90" x14ac:dyDescent="0.25">
      <c r="A90" s="40" t="s">
        <v>870</v>
      </c>
      <c r="B90" s="41" t="s">
        <v>1713</v>
      </c>
      <c r="C90" s="41" t="s">
        <v>1714</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ht="90" x14ac:dyDescent="0.25">
      <c r="A91" s="40" t="s">
        <v>869</v>
      </c>
      <c r="B91" s="41" t="s">
        <v>1715</v>
      </c>
      <c r="C91" s="41" t="s">
        <v>1716</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50" t="s">
        <v>135</v>
      </c>
      <c r="B92" s="48" t="s">
        <v>113</v>
      </c>
      <c r="C92" s="41" t="s">
        <v>135</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ht="30" x14ac:dyDescent="0.25">
      <c r="A93" s="40" t="s">
        <v>1577</v>
      </c>
      <c r="B93" s="49" t="s">
        <v>769</v>
      </c>
      <c r="C93" s="48" t="s">
        <v>770</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920</v>
      </c>
      <c r="B94" s="51" t="s">
        <v>919</v>
      </c>
      <c r="C94" s="51" t="s">
        <v>922</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ht="45" x14ac:dyDescent="0.25">
      <c r="A95" s="40" t="s">
        <v>1680</v>
      </c>
      <c r="B95" s="51" t="s">
        <v>1689</v>
      </c>
      <c r="C95" s="51" t="s">
        <v>1690</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ht="75" x14ac:dyDescent="0.25">
      <c r="A96" s="40" t="s">
        <v>1677</v>
      </c>
      <c r="B96" s="51" t="s">
        <v>1691</v>
      </c>
      <c r="C96" s="51" t="s">
        <v>1692</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ht="120" x14ac:dyDescent="0.25">
      <c r="A97" s="40" t="s">
        <v>1678</v>
      </c>
      <c r="B97" s="51" t="s">
        <v>1695</v>
      </c>
      <c r="C97" s="51" t="s">
        <v>1696</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30" x14ac:dyDescent="0.25">
      <c r="A98" s="40" t="s">
        <v>962</v>
      </c>
      <c r="B98" s="51" t="s">
        <v>937</v>
      </c>
      <c r="C98" s="51" t="s">
        <v>938</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ht="90" x14ac:dyDescent="0.25">
      <c r="A99" s="40" t="s">
        <v>1686</v>
      </c>
      <c r="B99" s="51" t="s">
        <v>1682</v>
      </c>
      <c r="C99" s="51" t="s">
        <v>1697</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x14ac:dyDescent="0.25">
      <c r="A100" s="40" t="s">
        <v>1685</v>
      </c>
      <c r="B100" s="51" t="s">
        <v>1683</v>
      </c>
      <c r="C100" s="51" t="s">
        <v>1684</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30" x14ac:dyDescent="0.25">
      <c r="A101" s="40" t="s">
        <v>933</v>
      </c>
      <c r="B101" s="51" t="s">
        <v>931</v>
      </c>
      <c r="C101" s="51" t="s">
        <v>932</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60" x14ac:dyDescent="0.25">
      <c r="A102" s="40" t="s">
        <v>940</v>
      </c>
      <c r="B102" s="51" t="s">
        <v>939</v>
      </c>
      <c r="C102" s="51" t="s">
        <v>943</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x14ac:dyDescent="0.25">
      <c r="A103" s="40" t="s">
        <v>921</v>
      </c>
      <c r="B103" s="51" t="s">
        <v>923</v>
      </c>
      <c r="C103" s="51" t="s">
        <v>924</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x14ac:dyDescent="0.25">
      <c r="A104" s="40" t="s">
        <v>926</v>
      </c>
      <c r="B104" s="51" t="s">
        <v>925</v>
      </c>
      <c r="C104" s="51" t="s">
        <v>927</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ht="30" x14ac:dyDescent="0.25">
      <c r="A105" s="40" t="s">
        <v>936</v>
      </c>
      <c r="B105" s="51" t="s">
        <v>934</v>
      </c>
      <c r="C105" s="51" t="s">
        <v>935</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60" x14ac:dyDescent="0.25">
      <c r="A106" s="40" t="s">
        <v>941</v>
      </c>
      <c r="B106" s="51" t="s">
        <v>942</v>
      </c>
      <c r="C106" s="51" t="s">
        <v>1021</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30" x14ac:dyDescent="0.25">
      <c r="A107" s="40" t="s">
        <v>930</v>
      </c>
      <c r="B107" s="51" t="s">
        <v>928</v>
      </c>
      <c r="C107" s="51" t="s">
        <v>929</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ht="105" x14ac:dyDescent="0.25">
      <c r="A108" s="40" t="s">
        <v>1681</v>
      </c>
      <c r="B108" s="51" t="s">
        <v>1694</v>
      </c>
      <c r="C108" s="51" t="s">
        <v>1693</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ht="30" x14ac:dyDescent="0.25">
      <c r="A109" s="40" t="s">
        <v>821</v>
      </c>
      <c r="B109" s="41" t="s">
        <v>1152</v>
      </c>
      <c r="C109" s="41" t="s">
        <v>1153</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45" x14ac:dyDescent="0.25">
      <c r="A110" s="40" t="s">
        <v>902</v>
      </c>
      <c r="B110" s="41" t="s">
        <v>903</v>
      </c>
      <c r="C110" s="41" t="s">
        <v>904</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x14ac:dyDescent="0.25">
      <c r="A111" s="40" t="s">
        <v>764</v>
      </c>
      <c r="B111" s="41" t="s">
        <v>763</v>
      </c>
      <c r="C111" s="41" t="s">
        <v>765</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x14ac:dyDescent="0.25">
      <c r="A112" s="40" t="s">
        <v>1725</v>
      </c>
      <c r="B112" s="41" t="s">
        <v>1726</v>
      </c>
      <c r="C112" s="41" t="s">
        <v>1727</v>
      </c>
      <c r="E112" s="40" t="str">
        <f>IF(SIGN(IFERROR(SEARCH("\1",$B112),0))=SIGN(IFERROR(SEARCH("\1",C112),0)),".","!")&amp;
   IF(SIGN(IFERROR(SEARCH("\2",$B112),0))=SIGN(IFERROR(SEARCH("\2",C112),0)),".","!")&amp;
   IF(SIGN(IFERROR(SEARCH("\3",$B112),0))=SIGN(IFERROR(SEARCH("\3",C112),0)),".","!")</f>
        <v>...</v>
      </c>
      <c r="F112" s="40" t="str">
        <f>IF(SIGN(IFERROR(SEARCH("\1",$B112),0))=SIGN(IFERROR(SEARCH("\1",D112),0)),".","!")&amp;
   IF(SIGN(IFERROR(SEARCH("\2",$B112),0))=SIGN(IFERROR(SEARCH("\2",D112),0)),".","!")&amp;
   IF(SIGN(IFERROR(SEARCH("\3",$B112),0))=SIGN(IFERROR(SEARCH("\3",D112),0)),".","!")</f>
        <v>!..</v>
      </c>
    </row>
  </sheetData>
  <autoFilter ref="A1:F111" xr:uid="{00000000-0009-0000-0000-000006000000}">
    <sortState xmlns:xlrd2="http://schemas.microsoft.com/office/spreadsheetml/2017/richdata2" ref="A2:F112">
      <sortCondition ref="A1:A112"/>
    </sortState>
  </autoFilter>
  <sortState xmlns:xlrd2="http://schemas.microsoft.com/office/spreadsheetml/2017/richdata2" ref="A3:F106">
    <sortCondition ref="A2:A106"/>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2021-02-24T17:29:15Z</dcterms:modified>
</cp:coreProperties>
</file>